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628"/>
  <workbookPr/>
  <mc:AlternateContent xmlns:mc="http://schemas.openxmlformats.org/markup-compatibility/2006">
    <mc:Choice Requires="x15">
      <x15ac:absPath xmlns:x15ac="http://schemas.microsoft.com/office/spreadsheetml/2010/11/ac" url="C:\Users\prajw\OneDrive\Desktop\Excel\"/>
    </mc:Choice>
  </mc:AlternateContent>
  <xr:revisionPtr revIDLastSave="0" documentId="13_ncr:1_{AC073407-0E68-4817-B322-E4D369738632}" xr6:coauthVersionLast="47" xr6:coauthVersionMax="47" xr10:uidLastSave="{00000000-0000-0000-0000-000000000000}"/>
  <bookViews>
    <workbookView xWindow="-120" yWindow="-120" windowWidth="20730" windowHeight="11040" activeTab="4" xr2:uid="{00000000-000D-0000-FFFF-FFFF00000000}"/>
  </bookViews>
  <sheets>
    <sheet name="Vlookup" sheetId="1" r:id="rId1"/>
    <sheet name="Hlookup" sheetId="2" r:id="rId2"/>
    <sheet name="Lookup" sheetId="5" r:id="rId3"/>
    <sheet name="Xlookup" sheetId="3" r:id="rId4"/>
    <sheet name="INDEX+MATCH" sheetId="4" r:id="rId5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O4" i="4" l="1"/>
  <c r="N4" i="4"/>
  <c r="M4" i="4"/>
  <c r="H4" i="4"/>
  <c r="I4" i="4" s="1"/>
  <c r="I8" i="3"/>
  <c r="I7" i="3"/>
  <c r="I6" i="3"/>
  <c r="E4" i="5"/>
  <c r="E5" i="5"/>
  <c r="E6" i="5"/>
  <c r="E7" i="5"/>
  <c r="E8" i="5"/>
  <c r="E9" i="5"/>
  <c r="E10" i="5"/>
  <c r="E11" i="5"/>
  <c r="E12" i="5"/>
  <c r="E13" i="5"/>
  <c r="E14" i="5"/>
  <c r="E15" i="5"/>
  <c r="E16" i="5"/>
  <c r="E17" i="5"/>
  <c r="E18" i="5"/>
  <c r="E19" i="5"/>
  <c r="E20" i="5"/>
  <c r="E21" i="5"/>
  <c r="E22" i="5"/>
  <c r="E3" i="5"/>
  <c r="G9" i="2"/>
  <c r="F9" i="2"/>
  <c r="E9" i="2"/>
  <c r="H7" i="1"/>
  <c r="H6" i="1"/>
  <c r="H5" i="1"/>
</calcChain>
</file>

<file path=xl/sharedStrings.xml><?xml version="1.0" encoding="utf-8"?>
<sst xmlns="http://schemas.openxmlformats.org/spreadsheetml/2006/main" count="218" uniqueCount="39">
  <si>
    <t>Employee ID</t>
  </si>
  <si>
    <t>Name</t>
  </si>
  <si>
    <t>salary</t>
  </si>
  <si>
    <t>EUD01</t>
  </si>
  <si>
    <t>EUD02</t>
  </si>
  <si>
    <t>EUD03</t>
  </si>
  <si>
    <t>EUD04</t>
  </si>
  <si>
    <t>EUD05</t>
  </si>
  <si>
    <t>EUD06</t>
  </si>
  <si>
    <t>EUD07</t>
  </si>
  <si>
    <t>EUD08</t>
  </si>
  <si>
    <t>EUD09</t>
  </si>
  <si>
    <t>EUD10</t>
  </si>
  <si>
    <t>EUD11</t>
  </si>
  <si>
    <t>EUD12</t>
  </si>
  <si>
    <t>Mr. Raj rahane</t>
  </si>
  <si>
    <t>Mr. Rahul shele</t>
  </si>
  <si>
    <t>Mrs. Rani Rahane</t>
  </si>
  <si>
    <t>Mr. Prajwal Gavali</t>
  </si>
  <si>
    <t>Mr. Viru Gavali</t>
  </si>
  <si>
    <t>Mr. Nikhil Gavali</t>
  </si>
  <si>
    <t>Mr. Jay Gavali</t>
  </si>
  <si>
    <t>Mr. Gayatri Hiwale</t>
  </si>
  <si>
    <t>Mr. Akash Hiwale</t>
  </si>
  <si>
    <t>EUD13</t>
  </si>
  <si>
    <t>EUD14</t>
  </si>
  <si>
    <t>EUD15</t>
  </si>
  <si>
    <t>EUD16</t>
  </si>
  <si>
    <t>EUD17</t>
  </si>
  <si>
    <t>EUD18</t>
  </si>
  <si>
    <t>EUD19</t>
  </si>
  <si>
    <t>EUD20</t>
  </si>
  <si>
    <t>Date</t>
  </si>
  <si>
    <t>range</t>
  </si>
  <si>
    <t>Bonus</t>
  </si>
  <si>
    <t>INDEX</t>
  </si>
  <si>
    <t>MATCH</t>
  </si>
  <si>
    <t>INDEX+MATCH</t>
  </si>
  <si>
    <t>LOOKUP value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</si>
</sst>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0" formatCode="[$-F800]dddd\,\ mmmm\ dd\,\ yyyy"/>
  </numFmts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8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00B0F0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/>
      <diagonal/>
    </border>
  </borders>
  <cellStyleXfs count="1">
    <xf numFmtId="0" fontId="0" fillId="0" borderId="0"/>
  </cellStyleXfs>
  <cellXfs count="13">
    <xf numFmtId="0" fontId="0" fillId="0" borderId="0" xfId="0"/>
    <xf numFmtId="0" fontId="0" fillId="0" borderId="0" xfId="0"/>
    <xf numFmtId="0" fontId="0" fillId="0" borderId="1" xfId="0" applyBorder="1"/>
    <xf numFmtId="0" fontId="1" fillId="2" borderId="1" xfId="0" applyFont="1" applyFill="1" applyBorder="1"/>
    <xf numFmtId="0" fontId="0" fillId="2" borderId="1" xfId="0" applyFill="1" applyBorder="1"/>
    <xf numFmtId="0" fontId="0" fillId="2" borderId="2" xfId="0" applyFill="1" applyBorder="1"/>
    <xf numFmtId="14" fontId="0" fillId="0" borderId="1" xfId="0" applyNumberFormat="1" applyBorder="1"/>
    <xf numFmtId="170" fontId="0" fillId="0" borderId="0" xfId="0" applyNumberFormat="1"/>
    <xf numFmtId="170" fontId="0" fillId="0" borderId="1" xfId="0" applyNumberFormat="1" applyBorder="1"/>
    <xf numFmtId="9" fontId="0" fillId="0" borderId="0" xfId="0" applyNumberFormat="1"/>
    <xf numFmtId="0" fontId="0" fillId="2" borderId="0" xfId="0" applyFill="1" applyBorder="1"/>
    <xf numFmtId="14" fontId="0" fillId="0" borderId="0" xfId="0" applyNumberFormat="1" applyBorder="1"/>
    <xf numFmtId="0" fontId="0" fillId="2" borderId="1" xfId="0" applyFill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2:H22"/>
  <sheetViews>
    <sheetView workbookViewId="0">
      <selection activeCell="G4" sqref="G4:G7"/>
    </sheetView>
  </sheetViews>
  <sheetFormatPr defaultRowHeight="15" x14ac:dyDescent="0.25"/>
  <cols>
    <col min="2" max="2" width="12.140625" bestFit="1" customWidth="1"/>
    <col min="3" max="3" width="17.5703125" bestFit="1" customWidth="1"/>
    <col min="5" max="5" width="10.42578125" bestFit="1" customWidth="1"/>
    <col min="7" max="7" width="12.140625" bestFit="1" customWidth="1"/>
    <col min="8" max="8" width="20.5703125" customWidth="1"/>
  </cols>
  <sheetData>
    <row r="2" spans="2:8" x14ac:dyDescent="0.25">
      <c r="B2" s="4" t="s">
        <v>0</v>
      </c>
      <c r="C2" s="4" t="s">
        <v>1</v>
      </c>
      <c r="D2" s="4" t="s">
        <v>2</v>
      </c>
      <c r="E2" s="4" t="s">
        <v>32</v>
      </c>
    </row>
    <row r="3" spans="2:8" x14ac:dyDescent="0.25">
      <c r="B3" s="2" t="s">
        <v>3</v>
      </c>
      <c r="C3" s="2" t="s">
        <v>15</v>
      </c>
      <c r="D3" s="2">
        <v>19487</v>
      </c>
      <c r="E3" s="6">
        <v>45658</v>
      </c>
    </row>
    <row r="4" spans="2:8" x14ac:dyDescent="0.25">
      <c r="B4" s="2" t="s">
        <v>4</v>
      </c>
      <c r="C4" s="2" t="s">
        <v>16</v>
      </c>
      <c r="D4" s="2">
        <v>94711</v>
      </c>
      <c r="E4" s="6">
        <v>45659</v>
      </c>
      <c r="G4" s="4" t="s">
        <v>0</v>
      </c>
      <c r="H4" s="2" t="s">
        <v>11</v>
      </c>
    </row>
    <row r="5" spans="2:8" x14ac:dyDescent="0.25">
      <c r="B5" s="2" t="s">
        <v>5</v>
      </c>
      <c r="C5" s="2" t="s">
        <v>17</v>
      </c>
      <c r="D5" s="2">
        <v>63762</v>
      </c>
      <c r="E5" s="6">
        <v>45660</v>
      </c>
      <c r="G5" s="4" t="s">
        <v>1</v>
      </c>
      <c r="H5" s="2" t="str">
        <f>VLOOKUP(H4,B2:E22,2,FALSE)</f>
        <v>Mr. Nikhil Gavali</v>
      </c>
    </row>
    <row r="6" spans="2:8" x14ac:dyDescent="0.25">
      <c r="B6" s="2" t="s">
        <v>6</v>
      </c>
      <c r="C6" s="2" t="s">
        <v>15</v>
      </c>
      <c r="D6" s="2">
        <v>43654</v>
      </c>
      <c r="E6" s="6">
        <v>45661</v>
      </c>
      <c r="G6" s="4" t="s">
        <v>2</v>
      </c>
      <c r="H6" s="2">
        <f>VLOOKUP($H$4,$B$2:$E$22,3,FALSE)</f>
        <v>36739</v>
      </c>
    </row>
    <row r="7" spans="2:8" x14ac:dyDescent="0.25">
      <c r="B7" s="2" t="s">
        <v>7</v>
      </c>
      <c r="C7" s="2" t="s">
        <v>16</v>
      </c>
      <c r="D7" s="2">
        <v>84120</v>
      </c>
      <c r="E7" s="6">
        <v>45662</v>
      </c>
      <c r="G7" s="4" t="s">
        <v>32</v>
      </c>
      <c r="H7" s="8">
        <f>VLOOKUP(H4,B2:E22,4,0)</f>
        <v>45666</v>
      </c>
    </row>
    <row r="8" spans="2:8" x14ac:dyDescent="0.25">
      <c r="B8" s="2" t="s">
        <v>8</v>
      </c>
      <c r="C8" s="2" t="s">
        <v>17</v>
      </c>
      <c r="D8" s="2">
        <v>52109</v>
      </c>
      <c r="E8" s="6">
        <v>45663</v>
      </c>
    </row>
    <row r="9" spans="2:8" x14ac:dyDescent="0.25">
      <c r="B9" s="2" t="s">
        <v>9</v>
      </c>
      <c r="C9" s="2" t="s">
        <v>18</v>
      </c>
      <c r="D9" s="2">
        <v>67215</v>
      </c>
      <c r="E9" s="6">
        <v>45664</v>
      </c>
    </row>
    <row r="10" spans="2:8" x14ac:dyDescent="0.25">
      <c r="B10" s="2" t="s">
        <v>10</v>
      </c>
      <c r="C10" s="2" t="s">
        <v>19</v>
      </c>
      <c r="D10" s="2">
        <v>26841</v>
      </c>
      <c r="E10" s="6">
        <v>45665</v>
      </c>
    </row>
    <row r="11" spans="2:8" x14ac:dyDescent="0.25">
      <c r="B11" s="2" t="s">
        <v>11</v>
      </c>
      <c r="C11" s="2" t="s">
        <v>20</v>
      </c>
      <c r="D11" s="2">
        <v>36739</v>
      </c>
      <c r="E11" s="6">
        <v>45666</v>
      </c>
    </row>
    <row r="12" spans="2:8" x14ac:dyDescent="0.25">
      <c r="B12" s="2" t="s">
        <v>12</v>
      </c>
      <c r="C12" s="2" t="s">
        <v>21</v>
      </c>
      <c r="D12" s="2">
        <v>76242</v>
      </c>
      <c r="E12" s="6">
        <v>45667</v>
      </c>
    </row>
    <row r="13" spans="2:8" x14ac:dyDescent="0.25">
      <c r="B13" s="2" t="s">
        <v>13</v>
      </c>
      <c r="C13" s="2" t="s">
        <v>22</v>
      </c>
      <c r="D13" s="2">
        <v>24558</v>
      </c>
      <c r="E13" s="6">
        <v>45668</v>
      </c>
    </row>
    <row r="14" spans="2:8" x14ac:dyDescent="0.25">
      <c r="B14" s="2" t="s">
        <v>14</v>
      </c>
      <c r="C14" s="2" t="s">
        <v>23</v>
      </c>
      <c r="D14" s="2">
        <v>30398</v>
      </c>
      <c r="E14" s="6">
        <v>45669</v>
      </c>
    </row>
    <row r="15" spans="2:8" x14ac:dyDescent="0.25">
      <c r="B15" s="2" t="s">
        <v>24</v>
      </c>
      <c r="C15" s="2" t="s">
        <v>17</v>
      </c>
      <c r="D15" s="2">
        <v>75421</v>
      </c>
      <c r="E15" s="6">
        <v>45670</v>
      </c>
    </row>
    <row r="16" spans="2:8" x14ac:dyDescent="0.25">
      <c r="B16" s="2" t="s">
        <v>25</v>
      </c>
      <c r="C16" s="2" t="s">
        <v>18</v>
      </c>
      <c r="D16" s="2">
        <v>25960</v>
      </c>
      <c r="E16" s="6">
        <v>45671</v>
      </c>
    </row>
    <row r="17" spans="2:5" x14ac:dyDescent="0.25">
      <c r="B17" s="2" t="s">
        <v>26</v>
      </c>
      <c r="C17" s="2" t="s">
        <v>19</v>
      </c>
      <c r="D17" s="2">
        <v>24907</v>
      </c>
      <c r="E17" s="6">
        <v>45672</v>
      </c>
    </row>
    <row r="18" spans="2:5" x14ac:dyDescent="0.25">
      <c r="B18" s="2" t="s">
        <v>27</v>
      </c>
      <c r="C18" s="2" t="s">
        <v>20</v>
      </c>
      <c r="D18" s="2">
        <v>82546</v>
      </c>
      <c r="E18" s="6">
        <v>45673</v>
      </c>
    </row>
    <row r="19" spans="2:5" x14ac:dyDescent="0.25">
      <c r="B19" s="2" t="s">
        <v>28</v>
      </c>
      <c r="C19" s="2" t="s">
        <v>21</v>
      </c>
      <c r="D19" s="2">
        <v>77846</v>
      </c>
      <c r="E19" s="6">
        <v>45674</v>
      </c>
    </row>
    <row r="20" spans="2:5" x14ac:dyDescent="0.25">
      <c r="B20" s="2" t="s">
        <v>29</v>
      </c>
      <c r="C20" s="2" t="s">
        <v>22</v>
      </c>
      <c r="D20" s="2">
        <v>52011</v>
      </c>
      <c r="E20" s="6">
        <v>45675</v>
      </c>
    </row>
    <row r="21" spans="2:5" x14ac:dyDescent="0.25">
      <c r="B21" s="2" t="s">
        <v>30</v>
      </c>
      <c r="C21" s="2" t="s">
        <v>17</v>
      </c>
      <c r="D21" s="2">
        <v>49416</v>
      </c>
      <c r="E21" s="6">
        <v>45676</v>
      </c>
    </row>
    <row r="22" spans="2:5" x14ac:dyDescent="0.25">
      <c r="B22" s="2" t="s">
        <v>31</v>
      </c>
      <c r="C22" s="2" t="s">
        <v>18</v>
      </c>
      <c r="D22" s="2">
        <v>21955</v>
      </c>
      <c r="E22" s="6">
        <v>45677</v>
      </c>
    </row>
  </sheetData>
  <phoneticPr fontId="2" type="noConversion"/>
  <dataValidations count="1">
    <dataValidation type="list" allowBlank="1" showInputMessage="1" showErrorMessage="1" sqref="H4" xr:uid="{13FBE816-A727-4E08-A65D-4822515A8981}">
      <formula1>$B$3:$B$22</formula1>
    </dataValidation>
  </dataValidation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CD53964-D579-4D5C-A611-ED5AB32C7CA7}">
  <dimension ref="C3:I9"/>
  <sheetViews>
    <sheetView workbookViewId="0">
      <selection activeCell="F13" sqref="F13"/>
    </sheetView>
  </sheetViews>
  <sheetFormatPr defaultRowHeight="15" x14ac:dyDescent="0.25"/>
  <cols>
    <col min="3" max="3" width="12.140625" bestFit="1" customWidth="1"/>
    <col min="4" max="4" width="13.85546875" bestFit="1" customWidth="1"/>
    <col min="5" max="5" width="18.42578125" customWidth="1"/>
    <col min="6" max="7" width="16.28515625" bestFit="1" customWidth="1"/>
    <col min="8" max="8" width="14.85546875" bestFit="1" customWidth="1"/>
    <col min="9" max="9" width="13.85546875" bestFit="1" customWidth="1"/>
  </cols>
  <sheetData>
    <row r="3" spans="3:9" x14ac:dyDescent="0.25">
      <c r="C3" s="3" t="s">
        <v>0</v>
      </c>
      <c r="D3" s="2" t="s">
        <v>3</v>
      </c>
      <c r="E3" s="2" t="s">
        <v>4</v>
      </c>
      <c r="F3" s="2" t="s">
        <v>5</v>
      </c>
      <c r="G3" s="2" t="s">
        <v>6</v>
      </c>
      <c r="H3" s="2" t="s">
        <v>7</v>
      </c>
      <c r="I3" s="2" t="s">
        <v>8</v>
      </c>
    </row>
    <row r="4" spans="3:9" x14ac:dyDescent="0.25">
      <c r="C4" s="3" t="s">
        <v>1</v>
      </c>
      <c r="D4" s="2" t="s">
        <v>15</v>
      </c>
      <c r="E4" s="2" t="s">
        <v>16</v>
      </c>
      <c r="F4" s="2" t="s">
        <v>17</v>
      </c>
      <c r="G4" s="2" t="s">
        <v>17</v>
      </c>
      <c r="H4" s="2" t="s">
        <v>16</v>
      </c>
      <c r="I4" s="2" t="s">
        <v>15</v>
      </c>
    </row>
    <row r="5" spans="3:9" x14ac:dyDescent="0.25">
      <c r="C5" s="3" t="s">
        <v>2</v>
      </c>
      <c r="D5" s="2">
        <v>18305</v>
      </c>
      <c r="E5" s="2">
        <v>19842</v>
      </c>
      <c r="F5" s="2">
        <v>15819</v>
      </c>
      <c r="G5" s="2">
        <v>44390</v>
      </c>
      <c r="H5" s="2">
        <v>57739</v>
      </c>
      <c r="I5" s="2">
        <v>55829</v>
      </c>
    </row>
    <row r="6" spans="3:9" x14ac:dyDescent="0.25">
      <c r="C6" s="3" t="s">
        <v>32</v>
      </c>
      <c r="D6" s="6">
        <v>45658</v>
      </c>
      <c r="E6" s="6">
        <v>45659</v>
      </c>
      <c r="F6" s="6">
        <v>45660</v>
      </c>
      <c r="G6" s="6">
        <v>45662</v>
      </c>
      <c r="H6" s="6">
        <v>45661</v>
      </c>
      <c r="I6" s="6">
        <v>45661</v>
      </c>
    </row>
    <row r="8" spans="3:9" x14ac:dyDescent="0.25">
      <c r="D8" s="4" t="s">
        <v>0</v>
      </c>
      <c r="E8" s="4" t="s">
        <v>1</v>
      </c>
      <c r="F8" s="4" t="s">
        <v>2</v>
      </c>
      <c r="G8" s="4" t="s">
        <v>32</v>
      </c>
    </row>
    <row r="9" spans="3:9" x14ac:dyDescent="0.25">
      <c r="D9" t="s">
        <v>7</v>
      </c>
      <c r="E9" t="str">
        <f>HLOOKUP($D$9,$C$3:$I$6,2,FALSE)</f>
        <v>Mr. Rahul shele</v>
      </c>
      <c r="F9" s="1">
        <f>HLOOKUP($D$9,$C$3:$I$6,3,FALSE)</f>
        <v>57739</v>
      </c>
      <c r="G9" s="7">
        <f>HLOOKUP($D$9,$C$3:$I$6,4,FALSE)</f>
        <v>45661</v>
      </c>
    </row>
  </sheetData>
  <phoneticPr fontId="2" type="noConversion"/>
  <dataValidations count="1">
    <dataValidation type="list" allowBlank="1" showInputMessage="1" showErrorMessage="1" sqref="D9" xr:uid="{9A9A0035-0B96-4956-9906-ACFFCD83EC1D}">
      <formula1>$D$3:$I$3</formula1>
    </dataValidation>
  </dataValidation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8F0B365-0376-4F95-9D17-72C2831211F3}">
  <dimension ref="B2:I22"/>
  <sheetViews>
    <sheetView topLeftCell="A3" workbookViewId="0">
      <selection activeCell="C21" sqref="B2:F22"/>
    </sheetView>
  </sheetViews>
  <sheetFormatPr defaultRowHeight="15" x14ac:dyDescent="0.25"/>
  <cols>
    <col min="3" max="3" width="17.5703125" bestFit="1" customWidth="1"/>
    <col min="6" max="6" width="10.5703125" customWidth="1"/>
    <col min="7" max="7" width="10.5703125" style="1" customWidth="1"/>
  </cols>
  <sheetData>
    <row r="2" spans="2:9" x14ac:dyDescent="0.25">
      <c r="B2" s="4" t="s">
        <v>0</v>
      </c>
      <c r="C2" s="4" t="s">
        <v>1</v>
      </c>
      <c r="D2" s="4" t="s">
        <v>2</v>
      </c>
      <c r="E2" s="5" t="s">
        <v>34</v>
      </c>
      <c r="F2" s="4" t="s">
        <v>32</v>
      </c>
      <c r="G2" s="10"/>
    </row>
    <row r="3" spans="2:9" x14ac:dyDescent="0.25">
      <c r="B3" s="2" t="s">
        <v>3</v>
      </c>
      <c r="C3" s="2" t="s">
        <v>15</v>
      </c>
      <c r="D3" s="2">
        <v>19487</v>
      </c>
      <c r="E3">
        <f>LOOKUP(D3,H6:I12)</f>
        <v>0.1</v>
      </c>
      <c r="F3" s="6">
        <v>45658</v>
      </c>
      <c r="G3" s="11"/>
    </row>
    <row r="4" spans="2:9" x14ac:dyDescent="0.25">
      <c r="B4" s="2" t="s">
        <v>4</v>
      </c>
      <c r="C4" s="2" t="s">
        <v>16</v>
      </c>
      <c r="D4" s="2">
        <v>94711</v>
      </c>
      <c r="E4" s="1">
        <f>LOOKUP(D4,H7:I13)</f>
        <v>0.6</v>
      </c>
      <c r="F4" s="6">
        <v>45659</v>
      </c>
      <c r="G4" s="11"/>
    </row>
    <row r="5" spans="2:9" x14ac:dyDescent="0.25">
      <c r="B5" s="2" t="s">
        <v>5</v>
      </c>
      <c r="C5" s="2" t="s">
        <v>17</v>
      </c>
      <c r="D5" s="2">
        <v>63762</v>
      </c>
      <c r="E5" s="1">
        <f>LOOKUP(D5,H8:I14)</f>
        <v>0.5</v>
      </c>
      <c r="F5" s="6">
        <v>45660</v>
      </c>
      <c r="G5" s="11"/>
      <c r="H5" t="s">
        <v>33</v>
      </c>
      <c r="I5" t="s">
        <v>34</v>
      </c>
    </row>
    <row r="6" spans="2:9" x14ac:dyDescent="0.25">
      <c r="B6" s="2" t="s">
        <v>6</v>
      </c>
      <c r="C6" s="2" t="s">
        <v>15</v>
      </c>
      <c r="D6" s="2">
        <v>43654</v>
      </c>
      <c r="E6" s="1">
        <f>LOOKUP(D6,H9:I15)</f>
        <v>0.4</v>
      </c>
      <c r="F6" s="6">
        <v>45661</v>
      </c>
      <c r="G6" s="11"/>
      <c r="H6">
        <v>10000</v>
      </c>
      <c r="I6" s="9">
        <v>0.1</v>
      </c>
    </row>
    <row r="7" spans="2:9" x14ac:dyDescent="0.25">
      <c r="B7" s="2" t="s">
        <v>7</v>
      </c>
      <c r="C7" s="2" t="s">
        <v>16</v>
      </c>
      <c r="D7" s="2">
        <v>84120</v>
      </c>
      <c r="E7" s="1">
        <f>LOOKUP(D7,H10:I16)</f>
        <v>0.6</v>
      </c>
      <c r="F7" s="6">
        <v>45662</v>
      </c>
      <c r="G7" s="11"/>
      <c r="H7">
        <v>20000</v>
      </c>
      <c r="I7" s="9">
        <v>0.2</v>
      </c>
    </row>
    <row r="8" spans="2:9" x14ac:dyDescent="0.25">
      <c r="B8" s="2" t="s">
        <v>8</v>
      </c>
      <c r="C8" s="2" t="s">
        <v>17</v>
      </c>
      <c r="D8" s="2">
        <v>52109</v>
      </c>
      <c r="E8" s="1" t="e">
        <f>LOOKUP(D8,H11:I17)</f>
        <v>#N/A</v>
      </c>
      <c r="F8" s="6">
        <v>45663</v>
      </c>
      <c r="G8" s="11"/>
      <c r="H8">
        <v>30000</v>
      </c>
      <c r="I8" s="9">
        <v>0.3</v>
      </c>
    </row>
    <row r="9" spans="2:9" x14ac:dyDescent="0.25">
      <c r="B9" s="2" t="s">
        <v>9</v>
      </c>
      <c r="C9" s="2" t="s">
        <v>18</v>
      </c>
      <c r="D9" s="2">
        <v>67215</v>
      </c>
      <c r="E9" s="1" t="e">
        <f>LOOKUP(D9,H12:I18)</f>
        <v>#N/A</v>
      </c>
      <c r="F9" s="6">
        <v>45664</v>
      </c>
      <c r="G9" s="11"/>
      <c r="H9">
        <v>40000</v>
      </c>
      <c r="I9" s="9">
        <v>0.4</v>
      </c>
    </row>
    <row r="10" spans="2:9" x14ac:dyDescent="0.25">
      <c r="B10" s="2" t="s">
        <v>10</v>
      </c>
      <c r="C10" s="2" t="s">
        <v>19</v>
      </c>
      <c r="D10" s="2">
        <v>26841</v>
      </c>
      <c r="E10" s="1" t="e">
        <f>LOOKUP(D10,H13:I19)</f>
        <v>#N/A</v>
      </c>
      <c r="F10" s="6">
        <v>45665</v>
      </c>
      <c r="G10" s="11"/>
      <c r="H10">
        <v>50000</v>
      </c>
      <c r="I10" s="9">
        <v>0.5</v>
      </c>
    </row>
    <row r="11" spans="2:9" x14ac:dyDescent="0.25">
      <c r="B11" s="2" t="s">
        <v>11</v>
      </c>
      <c r="C11" s="2" t="s">
        <v>20</v>
      </c>
      <c r="D11" s="2">
        <v>36739</v>
      </c>
      <c r="E11" s="1" t="e">
        <f>LOOKUP(D11,H14:I20)</f>
        <v>#N/A</v>
      </c>
      <c r="F11" s="6">
        <v>45666</v>
      </c>
      <c r="G11" s="11"/>
      <c r="H11">
        <v>75000</v>
      </c>
      <c r="I11" s="9">
        <v>0.6</v>
      </c>
    </row>
    <row r="12" spans="2:9" x14ac:dyDescent="0.25">
      <c r="B12" s="2" t="s">
        <v>12</v>
      </c>
      <c r="C12" s="2" t="s">
        <v>21</v>
      </c>
      <c r="D12" s="2">
        <v>76242</v>
      </c>
      <c r="E12" s="1" t="e">
        <f>LOOKUP(D12,H15:I21)</f>
        <v>#N/A</v>
      </c>
      <c r="F12" s="6">
        <v>45667</v>
      </c>
      <c r="G12" s="11"/>
      <c r="H12">
        <v>100000</v>
      </c>
      <c r="I12" s="9">
        <v>0.7</v>
      </c>
    </row>
    <row r="13" spans="2:9" x14ac:dyDescent="0.25">
      <c r="B13" s="2" t="s">
        <v>13</v>
      </c>
      <c r="C13" s="2" t="s">
        <v>22</v>
      </c>
      <c r="D13" s="2">
        <v>24558</v>
      </c>
      <c r="E13" s="1" t="e">
        <f>LOOKUP(D13,H16:I22)</f>
        <v>#N/A</v>
      </c>
      <c r="F13" s="6">
        <v>45668</v>
      </c>
      <c r="G13" s="11"/>
    </row>
    <row r="14" spans="2:9" x14ac:dyDescent="0.25">
      <c r="B14" s="2" t="s">
        <v>14</v>
      </c>
      <c r="C14" s="2" t="s">
        <v>23</v>
      </c>
      <c r="D14" s="2">
        <v>30398</v>
      </c>
      <c r="E14" s="1" t="e">
        <f>LOOKUP(D14,H17:I23)</f>
        <v>#N/A</v>
      </c>
      <c r="F14" s="6">
        <v>45669</v>
      </c>
      <c r="G14" s="11"/>
    </row>
    <row r="15" spans="2:9" x14ac:dyDescent="0.25">
      <c r="B15" s="2" t="s">
        <v>24</v>
      </c>
      <c r="C15" s="2" t="s">
        <v>17</v>
      </c>
      <c r="D15" s="2">
        <v>75421</v>
      </c>
      <c r="E15" s="1" t="e">
        <f>LOOKUP(D15,H18:I24)</f>
        <v>#N/A</v>
      </c>
      <c r="F15" s="6">
        <v>45670</v>
      </c>
      <c r="G15" s="11"/>
    </row>
    <row r="16" spans="2:9" x14ac:dyDescent="0.25">
      <c r="B16" s="2" t="s">
        <v>25</v>
      </c>
      <c r="C16" s="2" t="s">
        <v>18</v>
      </c>
      <c r="D16" s="2">
        <v>25960</v>
      </c>
      <c r="E16" s="1" t="e">
        <f>LOOKUP(D16,H19:I25)</f>
        <v>#N/A</v>
      </c>
      <c r="F16" s="6">
        <v>45671</v>
      </c>
      <c r="G16" s="11"/>
    </row>
    <row r="17" spans="2:7" x14ac:dyDescent="0.25">
      <c r="B17" s="2" t="s">
        <v>26</v>
      </c>
      <c r="C17" s="2" t="s">
        <v>19</v>
      </c>
      <c r="D17" s="2">
        <v>24907</v>
      </c>
      <c r="E17" s="1" t="e">
        <f>LOOKUP(D17,H20:I26)</f>
        <v>#N/A</v>
      </c>
      <c r="F17" s="6">
        <v>45672</v>
      </c>
      <c r="G17" s="11"/>
    </row>
    <row r="18" spans="2:7" x14ac:dyDescent="0.25">
      <c r="B18" s="2" t="s">
        <v>27</v>
      </c>
      <c r="C18" s="2" t="s">
        <v>20</v>
      </c>
      <c r="D18" s="2">
        <v>82546</v>
      </c>
      <c r="E18" s="1" t="e">
        <f>LOOKUP(D18,H21:I27)</f>
        <v>#N/A</v>
      </c>
      <c r="F18" s="6">
        <v>45673</v>
      </c>
      <c r="G18" s="11"/>
    </row>
    <row r="19" spans="2:7" x14ac:dyDescent="0.25">
      <c r="B19" s="2" t="s">
        <v>28</v>
      </c>
      <c r="C19" s="2" t="s">
        <v>21</v>
      </c>
      <c r="D19" s="2">
        <v>77846</v>
      </c>
      <c r="E19" s="1" t="e">
        <f>LOOKUP(D19,H22:I28)</f>
        <v>#N/A</v>
      </c>
      <c r="F19" s="6">
        <v>45674</v>
      </c>
      <c r="G19" s="11"/>
    </row>
    <row r="20" spans="2:7" x14ac:dyDescent="0.25">
      <c r="B20" s="2" t="s">
        <v>29</v>
      </c>
      <c r="C20" s="2" t="s">
        <v>22</v>
      </c>
      <c r="D20" s="2">
        <v>52011</v>
      </c>
      <c r="E20" s="1" t="e">
        <f>LOOKUP(D20,H23:I29)</f>
        <v>#N/A</v>
      </c>
      <c r="F20" s="6">
        <v>45675</v>
      </c>
      <c r="G20" s="11"/>
    </row>
    <row r="21" spans="2:7" x14ac:dyDescent="0.25">
      <c r="B21" s="2" t="s">
        <v>30</v>
      </c>
      <c r="C21" s="2" t="s">
        <v>17</v>
      </c>
      <c r="D21" s="2">
        <v>49416</v>
      </c>
      <c r="E21" s="1" t="e">
        <f>LOOKUP(D21,H24:I30)</f>
        <v>#N/A</v>
      </c>
      <c r="F21" s="6">
        <v>45676</v>
      </c>
      <c r="G21" s="11"/>
    </row>
    <row r="22" spans="2:7" x14ac:dyDescent="0.25">
      <c r="B22" s="2" t="s">
        <v>31</v>
      </c>
      <c r="C22" s="2" t="s">
        <v>18</v>
      </c>
      <c r="D22" s="2">
        <v>21955</v>
      </c>
      <c r="E22" s="1" t="e">
        <f>LOOKUP(D22,H25:I31)</f>
        <v>#N/A</v>
      </c>
      <c r="F22" s="6">
        <v>45677</v>
      </c>
      <c r="G22" s="11"/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6C827D9-E034-48F4-823C-A96EFC00C411}">
  <dimension ref="B2:I22"/>
  <sheetViews>
    <sheetView topLeftCell="A3" workbookViewId="0">
      <selection activeCell="B2" sqref="B2:E22"/>
    </sheetView>
  </sheetViews>
  <sheetFormatPr defaultRowHeight="15" x14ac:dyDescent="0.25"/>
  <cols>
    <col min="2" max="2" width="12.140625" bestFit="1" customWidth="1"/>
    <col min="3" max="3" width="17.5703125" bestFit="1" customWidth="1"/>
    <col min="4" max="4" width="6.140625" bestFit="1" customWidth="1"/>
    <col min="5" max="5" width="10.42578125" bestFit="1" customWidth="1"/>
    <col min="8" max="8" width="12.140625" bestFit="1" customWidth="1"/>
    <col min="9" max="9" width="14.7109375" bestFit="1" customWidth="1"/>
  </cols>
  <sheetData>
    <row r="2" spans="2:9" x14ac:dyDescent="0.25">
      <c r="B2" s="4" t="s">
        <v>0</v>
      </c>
      <c r="C2" s="4" t="s">
        <v>1</v>
      </c>
      <c r="D2" s="4" t="s">
        <v>2</v>
      </c>
      <c r="E2" s="4" t="s">
        <v>32</v>
      </c>
    </row>
    <row r="3" spans="2:9" x14ac:dyDescent="0.25">
      <c r="B3" s="2" t="s">
        <v>3</v>
      </c>
      <c r="C3" s="2" t="s">
        <v>15</v>
      </c>
      <c r="D3" s="2">
        <v>19487</v>
      </c>
      <c r="E3" s="6">
        <v>45658</v>
      </c>
    </row>
    <row r="4" spans="2:9" x14ac:dyDescent="0.25">
      <c r="B4" s="2" t="s">
        <v>4</v>
      </c>
      <c r="C4" s="2" t="s">
        <v>16</v>
      </c>
      <c r="D4" s="2">
        <v>94711</v>
      </c>
      <c r="E4" s="6">
        <v>45659</v>
      </c>
    </row>
    <row r="5" spans="2:9" x14ac:dyDescent="0.25">
      <c r="B5" s="2" t="s">
        <v>5</v>
      </c>
      <c r="C5" s="2" t="s">
        <v>17</v>
      </c>
      <c r="D5" s="2">
        <v>63762</v>
      </c>
      <c r="E5" s="6">
        <v>45660</v>
      </c>
      <c r="H5" s="4" t="s">
        <v>0</v>
      </c>
      <c r="I5" t="s">
        <v>10</v>
      </c>
    </row>
    <row r="6" spans="2:9" x14ac:dyDescent="0.25">
      <c r="B6" s="2" t="s">
        <v>6</v>
      </c>
      <c r="C6" s="2" t="s">
        <v>15</v>
      </c>
      <c r="D6" s="2">
        <v>43654</v>
      </c>
      <c r="E6" s="6">
        <v>45661</v>
      </c>
      <c r="H6" s="4" t="s">
        <v>1</v>
      </c>
      <c r="I6" t="str">
        <f>_xlfn.XLOOKUP(I5,B3:B22,C3:C22,"Not Found",0)</f>
        <v>Mr. Viru Gavali</v>
      </c>
    </row>
    <row r="7" spans="2:9" x14ac:dyDescent="0.25">
      <c r="B7" s="2" t="s">
        <v>7</v>
      </c>
      <c r="C7" s="2" t="s">
        <v>16</v>
      </c>
      <c r="D7" s="2">
        <v>84120</v>
      </c>
      <c r="E7" s="6">
        <v>45662</v>
      </c>
      <c r="H7" s="4" t="s">
        <v>2</v>
      </c>
      <c r="I7">
        <f>_xlfn.XLOOKUP(I5,B3:B22,D3:D22,"Not Found",0)</f>
        <v>26841</v>
      </c>
    </row>
    <row r="8" spans="2:9" x14ac:dyDescent="0.25">
      <c r="B8" s="2" t="s">
        <v>8</v>
      </c>
      <c r="C8" s="2" t="s">
        <v>17</v>
      </c>
      <c r="D8" s="2">
        <v>52109</v>
      </c>
      <c r="E8" s="6">
        <v>45663</v>
      </c>
      <c r="H8" s="4" t="s">
        <v>32</v>
      </c>
      <c r="I8" s="7">
        <f>_xlfn.XLOOKUP(I5,B3:B22,E3:E22,"NA",0)</f>
        <v>45665</v>
      </c>
    </row>
    <row r="9" spans="2:9" x14ac:dyDescent="0.25">
      <c r="B9" s="2" t="s">
        <v>9</v>
      </c>
      <c r="C9" s="2" t="s">
        <v>18</v>
      </c>
      <c r="D9" s="2">
        <v>67215</v>
      </c>
      <c r="E9" s="6">
        <v>45664</v>
      </c>
    </row>
    <row r="10" spans="2:9" x14ac:dyDescent="0.25">
      <c r="B10" s="2" t="s">
        <v>10</v>
      </c>
      <c r="C10" s="2" t="s">
        <v>19</v>
      </c>
      <c r="D10" s="2">
        <v>26841</v>
      </c>
      <c r="E10" s="6">
        <v>45665</v>
      </c>
    </row>
    <row r="11" spans="2:9" x14ac:dyDescent="0.25">
      <c r="B11" s="2" t="s">
        <v>11</v>
      </c>
      <c r="C11" s="2" t="s">
        <v>20</v>
      </c>
      <c r="D11" s="2">
        <v>36739</v>
      </c>
      <c r="E11" s="6">
        <v>45666</v>
      </c>
    </row>
    <row r="12" spans="2:9" x14ac:dyDescent="0.25">
      <c r="B12" s="2" t="s">
        <v>12</v>
      </c>
      <c r="C12" s="2" t="s">
        <v>21</v>
      </c>
      <c r="D12" s="2">
        <v>76242</v>
      </c>
      <c r="E12" s="6">
        <v>45667</v>
      </c>
    </row>
    <row r="13" spans="2:9" x14ac:dyDescent="0.25">
      <c r="B13" s="2" t="s">
        <v>13</v>
      </c>
      <c r="C13" s="2" t="s">
        <v>22</v>
      </c>
      <c r="D13" s="2">
        <v>24558</v>
      </c>
      <c r="E13" s="6">
        <v>45668</v>
      </c>
    </row>
    <row r="14" spans="2:9" x14ac:dyDescent="0.25">
      <c r="B14" s="2" t="s">
        <v>14</v>
      </c>
      <c r="C14" s="2" t="s">
        <v>23</v>
      </c>
      <c r="D14" s="2">
        <v>30398</v>
      </c>
      <c r="E14" s="6">
        <v>45669</v>
      </c>
    </row>
    <row r="15" spans="2:9" x14ac:dyDescent="0.25">
      <c r="B15" s="2" t="s">
        <v>24</v>
      </c>
      <c r="C15" s="2" t="s">
        <v>17</v>
      </c>
      <c r="D15" s="2">
        <v>75421</v>
      </c>
      <c r="E15" s="6">
        <v>45670</v>
      </c>
    </row>
    <row r="16" spans="2:9" x14ac:dyDescent="0.25">
      <c r="B16" s="2" t="s">
        <v>25</v>
      </c>
      <c r="C16" s="2" t="s">
        <v>18</v>
      </c>
      <c r="D16" s="2">
        <v>25960</v>
      </c>
      <c r="E16" s="6">
        <v>45671</v>
      </c>
    </row>
    <row r="17" spans="2:5" x14ac:dyDescent="0.25">
      <c r="B17" s="2" t="s">
        <v>26</v>
      </c>
      <c r="C17" s="2" t="s">
        <v>19</v>
      </c>
      <c r="D17" s="2">
        <v>24907</v>
      </c>
      <c r="E17" s="6">
        <v>45672</v>
      </c>
    </row>
    <row r="18" spans="2:5" x14ac:dyDescent="0.25">
      <c r="B18" s="2" t="s">
        <v>27</v>
      </c>
      <c r="C18" s="2" t="s">
        <v>20</v>
      </c>
      <c r="D18" s="2">
        <v>82546</v>
      </c>
      <c r="E18" s="6">
        <v>45673</v>
      </c>
    </row>
    <row r="19" spans="2:5" x14ac:dyDescent="0.25">
      <c r="B19" s="2" t="s">
        <v>28</v>
      </c>
      <c r="C19" s="2" t="s">
        <v>21</v>
      </c>
      <c r="D19" s="2">
        <v>77846</v>
      </c>
      <c r="E19" s="6">
        <v>45674</v>
      </c>
    </row>
    <row r="20" spans="2:5" x14ac:dyDescent="0.25">
      <c r="B20" s="2" t="s">
        <v>29</v>
      </c>
      <c r="C20" s="2" t="s">
        <v>22</v>
      </c>
      <c r="D20" s="2">
        <v>52011</v>
      </c>
      <c r="E20" s="6">
        <v>45675</v>
      </c>
    </row>
    <row r="21" spans="2:5" x14ac:dyDescent="0.25">
      <c r="B21" s="2" t="s">
        <v>30</v>
      </c>
      <c r="C21" s="2" t="s">
        <v>17</v>
      </c>
      <c r="D21" s="2">
        <v>49416</v>
      </c>
      <c r="E21" s="6">
        <v>45676</v>
      </c>
    </row>
    <row r="22" spans="2:5" x14ac:dyDescent="0.25">
      <c r="B22" s="2" t="s">
        <v>31</v>
      </c>
      <c r="C22" s="2" t="s">
        <v>18</v>
      </c>
      <c r="D22" s="2">
        <v>21955</v>
      </c>
      <c r="E22" s="6">
        <v>45677</v>
      </c>
    </row>
  </sheetData>
  <dataValidations count="1">
    <dataValidation type="list" allowBlank="1" showInputMessage="1" showErrorMessage="1" sqref="I5" xr:uid="{260C0378-733D-48DF-B011-0D0A82F43E00}">
      <formula1>$B$3:$B$22</formula1>
    </dataValidation>
  </dataValidation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25E7CB0-4CE2-4795-876C-EC1F078A24B0}">
  <dimension ref="C2:O22"/>
  <sheetViews>
    <sheetView tabSelected="1" workbookViewId="0">
      <selection activeCell="K4" sqref="K4"/>
    </sheetView>
  </sheetViews>
  <sheetFormatPr defaultRowHeight="15" x14ac:dyDescent="0.25"/>
  <cols>
    <col min="3" max="3" width="12.140625" bestFit="1" customWidth="1"/>
    <col min="4" max="4" width="17.5703125" bestFit="1" customWidth="1"/>
    <col min="5" max="5" width="6.140625" bestFit="1" customWidth="1"/>
    <col min="6" max="6" width="10.42578125" bestFit="1" customWidth="1"/>
    <col min="8" max="8" width="17.5703125" bestFit="1" customWidth="1"/>
    <col min="9" max="9" width="7.42578125" bestFit="1" customWidth="1"/>
    <col min="11" max="11" width="13.7109375" bestFit="1" customWidth="1"/>
    <col min="12" max="12" width="7.42578125" customWidth="1"/>
    <col min="13" max="13" width="17" bestFit="1" customWidth="1"/>
    <col min="14" max="14" width="6.140625" bestFit="1" customWidth="1"/>
    <col min="15" max="15" width="14.7109375" bestFit="1" customWidth="1"/>
  </cols>
  <sheetData>
    <row r="2" spans="3:15" x14ac:dyDescent="0.25">
      <c r="C2" s="4" t="s">
        <v>0</v>
      </c>
      <c r="D2" s="4" t="s">
        <v>1</v>
      </c>
      <c r="E2" s="4" t="s">
        <v>2</v>
      </c>
      <c r="F2" s="4" t="s">
        <v>32</v>
      </c>
      <c r="M2" s="12" t="s">
        <v>37</v>
      </c>
      <c r="N2" s="12"/>
      <c r="O2" s="12"/>
    </row>
    <row r="3" spans="3:15" x14ac:dyDescent="0.25">
      <c r="C3" s="2" t="s">
        <v>3</v>
      </c>
      <c r="D3" s="2" t="s">
        <v>15</v>
      </c>
      <c r="E3" s="2">
        <v>19487</v>
      </c>
      <c r="F3" s="6">
        <v>45658</v>
      </c>
      <c r="H3" s="4" t="s">
        <v>35</v>
      </c>
      <c r="I3" s="4" t="s">
        <v>36</v>
      </c>
      <c r="K3" s="4" t="s">
        <v>38</v>
      </c>
      <c r="M3" s="4" t="s">
        <v>1</v>
      </c>
      <c r="N3" s="4" t="s">
        <v>2</v>
      </c>
      <c r="O3" s="4" t="s">
        <v>32</v>
      </c>
    </row>
    <row r="4" spans="3:15" x14ac:dyDescent="0.25">
      <c r="C4" s="2" t="s">
        <v>4</v>
      </c>
      <c r="D4" s="2" t="s">
        <v>16</v>
      </c>
      <c r="E4" s="2">
        <v>94711</v>
      </c>
      <c r="F4" s="6">
        <v>45659</v>
      </c>
      <c r="H4" s="2" t="str">
        <f>INDEX(D3:D22,11)</f>
        <v>Mr. Gayatri Hiwale</v>
      </c>
      <c r="I4" s="2">
        <f>MATCH(H4,D3:D22,0)</f>
        <v>11</v>
      </c>
      <c r="K4" s="2" t="s">
        <v>7</v>
      </c>
      <c r="M4" s="2" t="str">
        <f>INDEX(D3:D22,MATCH(K4,C3:C22,0))</f>
        <v>Mr. Rahul shele</v>
      </c>
      <c r="N4" s="2">
        <f>INDEX(E3:E22,MATCH(K4,C3:C21,0))</f>
        <v>84120</v>
      </c>
      <c r="O4" s="8">
        <f>INDEX(F3:F22,MATCH(K4,C3:C22,0))</f>
        <v>45662</v>
      </c>
    </row>
    <row r="5" spans="3:15" x14ac:dyDescent="0.25">
      <c r="C5" s="2" t="s">
        <v>5</v>
      </c>
      <c r="D5" s="2" t="s">
        <v>17</v>
      </c>
      <c r="E5" s="2">
        <v>63762</v>
      </c>
      <c r="F5" s="6">
        <v>45660</v>
      </c>
    </row>
    <row r="6" spans="3:15" x14ac:dyDescent="0.25">
      <c r="C6" s="2" t="s">
        <v>6</v>
      </c>
      <c r="D6" s="2" t="s">
        <v>15</v>
      </c>
      <c r="E6" s="2">
        <v>43654</v>
      </c>
      <c r="F6" s="6">
        <v>45661</v>
      </c>
    </row>
    <row r="7" spans="3:15" x14ac:dyDescent="0.25">
      <c r="C7" s="2" t="s">
        <v>7</v>
      </c>
      <c r="D7" s="2" t="s">
        <v>16</v>
      </c>
      <c r="E7" s="2">
        <v>84120</v>
      </c>
      <c r="F7" s="6">
        <v>45662</v>
      </c>
    </row>
    <row r="8" spans="3:15" x14ac:dyDescent="0.25">
      <c r="C8" s="2" t="s">
        <v>8</v>
      </c>
      <c r="D8" s="2" t="s">
        <v>17</v>
      </c>
      <c r="E8" s="2">
        <v>52109</v>
      </c>
      <c r="F8" s="6">
        <v>45663</v>
      </c>
    </row>
    <row r="9" spans="3:15" x14ac:dyDescent="0.25">
      <c r="C9" s="2" t="s">
        <v>9</v>
      </c>
      <c r="D9" s="2" t="s">
        <v>18</v>
      </c>
      <c r="E9" s="2">
        <v>67215</v>
      </c>
      <c r="F9" s="6">
        <v>45664</v>
      </c>
    </row>
    <row r="10" spans="3:15" x14ac:dyDescent="0.25">
      <c r="C10" s="2" t="s">
        <v>10</v>
      </c>
      <c r="D10" s="2" t="s">
        <v>19</v>
      </c>
      <c r="E10" s="2">
        <v>26841</v>
      </c>
      <c r="F10" s="6">
        <v>45665</v>
      </c>
    </row>
    <row r="11" spans="3:15" x14ac:dyDescent="0.25">
      <c r="C11" s="2" t="s">
        <v>11</v>
      </c>
      <c r="D11" s="2" t="s">
        <v>20</v>
      </c>
      <c r="E11" s="2">
        <v>36739</v>
      </c>
      <c r="F11" s="6">
        <v>45666</v>
      </c>
    </row>
    <row r="12" spans="3:15" x14ac:dyDescent="0.25">
      <c r="C12" s="2" t="s">
        <v>12</v>
      </c>
      <c r="D12" s="2" t="s">
        <v>21</v>
      </c>
      <c r="E12" s="2">
        <v>76242</v>
      </c>
      <c r="F12" s="6">
        <v>45667</v>
      </c>
    </row>
    <row r="13" spans="3:15" x14ac:dyDescent="0.25">
      <c r="C13" s="2" t="s">
        <v>13</v>
      </c>
      <c r="D13" s="2" t="s">
        <v>22</v>
      </c>
      <c r="E13" s="2">
        <v>24558</v>
      </c>
      <c r="F13" s="6">
        <v>45668</v>
      </c>
    </row>
    <row r="14" spans="3:15" x14ac:dyDescent="0.25">
      <c r="C14" s="2" t="s">
        <v>14</v>
      </c>
      <c r="D14" s="2" t="s">
        <v>23</v>
      </c>
      <c r="E14" s="2">
        <v>30398</v>
      </c>
      <c r="F14" s="6">
        <v>45669</v>
      </c>
    </row>
    <row r="15" spans="3:15" x14ac:dyDescent="0.25">
      <c r="C15" s="2" t="s">
        <v>24</v>
      </c>
      <c r="D15" s="2" t="s">
        <v>17</v>
      </c>
      <c r="E15" s="2">
        <v>75421</v>
      </c>
      <c r="F15" s="6">
        <v>45670</v>
      </c>
    </row>
    <row r="16" spans="3:15" x14ac:dyDescent="0.25">
      <c r="C16" s="2" t="s">
        <v>25</v>
      </c>
      <c r="D16" s="2" t="s">
        <v>18</v>
      </c>
      <c r="E16" s="2">
        <v>25960</v>
      </c>
      <c r="F16" s="6">
        <v>45671</v>
      </c>
    </row>
    <row r="17" spans="3:6" x14ac:dyDescent="0.25">
      <c r="C17" s="2" t="s">
        <v>26</v>
      </c>
      <c r="D17" s="2" t="s">
        <v>19</v>
      </c>
      <c r="E17" s="2">
        <v>24907</v>
      </c>
      <c r="F17" s="6">
        <v>45672</v>
      </c>
    </row>
    <row r="18" spans="3:6" x14ac:dyDescent="0.25">
      <c r="C18" s="2" t="s">
        <v>27</v>
      </c>
      <c r="D18" s="2" t="s">
        <v>20</v>
      </c>
      <c r="E18" s="2">
        <v>82546</v>
      </c>
      <c r="F18" s="6">
        <v>45673</v>
      </c>
    </row>
    <row r="19" spans="3:6" x14ac:dyDescent="0.25">
      <c r="C19" s="2" t="s">
        <v>28</v>
      </c>
      <c r="D19" s="2" t="s">
        <v>21</v>
      </c>
      <c r="E19" s="2">
        <v>77846</v>
      </c>
      <c r="F19" s="6">
        <v>45674</v>
      </c>
    </row>
    <row r="20" spans="3:6" x14ac:dyDescent="0.25">
      <c r="C20" s="2" t="s">
        <v>29</v>
      </c>
      <c r="D20" s="2" t="s">
        <v>22</v>
      </c>
      <c r="E20" s="2">
        <v>52011</v>
      </c>
      <c r="F20" s="6">
        <v>45675</v>
      </c>
    </row>
    <row r="21" spans="3:6" x14ac:dyDescent="0.25">
      <c r="C21" s="2" t="s">
        <v>30</v>
      </c>
      <c r="D21" s="2" t="s">
        <v>17</v>
      </c>
      <c r="E21" s="2">
        <v>49416</v>
      </c>
      <c r="F21" s="6">
        <v>45676</v>
      </c>
    </row>
    <row r="22" spans="3:6" x14ac:dyDescent="0.25">
      <c r="C22" s="2" t="s">
        <v>31</v>
      </c>
      <c r="D22" s="2" t="s">
        <v>18</v>
      </c>
      <c r="E22" s="2">
        <v>21955</v>
      </c>
      <c r="F22" s="6">
        <v>45677</v>
      </c>
    </row>
  </sheetData>
  <mergeCells count="1">
    <mergeCell ref="M2:O2"/>
  </mergeCells>
  <dataValidations count="1">
    <dataValidation type="list" allowBlank="1" showInputMessage="1" showErrorMessage="1" sqref="K4" xr:uid="{D9BB68BD-4D2F-46D2-81E3-DACCC0B996F8}">
      <formula1>$C$3:$C$22</formula1>
    </dataValidation>
  </dataValidation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Vlookup</vt:lpstr>
      <vt:lpstr>Hlookup</vt:lpstr>
      <vt:lpstr>Lookup</vt:lpstr>
      <vt:lpstr>Xlookup</vt:lpstr>
      <vt:lpstr>INDEX+MATCH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Prajwal Gavali</dc:creator>
  <cp:lastModifiedBy>Prajwal Gavali</cp:lastModifiedBy>
  <dcterms:created xsi:type="dcterms:W3CDTF">2015-06-05T18:17:20Z</dcterms:created>
  <dcterms:modified xsi:type="dcterms:W3CDTF">2026-02-27T10:52:33Z</dcterms:modified>
</cp:coreProperties>
</file>