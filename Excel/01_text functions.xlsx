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rajw\OneDrive\Desktop\Excel\"/>
    </mc:Choice>
  </mc:AlternateContent>
  <xr:revisionPtr revIDLastSave="0" documentId="13_ncr:1_{3A1D08E1-4EF5-46F5-8F3E-898E7CB2FF3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XT" sheetId="1" r:id="rId1"/>
    <sheet name="CONDITIONALS" sheetId="3" r:id="rId2"/>
  </sheets>
  <definedNames>
    <definedName name="ExternalData_1" localSheetId="1" hidden="1">CONDITIONALS!$D$2:$K$4655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 a="1"/>
  <c r="C17" i="1" s="1"/>
  <c r="F17" i="1" s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P1000" i="3"/>
  <c r="P1001" i="3"/>
  <c r="P1002" i="3"/>
  <c r="P1003" i="3"/>
  <c r="P1004" i="3"/>
  <c r="P1005" i="3"/>
  <c r="P1006" i="3"/>
  <c r="P1007" i="3"/>
  <c r="P1008" i="3"/>
  <c r="P1009" i="3"/>
  <c r="P1010" i="3"/>
  <c r="P1011" i="3"/>
  <c r="P1012" i="3"/>
  <c r="P1013" i="3"/>
  <c r="P1014" i="3"/>
  <c r="P1015" i="3"/>
  <c r="P1016" i="3"/>
  <c r="P1017" i="3"/>
  <c r="P1018" i="3"/>
  <c r="P1019" i="3"/>
  <c r="P1020" i="3"/>
  <c r="P1021" i="3"/>
  <c r="P1022" i="3"/>
  <c r="P1023" i="3"/>
  <c r="P1024" i="3"/>
  <c r="P1025" i="3"/>
  <c r="P1026" i="3"/>
  <c r="P1027" i="3"/>
  <c r="P1028" i="3"/>
  <c r="P1029" i="3"/>
  <c r="P1030" i="3"/>
  <c r="P1031" i="3"/>
  <c r="P1032" i="3"/>
  <c r="P1033" i="3"/>
  <c r="P1034" i="3"/>
  <c r="P1035" i="3"/>
  <c r="P1036" i="3"/>
  <c r="P1037" i="3"/>
  <c r="P1038" i="3"/>
  <c r="P1039" i="3"/>
  <c r="P1040" i="3"/>
  <c r="P1041" i="3"/>
  <c r="P1042" i="3"/>
  <c r="P1043" i="3"/>
  <c r="P1044" i="3"/>
  <c r="P1045" i="3"/>
  <c r="P1046" i="3"/>
  <c r="P1047" i="3"/>
  <c r="P1048" i="3"/>
  <c r="P1049" i="3"/>
  <c r="P1050" i="3"/>
  <c r="P1051" i="3"/>
  <c r="P1052" i="3"/>
  <c r="P1053" i="3"/>
  <c r="P1054" i="3"/>
  <c r="P1055" i="3"/>
  <c r="P1056" i="3"/>
  <c r="P1057" i="3"/>
  <c r="P1058" i="3"/>
  <c r="P1059" i="3"/>
  <c r="P1060" i="3"/>
  <c r="P1061" i="3"/>
  <c r="P1062" i="3"/>
  <c r="P1063" i="3"/>
  <c r="P1064" i="3"/>
  <c r="P1065" i="3"/>
  <c r="P1066" i="3"/>
  <c r="P1067" i="3"/>
  <c r="P1068" i="3"/>
  <c r="P1069" i="3"/>
  <c r="P1070" i="3"/>
  <c r="P1071" i="3"/>
  <c r="P1072" i="3"/>
  <c r="P1073" i="3"/>
  <c r="P1074" i="3"/>
  <c r="P1075" i="3"/>
  <c r="P1076" i="3"/>
  <c r="P1077" i="3"/>
  <c r="P1078" i="3"/>
  <c r="P1079" i="3"/>
  <c r="P1080" i="3"/>
  <c r="P1081" i="3"/>
  <c r="P1082" i="3"/>
  <c r="P1083" i="3"/>
  <c r="P1084" i="3"/>
  <c r="P1085" i="3"/>
  <c r="P1086" i="3"/>
  <c r="P1087" i="3"/>
  <c r="P1088" i="3"/>
  <c r="P1089" i="3"/>
  <c r="P1090" i="3"/>
  <c r="P1091" i="3"/>
  <c r="P1092" i="3"/>
  <c r="P1093" i="3"/>
  <c r="P1094" i="3"/>
  <c r="P1095" i="3"/>
  <c r="P1096" i="3"/>
  <c r="P1097" i="3"/>
  <c r="P1098" i="3"/>
  <c r="P1099" i="3"/>
  <c r="P1100" i="3"/>
  <c r="P1101" i="3"/>
  <c r="P1102" i="3"/>
  <c r="P1103" i="3"/>
  <c r="P1104" i="3"/>
  <c r="P1105" i="3"/>
  <c r="P1106" i="3"/>
  <c r="P1107" i="3"/>
  <c r="P1108" i="3"/>
  <c r="P1109" i="3"/>
  <c r="P1110" i="3"/>
  <c r="P1111" i="3"/>
  <c r="P1112" i="3"/>
  <c r="P1113" i="3"/>
  <c r="P1114" i="3"/>
  <c r="P1115" i="3"/>
  <c r="P1116" i="3"/>
  <c r="P1117" i="3"/>
  <c r="P1118" i="3"/>
  <c r="P1119" i="3"/>
  <c r="P1120" i="3"/>
  <c r="P1121" i="3"/>
  <c r="P1122" i="3"/>
  <c r="P1123" i="3"/>
  <c r="P1124" i="3"/>
  <c r="P1125" i="3"/>
  <c r="P1126" i="3"/>
  <c r="P1127" i="3"/>
  <c r="P1128" i="3"/>
  <c r="P1129" i="3"/>
  <c r="P1130" i="3"/>
  <c r="P1131" i="3"/>
  <c r="P1132" i="3"/>
  <c r="P1133" i="3"/>
  <c r="P1134" i="3"/>
  <c r="P1135" i="3"/>
  <c r="P1136" i="3"/>
  <c r="P1137" i="3"/>
  <c r="P1138" i="3"/>
  <c r="P1139" i="3"/>
  <c r="P1140" i="3"/>
  <c r="P1141" i="3"/>
  <c r="P1142" i="3"/>
  <c r="P1143" i="3"/>
  <c r="P1144" i="3"/>
  <c r="P1145" i="3"/>
  <c r="P1146" i="3"/>
  <c r="P1147" i="3"/>
  <c r="P1148" i="3"/>
  <c r="P1149" i="3"/>
  <c r="P1150" i="3"/>
  <c r="P1151" i="3"/>
  <c r="P1152" i="3"/>
  <c r="P1153" i="3"/>
  <c r="P1154" i="3"/>
  <c r="P1155" i="3"/>
  <c r="P1156" i="3"/>
  <c r="P1157" i="3"/>
  <c r="P1158" i="3"/>
  <c r="P1159" i="3"/>
  <c r="P1160" i="3"/>
  <c r="P1161" i="3"/>
  <c r="P1162" i="3"/>
  <c r="P1163" i="3"/>
  <c r="P1164" i="3"/>
  <c r="P1165" i="3"/>
  <c r="P1166" i="3"/>
  <c r="P1167" i="3"/>
  <c r="P1168" i="3"/>
  <c r="P1169" i="3"/>
  <c r="P1170" i="3"/>
  <c r="P1171" i="3"/>
  <c r="P1172" i="3"/>
  <c r="P1173" i="3"/>
  <c r="P1174" i="3"/>
  <c r="P1175" i="3"/>
  <c r="P1176" i="3"/>
  <c r="P1177" i="3"/>
  <c r="P1178" i="3"/>
  <c r="P1179" i="3"/>
  <c r="P1180" i="3"/>
  <c r="P1181" i="3"/>
  <c r="P1182" i="3"/>
  <c r="P1183" i="3"/>
  <c r="P1184" i="3"/>
  <c r="P1185" i="3"/>
  <c r="P1186" i="3"/>
  <c r="P1187" i="3"/>
  <c r="P1188" i="3"/>
  <c r="P1189" i="3"/>
  <c r="P1190" i="3"/>
  <c r="P1191" i="3"/>
  <c r="P1192" i="3"/>
  <c r="P1193" i="3"/>
  <c r="P1194" i="3"/>
  <c r="P1195" i="3"/>
  <c r="P1196" i="3"/>
  <c r="P1197" i="3"/>
  <c r="P1198" i="3"/>
  <c r="P1199" i="3"/>
  <c r="P1200" i="3"/>
  <c r="P1201" i="3"/>
  <c r="P1202" i="3"/>
  <c r="P1203" i="3"/>
  <c r="P1204" i="3"/>
  <c r="P1205" i="3"/>
  <c r="P1206" i="3"/>
  <c r="P1207" i="3"/>
  <c r="P1208" i="3"/>
  <c r="P1209" i="3"/>
  <c r="P1210" i="3"/>
  <c r="P1211" i="3"/>
  <c r="P1212" i="3"/>
  <c r="P1213" i="3"/>
  <c r="P1214" i="3"/>
  <c r="P1215" i="3"/>
  <c r="P1216" i="3"/>
  <c r="P1217" i="3"/>
  <c r="P1218" i="3"/>
  <c r="P1219" i="3"/>
  <c r="P1220" i="3"/>
  <c r="P1221" i="3"/>
  <c r="P1222" i="3"/>
  <c r="P1223" i="3"/>
  <c r="P1224" i="3"/>
  <c r="P1225" i="3"/>
  <c r="P1226" i="3"/>
  <c r="P1227" i="3"/>
  <c r="P1228" i="3"/>
  <c r="P1229" i="3"/>
  <c r="P1230" i="3"/>
  <c r="P1231" i="3"/>
  <c r="P1232" i="3"/>
  <c r="P1233" i="3"/>
  <c r="P1234" i="3"/>
  <c r="P1235" i="3"/>
  <c r="P1236" i="3"/>
  <c r="P1237" i="3"/>
  <c r="P1238" i="3"/>
  <c r="P1239" i="3"/>
  <c r="P1240" i="3"/>
  <c r="P1241" i="3"/>
  <c r="P1242" i="3"/>
  <c r="P1243" i="3"/>
  <c r="P1244" i="3"/>
  <c r="P1245" i="3"/>
  <c r="P1246" i="3"/>
  <c r="P1247" i="3"/>
  <c r="P1248" i="3"/>
  <c r="P1249" i="3"/>
  <c r="P1250" i="3"/>
  <c r="P1251" i="3"/>
  <c r="P1252" i="3"/>
  <c r="P1253" i="3"/>
  <c r="P1254" i="3"/>
  <c r="P1255" i="3"/>
  <c r="P1256" i="3"/>
  <c r="P1257" i="3"/>
  <c r="P1258" i="3"/>
  <c r="P1259" i="3"/>
  <c r="P1260" i="3"/>
  <c r="P1261" i="3"/>
  <c r="P1262" i="3"/>
  <c r="P1263" i="3"/>
  <c r="P1264" i="3"/>
  <c r="P1265" i="3"/>
  <c r="P1266" i="3"/>
  <c r="P1267" i="3"/>
  <c r="P1268" i="3"/>
  <c r="P1269" i="3"/>
  <c r="P1270" i="3"/>
  <c r="P1271" i="3"/>
  <c r="P1272" i="3"/>
  <c r="P1273" i="3"/>
  <c r="P1274" i="3"/>
  <c r="P1275" i="3"/>
  <c r="P1276" i="3"/>
  <c r="P1277" i="3"/>
  <c r="P1278" i="3"/>
  <c r="P1279" i="3"/>
  <c r="P1280" i="3"/>
  <c r="P1281" i="3"/>
  <c r="P1282" i="3"/>
  <c r="P1283" i="3"/>
  <c r="P1284" i="3"/>
  <c r="P1285" i="3"/>
  <c r="P1286" i="3"/>
  <c r="P1287" i="3"/>
  <c r="P1288" i="3"/>
  <c r="P1289" i="3"/>
  <c r="P1290" i="3"/>
  <c r="P1291" i="3"/>
  <c r="P1292" i="3"/>
  <c r="P1293" i="3"/>
  <c r="P1294" i="3"/>
  <c r="P1295" i="3"/>
  <c r="P1296" i="3"/>
  <c r="P1297" i="3"/>
  <c r="P1298" i="3"/>
  <c r="P1299" i="3"/>
  <c r="P1300" i="3"/>
  <c r="P1301" i="3"/>
  <c r="P1302" i="3"/>
  <c r="P1303" i="3"/>
  <c r="P1304" i="3"/>
  <c r="P1305" i="3"/>
  <c r="P1306" i="3"/>
  <c r="P1307" i="3"/>
  <c r="P1308" i="3"/>
  <c r="P1309" i="3"/>
  <c r="P1310" i="3"/>
  <c r="P1311" i="3"/>
  <c r="P1312" i="3"/>
  <c r="P1313" i="3"/>
  <c r="P1314" i="3"/>
  <c r="P1315" i="3"/>
  <c r="P1316" i="3"/>
  <c r="P1317" i="3"/>
  <c r="P1318" i="3"/>
  <c r="P1319" i="3"/>
  <c r="P1320" i="3"/>
  <c r="P1321" i="3"/>
  <c r="P1322" i="3"/>
  <c r="P1323" i="3"/>
  <c r="P1324" i="3"/>
  <c r="P1325" i="3"/>
  <c r="P1326" i="3"/>
  <c r="P1327" i="3"/>
  <c r="P1328" i="3"/>
  <c r="P1329" i="3"/>
  <c r="P1330" i="3"/>
  <c r="P1331" i="3"/>
  <c r="P1332" i="3"/>
  <c r="P1333" i="3"/>
  <c r="P1334" i="3"/>
  <c r="P1335" i="3"/>
  <c r="P1336" i="3"/>
  <c r="P1337" i="3"/>
  <c r="P1338" i="3"/>
  <c r="P1339" i="3"/>
  <c r="P1340" i="3"/>
  <c r="P1341" i="3"/>
  <c r="P1342" i="3"/>
  <c r="P1343" i="3"/>
  <c r="P1344" i="3"/>
  <c r="P1345" i="3"/>
  <c r="P1346" i="3"/>
  <c r="P1347" i="3"/>
  <c r="P1348" i="3"/>
  <c r="P1349" i="3"/>
  <c r="P1350" i="3"/>
  <c r="P1351" i="3"/>
  <c r="P1352" i="3"/>
  <c r="P1353" i="3"/>
  <c r="P1354" i="3"/>
  <c r="P1355" i="3"/>
  <c r="P1356" i="3"/>
  <c r="P1357" i="3"/>
  <c r="P1358" i="3"/>
  <c r="P1359" i="3"/>
  <c r="P1360" i="3"/>
  <c r="P1361" i="3"/>
  <c r="P1362" i="3"/>
  <c r="P1363" i="3"/>
  <c r="P1364" i="3"/>
  <c r="P1365" i="3"/>
  <c r="P1366" i="3"/>
  <c r="P1367" i="3"/>
  <c r="P1368" i="3"/>
  <c r="P1369" i="3"/>
  <c r="P1370" i="3"/>
  <c r="P1371" i="3"/>
  <c r="P1372" i="3"/>
  <c r="P1373" i="3"/>
  <c r="P1374" i="3"/>
  <c r="P1375" i="3"/>
  <c r="P1376" i="3"/>
  <c r="P1377" i="3"/>
  <c r="P1378" i="3"/>
  <c r="P1379" i="3"/>
  <c r="P1380" i="3"/>
  <c r="P1381" i="3"/>
  <c r="P1382" i="3"/>
  <c r="P1383" i="3"/>
  <c r="P1384" i="3"/>
  <c r="P1385" i="3"/>
  <c r="P1386" i="3"/>
  <c r="P1387" i="3"/>
  <c r="P1388" i="3"/>
  <c r="P1389" i="3"/>
  <c r="P1390" i="3"/>
  <c r="P1391" i="3"/>
  <c r="P1392" i="3"/>
  <c r="P1393" i="3"/>
  <c r="P1394" i="3"/>
  <c r="P1395" i="3"/>
  <c r="P1396" i="3"/>
  <c r="P1397" i="3"/>
  <c r="P1398" i="3"/>
  <c r="P1399" i="3"/>
  <c r="P1400" i="3"/>
  <c r="P1401" i="3"/>
  <c r="P1402" i="3"/>
  <c r="P1403" i="3"/>
  <c r="P1404" i="3"/>
  <c r="P1405" i="3"/>
  <c r="P1406" i="3"/>
  <c r="P1407" i="3"/>
  <c r="P1408" i="3"/>
  <c r="P1409" i="3"/>
  <c r="P1410" i="3"/>
  <c r="P1411" i="3"/>
  <c r="P1412" i="3"/>
  <c r="P1413" i="3"/>
  <c r="P1414" i="3"/>
  <c r="P1415" i="3"/>
  <c r="P1416" i="3"/>
  <c r="P1417" i="3"/>
  <c r="P1418" i="3"/>
  <c r="P1419" i="3"/>
  <c r="P1420" i="3"/>
  <c r="P1421" i="3"/>
  <c r="P1422" i="3"/>
  <c r="P1423" i="3"/>
  <c r="P1424" i="3"/>
  <c r="P1425" i="3"/>
  <c r="P1426" i="3"/>
  <c r="P1427" i="3"/>
  <c r="P1428" i="3"/>
  <c r="P1429" i="3"/>
  <c r="P1430" i="3"/>
  <c r="P1431" i="3"/>
  <c r="P1432" i="3"/>
  <c r="P1433" i="3"/>
  <c r="P1434" i="3"/>
  <c r="P1435" i="3"/>
  <c r="P1436" i="3"/>
  <c r="P1437" i="3"/>
  <c r="P1438" i="3"/>
  <c r="P1439" i="3"/>
  <c r="P1440" i="3"/>
  <c r="P1441" i="3"/>
  <c r="P1442" i="3"/>
  <c r="P1443" i="3"/>
  <c r="P1444" i="3"/>
  <c r="P1445" i="3"/>
  <c r="P1446" i="3"/>
  <c r="P1447" i="3"/>
  <c r="P1448" i="3"/>
  <c r="P1449" i="3"/>
  <c r="P1450" i="3"/>
  <c r="P1451" i="3"/>
  <c r="P1452" i="3"/>
  <c r="P1453" i="3"/>
  <c r="P1454" i="3"/>
  <c r="P1455" i="3"/>
  <c r="P1456" i="3"/>
  <c r="P1457" i="3"/>
  <c r="P1458" i="3"/>
  <c r="P1459" i="3"/>
  <c r="P1460" i="3"/>
  <c r="P1461" i="3"/>
  <c r="P1462" i="3"/>
  <c r="P1463" i="3"/>
  <c r="P1464" i="3"/>
  <c r="P1465" i="3"/>
  <c r="P1466" i="3"/>
  <c r="P1467" i="3"/>
  <c r="P1468" i="3"/>
  <c r="P1469" i="3"/>
  <c r="P1470" i="3"/>
  <c r="P1471" i="3"/>
  <c r="P1472" i="3"/>
  <c r="P1473" i="3"/>
  <c r="P1474" i="3"/>
  <c r="P1475" i="3"/>
  <c r="P1476" i="3"/>
  <c r="P1477" i="3"/>
  <c r="P1478" i="3"/>
  <c r="P1479" i="3"/>
  <c r="P1480" i="3"/>
  <c r="P1481" i="3"/>
  <c r="P1482" i="3"/>
  <c r="P1483" i="3"/>
  <c r="P1484" i="3"/>
  <c r="P1485" i="3"/>
  <c r="P1486" i="3"/>
  <c r="P1487" i="3"/>
  <c r="P1488" i="3"/>
  <c r="P1489" i="3"/>
  <c r="P1490" i="3"/>
  <c r="P1491" i="3"/>
  <c r="P1492" i="3"/>
  <c r="P1493" i="3"/>
  <c r="P1494" i="3"/>
  <c r="P1495" i="3"/>
  <c r="P1496" i="3"/>
  <c r="P1497" i="3"/>
  <c r="P1498" i="3"/>
  <c r="P1499" i="3"/>
  <c r="P1500" i="3"/>
  <c r="P1501" i="3"/>
  <c r="P1502" i="3"/>
  <c r="P1503" i="3"/>
  <c r="P1504" i="3"/>
  <c r="P1505" i="3"/>
  <c r="P1506" i="3"/>
  <c r="P1507" i="3"/>
  <c r="P1508" i="3"/>
  <c r="P1509" i="3"/>
  <c r="P1510" i="3"/>
  <c r="P1511" i="3"/>
  <c r="P1512" i="3"/>
  <c r="P1513" i="3"/>
  <c r="P1514" i="3"/>
  <c r="P1515" i="3"/>
  <c r="P1516" i="3"/>
  <c r="P1517" i="3"/>
  <c r="P1518" i="3"/>
  <c r="P1519" i="3"/>
  <c r="P1520" i="3"/>
  <c r="P1521" i="3"/>
  <c r="P1522" i="3"/>
  <c r="P1523" i="3"/>
  <c r="P1524" i="3"/>
  <c r="P1525" i="3"/>
  <c r="P1526" i="3"/>
  <c r="P1527" i="3"/>
  <c r="P1528" i="3"/>
  <c r="P1529" i="3"/>
  <c r="P1530" i="3"/>
  <c r="P1531" i="3"/>
  <c r="P1532" i="3"/>
  <c r="P1533" i="3"/>
  <c r="P1534" i="3"/>
  <c r="P1535" i="3"/>
  <c r="P1536" i="3"/>
  <c r="P1537" i="3"/>
  <c r="P1538" i="3"/>
  <c r="P1539" i="3"/>
  <c r="P1540" i="3"/>
  <c r="P1541" i="3"/>
  <c r="P1542" i="3"/>
  <c r="P1543" i="3"/>
  <c r="P1544" i="3"/>
  <c r="P1545" i="3"/>
  <c r="P1546" i="3"/>
  <c r="P1547" i="3"/>
  <c r="P1548" i="3"/>
  <c r="P1549" i="3"/>
  <c r="P1550" i="3"/>
  <c r="P1551" i="3"/>
  <c r="P1552" i="3"/>
  <c r="P1553" i="3"/>
  <c r="P1554" i="3"/>
  <c r="P1555" i="3"/>
  <c r="P1556" i="3"/>
  <c r="P1557" i="3"/>
  <c r="P1558" i="3"/>
  <c r="P1559" i="3"/>
  <c r="P1560" i="3"/>
  <c r="P1561" i="3"/>
  <c r="P1562" i="3"/>
  <c r="P1563" i="3"/>
  <c r="P1564" i="3"/>
  <c r="P1565" i="3"/>
  <c r="P1566" i="3"/>
  <c r="P1567" i="3"/>
  <c r="P1568" i="3"/>
  <c r="P1569" i="3"/>
  <c r="P1570" i="3"/>
  <c r="P1571" i="3"/>
  <c r="P1572" i="3"/>
  <c r="P1573" i="3"/>
  <c r="P1574" i="3"/>
  <c r="P1575" i="3"/>
  <c r="P1576" i="3"/>
  <c r="P1577" i="3"/>
  <c r="P1578" i="3"/>
  <c r="P1579" i="3"/>
  <c r="P1580" i="3"/>
  <c r="P1581" i="3"/>
  <c r="P1582" i="3"/>
  <c r="P1583" i="3"/>
  <c r="P1584" i="3"/>
  <c r="P1585" i="3"/>
  <c r="P1586" i="3"/>
  <c r="P1587" i="3"/>
  <c r="P1588" i="3"/>
  <c r="P1589" i="3"/>
  <c r="P1590" i="3"/>
  <c r="P1591" i="3"/>
  <c r="P1592" i="3"/>
  <c r="P1593" i="3"/>
  <c r="P1594" i="3"/>
  <c r="P1595" i="3"/>
  <c r="P1596" i="3"/>
  <c r="P1597" i="3"/>
  <c r="P1598" i="3"/>
  <c r="P1599" i="3"/>
  <c r="P1600" i="3"/>
  <c r="P1601" i="3"/>
  <c r="P1602" i="3"/>
  <c r="P1603" i="3"/>
  <c r="P1604" i="3"/>
  <c r="P1605" i="3"/>
  <c r="P1606" i="3"/>
  <c r="P1607" i="3"/>
  <c r="P1608" i="3"/>
  <c r="P1609" i="3"/>
  <c r="P1610" i="3"/>
  <c r="P1611" i="3"/>
  <c r="P1612" i="3"/>
  <c r="P1613" i="3"/>
  <c r="P1614" i="3"/>
  <c r="P1615" i="3"/>
  <c r="P1616" i="3"/>
  <c r="P1617" i="3"/>
  <c r="P1618" i="3"/>
  <c r="P1619" i="3"/>
  <c r="P1620" i="3"/>
  <c r="P1621" i="3"/>
  <c r="P1622" i="3"/>
  <c r="P1623" i="3"/>
  <c r="P1624" i="3"/>
  <c r="P1625" i="3"/>
  <c r="P1626" i="3"/>
  <c r="P1627" i="3"/>
  <c r="P1628" i="3"/>
  <c r="P1629" i="3"/>
  <c r="P1630" i="3"/>
  <c r="P1631" i="3"/>
  <c r="P1632" i="3"/>
  <c r="P1633" i="3"/>
  <c r="P1634" i="3"/>
  <c r="P1635" i="3"/>
  <c r="P1636" i="3"/>
  <c r="P1637" i="3"/>
  <c r="P1638" i="3"/>
  <c r="P1639" i="3"/>
  <c r="P1640" i="3"/>
  <c r="P1641" i="3"/>
  <c r="P1642" i="3"/>
  <c r="P1643" i="3"/>
  <c r="P1644" i="3"/>
  <c r="P1645" i="3"/>
  <c r="P1646" i="3"/>
  <c r="P1647" i="3"/>
  <c r="P1648" i="3"/>
  <c r="P1649" i="3"/>
  <c r="P1650" i="3"/>
  <c r="P1651" i="3"/>
  <c r="P1652" i="3"/>
  <c r="P1653" i="3"/>
  <c r="P1654" i="3"/>
  <c r="P1655" i="3"/>
  <c r="P1656" i="3"/>
  <c r="P1657" i="3"/>
  <c r="P1658" i="3"/>
  <c r="P1659" i="3"/>
  <c r="P1660" i="3"/>
  <c r="P1661" i="3"/>
  <c r="P1662" i="3"/>
  <c r="P1663" i="3"/>
  <c r="P1664" i="3"/>
  <c r="P1665" i="3"/>
  <c r="P1666" i="3"/>
  <c r="P1667" i="3"/>
  <c r="P1668" i="3"/>
  <c r="P1669" i="3"/>
  <c r="P1670" i="3"/>
  <c r="P1671" i="3"/>
  <c r="P1672" i="3"/>
  <c r="P1673" i="3"/>
  <c r="P1674" i="3"/>
  <c r="P1675" i="3"/>
  <c r="P1676" i="3"/>
  <c r="P1677" i="3"/>
  <c r="P1678" i="3"/>
  <c r="P1679" i="3"/>
  <c r="P1680" i="3"/>
  <c r="P1681" i="3"/>
  <c r="P1682" i="3"/>
  <c r="P1683" i="3"/>
  <c r="P1684" i="3"/>
  <c r="P1685" i="3"/>
  <c r="P1686" i="3"/>
  <c r="P1687" i="3"/>
  <c r="P1688" i="3"/>
  <c r="P1689" i="3"/>
  <c r="P1690" i="3"/>
  <c r="P1691" i="3"/>
  <c r="P1692" i="3"/>
  <c r="P1693" i="3"/>
  <c r="P1694" i="3"/>
  <c r="P1695" i="3"/>
  <c r="P1696" i="3"/>
  <c r="P1697" i="3"/>
  <c r="P1698" i="3"/>
  <c r="P1699" i="3"/>
  <c r="P1700" i="3"/>
  <c r="P1701" i="3"/>
  <c r="P1702" i="3"/>
  <c r="P1703" i="3"/>
  <c r="P1704" i="3"/>
  <c r="P1705" i="3"/>
  <c r="P1706" i="3"/>
  <c r="P1707" i="3"/>
  <c r="P1708" i="3"/>
  <c r="P1709" i="3"/>
  <c r="P1710" i="3"/>
  <c r="P1711" i="3"/>
  <c r="P1712" i="3"/>
  <c r="P1713" i="3"/>
  <c r="P1714" i="3"/>
  <c r="P1715" i="3"/>
  <c r="P1716" i="3"/>
  <c r="P1717" i="3"/>
  <c r="P1718" i="3"/>
  <c r="P1719" i="3"/>
  <c r="P1720" i="3"/>
  <c r="P1721" i="3"/>
  <c r="P1722" i="3"/>
  <c r="P1723" i="3"/>
  <c r="P1724" i="3"/>
  <c r="P1725" i="3"/>
  <c r="P1726" i="3"/>
  <c r="P1727" i="3"/>
  <c r="P1728" i="3"/>
  <c r="P1729" i="3"/>
  <c r="P1730" i="3"/>
  <c r="P1731" i="3"/>
  <c r="P1732" i="3"/>
  <c r="P1733" i="3"/>
  <c r="P1734" i="3"/>
  <c r="P1735" i="3"/>
  <c r="P1736" i="3"/>
  <c r="P1737" i="3"/>
  <c r="P1738" i="3"/>
  <c r="P1739" i="3"/>
  <c r="P1740" i="3"/>
  <c r="P1741" i="3"/>
  <c r="P1742" i="3"/>
  <c r="P1743" i="3"/>
  <c r="P1744" i="3"/>
  <c r="P1745" i="3"/>
  <c r="P1746" i="3"/>
  <c r="P1747" i="3"/>
  <c r="P1748" i="3"/>
  <c r="P1749" i="3"/>
  <c r="P1750" i="3"/>
  <c r="P1751" i="3"/>
  <c r="P1752" i="3"/>
  <c r="P1753" i="3"/>
  <c r="P1754" i="3"/>
  <c r="P1755" i="3"/>
  <c r="P1756" i="3"/>
  <c r="P1757" i="3"/>
  <c r="P1758" i="3"/>
  <c r="P1759" i="3"/>
  <c r="P1760" i="3"/>
  <c r="P1761" i="3"/>
  <c r="P1762" i="3"/>
  <c r="P1763" i="3"/>
  <c r="P1764" i="3"/>
  <c r="P1765" i="3"/>
  <c r="P1766" i="3"/>
  <c r="P1767" i="3"/>
  <c r="P1768" i="3"/>
  <c r="P1769" i="3"/>
  <c r="P1770" i="3"/>
  <c r="P1771" i="3"/>
  <c r="P1772" i="3"/>
  <c r="P1773" i="3"/>
  <c r="P1774" i="3"/>
  <c r="P1775" i="3"/>
  <c r="P1776" i="3"/>
  <c r="P1777" i="3"/>
  <c r="P1778" i="3"/>
  <c r="P1779" i="3"/>
  <c r="P1780" i="3"/>
  <c r="P1781" i="3"/>
  <c r="P1782" i="3"/>
  <c r="P1783" i="3"/>
  <c r="P1784" i="3"/>
  <c r="P1785" i="3"/>
  <c r="P1786" i="3"/>
  <c r="P1787" i="3"/>
  <c r="P1788" i="3"/>
  <c r="P1789" i="3"/>
  <c r="P1790" i="3"/>
  <c r="P1791" i="3"/>
  <c r="P1792" i="3"/>
  <c r="P1793" i="3"/>
  <c r="P1794" i="3"/>
  <c r="P1795" i="3"/>
  <c r="P1796" i="3"/>
  <c r="P1797" i="3"/>
  <c r="P1798" i="3"/>
  <c r="P1799" i="3"/>
  <c r="P1800" i="3"/>
  <c r="P1801" i="3"/>
  <c r="P1802" i="3"/>
  <c r="P1803" i="3"/>
  <c r="P1804" i="3"/>
  <c r="P1805" i="3"/>
  <c r="P1806" i="3"/>
  <c r="P1807" i="3"/>
  <c r="P1808" i="3"/>
  <c r="P1809" i="3"/>
  <c r="P1810" i="3"/>
  <c r="P1811" i="3"/>
  <c r="P1812" i="3"/>
  <c r="P1813" i="3"/>
  <c r="P1814" i="3"/>
  <c r="P1815" i="3"/>
  <c r="P1816" i="3"/>
  <c r="P1817" i="3"/>
  <c r="P1818" i="3"/>
  <c r="P1819" i="3"/>
  <c r="P1820" i="3"/>
  <c r="P1821" i="3"/>
  <c r="P1822" i="3"/>
  <c r="P1823" i="3"/>
  <c r="P1824" i="3"/>
  <c r="P1825" i="3"/>
  <c r="P1826" i="3"/>
  <c r="P1827" i="3"/>
  <c r="P1828" i="3"/>
  <c r="P1829" i="3"/>
  <c r="P1830" i="3"/>
  <c r="P1831" i="3"/>
  <c r="P1832" i="3"/>
  <c r="P1833" i="3"/>
  <c r="P1834" i="3"/>
  <c r="P1835" i="3"/>
  <c r="P1836" i="3"/>
  <c r="P1837" i="3"/>
  <c r="P1838" i="3"/>
  <c r="P1839" i="3"/>
  <c r="P1840" i="3"/>
  <c r="P1841" i="3"/>
  <c r="P1842" i="3"/>
  <c r="P1843" i="3"/>
  <c r="P1844" i="3"/>
  <c r="P1845" i="3"/>
  <c r="P1846" i="3"/>
  <c r="P1847" i="3"/>
  <c r="P1848" i="3"/>
  <c r="P1849" i="3"/>
  <c r="P1850" i="3"/>
  <c r="P1851" i="3"/>
  <c r="P1852" i="3"/>
  <c r="P1853" i="3"/>
  <c r="P1854" i="3"/>
  <c r="P1855" i="3"/>
  <c r="P1856" i="3"/>
  <c r="P1857" i="3"/>
  <c r="P1858" i="3"/>
  <c r="P1859" i="3"/>
  <c r="P1860" i="3"/>
  <c r="P1861" i="3"/>
  <c r="P1862" i="3"/>
  <c r="P1863" i="3"/>
  <c r="P1864" i="3"/>
  <c r="P1865" i="3"/>
  <c r="P1866" i="3"/>
  <c r="P1867" i="3"/>
  <c r="P1868" i="3"/>
  <c r="P1869" i="3"/>
  <c r="P1870" i="3"/>
  <c r="P1871" i="3"/>
  <c r="P1872" i="3"/>
  <c r="P1873" i="3"/>
  <c r="P1874" i="3"/>
  <c r="P1875" i="3"/>
  <c r="P1876" i="3"/>
  <c r="P1877" i="3"/>
  <c r="P1878" i="3"/>
  <c r="P1879" i="3"/>
  <c r="P1880" i="3"/>
  <c r="P1881" i="3"/>
  <c r="P1882" i="3"/>
  <c r="P1883" i="3"/>
  <c r="P1884" i="3"/>
  <c r="P1885" i="3"/>
  <c r="P1886" i="3"/>
  <c r="P1887" i="3"/>
  <c r="P1888" i="3"/>
  <c r="P1889" i="3"/>
  <c r="P1890" i="3"/>
  <c r="P1891" i="3"/>
  <c r="P1892" i="3"/>
  <c r="P1893" i="3"/>
  <c r="P1894" i="3"/>
  <c r="P1895" i="3"/>
  <c r="P1896" i="3"/>
  <c r="P1897" i="3"/>
  <c r="P1898" i="3"/>
  <c r="P1899" i="3"/>
  <c r="P1900" i="3"/>
  <c r="P1901" i="3"/>
  <c r="P1902" i="3"/>
  <c r="P1903" i="3"/>
  <c r="P1904" i="3"/>
  <c r="P1905" i="3"/>
  <c r="P1906" i="3"/>
  <c r="P1907" i="3"/>
  <c r="P1908" i="3"/>
  <c r="P1909" i="3"/>
  <c r="P1910" i="3"/>
  <c r="P1911" i="3"/>
  <c r="P1912" i="3"/>
  <c r="P1913" i="3"/>
  <c r="P1914" i="3"/>
  <c r="P1915" i="3"/>
  <c r="P1916" i="3"/>
  <c r="P1917" i="3"/>
  <c r="P1918" i="3"/>
  <c r="P1919" i="3"/>
  <c r="P1920" i="3"/>
  <c r="P1921" i="3"/>
  <c r="P1922" i="3"/>
  <c r="P1923" i="3"/>
  <c r="P1924" i="3"/>
  <c r="P1925" i="3"/>
  <c r="P1926" i="3"/>
  <c r="P1927" i="3"/>
  <c r="P1928" i="3"/>
  <c r="P1929" i="3"/>
  <c r="P1930" i="3"/>
  <c r="P1931" i="3"/>
  <c r="P1932" i="3"/>
  <c r="P1933" i="3"/>
  <c r="P1934" i="3"/>
  <c r="P1935" i="3"/>
  <c r="P1936" i="3"/>
  <c r="P1937" i="3"/>
  <c r="P1938" i="3"/>
  <c r="P1939" i="3"/>
  <c r="P1940" i="3"/>
  <c r="P1941" i="3"/>
  <c r="P1942" i="3"/>
  <c r="P1943" i="3"/>
  <c r="P1944" i="3"/>
  <c r="P1945" i="3"/>
  <c r="P1946" i="3"/>
  <c r="P1947" i="3"/>
  <c r="P1948" i="3"/>
  <c r="P1949" i="3"/>
  <c r="P1950" i="3"/>
  <c r="P1951" i="3"/>
  <c r="P1952" i="3"/>
  <c r="P1953" i="3"/>
  <c r="P1954" i="3"/>
  <c r="P1955" i="3"/>
  <c r="P1956" i="3"/>
  <c r="P1957" i="3"/>
  <c r="P1958" i="3"/>
  <c r="P1959" i="3"/>
  <c r="P1960" i="3"/>
  <c r="P1961" i="3"/>
  <c r="P1962" i="3"/>
  <c r="P1963" i="3"/>
  <c r="P1964" i="3"/>
  <c r="P1965" i="3"/>
  <c r="P1966" i="3"/>
  <c r="P1967" i="3"/>
  <c r="P1968" i="3"/>
  <c r="P1969" i="3"/>
  <c r="P1970" i="3"/>
  <c r="P1971" i="3"/>
  <c r="P1972" i="3"/>
  <c r="P1973" i="3"/>
  <c r="P1974" i="3"/>
  <c r="P1975" i="3"/>
  <c r="P1976" i="3"/>
  <c r="P1977" i="3"/>
  <c r="P1978" i="3"/>
  <c r="P1979" i="3"/>
  <c r="P1980" i="3"/>
  <c r="P1981" i="3"/>
  <c r="P1982" i="3"/>
  <c r="P1983" i="3"/>
  <c r="P1984" i="3"/>
  <c r="P1985" i="3"/>
  <c r="P1986" i="3"/>
  <c r="P1987" i="3"/>
  <c r="P1988" i="3"/>
  <c r="P1989" i="3"/>
  <c r="P1990" i="3"/>
  <c r="P1991" i="3"/>
  <c r="P1992" i="3"/>
  <c r="P1993" i="3"/>
  <c r="P1994" i="3"/>
  <c r="P1995" i="3"/>
  <c r="P1996" i="3"/>
  <c r="P1997" i="3"/>
  <c r="P1998" i="3"/>
  <c r="P1999" i="3"/>
  <c r="P2000" i="3"/>
  <c r="P2001" i="3"/>
  <c r="P2002" i="3"/>
  <c r="P2003" i="3"/>
  <c r="P2004" i="3"/>
  <c r="P2005" i="3"/>
  <c r="P2006" i="3"/>
  <c r="P2007" i="3"/>
  <c r="P2008" i="3"/>
  <c r="P2009" i="3"/>
  <c r="P2010" i="3"/>
  <c r="P2011" i="3"/>
  <c r="P2012" i="3"/>
  <c r="P2013" i="3"/>
  <c r="P2014" i="3"/>
  <c r="P2015" i="3"/>
  <c r="P2016" i="3"/>
  <c r="P2017" i="3"/>
  <c r="P2018" i="3"/>
  <c r="P2019" i="3"/>
  <c r="P2020" i="3"/>
  <c r="P2021" i="3"/>
  <c r="P2022" i="3"/>
  <c r="P2023" i="3"/>
  <c r="P2024" i="3"/>
  <c r="P2025" i="3"/>
  <c r="P2026" i="3"/>
  <c r="P2027" i="3"/>
  <c r="P2028" i="3"/>
  <c r="P2029" i="3"/>
  <c r="P2030" i="3"/>
  <c r="P2031" i="3"/>
  <c r="P2032" i="3"/>
  <c r="P2033" i="3"/>
  <c r="P2034" i="3"/>
  <c r="P2035" i="3"/>
  <c r="P2036" i="3"/>
  <c r="P2037" i="3"/>
  <c r="P2038" i="3"/>
  <c r="P2039" i="3"/>
  <c r="P2040" i="3"/>
  <c r="P2041" i="3"/>
  <c r="P2042" i="3"/>
  <c r="P2043" i="3"/>
  <c r="P2044" i="3"/>
  <c r="P2045" i="3"/>
  <c r="P2046" i="3"/>
  <c r="P2047" i="3"/>
  <c r="P2048" i="3"/>
  <c r="P2049" i="3"/>
  <c r="P2050" i="3"/>
  <c r="P2051" i="3"/>
  <c r="P2052" i="3"/>
  <c r="P2053" i="3"/>
  <c r="P2054" i="3"/>
  <c r="P2055" i="3"/>
  <c r="P2056" i="3"/>
  <c r="P2057" i="3"/>
  <c r="P2058" i="3"/>
  <c r="P2059" i="3"/>
  <c r="P2060" i="3"/>
  <c r="P2061" i="3"/>
  <c r="P2062" i="3"/>
  <c r="P2063" i="3"/>
  <c r="P2064" i="3"/>
  <c r="P2065" i="3"/>
  <c r="P2066" i="3"/>
  <c r="P2067" i="3"/>
  <c r="P2068" i="3"/>
  <c r="P2069" i="3"/>
  <c r="P2070" i="3"/>
  <c r="P2071" i="3"/>
  <c r="P2072" i="3"/>
  <c r="P2073" i="3"/>
  <c r="P2074" i="3"/>
  <c r="P2075" i="3"/>
  <c r="P2076" i="3"/>
  <c r="P2077" i="3"/>
  <c r="P2078" i="3"/>
  <c r="P2079" i="3"/>
  <c r="P2080" i="3"/>
  <c r="P2081" i="3"/>
  <c r="P2082" i="3"/>
  <c r="P2083" i="3"/>
  <c r="P2084" i="3"/>
  <c r="P2085" i="3"/>
  <c r="P2086" i="3"/>
  <c r="P2087" i="3"/>
  <c r="P2088" i="3"/>
  <c r="P2089" i="3"/>
  <c r="P2090" i="3"/>
  <c r="P2091" i="3"/>
  <c r="P2092" i="3"/>
  <c r="P2093" i="3"/>
  <c r="P2094" i="3"/>
  <c r="P2095" i="3"/>
  <c r="P2096" i="3"/>
  <c r="P2097" i="3"/>
  <c r="P2098" i="3"/>
  <c r="P2099" i="3"/>
  <c r="P2100" i="3"/>
  <c r="P2101" i="3"/>
  <c r="P2102" i="3"/>
  <c r="P2103" i="3"/>
  <c r="P2104" i="3"/>
  <c r="P2105" i="3"/>
  <c r="P2106" i="3"/>
  <c r="P2107" i="3"/>
  <c r="P2108" i="3"/>
  <c r="P2109" i="3"/>
  <c r="P2110" i="3"/>
  <c r="P2111" i="3"/>
  <c r="P2112" i="3"/>
  <c r="P2113" i="3"/>
  <c r="P2114" i="3"/>
  <c r="P2115" i="3"/>
  <c r="P2116" i="3"/>
  <c r="P2117" i="3"/>
  <c r="P2118" i="3"/>
  <c r="P2119" i="3"/>
  <c r="P2120" i="3"/>
  <c r="P2121" i="3"/>
  <c r="P2122" i="3"/>
  <c r="P2123" i="3"/>
  <c r="P2124" i="3"/>
  <c r="P2125" i="3"/>
  <c r="P2126" i="3"/>
  <c r="P2127" i="3"/>
  <c r="P2128" i="3"/>
  <c r="P2129" i="3"/>
  <c r="P2130" i="3"/>
  <c r="P2131" i="3"/>
  <c r="P2132" i="3"/>
  <c r="P2133" i="3"/>
  <c r="P2134" i="3"/>
  <c r="P2135" i="3"/>
  <c r="P2136" i="3"/>
  <c r="P2137" i="3"/>
  <c r="P2138" i="3"/>
  <c r="P2139" i="3"/>
  <c r="P2140" i="3"/>
  <c r="P2141" i="3"/>
  <c r="P2142" i="3"/>
  <c r="P2143" i="3"/>
  <c r="P2144" i="3"/>
  <c r="P2145" i="3"/>
  <c r="P2146" i="3"/>
  <c r="P2147" i="3"/>
  <c r="P2148" i="3"/>
  <c r="P2149" i="3"/>
  <c r="P2150" i="3"/>
  <c r="P2151" i="3"/>
  <c r="P2152" i="3"/>
  <c r="P2153" i="3"/>
  <c r="P2154" i="3"/>
  <c r="P2155" i="3"/>
  <c r="P2156" i="3"/>
  <c r="P2157" i="3"/>
  <c r="P2158" i="3"/>
  <c r="P2159" i="3"/>
  <c r="P2160" i="3"/>
  <c r="P2161" i="3"/>
  <c r="P2162" i="3"/>
  <c r="P2163" i="3"/>
  <c r="P2164" i="3"/>
  <c r="P2165" i="3"/>
  <c r="P2166" i="3"/>
  <c r="P2167" i="3"/>
  <c r="P2168" i="3"/>
  <c r="P2169" i="3"/>
  <c r="P2170" i="3"/>
  <c r="P2171" i="3"/>
  <c r="P2172" i="3"/>
  <c r="P2173" i="3"/>
  <c r="P2174" i="3"/>
  <c r="P2175" i="3"/>
  <c r="P2176" i="3"/>
  <c r="P2177" i="3"/>
  <c r="P2178" i="3"/>
  <c r="P2179" i="3"/>
  <c r="P2180" i="3"/>
  <c r="P2181" i="3"/>
  <c r="P2182" i="3"/>
  <c r="P2183" i="3"/>
  <c r="P2184" i="3"/>
  <c r="P2185" i="3"/>
  <c r="P2186" i="3"/>
  <c r="P2187" i="3"/>
  <c r="P2188" i="3"/>
  <c r="P2189" i="3"/>
  <c r="P2190" i="3"/>
  <c r="P2191" i="3"/>
  <c r="P2192" i="3"/>
  <c r="P2193" i="3"/>
  <c r="P2194" i="3"/>
  <c r="P2195" i="3"/>
  <c r="P2196" i="3"/>
  <c r="P2197" i="3"/>
  <c r="P2198" i="3"/>
  <c r="P2199" i="3"/>
  <c r="P2200" i="3"/>
  <c r="P2201" i="3"/>
  <c r="P2202" i="3"/>
  <c r="P2203" i="3"/>
  <c r="P2204" i="3"/>
  <c r="P2205" i="3"/>
  <c r="P2206" i="3"/>
  <c r="P2207" i="3"/>
  <c r="P2208" i="3"/>
  <c r="P2209" i="3"/>
  <c r="P2210" i="3"/>
  <c r="P2211" i="3"/>
  <c r="P2212" i="3"/>
  <c r="P2213" i="3"/>
  <c r="P2214" i="3"/>
  <c r="P2215" i="3"/>
  <c r="P2216" i="3"/>
  <c r="P2217" i="3"/>
  <c r="P2218" i="3"/>
  <c r="P2219" i="3"/>
  <c r="P2220" i="3"/>
  <c r="P2221" i="3"/>
  <c r="P2222" i="3"/>
  <c r="P2223" i="3"/>
  <c r="P2224" i="3"/>
  <c r="P2225" i="3"/>
  <c r="P2226" i="3"/>
  <c r="P2227" i="3"/>
  <c r="P2228" i="3"/>
  <c r="P2229" i="3"/>
  <c r="P2230" i="3"/>
  <c r="P2231" i="3"/>
  <c r="P2232" i="3"/>
  <c r="P2233" i="3"/>
  <c r="P2234" i="3"/>
  <c r="P2235" i="3"/>
  <c r="P2236" i="3"/>
  <c r="P2237" i="3"/>
  <c r="P2238" i="3"/>
  <c r="P2239" i="3"/>
  <c r="P2240" i="3"/>
  <c r="P2241" i="3"/>
  <c r="P2242" i="3"/>
  <c r="P2243" i="3"/>
  <c r="P2244" i="3"/>
  <c r="P2245" i="3"/>
  <c r="P2246" i="3"/>
  <c r="P2247" i="3"/>
  <c r="P2248" i="3"/>
  <c r="P2249" i="3"/>
  <c r="P2250" i="3"/>
  <c r="P2251" i="3"/>
  <c r="P2252" i="3"/>
  <c r="P2253" i="3"/>
  <c r="P2254" i="3"/>
  <c r="P2255" i="3"/>
  <c r="P2256" i="3"/>
  <c r="P2257" i="3"/>
  <c r="P2258" i="3"/>
  <c r="P2259" i="3"/>
  <c r="P2260" i="3"/>
  <c r="P2261" i="3"/>
  <c r="P2262" i="3"/>
  <c r="P2263" i="3"/>
  <c r="P2264" i="3"/>
  <c r="P2265" i="3"/>
  <c r="P2266" i="3"/>
  <c r="P2267" i="3"/>
  <c r="P2268" i="3"/>
  <c r="P2269" i="3"/>
  <c r="P2270" i="3"/>
  <c r="P2271" i="3"/>
  <c r="P2272" i="3"/>
  <c r="P2273" i="3"/>
  <c r="P2274" i="3"/>
  <c r="P2275" i="3"/>
  <c r="P2276" i="3"/>
  <c r="P2277" i="3"/>
  <c r="P2278" i="3"/>
  <c r="P2279" i="3"/>
  <c r="P2280" i="3"/>
  <c r="P2281" i="3"/>
  <c r="P2282" i="3"/>
  <c r="P2283" i="3"/>
  <c r="P2284" i="3"/>
  <c r="P2285" i="3"/>
  <c r="P2286" i="3"/>
  <c r="P2287" i="3"/>
  <c r="P2288" i="3"/>
  <c r="P2289" i="3"/>
  <c r="P2290" i="3"/>
  <c r="P2291" i="3"/>
  <c r="P2292" i="3"/>
  <c r="P2293" i="3"/>
  <c r="P2294" i="3"/>
  <c r="P2295" i="3"/>
  <c r="P2296" i="3"/>
  <c r="P2297" i="3"/>
  <c r="P2298" i="3"/>
  <c r="P2299" i="3"/>
  <c r="P2300" i="3"/>
  <c r="P2301" i="3"/>
  <c r="P2302" i="3"/>
  <c r="P2303" i="3"/>
  <c r="P2304" i="3"/>
  <c r="P2305" i="3"/>
  <c r="P2306" i="3"/>
  <c r="P2307" i="3"/>
  <c r="P2308" i="3"/>
  <c r="P2309" i="3"/>
  <c r="P2310" i="3"/>
  <c r="P2311" i="3"/>
  <c r="P2312" i="3"/>
  <c r="P2313" i="3"/>
  <c r="P2314" i="3"/>
  <c r="P2315" i="3"/>
  <c r="P2316" i="3"/>
  <c r="P2317" i="3"/>
  <c r="P2318" i="3"/>
  <c r="P2319" i="3"/>
  <c r="P2320" i="3"/>
  <c r="P2321" i="3"/>
  <c r="P2322" i="3"/>
  <c r="P2323" i="3"/>
  <c r="P2324" i="3"/>
  <c r="P2325" i="3"/>
  <c r="P2326" i="3"/>
  <c r="P2327" i="3"/>
  <c r="P2328" i="3"/>
  <c r="P2329" i="3"/>
  <c r="P2330" i="3"/>
  <c r="P2331" i="3"/>
  <c r="P2332" i="3"/>
  <c r="P2333" i="3"/>
  <c r="P2334" i="3"/>
  <c r="P2335" i="3"/>
  <c r="P2336" i="3"/>
  <c r="P2337" i="3"/>
  <c r="P2338" i="3"/>
  <c r="P2339" i="3"/>
  <c r="P2340" i="3"/>
  <c r="P2341" i="3"/>
  <c r="P2342" i="3"/>
  <c r="P2343" i="3"/>
  <c r="P2344" i="3"/>
  <c r="P2345" i="3"/>
  <c r="P2346" i="3"/>
  <c r="P2347" i="3"/>
  <c r="P2348" i="3"/>
  <c r="P2349" i="3"/>
  <c r="P2350" i="3"/>
  <c r="P2351" i="3"/>
  <c r="P2352" i="3"/>
  <c r="P2353" i="3"/>
  <c r="P2354" i="3"/>
  <c r="P2355" i="3"/>
  <c r="P2356" i="3"/>
  <c r="P2357" i="3"/>
  <c r="P2358" i="3"/>
  <c r="P2359" i="3"/>
  <c r="P2360" i="3"/>
  <c r="P2361" i="3"/>
  <c r="P2362" i="3"/>
  <c r="P2363" i="3"/>
  <c r="P2364" i="3"/>
  <c r="P2365" i="3"/>
  <c r="P2366" i="3"/>
  <c r="P2367" i="3"/>
  <c r="P2368" i="3"/>
  <c r="P2369" i="3"/>
  <c r="P2370" i="3"/>
  <c r="P2371" i="3"/>
  <c r="P2372" i="3"/>
  <c r="P2373" i="3"/>
  <c r="P2374" i="3"/>
  <c r="P2375" i="3"/>
  <c r="P2376" i="3"/>
  <c r="P2377" i="3"/>
  <c r="P2378" i="3"/>
  <c r="P2379" i="3"/>
  <c r="P2380" i="3"/>
  <c r="P2381" i="3"/>
  <c r="P2382" i="3"/>
  <c r="P2383" i="3"/>
  <c r="P2384" i="3"/>
  <c r="P2385" i="3"/>
  <c r="P2386" i="3"/>
  <c r="P2387" i="3"/>
  <c r="P2388" i="3"/>
  <c r="P2389" i="3"/>
  <c r="P2390" i="3"/>
  <c r="P2391" i="3"/>
  <c r="P2392" i="3"/>
  <c r="P2393" i="3"/>
  <c r="P2394" i="3"/>
  <c r="P2395" i="3"/>
  <c r="P2396" i="3"/>
  <c r="P2397" i="3"/>
  <c r="P2398" i="3"/>
  <c r="P2399" i="3"/>
  <c r="P2400" i="3"/>
  <c r="P2401" i="3"/>
  <c r="P2402" i="3"/>
  <c r="P2403" i="3"/>
  <c r="P2404" i="3"/>
  <c r="P2405" i="3"/>
  <c r="P2406" i="3"/>
  <c r="P2407" i="3"/>
  <c r="P2408" i="3"/>
  <c r="P2409" i="3"/>
  <c r="P2410" i="3"/>
  <c r="P2411" i="3"/>
  <c r="P2412" i="3"/>
  <c r="P2413" i="3"/>
  <c r="P2414" i="3"/>
  <c r="P2415" i="3"/>
  <c r="P2416" i="3"/>
  <c r="P2417" i="3"/>
  <c r="P2418" i="3"/>
  <c r="P2419" i="3"/>
  <c r="P2420" i="3"/>
  <c r="P2421" i="3"/>
  <c r="P2422" i="3"/>
  <c r="P2423" i="3"/>
  <c r="P2424" i="3"/>
  <c r="P2425" i="3"/>
  <c r="P2426" i="3"/>
  <c r="P2427" i="3"/>
  <c r="P2428" i="3"/>
  <c r="P2429" i="3"/>
  <c r="P2430" i="3"/>
  <c r="P2431" i="3"/>
  <c r="P2432" i="3"/>
  <c r="P2433" i="3"/>
  <c r="P2434" i="3"/>
  <c r="P2435" i="3"/>
  <c r="P2436" i="3"/>
  <c r="P2437" i="3"/>
  <c r="P2438" i="3"/>
  <c r="P2439" i="3"/>
  <c r="P2440" i="3"/>
  <c r="P2441" i="3"/>
  <c r="P2442" i="3"/>
  <c r="P2443" i="3"/>
  <c r="P2444" i="3"/>
  <c r="P2445" i="3"/>
  <c r="P2446" i="3"/>
  <c r="P2447" i="3"/>
  <c r="P2448" i="3"/>
  <c r="P2449" i="3"/>
  <c r="P2450" i="3"/>
  <c r="P2451" i="3"/>
  <c r="P2452" i="3"/>
  <c r="P2453" i="3"/>
  <c r="P2454" i="3"/>
  <c r="P2455" i="3"/>
  <c r="P2456" i="3"/>
  <c r="P2457" i="3"/>
  <c r="P2458" i="3"/>
  <c r="P2459" i="3"/>
  <c r="P2460" i="3"/>
  <c r="P2461" i="3"/>
  <c r="P2462" i="3"/>
  <c r="P2463" i="3"/>
  <c r="P2464" i="3"/>
  <c r="P2465" i="3"/>
  <c r="P2466" i="3"/>
  <c r="P2467" i="3"/>
  <c r="P2468" i="3"/>
  <c r="P2469" i="3"/>
  <c r="P2470" i="3"/>
  <c r="P2471" i="3"/>
  <c r="P2472" i="3"/>
  <c r="P2473" i="3"/>
  <c r="P2474" i="3"/>
  <c r="P2475" i="3"/>
  <c r="P2476" i="3"/>
  <c r="P2477" i="3"/>
  <c r="P2478" i="3"/>
  <c r="P2479" i="3"/>
  <c r="P2480" i="3"/>
  <c r="P2481" i="3"/>
  <c r="P2482" i="3"/>
  <c r="P2483" i="3"/>
  <c r="P2484" i="3"/>
  <c r="P2485" i="3"/>
  <c r="P2486" i="3"/>
  <c r="P2487" i="3"/>
  <c r="P2488" i="3"/>
  <c r="P2489" i="3"/>
  <c r="P2490" i="3"/>
  <c r="P2491" i="3"/>
  <c r="P2492" i="3"/>
  <c r="P2493" i="3"/>
  <c r="P2494" i="3"/>
  <c r="P2495" i="3"/>
  <c r="P2496" i="3"/>
  <c r="P2497" i="3"/>
  <c r="P2498" i="3"/>
  <c r="P2499" i="3"/>
  <c r="P2500" i="3"/>
  <c r="P2501" i="3"/>
  <c r="P2502" i="3"/>
  <c r="P2503" i="3"/>
  <c r="P2504" i="3"/>
  <c r="P2505" i="3"/>
  <c r="P2506" i="3"/>
  <c r="P2507" i="3"/>
  <c r="P2508" i="3"/>
  <c r="P2509" i="3"/>
  <c r="P2510" i="3"/>
  <c r="P2511" i="3"/>
  <c r="P2512" i="3"/>
  <c r="P2513" i="3"/>
  <c r="P2514" i="3"/>
  <c r="P2515" i="3"/>
  <c r="P2516" i="3"/>
  <c r="P2517" i="3"/>
  <c r="P2518" i="3"/>
  <c r="P2519" i="3"/>
  <c r="P2520" i="3"/>
  <c r="P2521" i="3"/>
  <c r="P2522" i="3"/>
  <c r="P2523" i="3"/>
  <c r="P2524" i="3"/>
  <c r="P2525" i="3"/>
  <c r="P2526" i="3"/>
  <c r="P2527" i="3"/>
  <c r="P2528" i="3"/>
  <c r="P2529" i="3"/>
  <c r="P2530" i="3"/>
  <c r="P2531" i="3"/>
  <c r="P2532" i="3"/>
  <c r="P2533" i="3"/>
  <c r="P2534" i="3"/>
  <c r="P2535" i="3"/>
  <c r="P2536" i="3"/>
  <c r="P2537" i="3"/>
  <c r="P2538" i="3"/>
  <c r="P2539" i="3"/>
  <c r="P2540" i="3"/>
  <c r="P2541" i="3"/>
  <c r="P2542" i="3"/>
  <c r="P2543" i="3"/>
  <c r="P2544" i="3"/>
  <c r="P2545" i="3"/>
  <c r="P2546" i="3"/>
  <c r="P2547" i="3"/>
  <c r="P2548" i="3"/>
  <c r="P2549" i="3"/>
  <c r="P2550" i="3"/>
  <c r="P2551" i="3"/>
  <c r="P2552" i="3"/>
  <c r="P2553" i="3"/>
  <c r="P2554" i="3"/>
  <c r="P2555" i="3"/>
  <c r="P2556" i="3"/>
  <c r="P2557" i="3"/>
  <c r="P2558" i="3"/>
  <c r="P2559" i="3"/>
  <c r="P2560" i="3"/>
  <c r="P2561" i="3"/>
  <c r="P2562" i="3"/>
  <c r="P2563" i="3"/>
  <c r="P2564" i="3"/>
  <c r="P2565" i="3"/>
  <c r="P2566" i="3"/>
  <c r="P2567" i="3"/>
  <c r="P2568" i="3"/>
  <c r="P2569" i="3"/>
  <c r="P2570" i="3"/>
  <c r="P2571" i="3"/>
  <c r="P2572" i="3"/>
  <c r="P2573" i="3"/>
  <c r="P2574" i="3"/>
  <c r="P2575" i="3"/>
  <c r="P2576" i="3"/>
  <c r="P2577" i="3"/>
  <c r="P2578" i="3"/>
  <c r="P2579" i="3"/>
  <c r="P2580" i="3"/>
  <c r="P2581" i="3"/>
  <c r="P2582" i="3"/>
  <c r="P2583" i="3"/>
  <c r="P2584" i="3"/>
  <c r="P2585" i="3"/>
  <c r="P2586" i="3"/>
  <c r="P2587" i="3"/>
  <c r="P2588" i="3"/>
  <c r="P2589" i="3"/>
  <c r="P2590" i="3"/>
  <c r="P2591" i="3"/>
  <c r="P2592" i="3"/>
  <c r="P2593" i="3"/>
  <c r="P2594" i="3"/>
  <c r="P2595" i="3"/>
  <c r="P2596" i="3"/>
  <c r="P2597" i="3"/>
  <c r="P2598" i="3"/>
  <c r="P2599" i="3"/>
  <c r="P2600" i="3"/>
  <c r="P2601" i="3"/>
  <c r="P2602" i="3"/>
  <c r="P2603" i="3"/>
  <c r="P2604" i="3"/>
  <c r="P2605" i="3"/>
  <c r="P2606" i="3"/>
  <c r="P2607" i="3"/>
  <c r="P2608" i="3"/>
  <c r="P2609" i="3"/>
  <c r="P2610" i="3"/>
  <c r="P2611" i="3"/>
  <c r="P2612" i="3"/>
  <c r="P2613" i="3"/>
  <c r="P2614" i="3"/>
  <c r="P2615" i="3"/>
  <c r="P2616" i="3"/>
  <c r="P2617" i="3"/>
  <c r="P2618" i="3"/>
  <c r="P2619" i="3"/>
  <c r="P2620" i="3"/>
  <c r="P2621" i="3"/>
  <c r="P2622" i="3"/>
  <c r="P2623" i="3"/>
  <c r="P2624" i="3"/>
  <c r="P2625" i="3"/>
  <c r="P2626" i="3"/>
  <c r="P2627" i="3"/>
  <c r="P2628" i="3"/>
  <c r="P2629" i="3"/>
  <c r="P2630" i="3"/>
  <c r="P2631" i="3"/>
  <c r="P2632" i="3"/>
  <c r="P2633" i="3"/>
  <c r="P2634" i="3"/>
  <c r="P2635" i="3"/>
  <c r="P2636" i="3"/>
  <c r="P2637" i="3"/>
  <c r="P2638" i="3"/>
  <c r="P2639" i="3"/>
  <c r="P2640" i="3"/>
  <c r="P2641" i="3"/>
  <c r="P2642" i="3"/>
  <c r="P2643" i="3"/>
  <c r="P2644" i="3"/>
  <c r="P2645" i="3"/>
  <c r="P2646" i="3"/>
  <c r="P2647" i="3"/>
  <c r="P2648" i="3"/>
  <c r="P2649" i="3"/>
  <c r="P2650" i="3"/>
  <c r="P2651" i="3"/>
  <c r="P2652" i="3"/>
  <c r="P2653" i="3"/>
  <c r="P2654" i="3"/>
  <c r="P2655" i="3"/>
  <c r="P2656" i="3"/>
  <c r="P2657" i="3"/>
  <c r="P2658" i="3"/>
  <c r="P2659" i="3"/>
  <c r="P2660" i="3"/>
  <c r="P2661" i="3"/>
  <c r="P2662" i="3"/>
  <c r="P2663" i="3"/>
  <c r="P2664" i="3"/>
  <c r="P2665" i="3"/>
  <c r="P2666" i="3"/>
  <c r="P2667" i="3"/>
  <c r="P2668" i="3"/>
  <c r="P2669" i="3"/>
  <c r="P2670" i="3"/>
  <c r="P2671" i="3"/>
  <c r="P2672" i="3"/>
  <c r="P2673" i="3"/>
  <c r="P2674" i="3"/>
  <c r="P2675" i="3"/>
  <c r="P2676" i="3"/>
  <c r="P2677" i="3"/>
  <c r="P2678" i="3"/>
  <c r="P2679" i="3"/>
  <c r="P2680" i="3"/>
  <c r="P2681" i="3"/>
  <c r="P2682" i="3"/>
  <c r="P2683" i="3"/>
  <c r="P2684" i="3"/>
  <c r="P2685" i="3"/>
  <c r="P2686" i="3"/>
  <c r="P2687" i="3"/>
  <c r="P2688" i="3"/>
  <c r="P2689" i="3"/>
  <c r="P2690" i="3"/>
  <c r="P2691" i="3"/>
  <c r="P2692" i="3"/>
  <c r="P2693" i="3"/>
  <c r="P2694" i="3"/>
  <c r="P2695" i="3"/>
  <c r="P2696" i="3"/>
  <c r="P2697" i="3"/>
  <c r="P2698" i="3"/>
  <c r="P2699" i="3"/>
  <c r="P2700" i="3"/>
  <c r="P2701" i="3"/>
  <c r="P2702" i="3"/>
  <c r="P2703" i="3"/>
  <c r="P2704" i="3"/>
  <c r="P2705" i="3"/>
  <c r="P2706" i="3"/>
  <c r="P2707" i="3"/>
  <c r="P2708" i="3"/>
  <c r="P2709" i="3"/>
  <c r="P2710" i="3"/>
  <c r="P2711" i="3"/>
  <c r="P2712" i="3"/>
  <c r="P2713" i="3"/>
  <c r="P2714" i="3"/>
  <c r="P2715" i="3"/>
  <c r="P2716" i="3"/>
  <c r="P2717" i="3"/>
  <c r="P2718" i="3"/>
  <c r="P2719" i="3"/>
  <c r="P2720" i="3"/>
  <c r="P2721" i="3"/>
  <c r="P2722" i="3"/>
  <c r="P2723" i="3"/>
  <c r="P2724" i="3"/>
  <c r="P2725" i="3"/>
  <c r="P2726" i="3"/>
  <c r="P2727" i="3"/>
  <c r="P2728" i="3"/>
  <c r="P2729" i="3"/>
  <c r="P2730" i="3"/>
  <c r="P2731" i="3"/>
  <c r="P2732" i="3"/>
  <c r="P2733" i="3"/>
  <c r="P2734" i="3"/>
  <c r="P2735" i="3"/>
  <c r="P2736" i="3"/>
  <c r="P2737" i="3"/>
  <c r="P2738" i="3"/>
  <c r="P2739" i="3"/>
  <c r="P2740" i="3"/>
  <c r="P2741" i="3"/>
  <c r="P2742" i="3"/>
  <c r="P2743" i="3"/>
  <c r="P2744" i="3"/>
  <c r="P2745" i="3"/>
  <c r="P2746" i="3"/>
  <c r="P2747" i="3"/>
  <c r="P2748" i="3"/>
  <c r="P2749" i="3"/>
  <c r="P2750" i="3"/>
  <c r="P2751" i="3"/>
  <c r="P2752" i="3"/>
  <c r="P2753" i="3"/>
  <c r="P2754" i="3"/>
  <c r="P2755" i="3"/>
  <c r="P2756" i="3"/>
  <c r="P2757" i="3"/>
  <c r="P2758" i="3"/>
  <c r="P2759" i="3"/>
  <c r="P2760" i="3"/>
  <c r="P2761" i="3"/>
  <c r="P2762" i="3"/>
  <c r="P2763" i="3"/>
  <c r="P2764" i="3"/>
  <c r="P2765" i="3"/>
  <c r="P2766" i="3"/>
  <c r="P2767" i="3"/>
  <c r="P2768" i="3"/>
  <c r="P2769" i="3"/>
  <c r="P2770" i="3"/>
  <c r="P2771" i="3"/>
  <c r="P2772" i="3"/>
  <c r="P2773" i="3"/>
  <c r="P2774" i="3"/>
  <c r="P2775" i="3"/>
  <c r="P2776" i="3"/>
  <c r="P2777" i="3"/>
  <c r="P2778" i="3"/>
  <c r="P2779" i="3"/>
  <c r="P2780" i="3"/>
  <c r="P2781" i="3"/>
  <c r="P2782" i="3"/>
  <c r="P2783" i="3"/>
  <c r="P2784" i="3"/>
  <c r="P2785" i="3"/>
  <c r="P2786" i="3"/>
  <c r="P2787" i="3"/>
  <c r="P2788" i="3"/>
  <c r="P2789" i="3"/>
  <c r="P2790" i="3"/>
  <c r="P2791" i="3"/>
  <c r="P2792" i="3"/>
  <c r="P2793" i="3"/>
  <c r="P2794" i="3"/>
  <c r="P2795" i="3"/>
  <c r="P2796" i="3"/>
  <c r="P2797" i="3"/>
  <c r="P2798" i="3"/>
  <c r="P2799" i="3"/>
  <c r="P2800" i="3"/>
  <c r="P2801" i="3"/>
  <c r="P2802" i="3"/>
  <c r="P2803" i="3"/>
  <c r="P2804" i="3"/>
  <c r="P2805" i="3"/>
  <c r="P2806" i="3"/>
  <c r="P2807" i="3"/>
  <c r="P2808" i="3"/>
  <c r="P2809" i="3"/>
  <c r="P2810" i="3"/>
  <c r="P2811" i="3"/>
  <c r="P2812" i="3"/>
  <c r="P2813" i="3"/>
  <c r="P2814" i="3"/>
  <c r="P2815" i="3"/>
  <c r="P2816" i="3"/>
  <c r="P2817" i="3"/>
  <c r="P2818" i="3"/>
  <c r="P2819" i="3"/>
  <c r="P2820" i="3"/>
  <c r="P2821" i="3"/>
  <c r="P2822" i="3"/>
  <c r="P2823" i="3"/>
  <c r="P2824" i="3"/>
  <c r="P2825" i="3"/>
  <c r="P2826" i="3"/>
  <c r="P2827" i="3"/>
  <c r="P2828" i="3"/>
  <c r="P2829" i="3"/>
  <c r="P2830" i="3"/>
  <c r="P2831" i="3"/>
  <c r="P2832" i="3"/>
  <c r="P2833" i="3"/>
  <c r="P2834" i="3"/>
  <c r="P2835" i="3"/>
  <c r="P2836" i="3"/>
  <c r="P2837" i="3"/>
  <c r="P2838" i="3"/>
  <c r="P2839" i="3"/>
  <c r="P2840" i="3"/>
  <c r="P2841" i="3"/>
  <c r="P2842" i="3"/>
  <c r="P2843" i="3"/>
  <c r="P2844" i="3"/>
  <c r="P2845" i="3"/>
  <c r="P2846" i="3"/>
  <c r="P2847" i="3"/>
  <c r="P2848" i="3"/>
  <c r="P2849" i="3"/>
  <c r="P2850" i="3"/>
  <c r="P2851" i="3"/>
  <c r="P2852" i="3"/>
  <c r="P2853" i="3"/>
  <c r="P2854" i="3"/>
  <c r="P2855" i="3"/>
  <c r="P2856" i="3"/>
  <c r="P2857" i="3"/>
  <c r="P2858" i="3"/>
  <c r="P2859" i="3"/>
  <c r="P2860" i="3"/>
  <c r="P2861" i="3"/>
  <c r="P2862" i="3"/>
  <c r="P2863" i="3"/>
  <c r="P2864" i="3"/>
  <c r="P2865" i="3"/>
  <c r="P2866" i="3"/>
  <c r="P2867" i="3"/>
  <c r="P2868" i="3"/>
  <c r="P2869" i="3"/>
  <c r="P2870" i="3"/>
  <c r="P2871" i="3"/>
  <c r="P2872" i="3"/>
  <c r="P2873" i="3"/>
  <c r="P2874" i="3"/>
  <c r="P2875" i="3"/>
  <c r="P2876" i="3"/>
  <c r="P2877" i="3"/>
  <c r="P2878" i="3"/>
  <c r="P2879" i="3"/>
  <c r="P2880" i="3"/>
  <c r="P2881" i="3"/>
  <c r="P2882" i="3"/>
  <c r="P2883" i="3"/>
  <c r="P2884" i="3"/>
  <c r="P2885" i="3"/>
  <c r="P2886" i="3"/>
  <c r="P2887" i="3"/>
  <c r="P2888" i="3"/>
  <c r="P2889" i="3"/>
  <c r="P2890" i="3"/>
  <c r="P2891" i="3"/>
  <c r="P2892" i="3"/>
  <c r="P2893" i="3"/>
  <c r="P2894" i="3"/>
  <c r="P2895" i="3"/>
  <c r="P2896" i="3"/>
  <c r="P2897" i="3"/>
  <c r="P2898" i="3"/>
  <c r="P2899" i="3"/>
  <c r="P2900" i="3"/>
  <c r="P2901" i="3"/>
  <c r="P2902" i="3"/>
  <c r="P2903" i="3"/>
  <c r="P2904" i="3"/>
  <c r="P2905" i="3"/>
  <c r="P2906" i="3"/>
  <c r="P2907" i="3"/>
  <c r="P2908" i="3"/>
  <c r="P2909" i="3"/>
  <c r="P2910" i="3"/>
  <c r="P2911" i="3"/>
  <c r="P2912" i="3"/>
  <c r="P2913" i="3"/>
  <c r="P2914" i="3"/>
  <c r="P2915" i="3"/>
  <c r="P2916" i="3"/>
  <c r="P2917" i="3"/>
  <c r="P2918" i="3"/>
  <c r="P2919" i="3"/>
  <c r="P2920" i="3"/>
  <c r="P2921" i="3"/>
  <c r="P2922" i="3"/>
  <c r="P2923" i="3"/>
  <c r="P2924" i="3"/>
  <c r="P2925" i="3"/>
  <c r="P2926" i="3"/>
  <c r="P2927" i="3"/>
  <c r="P2928" i="3"/>
  <c r="P2929" i="3"/>
  <c r="P2930" i="3"/>
  <c r="P2931" i="3"/>
  <c r="P2932" i="3"/>
  <c r="P2933" i="3"/>
  <c r="P2934" i="3"/>
  <c r="P2935" i="3"/>
  <c r="P2936" i="3"/>
  <c r="P2937" i="3"/>
  <c r="P2938" i="3"/>
  <c r="P2939" i="3"/>
  <c r="P2940" i="3"/>
  <c r="P2941" i="3"/>
  <c r="P2942" i="3"/>
  <c r="P2943" i="3"/>
  <c r="P2944" i="3"/>
  <c r="P2945" i="3"/>
  <c r="P2946" i="3"/>
  <c r="P2947" i="3"/>
  <c r="P2948" i="3"/>
  <c r="P2949" i="3"/>
  <c r="P2950" i="3"/>
  <c r="P2951" i="3"/>
  <c r="P2952" i="3"/>
  <c r="P2953" i="3"/>
  <c r="P2954" i="3"/>
  <c r="P2955" i="3"/>
  <c r="P2956" i="3"/>
  <c r="P2957" i="3"/>
  <c r="P2958" i="3"/>
  <c r="P2959" i="3"/>
  <c r="P2960" i="3"/>
  <c r="P2961" i="3"/>
  <c r="P2962" i="3"/>
  <c r="P2963" i="3"/>
  <c r="P2964" i="3"/>
  <c r="P2965" i="3"/>
  <c r="P2966" i="3"/>
  <c r="P2967" i="3"/>
  <c r="P2968" i="3"/>
  <c r="P2969" i="3"/>
  <c r="P2970" i="3"/>
  <c r="P2971" i="3"/>
  <c r="P2972" i="3"/>
  <c r="P2973" i="3"/>
  <c r="P2974" i="3"/>
  <c r="P2975" i="3"/>
  <c r="P2976" i="3"/>
  <c r="P2977" i="3"/>
  <c r="P2978" i="3"/>
  <c r="P2979" i="3"/>
  <c r="P2980" i="3"/>
  <c r="P2981" i="3"/>
  <c r="P2982" i="3"/>
  <c r="P2983" i="3"/>
  <c r="P2984" i="3"/>
  <c r="P2985" i="3"/>
  <c r="P2986" i="3"/>
  <c r="P2987" i="3"/>
  <c r="P2988" i="3"/>
  <c r="P2989" i="3"/>
  <c r="P2990" i="3"/>
  <c r="P2991" i="3"/>
  <c r="P2992" i="3"/>
  <c r="P2993" i="3"/>
  <c r="P2994" i="3"/>
  <c r="P2995" i="3"/>
  <c r="P2996" i="3"/>
  <c r="P2997" i="3"/>
  <c r="P2998" i="3"/>
  <c r="P2999" i="3"/>
  <c r="P3000" i="3"/>
  <c r="P3001" i="3"/>
  <c r="P3002" i="3"/>
  <c r="P3003" i="3"/>
  <c r="P3004" i="3"/>
  <c r="P3005" i="3"/>
  <c r="P3006" i="3"/>
  <c r="P3007" i="3"/>
  <c r="P3008" i="3"/>
  <c r="P3009" i="3"/>
  <c r="P3010" i="3"/>
  <c r="P3011" i="3"/>
  <c r="P3012" i="3"/>
  <c r="P3013" i="3"/>
  <c r="P3014" i="3"/>
  <c r="P3015" i="3"/>
  <c r="P3016" i="3"/>
  <c r="P3017" i="3"/>
  <c r="P3018" i="3"/>
  <c r="P3019" i="3"/>
  <c r="P3020" i="3"/>
  <c r="P3021" i="3"/>
  <c r="P3022" i="3"/>
  <c r="P3023" i="3"/>
  <c r="P3024" i="3"/>
  <c r="P3025" i="3"/>
  <c r="P3026" i="3"/>
  <c r="P3027" i="3"/>
  <c r="P3028" i="3"/>
  <c r="P3029" i="3"/>
  <c r="P3030" i="3"/>
  <c r="P3031" i="3"/>
  <c r="P3032" i="3"/>
  <c r="P3033" i="3"/>
  <c r="P3034" i="3"/>
  <c r="P3035" i="3"/>
  <c r="P3036" i="3"/>
  <c r="P3037" i="3"/>
  <c r="P3038" i="3"/>
  <c r="P3039" i="3"/>
  <c r="P3040" i="3"/>
  <c r="P3041" i="3"/>
  <c r="P3042" i="3"/>
  <c r="P3043" i="3"/>
  <c r="P3044" i="3"/>
  <c r="P3045" i="3"/>
  <c r="P3046" i="3"/>
  <c r="P3047" i="3"/>
  <c r="P3048" i="3"/>
  <c r="P3049" i="3"/>
  <c r="P3050" i="3"/>
  <c r="P3051" i="3"/>
  <c r="P3052" i="3"/>
  <c r="P3053" i="3"/>
  <c r="P3054" i="3"/>
  <c r="P3055" i="3"/>
  <c r="P3056" i="3"/>
  <c r="P3057" i="3"/>
  <c r="P3058" i="3"/>
  <c r="P3059" i="3"/>
  <c r="P3060" i="3"/>
  <c r="P3061" i="3"/>
  <c r="P3062" i="3"/>
  <c r="P3063" i="3"/>
  <c r="P3064" i="3"/>
  <c r="P3065" i="3"/>
  <c r="P3066" i="3"/>
  <c r="P3067" i="3"/>
  <c r="P3068" i="3"/>
  <c r="P3069" i="3"/>
  <c r="P3070" i="3"/>
  <c r="P3071" i="3"/>
  <c r="P3072" i="3"/>
  <c r="P3073" i="3"/>
  <c r="P3074" i="3"/>
  <c r="P3075" i="3"/>
  <c r="P3076" i="3"/>
  <c r="P3077" i="3"/>
  <c r="P3078" i="3"/>
  <c r="P3079" i="3"/>
  <c r="P3080" i="3"/>
  <c r="P3081" i="3"/>
  <c r="P3082" i="3"/>
  <c r="P3083" i="3"/>
  <c r="P3084" i="3"/>
  <c r="P3085" i="3"/>
  <c r="P3086" i="3"/>
  <c r="P3087" i="3"/>
  <c r="P3088" i="3"/>
  <c r="P3089" i="3"/>
  <c r="P3090" i="3"/>
  <c r="P3091" i="3"/>
  <c r="P3092" i="3"/>
  <c r="P3093" i="3"/>
  <c r="P3094" i="3"/>
  <c r="P3095" i="3"/>
  <c r="P3096" i="3"/>
  <c r="P3097" i="3"/>
  <c r="P3098" i="3"/>
  <c r="P3099" i="3"/>
  <c r="P3100" i="3"/>
  <c r="P3101" i="3"/>
  <c r="P3102" i="3"/>
  <c r="P3103" i="3"/>
  <c r="P3104" i="3"/>
  <c r="P3105" i="3"/>
  <c r="P3106" i="3"/>
  <c r="P3107" i="3"/>
  <c r="P3108" i="3"/>
  <c r="P3109" i="3"/>
  <c r="P3110" i="3"/>
  <c r="P3111" i="3"/>
  <c r="P3112" i="3"/>
  <c r="P3113" i="3"/>
  <c r="P3114" i="3"/>
  <c r="P3115" i="3"/>
  <c r="P3116" i="3"/>
  <c r="P3117" i="3"/>
  <c r="P3118" i="3"/>
  <c r="P3119" i="3"/>
  <c r="P3120" i="3"/>
  <c r="P3121" i="3"/>
  <c r="P3122" i="3"/>
  <c r="P3123" i="3"/>
  <c r="P3124" i="3"/>
  <c r="P3125" i="3"/>
  <c r="P3126" i="3"/>
  <c r="P3127" i="3"/>
  <c r="P3128" i="3"/>
  <c r="P3129" i="3"/>
  <c r="P3130" i="3"/>
  <c r="P3131" i="3"/>
  <c r="P3132" i="3"/>
  <c r="P3133" i="3"/>
  <c r="P3134" i="3"/>
  <c r="P3135" i="3"/>
  <c r="P3136" i="3"/>
  <c r="P3137" i="3"/>
  <c r="P3138" i="3"/>
  <c r="P3139" i="3"/>
  <c r="P3140" i="3"/>
  <c r="P3141" i="3"/>
  <c r="P3142" i="3"/>
  <c r="P3143" i="3"/>
  <c r="P3144" i="3"/>
  <c r="P3145" i="3"/>
  <c r="P3146" i="3"/>
  <c r="P3147" i="3"/>
  <c r="P3148" i="3"/>
  <c r="P3149" i="3"/>
  <c r="P3150" i="3"/>
  <c r="P3151" i="3"/>
  <c r="P3152" i="3"/>
  <c r="P3153" i="3"/>
  <c r="P3154" i="3"/>
  <c r="P3155" i="3"/>
  <c r="P3156" i="3"/>
  <c r="P3157" i="3"/>
  <c r="P3158" i="3"/>
  <c r="P3159" i="3"/>
  <c r="P3160" i="3"/>
  <c r="P3161" i="3"/>
  <c r="P3162" i="3"/>
  <c r="P3163" i="3"/>
  <c r="P3164" i="3"/>
  <c r="P3165" i="3"/>
  <c r="P3166" i="3"/>
  <c r="P3167" i="3"/>
  <c r="P3168" i="3"/>
  <c r="P3169" i="3"/>
  <c r="P3170" i="3"/>
  <c r="P3171" i="3"/>
  <c r="P3172" i="3"/>
  <c r="P3173" i="3"/>
  <c r="P3174" i="3"/>
  <c r="P3175" i="3"/>
  <c r="P3176" i="3"/>
  <c r="P3177" i="3"/>
  <c r="P3178" i="3"/>
  <c r="P3179" i="3"/>
  <c r="P3180" i="3"/>
  <c r="P3181" i="3"/>
  <c r="P3182" i="3"/>
  <c r="P3183" i="3"/>
  <c r="P3184" i="3"/>
  <c r="P3185" i="3"/>
  <c r="P3186" i="3"/>
  <c r="P3187" i="3"/>
  <c r="P3188" i="3"/>
  <c r="P3189" i="3"/>
  <c r="P3190" i="3"/>
  <c r="P3191" i="3"/>
  <c r="P3192" i="3"/>
  <c r="P3193" i="3"/>
  <c r="P3194" i="3"/>
  <c r="P3195" i="3"/>
  <c r="P3196" i="3"/>
  <c r="P3197" i="3"/>
  <c r="P3198" i="3"/>
  <c r="P3199" i="3"/>
  <c r="P3200" i="3"/>
  <c r="P3201" i="3"/>
  <c r="P3202" i="3"/>
  <c r="P3203" i="3"/>
  <c r="P3204" i="3"/>
  <c r="P3205" i="3"/>
  <c r="P3206" i="3"/>
  <c r="P3207" i="3"/>
  <c r="P3208" i="3"/>
  <c r="P3209" i="3"/>
  <c r="P3210" i="3"/>
  <c r="P3211" i="3"/>
  <c r="P3212" i="3"/>
  <c r="P3213" i="3"/>
  <c r="P3214" i="3"/>
  <c r="P3215" i="3"/>
  <c r="P3216" i="3"/>
  <c r="P3217" i="3"/>
  <c r="P3218" i="3"/>
  <c r="P3219" i="3"/>
  <c r="P3220" i="3"/>
  <c r="P3221" i="3"/>
  <c r="P3222" i="3"/>
  <c r="P3223" i="3"/>
  <c r="P3224" i="3"/>
  <c r="P3225" i="3"/>
  <c r="P3226" i="3"/>
  <c r="P3227" i="3"/>
  <c r="P3228" i="3"/>
  <c r="P3229" i="3"/>
  <c r="P3230" i="3"/>
  <c r="P3231" i="3"/>
  <c r="P3232" i="3"/>
  <c r="P3233" i="3"/>
  <c r="P3234" i="3"/>
  <c r="P3235" i="3"/>
  <c r="P3236" i="3"/>
  <c r="P3237" i="3"/>
  <c r="P3238" i="3"/>
  <c r="P3239" i="3"/>
  <c r="P3240" i="3"/>
  <c r="P3241" i="3"/>
  <c r="P3242" i="3"/>
  <c r="P3243" i="3"/>
  <c r="P3244" i="3"/>
  <c r="P3245" i="3"/>
  <c r="P3246" i="3"/>
  <c r="P3247" i="3"/>
  <c r="P3248" i="3"/>
  <c r="P3249" i="3"/>
  <c r="P3250" i="3"/>
  <c r="P3251" i="3"/>
  <c r="P3252" i="3"/>
  <c r="P3253" i="3"/>
  <c r="P3254" i="3"/>
  <c r="P3255" i="3"/>
  <c r="P3256" i="3"/>
  <c r="P3257" i="3"/>
  <c r="P3258" i="3"/>
  <c r="P3259" i="3"/>
  <c r="P3260" i="3"/>
  <c r="P3261" i="3"/>
  <c r="P3262" i="3"/>
  <c r="P3263" i="3"/>
  <c r="P3264" i="3"/>
  <c r="P3265" i="3"/>
  <c r="P3266" i="3"/>
  <c r="P3267" i="3"/>
  <c r="P3268" i="3"/>
  <c r="P3269" i="3"/>
  <c r="P3270" i="3"/>
  <c r="P3271" i="3"/>
  <c r="P3272" i="3"/>
  <c r="P3273" i="3"/>
  <c r="P3274" i="3"/>
  <c r="P3275" i="3"/>
  <c r="P3276" i="3"/>
  <c r="P3277" i="3"/>
  <c r="P3278" i="3"/>
  <c r="P3279" i="3"/>
  <c r="P3280" i="3"/>
  <c r="P3281" i="3"/>
  <c r="P3282" i="3"/>
  <c r="P3283" i="3"/>
  <c r="P3284" i="3"/>
  <c r="P3285" i="3"/>
  <c r="P3286" i="3"/>
  <c r="P3287" i="3"/>
  <c r="P3288" i="3"/>
  <c r="P3289" i="3"/>
  <c r="P3290" i="3"/>
  <c r="P3291" i="3"/>
  <c r="P3292" i="3"/>
  <c r="P3293" i="3"/>
  <c r="P3294" i="3"/>
  <c r="P3295" i="3"/>
  <c r="P3296" i="3"/>
  <c r="P3297" i="3"/>
  <c r="P3298" i="3"/>
  <c r="P3299" i="3"/>
  <c r="P3300" i="3"/>
  <c r="P3301" i="3"/>
  <c r="P3302" i="3"/>
  <c r="P3303" i="3"/>
  <c r="P3304" i="3"/>
  <c r="P3305" i="3"/>
  <c r="P3306" i="3"/>
  <c r="P3307" i="3"/>
  <c r="P3308" i="3"/>
  <c r="P3309" i="3"/>
  <c r="P3310" i="3"/>
  <c r="P3311" i="3"/>
  <c r="P3312" i="3"/>
  <c r="P3313" i="3"/>
  <c r="P3314" i="3"/>
  <c r="P3315" i="3"/>
  <c r="P3316" i="3"/>
  <c r="P3317" i="3"/>
  <c r="P3318" i="3"/>
  <c r="P3319" i="3"/>
  <c r="P3320" i="3"/>
  <c r="P3321" i="3"/>
  <c r="P3322" i="3"/>
  <c r="P3323" i="3"/>
  <c r="P3324" i="3"/>
  <c r="P3325" i="3"/>
  <c r="P3326" i="3"/>
  <c r="P3327" i="3"/>
  <c r="P3328" i="3"/>
  <c r="P3329" i="3"/>
  <c r="P3330" i="3"/>
  <c r="P3331" i="3"/>
  <c r="P3332" i="3"/>
  <c r="P3333" i="3"/>
  <c r="P3334" i="3"/>
  <c r="P3335" i="3"/>
  <c r="P3336" i="3"/>
  <c r="P3337" i="3"/>
  <c r="P3338" i="3"/>
  <c r="P3339" i="3"/>
  <c r="P3340" i="3"/>
  <c r="P3341" i="3"/>
  <c r="P3342" i="3"/>
  <c r="P3343" i="3"/>
  <c r="P3344" i="3"/>
  <c r="P3345" i="3"/>
  <c r="P3346" i="3"/>
  <c r="P3347" i="3"/>
  <c r="P3348" i="3"/>
  <c r="P3349" i="3"/>
  <c r="P3350" i="3"/>
  <c r="P3351" i="3"/>
  <c r="P3352" i="3"/>
  <c r="P3353" i="3"/>
  <c r="P3354" i="3"/>
  <c r="P3355" i="3"/>
  <c r="P3356" i="3"/>
  <c r="P3357" i="3"/>
  <c r="P3358" i="3"/>
  <c r="P3359" i="3"/>
  <c r="P3360" i="3"/>
  <c r="P3361" i="3"/>
  <c r="P3362" i="3"/>
  <c r="P3363" i="3"/>
  <c r="P3364" i="3"/>
  <c r="P3365" i="3"/>
  <c r="P3366" i="3"/>
  <c r="P3367" i="3"/>
  <c r="P3368" i="3"/>
  <c r="P3369" i="3"/>
  <c r="P3370" i="3"/>
  <c r="P3371" i="3"/>
  <c r="P3372" i="3"/>
  <c r="P3373" i="3"/>
  <c r="P3374" i="3"/>
  <c r="P3375" i="3"/>
  <c r="P3376" i="3"/>
  <c r="P3377" i="3"/>
  <c r="P3378" i="3"/>
  <c r="P3379" i="3"/>
  <c r="P3380" i="3"/>
  <c r="P3381" i="3"/>
  <c r="P3382" i="3"/>
  <c r="P3383" i="3"/>
  <c r="P3384" i="3"/>
  <c r="P3385" i="3"/>
  <c r="P3386" i="3"/>
  <c r="P3387" i="3"/>
  <c r="P3388" i="3"/>
  <c r="P3389" i="3"/>
  <c r="P3390" i="3"/>
  <c r="P3391" i="3"/>
  <c r="P3392" i="3"/>
  <c r="P3393" i="3"/>
  <c r="P3394" i="3"/>
  <c r="P3395" i="3"/>
  <c r="P3396" i="3"/>
  <c r="P3397" i="3"/>
  <c r="P3398" i="3"/>
  <c r="P3399" i="3"/>
  <c r="P3400" i="3"/>
  <c r="P3401" i="3"/>
  <c r="P3402" i="3"/>
  <c r="P3403" i="3"/>
  <c r="P3404" i="3"/>
  <c r="P3405" i="3"/>
  <c r="P3406" i="3"/>
  <c r="P3407" i="3"/>
  <c r="P3408" i="3"/>
  <c r="P3409" i="3"/>
  <c r="P3410" i="3"/>
  <c r="P3411" i="3"/>
  <c r="P3412" i="3"/>
  <c r="P3413" i="3"/>
  <c r="P3414" i="3"/>
  <c r="P3415" i="3"/>
  <c r="P3416" i="3"/>
  <c r="P3417" i="3"/>
  <c r="P3418" i="3"/>
  <c r="P3419" i="3"/>
  <c r="P3420" i="3"/>
  <c r="P3421" i="3"/>
  <c r="P3422" i="3"/>
  <c r="P3423" i="3"/>
  <c r="P3424" i="3"/>
  <c r="P3425" i="3"/>
  <c r="P3426" i="3"/>
  <c r="P3427" i="3"/>
  <c r="P3428" i="3"/>
  <c r="P3429" i="3"/>
  <c r="P3430" i="3"/>
  <c r="P3431" i="3"/>
  <c r="P3432" i="3"/>
  <c r="P3433" i="3"/>
  <c r="P3434" i="3"/>
  <c r="P3435" i="3"/>
  <c r="P3436" i="3"/>
  <c r="P3437" i="3"/>
  <c r="P3438" i="3"/>
  <c r="P3439" i="3"/>
  <c r="P3440" i="3"/>
  <c r="P3441" i="3"/>
  <c r="P3442" i="3"/>
  <c r="P3443" i="3"/>
  <c r="P3444" i="3"/>
  <c r="P3445" i="3"/>
  <c r="P3446" i="3"/>
  <c r="P3447" i="3"/>
  <c r="P3448" i="3"/>
  <c r="P3449" i="3"/>
  <c r="P3450" i="3"/>
  <c r="P3451" i="3"/>
  <c r="P3452" i="3"/>
  <c r="P3453" i="3"/>
  <c r="P3454" i="3"/>
  <c r="P3455" i="3"/>
  <c r="P3456" i="3"/>
  <c r="P3457" i="3"/>
  <c r="P3458" i="3"/>
  <c r="P3459" i="3"/>
  <c r="P3460" i="3"/>
  <c r="P3461" i="3"/>
  <c r="P3462" i="3"/>
  <c r="P3463" i="3"/>
  <c r="P3464" i="3"/>
  <c r="P3465" i="3"/>
  <c r="P3466" i="3"/>
  <c r="P3467" i="3"/>
  <c r="P3468" i="3"/>
  <c r="P3469" i="3"/>
  <c r="P3470" i="3"/>
  <c r="P3471" i="3"/>
  <c r="P3472" i="3"/>
  <c r="P3473" i="3"/>
  <c r="P3474" i="3"/>
  <c r="P3475" i="3"/>
  <c r="P3476" i="3"/>
  <c r="P3477" i="3"/>
  <c r="P3478" i="3"/>
  <c r="P3479" i="3"/>
  <c r="P3480" i="3"/>
  <c r="P3481" i="3"/>
  <c r="P3482" i="3"/>
  <c r="P3483" i="3"/>
  <c r="P3484" i="3"/>
  <c r="P3485" i="3"/>
  <c r="P3486" i="3"/>
  <c r="P3487" i="3"/>
  <c r="P3488" i="3"/>
  <c r="P3489" i="3"/>
  <c r="P3490" i="3"/>
  <c r="P3491" i="3"/>
  <c r="P3492" i="3"/>
  <c r="P3493" i="3"/>
  <c r="P3494" i="3"/>
  <c r="P3495" i="3"/>
  <c r="P3496" i="3"/>
  <c r="P3497" i="3"/>
  <c r="P3498" i="3"/>
  <c r="P3499" i="3"/>
  <c r="P3500" i="3"/>
  <c r="P3501" i="3"/>
  <c r="P3502" i="3"/>
  <c r="P3503" i="3"/>
  <c r="P3504" i="3"/>
  <c r="P3505" i="3"/>
  <c r="P3506" i="3"/>
  <c r="P3507" i="3"/>
  <c r="P3508" i="3"/>
  <c r="P3509" i="3"/>
  <c r="P3510" i="3"/>
  <c r="P3511" i="3"/>
  <c r="P3512" i="3"/>
  <c r="P3513" i="3"/>
  <c r="P3514" i="3"/>
  <c r="P3515" i="3"/>
  <c r="P3516" i="3"/>
  <c r="P3517" i="3"/>
  <c r="P3518" i="3"/>
  <c r="P3519" i="3"/>
  <c r="P3520" i="3"/>
  <c r="P3521" i="3"/>
  <c r="P3522" i="3"/>
  <c r="P3523" i="3"/>
  <c r="P3524" i="3"/>
  <c r="P3525" i="3"/>
  <c r="P3526" i="3"/>
  <c r="P3527" i="3"/>
  <c r="P3528" i="3"/>
  <c r="P3529" i="3"/>
  <c r="P3530" i="3"/>
  <c r="P3531" i="3"/>
  <c r="P3532" i="3"/>
  <c r="P3533" i="3"/>
  <c r="P3534" i="3"/>
  <c r="P3535" i="3"/>
  <c r="P3536" i="3"/>
  <c r="P3537" i="3"/>
  <c r="P3538" i="3"/>
  <c r="P3539" i="3"/>
  <c r="P3540" i="3"/>
  <c r="P3541" i="3"/>
  <c r="P3542" i="3"/>
  <c r="P3543" i="3"/>
  <c r="P3544" i="3"/>
  <c r="P3545" i="3"/>
  <c r="P3546" i="3"/>
  <c r="P3547" i="3"/>
  <c r="P3548" i="3"/>
  <c r="P3549" i="3"/>
  <c r="P3550" i="3"/>
  <c r="P3551" i="3"/>
  <c r="P3552" i="3"/>
  <c r="P3553" i="3"/>
  <c r="P3554" i="3"/>
  <c r="P3555" i="3"/>
  <c r="P3556" i="3"/>
  <c r="P3557" i="3"/>
  <c r="P3558" i="3"/>
  <c r="P3559" i="3"/>
  <c r="P3560" i="3"/>
  <c r="P3561" i="3"/>
  <c r="P3562" i="3"/>
  <c r="P3563" i="3"/>
  <c r="P3564" i="3"/>
  <c r="P3565" i="3"/>
  <c r="P3566" i="3"/>
  <c r="P3567" i="3"/>
  <c r="P3568" i="3"/>
  <c r="P3569" i="3"/>
  <c r="P3570" i="3"/>
  <c r="P3571" i="3"/>
  <c r="P3572" i="3"/>
  <c r="P3573" i="3"/>
  <c r="P3574" i="3"/>
  <c r="P3575" i="3"/>
  <c r="P3576" i="3"/>
  <c r="P3577" i="3"/>
  <c r="P3578" i="3"/>
  <c r="P3579" i="3"/>
  <c r="P3580" i="3"/>
  <c r="P3581" i="3"/>
  <c r="P3582" i="3"/>
  <c r="P3583" i="3"/>
  <c r="P3584" i="3"/>
  <c r="P3585" i="3"/>
  <c r="P3586" i="3"/>
  <c r="P3587" i="3"/>
  <c r="P3588" i="3"/>
  <c r="P3589" i="3"/>
  <c r="P3590" i="3"/>
  <c r="P3591" i="3"/>
  <c r="P3592" i="3"/>
  <c r="P3593" i="3"/>
  <c r="P3594" i="3"/>
  <c r="P3595" i="3"/>
  <c r="P3596" i="3"/>
  <c r="P3597" i="3"/>
  <c r="P3598" i="3"/>
  <c r="P3599" i="3"/>
  <c r="P3600" i="3"/>
  <c r="P3601" i="3"/>
  <c r="P3602" i="3"/>
  <c r="P3603" i="3"/>
  <c r="P3604" i="3"/>
  <c r="P3605" i="3"/>
  <c r="P3606" i="3"/>
  <c r="P3607" i="3"/>
  <c r="P3608" i="3"/>
  <c r="P3609" i="3"/>
  <c r="P3610" i="3"/>
  <c r="P3611" i="3"/>
  <c r="P3612" i="3"/>
  <c r="P3613" i="3"/>
  <c r="P3614" i="3"/>
  <c r="P3615" i="3"/>
  <c r="P3616" i="3"/>
  <c r="P3617" i="3"/>
  <c r="P3618" i="3"/>
  <c r="P3619" i="3"/>
  <c r="P3620" i="3"/>
  <c r="P3621" i="3"/>
  <c r="P3622" i="3"/>
  <c r="P3623" i="3"/>
  <c r="P3624" i="3"/>
  <c r="P3625" i="3"/>
  <c r="P3626" i="3"/>
  <c r="P3627" i="3"/>
  <c r="P3628" i="3"/>
  <c r="P3629" i="3"/>
  <c r="P3630" i="3"/>
  <c r="P3631" i="3"/>
  <c r="P3632" i="3"/>
  <c r="P3633" i="3"/>
  <c r="P3634" i="3"/>
  <c r="P3635" i="3"/>
  <c r="P3636" i="3"/>
  <c r="P3637" i="3"/>
  <c r="P3638" i="3"/>
  <c r="P3639" i="3"/>
  <c r="P3640" i="3"/>
  <c r="P3641" i="3"/>
  <c r="P3642" i="3"/>
  <c r="P3643" i="3"/>
  <c r="P3644" i="3"/>
  <c r="P3645" i="3"/>
  <c r="P3646" i="3"/>
  <c r="P3647" i="3"/>
  <c r="P3648" i="3"/>
  <c r="P3649" i="3"/>
  <c r="P3650" i="3"/>
  <c r="P3651" i="3"/>
  <c r="P3652" i="3"/>
  <c r="P3653" i="3"/>
  <c r="P3654" i="3"/>
  <c r="P3655" i="3"/>
  <c r="P3656" i="3"/>
  <c r="P3657" i="3"/>
  <c r="P3658" i="3"/>
  <c r="P3659" i="3"/>
  <c r="P3660" i="3"/>
  <c r="P3661" i="3"/>
  <c r="P3662" i="3"/>
  <c r="P3663" i="3"/>
  <c r="P3664" i="3"/>
  <c r="P3665" i="3"/>
  <c r="P3666" i="3"/>
  <c r="P3667" i="3"/>
  <c r="P3668" i="3"/>
  <c r="P3669" i="3"/>
  <c r="P3670" i="3"/>
  <c r="P3671" i="3"/>
  <c r="P3672" i="3"/>
  <c r="P3673" i="3"/>
  <c r="P3674" i="3"/>
  <c r="P3675" i="3"/>
  <c r="P3676" i="3"/>
  <c r="P3677" i="3"/>
  <c r="P3678" i="3"/>
  <c r="P3679" i="3"/>
  <c r="P3680" i="3"/>
  <c r="P3681" i="3"/>
  <c r="P3682" i="3"/>
  <c r="P3683" i="3"/>
  <c r="P3684" i="3"/>
  <c r="P3685" i="3"/>
  <c r="P3686" i="3"/>
  <c r="P3687" i="3"/>
  <c r="P3688" i="3"/>
  <c r="P3689" i="3"/>
  <c r="P3690" i="3"/>
  <c r="P3691" i="3"/>
  <c r="P3692" i="3"/>
  <c r="P3693" i="3"/>
  <c r="P3694" i="3"/>
  <c r="P3695" i="3"/>
  <c r="P3696" i="3"/>
  <c r="P3697" i="3"/>
  <c r="P3698" i="3"/>
  <c r="P3699" i="3"/>
  <c r="P3700" i="3"/>
  <c r="P3701" i="3"/>
  <c r="P3702" i="3"/>
  <c r="P3703" i="3"/>
  <c r="P3704" i="3"/>
  <c r="P3705" i="3"/>
  <c r="P3706" i="3"/>
  <c r="P3707" i="3"/>
  <c r="P3708" i="3"/>
  <c r="P3709" i="3"/>
  <c r="P3710" i="3"/>
  <c r="P3711" i="3"/>
  <c r="P3712" i="3"/>
  <c r="P3713" i="3"/>
  <c r="P3714" i="3"/>
  <c r="P3715" i="3"/>
  <c r="P3716" i="3"/>
  <c r="P3717" i="3"/>
  <c r="P3718" i="3"/>
  <c r="P3719" i="3"/>
  <c r="P3720" i="3"/>
  <c r="P3721" i="3"/>
  <c r="P3722" i="3"/>
  <c r="P3723" i="3"/>
  <c r="P3724" i="3"/>
  <c r="P3725" i="3"/>
  <c r="P3726" i="3"/>
  <c r="P3727" i="3"/>
  <c r="P3728" i="3"/>
  <c r="P3729" i="3"/>
  <c r="P3730" i="3"/>
  <c r="P3731" i="3"/>
  <c r="P3732" i="3"/>
  <c r="P3733" i="3"/>
  <c r="P3734" i="3"/>
  <c r="P3735" i="3"/>
  <c r="P3736" i="3"/>
  <c r="P3737" i="3"/>
  <c r="P3738" i="3"/>
  <c r="P3739" i="3"/>
  <c r="P3740" i="3"/>
  <c r="P3741" i="3"/>
  <c r="P3742" i="3"/>
  <c r="P3743" i="3"/>
  <c r="P3744" i="3"/>
  <c r="P3745" i="3"/>
  <c r="P3746" i="3"/>
  <c r="P3747" i="3"/>
  <c r="P3748" i="3"/>
  <c r="P3749" i="3"/>
  <c r="P3750" i="3"/>
  <c r="P3751" i="3"/>
  <c r="P3752" i="3"/>
  <c r="P3753" i="3"/>
  <c r="P3754" i="3"/>
  <c r="P3755" i="3"/>
  <c r="P3756" i="3"/>
  <c r="P3757" i="3"/>
  <c r="P3758" i="3"/>
  <c r="P3759" i="3"/>
  <c r="P3760" i="3"/>
  <c r="P3761" i="3"/>
  <c r="P3762" i="3"/>
  <c r="P3763" i="3"/>
  <c r="P3764" i="3"/>
  <c r="P3765" i="3"/>
  <c r="P3766" i="3"/>
  <c r="P3767" i="3"/>
  <c r="P3768" i="3"/>
  <c r="P3769" i="3"/>
  <c r="P3770" i="3"/>
  <c r="P3771" i="3"/>
  <c r="P3772" i="3"/>
  <c r="P3773" i="3"/>
  <c r="P3774" i="3"/>
  <c r="P3775" i="3"/>
  <c r="P3776" i="3"/>
  <c r="P3777" i="3"/>
  <c r="P3778" i="3"/>
  <c r="P3779" i="3"/>
  <c r="P3780" i="3"/>
  <c r="P3781" i="3"/>
  <c r="P3782" i="3"/>
  <c r="P3783" i="3"/>
  <c r="P3784" i="3"/>
  <c r="P3785" i="3"/>
  <c r="P3786" i="3"/>
  <c r="P3787" i="3"/>
  <c r="P3788" i="3"/>
  <c r="P3789" i="3"/>
  <c r="P3790" i="3"/>
  <c r="P3791" i="3"/>
  <c r="P3792" i="3"/>
  <c r="P3793" i="3"/>
  <c r="P3794" i="3"/>
  <c r="P3795" i="3"/>
  <c r="P3796" i="3"/>
  <c r="P3797" i="3"/>
  <c r="P3798" i="3"/>
  <c r="P3799" i="3"/>
  <c r="P3800" i="3"/>
  <c r="P3801" i="3"/>
  <c r="P3802" i="3"/>
  <c r="P3803" i="3"/>
  <c r="P3804" i="3"/>
  <c r="P3805" i="3"/>
  <c r="P3806" i="3"/>
  <c r="P3807" i="3"/>
  <c r="P3808" i="3"/>
  <c r="P3809" i="3"/>
  <c r="P3810" i="3"/>
  <c r="P3811" i="3"/>
  <c r="P3812" i="3"/>
  <c r="P3813" i="3"/>
  <c r="P3814" i="3"/>
  <c r="P3815" i="3"/>
  <c r="P3816" i="3"/>
  <c r="P3817" i="3"/>
  <c r="P3818" i="3"/>
  <c r="P3819" i="3"/>
  <c r="P3820" i="3"/>
  <c r="P3821" i="3"/>
  <c r="P3822" i="3"/>
  <c r="P3823" i="3"/>
  <c r="P3824" i="3"/>
  <c r="P3825" i="3"/>
  <c r="P3826" i="3"/>
  <c r="P3827" i="3"/>
  <c r="P3828" i="3"/>
  <c r="P3829" i="3"/>
  <c r="P3830" i="3"/>
  <c r="P3831" i="3"/>
  <c r="P3832" i="3"/>
  <c r="P3833" i="3"/>
  <c r="P3834" i="3"/>
  <c r="P3835" i="3"/>
  <c r="P3836" i="3"/>
  <c r="P3837" i="3"/>
  <c r="P3838" i="3"/>
  <c r="P3839" i="3"/>
  <c r="P3840" i="3"/>
  <c r="P3841" i="3"/>
  <c r="P3842" i="3"/>
  <c r="P3843" i="3"/>
  <c r="P3844" i="3"/>
  <c r="P3845" i="3"/>
  <c r="P3846" i="3"/>
  <c r="P3847" i="3"/>
  <c r="P3848" i="3"/>
  <c r="P3849" i="3"/>
  <c r="P3850" i="3"/>
  <c r="P3851" i="3"/>
  <c r="P3852" i="3"/>
  <c r="P3853" i="3"/>
  <c r="P3854" i="3"/>
  <c r="P3855" i="3"/>
  <c r="P3856" i="3"/>
  <c r="P3857" i="3"/>
  <c r="P3858" i="3"/>
  <c r="P3859" i="3"/>
  <c r="P3860" i="3"/>
  <c r="P3861" i="3"/>
  <c r="P3862" i="3"/>
  <c r="P3863" i="3"/>
  <c r="P3864" i="3"/>
  <c r="P3865" i="3"/>
  <c r="P3866" i="3"/>
  <c r="P3867" i="3"/>
  <c r="P3868" i="3"/>
  <c r="P3869" i="3"/>
  <c r="P3870" i="3"/>
  <c r="P3871" i="3"/>
  <c r="P3872" i="3"/>
  <c r="P3873" i="3"/>
  <c r="P3874" i="3"/>
  <c r="P3875" i="3"/>
  <c r="P3876" i="3"/>
  <c r="P3877" i="3"/>
  <c r="P3878" i="3"/>
  <c r="P3879" i="3"/>
  <c r="P3880" i="3"/>
  <c r="P3881" i="3"/>
  <c r="P3882" i="3"/>
  <c r="P3883" i="3"/>
  <c r="P3884" i="3"/>
  <c r="P3885" i="3"/>
  <c r="P3886" i="3"/>
  <c r="P3887" i="3"/>
  <c r="P3888" i="3"/>
  <c r="P3889" i="3"/>
  <c r="P3890" i="3"/>
  <c r="P3891" i="3"/>
  <c r="P3892" i="3"/>
  <c r="P3893" i="3"/>
  <c r="P3894" i="3"/>
  <c r="P3895" i="3"/>
  <c r="P3896" i="3"/>
  <c r="P3897" i="3"/>
  <c r="P3898" i="3"/>
  <c r="P3899" i="3"/>
  <c r="P3900" i="3"/>
  <c r="P3901" i="3"/>
  <c r="P3902" i="3"/>
  <c r="P3903" i="3"/>
  <c r="P3904" i="3"/>
  <c r="P3905" i="3"/>
  <c r="P3906" i="3"/>
  <c r="P3907" i="3"/>
  <c r="P3908" i="3"/>
  <c r="P3909" i="3"/>
  <c r="P3910" i="3"/>
  <c r="P3911" i="3"/>
  <c r="P3912" i="3"/>
  <c r="P3913" i="3"/>
  <c r="P3914" i="3"/>
  <c r="P3915" i="3"/>
  <c r="P3916" i="3"/>
  <c r="P3917" i="3"/>
  <c r="P3918" i="3"/>
  <c r="P3919" i="3"/>
  <c r="P3920" i="3"/>
  <c r="P3921" i="3"/>
  <c r="P3922" i="3"/>
  <c r="P3923" i="3"/>
  <c r="P3924" i="3"/>
  <c r="P3925" i="3"/>
  <c r="P3926" i="3"/>
  <c r="P3927" i="3"/>
  <c r="P3928" i="3"/>
  <c r="P3929" i="3"/>
  <c r="P3930" i="3"/>
  <c r="P3931" i="3"/>
  <c r="P3932" i="3"/>
  <c r="P3933" i="3"/>
  <c r="P3934" i="3"/>
  <c r="P3935" i="3"/>
  <c r="P3936" i="3"/>
  <c r="P3937" i="3"/>
  <c r="P3938" i="3"/>
  <c r="P3939" i="3"/>
  <c r="P3940" i="3"/>
  <c r="P3941" i="3"/>
  <c r="P3942" i="3"/>
  <c r="P3943" i="3"/>
  <c r="P3944" i="3"/>
  <c r="P3945" i="3"/>
  <c r="P3946" i="3"/>
  <c r="P3947" i="3"/>
  <c r="P3948" i="3"/>
  <c r="P3949" i="3"/>
  <c r="P3950" i="3"/>
  <c r="P3951" i="3"/>
  <c r="P3952" i="3"/>
  <c r="P3953" i="3"/>
  <c r="P3954" i="3"/>
  <c r="P3955" i="3"/>
  <c r="P3956" i="3"/>
  <c r="P3957" i="3"/>
  <c r="P3958" i="3"/>
  <c r="P3959" i="3"/>
  <c r="P3960" i="3"/>
  <c r="P3961" i="3"/>
  <c r="P3962" i="3"/>
  <c r="P3963" i="3"/>
  <c r="P3964" i="3"/>
  <c r="P3965" i="3"/>
  <c r="P3966" i="3"/>
  <c r="P3967" i="3"/>
  <c r="P3968" i="3"/>
  <c r="P3969" i="3"/>
  <c r="P3970" i="3"/>
  <c r="P3971" i="3"/>
  <c r="P3972" i="3"/>
  <c r="P3973" i="3"/>
  <c r="P3974" i="3"/>
  <c r="P3975" i="3"/>
  <c r="P3976" i="3"/>
  <c r="P3977" i="3"/>
  <c r="P3978" i="3"/>
  <c r="P3979" i="3"/>
  <c r="P3980" i="3"/>
  <c r="P3981" i="3"/>
  <c r="P3982" i="3"/>
  <c r="P3983" i="3"/>
  <c r="P3984" i="3"/>
  <c r="P3985" i="3"/>
  <c r="P3986" i="3"/>
  <c r="P3987" i="3"/>
  <c r="P3988" i="3"/>
  <c r="P3989" i="3"/>
  <c r="P3990" i="3"/>
  <c r="P3991" i="3"/>
  <c r="P3992" i="3"/>
  <c r="P3993" i="3"/>
  <c r="P3994" i="3"/>
  <c r="P3995" i="3"/>
  <c r="P3996" i="3"/>
  <c r="P3997" i="3"/>
  <c r="P3998" i="3"/>
  <c r="P3999" i="3"/>
  <c r="P4000" i="3"/>
  <c r="P4001" i="3"/>
  <c r="P4002" i="3"/>
  <c r="P4003" i="3"/>
  <c r="P4004" i="3"/>
  <c r="P4005" i="3"/>
  <c r="P4006" i="3"/>
  <c r="P4007" i="3"/>
  <c r="P4008" i="3"/>
  <c r="P4009" i="3"/>
  <c r="P4010" i="3"/>
  <c r="P4011" i="3"/>
  <c r="P4012" i="3"/>
  <c r="P4013" i="3"/>
  <c r="P4014" i="3"/>
  <c r="P4015" i="3"/>
  <c r="P4016" i="3"/>
  <c r="P4017" i="3"/>
  <c r="P4018" i="3"/>
  <c r="P4019" i="3"/>
  <c r="P4020" i="3"/>
  <c r="P4021" i="3"/>
  <c r="P4022" i="3"/>
  <c r="P4023" i="3"/>
  <c r="P4024" i="3"/>
  <c r="P4025" i="3"/>
  <c r="P4026" i="3"/>
  <c r="P4027" i="3"/>
  <c r="P4028" i="3"/>
  <c r="P4029" i="3"/>
  <c r="P4030" i="3"/>
  <c r="P4031" i="3"/>
  <c r="P4032" i="3"/>
  <c r="P4033" i="3"/>
  <c r="P4034" i="3"/>
  <c r="P4035" i="3"/>
  <c r="P4036" i="3"/>
  <c r="P4037" i="3"/>
  <c r="P4038" i="3"/>
  <c r="P4039" i="3"/>
  <c r="P4040" i="3"/>
  <c r="P4041" i="3"/>
  <c r="P4042" i="3"/>
  <c r="P4043" i="3"/>
  <c r="P4044" i="3"/>
  <c r="P4045" i="3"/>
  <c r="P4046" i="3"/>
  <c r="P4047" i="3"/>
  <c r="P4048" i="3"/>
  <c r="P4049" i="3"/>
  <c r="P4050" i="3"/>
  <c r="P4051" i="3"/>
  <c r="P4052" i="3"/>
  <c r="P4053" i="3"/>
  <c r="P4054" i="3"/>
  <c r="P4055" i="3"/>
  <c r="P4056" i="3"/>
  <c r="P4057" i="3"/>
  <c r="P4058" i="3"/>
  <c r="P4059" i="3"/>
  <c r="P4060" i="3"/>
  <c r="P4061" i="3"/>
  <c r="P4062" i="3"/>
  <c r="P4063" i="3"/>
  <c r="P4064" i="3"/>
  <c r="P4065" i="3"/>
  <c r="P4066" i="3"/>
  <c r="P4067" i="3"/>
  <c r="P4068" i="3"/>
  <c r="P4069" i="3"/>
  <c r="P4070" i="3"/>
  <c r="P4071" i="3"/>
  <c r="P4072" i="3"/>
  <c r="P4073" i="3"/>
  <c r="P4074" i="3"/>
  <c r="P4075" i="3"/>
  <c r="P4076" i="3"/>
  <c r="P4077" i="3"/>
  <c r="P4078" i="3"/>
  <c r="P4079" i="3"/>
  <c r="P4080" i="3"/>
  <c r="P4081" i="3"/>
  <c r="P4082" i="3"/>
  <c r="P4083" i="3"/>
  <c r="P4084" i="3"/>
  <c r="P4085" i="3"/>
  <c r="P4086" i="3"/>
  <c r="P4087" i="3"/>
  <c r="P4088" i="3"/>
  <c r="P4089" i="3"/>
  <c r="P4090" i="3"/>
  <c r="P4091" i="3"/>
  <c r="P4092" i="3"/>
  <c r="P4093" i="3"/>
  <c r="P4094" i="3"/>
  <c r="P4095" i="3"/>
  <c r="P4096" i="3"/>
  <c r="P4097" i="3"/>
  <c r="P4098" i="3"/>
  <c r="P4099" i="3"/>
  <c r="P4100" i="3"/>
  <c r="P4101" i="3"/>
  <c r="P4102" i="3"/>
  <c r="P4103" i="3"/>
  <c r="P4104" i="3"/>
  <c r="P4105" i="3"/>
  <c r="P4106" i="3"/>
  <c r="P4107" i="3"/>
  <c r="P4108" i="3"/>
  <c r="P4109" i="3"/>
  <c r="P4110" i="3"/>
  <c r="P4111" i="3"/>
  <c r="P4112" i="3"/>
  <c r="P4113" i="3"/>
  <c r="P4114" i="3"/>
  <c r="P4115" i="3"/>
  <c r="P4116" i="3"/>
  <c r="P4117" i="3"/>
  <c r="P4118" i="3"/>
  <c r="P4119" i="3"/>
  <c r="P4120" i="3"/>
  <c r="P4121" i="3"/>
  <c r="P4122" i="3"/>
  <c r="P4123" i="3"/>
  <c r="P4124" i="3"/>
  <c r="P4125" i="3"/>
  <c r="P4126" i="3"/>
  <c r="P4127" i="3"/>
  <c r="P4128" i="3"/>
  <c r="P4129" i="3"/>
  <c r="P4130" i="3"/>
  <c r="P4131" i="3"/>
  <c r="P4132" i="3"/>
  <c r="P4133" i="3"/>
  <c r="P4134" i="3"/>
  <c r="P4135" i="3"/>
  <c r="P4136" i="3"/>
  <c r="P4137" i="3"/>
  <c r="P4138" i="3"/>
  <c r="P4139" i="3"/>
  <c r="P4140" i="3"/>
  <c r="P4141" i="3"/>
  <c r="P4142" i="3"/>
  <c r="P4143" i="3"/>
  <c r="P4144" i="3"/>
  <c r="P4145" i="3"/>
  <c r="P4146" i="3"/>
  <c r="P4147" i="3"/>
  <c r="P4148" i="3"/>
  <c r="P4149" i="3"/>
  <c r="P4150" i="3"/>
  <c r="P4151" i="3"/>
  <c r="P4152" i="3"/>
  <c r="P4153" i="3"/>
  <c r="P4154" i="3"/>
  <c r="P4155" i="3"/>
  <c r="P4156" i="3"/>
  <c r="P4157" i="3"/>
  <c r="P4158" i="3"/>
  <c r="P4159" i="3"/>
  <c r="P4160" i="3"/>
  <c r="P4161" i="3"/>
  <c r="P4162" i="3"/>
  <c r="P4163" i="3"/>
  <c r="P4164" i="3"/>
  <c r="P4165" i="3"/>
  <c r="P4166" i="3"/>
  <c r="P4167" i="3"/>
  <c r="P4168" i="3"/>
  <c r="P4169" i="3"/>
  <c r="P4170" i="3"/>
  <c r="P4171" i="3"/>
  <c r="P4172" i="3"/>
  <c r="P4173" i="3"/>
  <c r="P4174" i="3"/>
  <c r="P4175" i="3"/>
  <c r="P4176" i="3"/>
  <c r="P4177" i="3"/>
  <c r="P4178" i="3"/>
  <c r="P4179" i="3"/>
  <c r="P4180" i="3"/>
  <c r="P4181" i="3"/>
  <c r="P4182" i="3"/>
  <c r="P4183" i="3"/>
  <c r="P4184" i="3"/>
  <c r="P4185" i="3"/>
  <c r="P4186" i="3"/>
  <c r="P4187" i="3"/>
  <c r="P4188" i="3"/>
  <c r="P4189" i="3"/>
  <c r="P4190" i="3"/>
  <c r="P4191" i="3"/>
  <c r="P4192" i="3"/>
  <c r="P4193" i="3"/>
  <c r="P4194" i="3"/>
  <c r="P4195" i="3"/>
  <c r="P4196" i="3"/>
  <c r="P4197" i="3"/>
  <c r="P4198" i="3"/>
  <c r="P4199" i="3"/>
  <c r="P4200" i="3"/>
  <c r="P4201" i="3"/>
  <c r="P4202" i="3"/>
  <c r="P4203" i="3"/>
  <c r="P4204" i="3"/>
  <c r="P4205" i="3"/>
  <c r="P4206" i="3"/>
  <c r="P4207" i="3"/>
  <c r="P4208" i="3"/>
  <c r="P4209" i="3"/>
  <c r="P4210" i="3"/>
  <c r="P4211" i="3"/>
  <c r="P4212" i="3"/>
  <c r="P4213" i="3"/>
  <c r="P4214" i="3"/>
  <c r="P4215" i="3"/>
  <c r="P4216" i="3"/>
  <c r="P4217" i="3"/>
  <c r="P4218" i="3"/>
  <c r="P4219" i="3"/>
  <c r="P4220" i="3"/>
  <c r="P4221" i="3"/>
  <c r="P4222" i="3"/>
  <c r="P4223" i="3"/>
  <c r="P4224" i="3"/>
  <c r="P4225" i="3"/>
  <c r="P4226" i="3"/>
  <c r="P4227" i="3"/>
  <c r="P4228" i="3"/>
  <c r="P4229" i="3"/>
  <c r="P4230" i="3"/>
  <c r="P4231" i="3"/>
  <c r="P4232" i="3"/>
  <c r="P4233" i="3"/>
  <c r="P4234" i="3"/>
  <c r="P4235" i="3"/>
  <c r="P4236" i="3"/>
  <c r="P4237" i="3"/>
  <c r="P4238" i="3"/>
  <c r="P4239" i="3"/>
  <c r="P4240" i="3"/>
  <c r="P4241" i="3"/>
  <c r="P4242" i="3"/>
  <c r="P4243" i="3"/>
  <c r="P4244" i="3"/>
  <c r="P4245" i="3"/>
  <c r="P4246" i="3"/>
  <c r="P4247" i="3"/>
  <c r="P4248" i="3"/>
  <c r="P4249" i="3"/>
  <c r="P4250" i="3"/>
  <c r="P4251" i="3"/>
  <c r="P4252" i="3"/>
  <c r="P4253" i="3"/>
  <c r="P4254" i="3"/>
  <c r="P4255" i="3"/>
  <c r="P4256" i="3"/>
  <c r="P4257" i="3"/>
  <c r="P4258" i="3"/>
  <c r="P4259" i="3"/>
  <c r="P4260" i="3"/>
  <c r="P4261" i="3"/>
  <c r="P4262" i="3"/>
  <c r="P4263" i="3"/>
  <c r="P4264" i="3"/>
  <c r="P4265" i="3"/>
  <c r="P4266" i="3"/>
  <c r="P4267" i="3"/>
  <c r="P4268" i="3"/>
  <c r="P4269" i="3"/>
  <c r="P4270" i="3"/>
  <c r="P4271" i="3"/>
  <c r="P4272" i="3"/>
  <c r="P4273" i="3"/>
  <c r="P4274" i="3"/>
  <c r="P4275" i="3"/>
  <c r="P4276" i="3"/>
  <c r="P4277" i="3"/>
  <c r="P4278" i="3"/>
  <c r="P4279" i="3"/>
  <c r="P4280" i="3"/>
  <c r="P4281" i="3"/>
  <c r="P4282" i="3"/>
  <c r="P4283" i="3"/>
  <c r="P4284" i="3"/>
  <c r="P4285" i="3"/>
  <c r="P4286" i="3"/>
  <c r="P4287" i="3"/>
  <c r="P4288" i="3"/>
  <c r="P4289" i="3"/>
  <c r="P4290" i="3"/>
  <c r="P4291" i="3"/>
  <c r="P4292" i="3"/>
  <c r="P4293" i="3"/>
  <c r="P4294" i="3"/>
  <c r="P4295" i="3"/>
  <c r="P4296" i="3"/>
  <c r="P4297" i="3"/>
  <c r="P4298" i="3"/>
  <c r="P4299" i="3"/>
  <c r="P4300" i="3"/>
  <c r="P4301" i="3"/>
  <c r="P4302" i="3"/>
  <c r="P4303" i="3"/>
  <c r="P4304" i="3"/>
  <c r="P4305" i="3"/>
  <c r="P4306" i="3"/>
  <c r="P4307" i="3"/>
  <c r="P4308" i="3"/>
  <c r="P4309" i="3"/>
  <c r="P4310" i="3"/>
  <c r="P4311" i="3"/>
  <c r="P4312" i="3"/>
  <c r="P4313" i="3"/>
  <c r="P4314" i="3"/>
  <c r="P4315" i="3"/>
  <c r="P4316" i="3"/>
  <c r="P4317" i="3"/>
  <c r="P4318" i="3"/>
  <c r="P4319" i="3"/>
  <c r="P4320" i="3"/>
  <c r="P4321" i="3"/>
  <c r="P4322" i="3"/>
  <c r="P4323" i="3"/>
  <c r="P4324" i="3"/>
  <c r="P4325" i="3"/>
  <c r="P4326" i="3"/>
  <c r="P4327" i="3"/>
  <c r="P4328" i="3"/>
  <c r="P4329" i="3"/>
  <c r="P4330" i="3"/>
  <c r="P4331" i="3"/>
  <c r="P4332" i="3"/>
  <c r="P4333" i="3"/>
  <c r="P4334" i="3"/>
  <c r="P4335" i="3"/>
  <c r="P4336" i="3"/>
  <c r="P4337" i="3"/>
  <c r="P4338" i="3"/>
  <c r="P4339" i="3"/>
  <c r="P4340" i="3"/>
  <c r="P4341" i="3"/>
  <c r="P4342" i="3"/>
  <c r="P4343" i="3"/>
  <c r="P4344" i="3"/>
  <c r="P4345" i="3"/>
  <c r="P4346" i="3"/>
  <c r="P4347" i="3"/>
  <c r="P4348" i="3"/>
  <c r="P4349" i="3"/>
  <c r="P4350" i="3"/>
  <c r="P4351" i="3"/>
  <c r="P4352" i="3"/>
  <c r="P4353" i="3"/>
  <c r="P4354" i="3"/>
  <c r="P4355" i="3"/>
  <c r="P4356" i="3"/>
  <c r="P4357" i="3"/>
  <c r="P4358" i="3"/>
  <c r="P4359" i="3"/>
  <c r="P4360" i="3"/>
  <c r="P4361" i="3"/>
  <c r="P4362" i="3"/>
  <c r="P4363" i="3"/>
  <c r="P4364" i="3"/>
  <c r="P4365" i="3"/>
  <c r="P4366" i="3"/>
  <c r="P4367" i="3"/>
  <c r="P4368" i="3"/>
  <c r="P4369" i="3"/>
  <c r="P4370" i="3"/>
  <c r="P4371" i="3"/>
  <c r="P4372" i="3"/>
  <c r="P4373" i="3"/>
  <c r="P4374" i="3"/>
  <c r="P4375" i="3"/>
  <c r="P4376" i="3"/>
  <c r="P4377" i="3"/>
  <c r="P4378" i="3"/>
  <c r="P4379" i="3"/>
  <c r="P4380" i="3"/>
  <c r="P4381" i="3"/>
  <c r="P4382" i="3"/>
  <c r="P4383" i="3"/>
  <c r="P4384" i="3"/>
  <c r="P4385" i="3"/>
  <c r="P4386" i="3"/>
  <c r="P4387" i="3"/>
  <c r="P4388" i="3"/>
  <c r="P4389" i="3"/>
  <c r="P4390" i="3"/>
  <c r="P4391" i="3"/>
  <c r="P4392" i="3"/>
  <c r="P4393" i="3"/>
  <c r="P4394" i="3"/>
  <c r="P4395" i="3"/>
  <c r="P4396" i="3"/>
  <c r="P4397" i="3"/>
  <c r="P4398" i="3"/>
  <c r="P4399" i="3"/>
  <c r="P4400" i="3"/>
  <c r="P4401" i="3"/>
  <c r="P4402" i="3"/>
  <c r="P4403" i="3"/>
  <c r="P4404" i="3"/>
  <c r="P4405" i="3"/>
  <c r="P4406" i="3"/>
  <c r="P4407" i="3"/>
  <c r="P4408" i="3"/>
  <c r="P4409" i="3"/>
  <c r="P4410" i="3"/>
  <c r="P4411" i="3"/>
  <c r="P4412" i="3"/>
  <c r="P4413" i="3"/>
  <c r="P4414" i="3"/>
  <c r="P4415" i="3"/>
  <c r="P4416" i="3"/>
  <c r="P4417" i="3"/>
  <c r="P4418" i="3"/>
  <c r="P4419" i="3"/>
  <c r="P4420" i="3"/>
  <c r="P4421" i="3"/>
  <c r="P4422" i="3"/>
  <c r="P4423" i="3"/>
  <c r="P4424" i="3"/>
  <c r="P4425" i="3"/>
  <c r="P4426" i="3"/>
  <c r="P4427" i="3"/>
  <c r="P4428" i="3"/>
  <c r="P4429" i="3"/>
  <c r="P4430" i="3"/>
  <c r="P4431" i="3"/>
  <c r="P4432" i="3"/>
  <c r="P4433" i="3"/>
  <c r="P4434" i="3"/>
  <c r="P4435" i="3"/>
  <c r="P4436" i="3"/>
  <c r="P4437" i="3"/>
  <c r="P4438" i="3"/>
  <c r="P4439" i="3"/>
  <c r="P4440" i="3"/>
  <c r="P4441" i="3"/>
  <c r="P4442" i="3"/>
  <c r="P4443" i="3"/>
  <c r="P4444" i="3"/>
  <c r="P4445" i="3"/>
  <c r="P4446" i="3"/>
  <c r="P4447" i="3"/>
  <c r="P4448" i="3"/>
  <c r="P4449" i="3"/>
  <c r="P4450" i="3"/>
  <c r="P4451" i="3"/>
  <c r="P4452" i="3"/>
  <c r="P4453" i="3"/>
  <c r="P4454" i="3"/>
  <c r="P4455" i="3"/>
  <c r="P4456" i="3"/>
  <c r="P4457" i="3"/>
  <c r="P4458" i="3"/>
  <c r="P4459" i="3"/>
  <c r="P4460" i="3"/>
  <c r="P4461" i="3"/>
  <c r="P4462" i="3"/>
  <c r="P4463" i="3"/>
  <c r="P4464" i="3"/>
  <c r="P4465" i="3"/>
  <c r="P4466" i="3"/>
  <c r="P4467" i="3"/>
  <c r="P4468" i="3"/>
  <c r="P4469" i="3"/>
  <c r="P4470" i="3"/>
  <c r="P4471" i="3"/>
  <c r="P4472" i="3"/>
  <c r="P4473" i="3"/>
  <c r="P4474" i="3"/>
  <c r="P4475" i="3"/>
  <c r="P4476" i="3"/>
  <c r="P4477" i="3"/>
  <c r="P4478" i="3"/>
  <c r="P4479" i="3"/>
  <c r="P4480" i="3"/>
  <c r="P4481" i="3"/>
  <c r="P4482" i="3"/>
  <c r="P4483" i="3"/>
  <c r="P4484" i="3"/>
  <c r="P4485" i="3"/>
  <c r="P4486" i="3"/>
  <c r="P4487" i="3"/>
  <c r="P4488" i="3"/>
  <c r="P4489" i="3"/>
  <c r="P4490" i="3"/>
  <c r="P4491" i="3"/>
  <c r="P4492" i="3"/>
  <c r="P4493" i="3"/>
  <c r="P4494" i="3"/>
  <c r="P4495" i="3"/>
  <c r="P4496" i="3"/>
  <c r="P4497" i="3"/>
  <c r="P4498" i="3"/>
  <c r="P4499" i="3"/>
  <c r="P4500" i="3"/>
  <c r="P4501" i="3"/>
  <c r="P4502" i="3"/>
  <c r="P4503" i="3"/>
  <c r="P4504" i="3"/>
  <c r="P4505" i="3"/>
  <c r="P4506" i="3"/>
  <c r="P4507" i="3"/>
  <c r="P4508" i="3"/>
  <c r="P4509" i="3"/>
  <c r="P4510" i="3"/>
  <c r="P4511" i="3"/>
  <c r="P4512" i="3"/>
  <c r="P4513" i="3"/>
  <c r="P4514" i="3"/>
  <c r="P4515" i="3"/>
  <c r="P4516" i="3"/>
  <c r="P4517" i="3"/>
  <c r="P4518" i="3"/>
  <c r="P4519" i="3"/>
  <c r="P4520" i="3"/>
  <c r="P4521" i="3"/>
  <c r="P4522" i="3"/>
  <c r="P4523" i="3"/>
  <c r="P4524" i="3"/>
  <c r="P4525" i="3"/>
  <c r="P4526" i="3"/>
  <c r="P4527" i="3"/>
  <c r="P4528" i="3"/>
  <c r="P4529" i="3"/>
  <c r="P4530" i="3"/>
  <c r="P4531" i="3"/>
  <c r="P4532" i="3"/>
  <c r="P4533" i="3"/>
  <c r="P4534" i="3"/>
  <c r="P4535" i="3"/>
  <c r="P4536" i="3"/>
  <c r="P4537" i="3"/>
  <c r="P4538" i="3"/>
  <c r="P4539" i="3"/>
  <c r="P4540" i="3"/>
  <c r="P4541" i="3"/>
  <c r="P4542" i="3"/>
  <c r="P4543" i="3"/>
  <c r="P4544" i="3"/>
  <c r="P4545" i="3"/>
  <c r="P4546" i="3"/>
  <c r="P4547" i="3"/>
  <c r="P4548" i="3"/>
  <c r="P4549" i="3"/>
  <c r="P4550" i="3"/>
  <c r="P4551" i="3"/>
  <c r="P4552" i="3"/>
  <c r="P4553" i="3"/>
  <c r="P4554" i="3"/>
  <c r="P4555" i="3"/>
  <c r="P4556" i="3"/>
  <c r="P4557" i="3"/>
  <c r="P4558" i="3"/>
  <c r="P4559" i="3"/>
  <c r="P4560" i="3"/>
  <c r="P4561" i="3"/>
  <c r="P4562" i="3"/>
  <c r="P4563" i="3"/>
  <c r="P4564" i="3"/>
  <c r="P4565" i="3"/>
  <c r="P4566" i="3"/>
  <c r="P4567" i="3"/>
  <c r="P4568" i="3"/>
  <c r="P4569" i="3"/>
  <c r="P4570" i="3"/>
  <c r="P4571" i="3"/>
  <c r="P4572" i="3"/>
  <c r="P4573" i="3"/>
  <c r="P4574" i="3"/>
  <c r="P4575" i="3"/>
  <c r="P4576" i="3"/>
  <c r="P4577" i="3"/>
  <c r="P4578" i="3"/>
  <c r="P4579" i="3"/>
  <c r="P4580" i="3"/>
  <c r="P4581" i="3"/>
  <c r="P4582" i="3"/>
  <c r="P4583" i="3"/>
  <c r="P4584" i="3"/>
  <c r="P4585" i="3"/>
  <c r="P4586" i="3"/>
  <c r="P4587" i="3"/>
  <c r="P4588" i="3"/>
  <c r="P4589" i="3"/>
  <c r="P4590" i="3"/>
  <c r="P4591" i="3"/>
  <c r="P4592" i="3"/>
  <c r="P4593" i="3"/>
  <c r="P4594" i="3"/>
  <c r="P4595" i="3"/>
  <c r="P4596" i="3"/>
  <c r="P4597" i="3"/>
  <c r="P4598" i="3"/>
  <c r="P4599" i="3"/>
  <c r="P4600" i="3"/>
  <c r="P4601" i="3"/>
  <c r="P4602" i="3"/>
  <c r="P4603" i="3"/>
  <c r="P4604" i="3"/>
  <c r="P4605" i="3"/>
  <c r="P4606" i="3"/>
  <c r="P4607" i="3"/>
  <c r="P4608" i="3"/>
  <c r="P4609" i="3"/>
  <c r="P4610" i="3"/>
  <c r="P4611" i="3"/>
  <c r="P4612" i="3"/>
  <c r="P4613" i="3"/>
  <c r="P4614" i="3"/>
  <c r="P4615" i="3"/>
  <c r="P4616" i="3"/>
  <c r="P4617" i="3"/>
  <c r="P4618" i="3"/>
  <c r="P4619" i="3"/>
  <c r="P4620" i="3"/>
  <c r="P4621" i="3"/>
  <c r="P4622" i="3"/>
  <c r="P4623" i="3"/>
  <c r="P4624" i="3"/>
  <c r="P4625" i="3"/>
  <c r="P4626" i="3"/>
  <c r="P4627" i="3"/>
  <c r="P4628" i="3"/>
  <c r="P4629" i="3"/>
  <c r="P4630" i="3"/>
  <c r="P4631" i="3"/>
  <c r="P4632" i="3"/>
  <c r="P4633" i="3"/>
  <c r="P4634" i="3"/>
  <c r="P4635" i="3"/>
  <c r="P4636" i="3"/>
  <c r="P4637" i="3"/>
  <c r="P4638" i="3"/>
  <c r="P4639" i="3"/>
  <c r="P4640" i="3"/>
  <c r="P4641" i="3"/>
  <c r="P4642" i="3"/>
  <c r="P4643" i="3"/>
  <c r="P4644" i="3"/>
  <c r="P4645" i="3"/>
  <c r="P4646" i="3"/>
  <c r="P4647" i="3"/>
  <c r="P4648" i="3"/>
  <c r="P4649" i="3"/>
  <c r="P4650" i="3"/>
  <c r="P4651" i="3"/>
  <c r="P4652" i="3"/>
  <c r="P4653" i="3"/>
  <c r="P4654" i="3"/>
  <c r="P4655" i="3"/>
  <c r="P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1232" i="3"/>
  <c r="O1233" i="3"/>
  <c r="O1234" i="3"/>
  <c r="O1235" i="3"/>
  <c r="O1236" i="3"/>
  <c r="O1237" i="3"/>
  <c r="O1238" i="3"/>
  <c r="O1239" i="3"/>
  <c r="O1240" i="3"/>
  <c r="O1241" i="3"/>
  <c r="O1242" i="3"/>
  <c r="O1243" i="3"/>
  <c r="O1244" i="3"/>
  <c r="O1245" i="3"/>
  <c r="O1246" i="3"/>
  <c r="O1247" i="3"/>
  <c r="O1248" i="3"/>
  <c r="O1249" i="3"/>
  <c r="O1250" i="3"/>
  <c r="O1251" i="3"/>
  <c r="O1252" i="3"/>
  <c r="O1253" i="3"/>
  <c r="O1254" i="3"/>
  <c r="O1255" i="3"/>
  <c r="O1256" i="3"/>
  <c r="O1257" i="3"/>
  <c r="O1258" i="3"/>
  <c r="O1259" i="3"/>
  <c r="O1260" i="3"/>
  <c r="O1261" i="3"/>
  <c r="O1262" i="3"/>
  <c r="O1263" i="3"/>
  <c r="O1264" i="3"/>
  <c r="O1265" i="3"/>
  <c r="O1266" i="3"/>
  <c r="O1267" i="3"/>
  <c r="O1268" i="3"/>
  <c r="O1269" i="3"/>
  <c r="O1270" i="3"/>
  <c r="O1271" i="3"/>
  <c r="O1272" i="3"/>
  <c r="O1273" i="3"/>
  <c r="O1274" i="3"/>
  <c r="O1275" i="3"/>
  <c r="O1276" i="3"/>
  <c r="O1277" i="3"/>
  <c r="O1278" i="3"/>
  <c r="O1279" i="3"/>
  <c r="O1280" i="3"/>
  <c r="O1281" i="3"/>
  <c r="O1282" i="3"/>
  <c r="O1283" i="3"/>
  <c r="O1284" i="3"/>
  <c r="O1285" i="3"/>
  <c r="O1286" i="3"/>
  <c r="O1287" i="3"/>
  <c r="O1288" i="3"/>
  <c r="O1289" i="3"/>
  <c r="O1290" i="3"/>
  <c r="O1291" i="3"/>
  <c r="O1292" i="3"/>
  <c r="O1293" i="3"/>
  <c r="O1294" i="3"/>
  <c r="O1295" i="3"/>
  <c r="O1296" i="3"/>
  <c r="O1297" i="3"/>
  <c r="O1298" i="3"/>
  <c r="O1299" i="3"/>
  <c r="O1300" i="3"/>
  <c r="O1301" i="3"/>
  <c r="O1302" i="3"/>
  <c r="O1303" i="3"/>
  <c r="O1304" i="3"/>
  <c r="O1305" i="3"/>
  <c r="O1306" i="3"/>
  <c r="O1307" i="3"/>
  <c r="O1308" i="3"/>
  <c r="O1309" i="3"/>
  <c r="O1310" i="3"/>
  <c r="O1311" i="3"/>
  <c r="O1312" i="3"/>
  <c r="O1313" i="3"/>
  <c r="O1314" i="3"/>
  <c r="O1315" i="3"/>
  <c r="O1316" i="3"/>
  <c r="O1317" i="3"/>
  <c r="O1318" i="3"/>
  <c r="O1319" i="3"/>
  <c r="O1320" i="3"/>
  <c r="O1321" i="3"/>
  <c r="O1322" i="3"/>
  <c r="O1323" i="3"/>
  <c r="O1324" i="3"/>
  <c r="O1325" i="3"/>
  <c r="O1326" i="3"/>
  <c r="O1327" i="3"/>
  <c r="O1328" i="3"/>
  <c r="O1329" i="3"/>
  <c r="O1330" i="3"/>
  <c r="O1331" i="3"/>
  <c r="O1332" i="3"/>
  <c r="O1333" i="3"/>
  <c r="O1334" i="3"/>
  <c r="O1335" i="3"/>
  <c r="O1336" i="3"/>
  <c r="O1337" i="3"/>
  <c r="O1338" i="3"/>
  <c r="O1339" i="3"/>
  <c r="O1340" i="3"/>
  <c r="O1341" i="3"/>
  <c r="O1342" i="3"/>
  <c r="O1343" i="3"/>
  <c r="O1344" i="3"/>
  <c r="O1345" i="3"/>
  <c r="O1346" i="3"/>
  <c r="O1347" i="3"/>
  <c r="O1348" i="3"/>
  <c r="O1349" i="3"/>
  <c r="O1350" i="3"/>
  <c r="O1351" i="3"/>
  <c r="O1352" i="3"/>
  <c r="O1353" i="3"/>
  <c r="O1354" i="3"/>
  <c r="O1355" i="3"/>
  <c r="O1356" i="3"/>
  <c r="O1357" i="3"/>
  <c r="O1358" i="3"/>
  <c r="O1359" i="3"/>
  <c r="O1360" i="3"/>
  <c r="O1361" i="3"/>
  <c r="O1362" i="3"/>
  <c r="O1363" i="3"/>
  <c r="O1364" i="3"/>
  <c r="O1365" i="3"/>
  <c r="O1366" i="3"/>
  <c r="O1367" i="3"/>
  <c r="O1368" i="3"/>
  <c r="O1369" i="3"/>
  <c r="O1370" i="3"/>
  <c r="O1371" i="3"/>
  <c r="O1372" i="3"/>
  <c r="O1373" i="3"/>
  <c r="O1374" i="3"/>
  <c r="O1375" i="3"/>
  <c r="O1376" i="3"/>
  <c r="O1377" i="3"/>
  <c r="O1378" i="3"/>
  <c r="O1379" i="3"/>
  <c r="O1380" i="3"/>
  <c r="O1381" i="3"/>
  <c r="O1382" i="3"/>
  <c r="O1383" i="3"/>
  <c r="O1384" i="3"/>
  <c r="O1385" i="3"/>
  <c r="O1386" i="3"/>
  <c r="O1387" i="3"/>
  <c r="O1388" i="3"/>
  <c r="O1389" i="3"/>
  <c r="O1390" i="3"/>
  <c r="O1391" i="3"/>
  <c r="O1392" i="3"/>
  <c r="O1393" i="3"/>
  <c r="O1394" i="3"/>
  <c r="O1395" i="3"/>
  <c r="O1396" i="3"/>
  <c r="O1397" i="3"/>
  <c r="O1398" i="3"/>
  <c r="O1399" i="3"/>
  <c r="O1400" i="3"/>
  <c r="O1401" i="3"/>
  <c r="O1402" i="3"/>
  <c r="O1403" i="3"/>
  <c r="O1404" i="3"/>
  <c r="O1405" i="3"/>
  <c r="O1406" i="3"/>
  <c r="O1407" i="3"/>
  <c r="O1408" i="3"/>
  <c r="O1409" i="3"/>
  <c r="O1410" i="3"/>
  <c r="O1411" i="3"/>
  <c r="O1412" i="3"/>
  <c r="O1413" i="3"/>
  <c r="O1414" i="3"/>
  <c r="O1415" i="3"/>
  <c r="O1416" i="3"/>
  <c r="O1417" i="3"/>
  <c r="O1418" i="3"/>
  <c r="O1419" i="3"/>
  <c r="O1420" i="3"/>
  <c r="O1421" i="3"/>
  <c r="O1422" i="3"/>
  <c r="O1423" i="3"/>
  <c r="O1424" i="3"/>
  <c r="O1425" i="3"/>
  <c r="O1426" i="3"/>
  <c r="O1427" i="3"/>
  <c r="O1428" i="3"/>
  <c r="O1429" i="3"/>
  <c r="O1430" i="3"/>
  <c r="O1431" i="3"/>
  <c r="O1432" i="3"/>
  <c r="O1433" i="3"/>
  <c r="O1434" i="3"/>
  <c r="O1435" i="3"/>
  <c r="O1436" i="3"/>
  <c r="O1437" i="3"/>
  <c r="O1438" i="3"/>
  <c r="O1439" i="3"/>
  <c r="O1440" i="3"/>
  <c r="O1441" i="3"/>
  <c r="O1442" i="3"/>
  <c r="O1443" i="3"/>
  <c r="O1444" i="3"/>
  <c r="O1445" i="3"/>
  <c r="O1446" i="3"/>
  <c r="O1447" i="3"/>
  <c r="O1448" i="3"/>
  <c r="O1449" i="3"/>
  <c r="O1450" i="3"/>
  <c r="O1451" i="3"/>
  <c r="O1452" i="3"/>
  <c r="O1453" i="3"/>
  <c r="O1454" i="3"/>
  <c r="O1455" i="3"/>
  <c r="O1456" i="3"/>
  <c r="O1457" i="3"/>
  <c r="O1458" i="3"/>
  <c r="O1459" i="3"/>
  <c r="O1460" i="3"/>
  <c r="O1461" i="3"/>
  <c r="O1462" i="3"/>
  <c r="O1463" i="3"/>
  <c r="O1464" i="3"/>
  <c r="O1465" i="3"/>
  <c r="O1466" i="3"/>
  <c r="O1467" i="3"/>
  <c r="O1468" i="3"/>
  <c r="O1469" i="3"/>
  <c r="O1470" i="3"/>
  <c r="O1471" i="3"/>
  <c r="O1472" i="3"/>
  <c r="O1473" i="3"/>
  <c r="O1474" i="3"/>
  <c r="O1475" i="3"/>
  <c r="O1476" i="3"/>
  <c r="O1477" i="3"/>
  <c r="O1478" i="3"/>
  <c r="O1479" i="3"/>
  <c r="O1480" i="3"/>
  <c r="O1481" i="3"/>
  <c r="O1482" i="3"/>
  <c r="O1483" i="3"/>
  <c r="O1484" i="3"/>
  <c r="O1485" i="3"/>
  <c r="O1486" i="3"/>
  <c r="O1487" i="3"/>
  <c r="O1488" i="3"/>
  <c r="O1489" i="3"/>
  <c r="O1490" i="3"/>
  <c r="O1491" i="3"/>
  <c r="O1492" i="3"/>
  <c r="O1493" i="3"/>
  <c r="O1494" i="3"/>
  <c r="O1495" i="3"/>
  <c r="O1496" i="3"/>
  <c r="O1497" i="3"/>
  <c r="O1498" i="3"/>
  <c r="O1499" i="3"/>
  <c r="O1500" i="3"/>
  <c r="O1501" i="3"/>
  <c r="O1502" i="3"/>
  <c r="O1503" i="3"/>
  <c r="O1504" i="3"/>
  <c r="O1505" i="3"/>
  <c r="O1506" i="3"/>
  <c r="O1507" i="3"/>
  <c r="O1508" i="3"/>
  <c r="O1509" i="3"/>
  <c r="O1510" i="3"/>
  <c r="O1511" i="3"/>
  <c r="O1512" i="3"/>
  <c r="O1513" i="3"/>
  <c r="O1514" i="3"/>
  <c r="O1515" i="3"/>
  <c r="O1516" i="3"/>
  <c r="O1517" i="3"/>
  <c r="O1518" i="3"/>
  <c r="O1519" i="3"/>
  <c r="O1520" i="3"/>
  <c r="O1521" i="3"/>
  <c r="O1522" i="3"/>
  <c r="O1523" i="3"/>
  <c r="O1524" i="3"/>
  <c r="O1525" i="3"/>
  <c r="O1526" i="3"/>
  <c r="O1527" i="3"/>
  <c r="O1528" i="3"/>
  <c r="O1529" i="3"/>
  <c r="O1530" i="3"/>
  <c r="O1531" i="3"/>
  <c r="O1532" i="3"/>
  <c r="O1533" i="3"/>
  <c r="O1534" i="3"/>
  <c r="O1535" i="3"/>
  <c r="O1536" i="3"/>
  <c r="O1537" i="3"/>
  <c r="O1538" i="3"/>
  <c r="O1539" i="3"/>
  <c r="O1540" i="3"/>
  <c r="O1541" i="3"/>
  <c r="O1542" i="3"/>
  <c r="O1543" i="3"/>
  <c r="O1544" i="3"/>
  <c r="O1545" i="3"/>
  <c r="O1546" i="3"/>
  <c r="O1547" i="3"/>
  <c r="O1548" i="3"/>
  <c r="O1549" i="3"/>
  <c r="O1550" i="3"/>
  <c r="O1551" i="3"/>
  <c r="O1552" i="3"/>
  <c r="O1553" i="3"/>
  <c r="O1554" i="3"/>
  <c r="O1555" i="3"/>
  <c r="O1556" i="3"/>
  <c r="O1557" i="3"/>
  <c r="O1558" i="3"/>
  <c r="O1559" i="3"/>
  <c r="O1560" i="3"/>
  <c r="O1561" i="3"/>
  <c r="O1562" i="3"/>
  <c r="O1563" i="3"/>
  <c r="O1564" i="3"/>
  <c r="O1565" i="3"/>
  <c r="O1566" i="3"/>
  <c r="O1567" i="3"/>
  <c r="O1568" i="3"/>
  <c r="O1569" i="3"/>
  <c r="O1570" i="3"/>
  <c r="O1571" i="3"/>
  <c r="O1572" i="3"/>
  <c r="O1573" i="3"/>
  <c r="O1574" i="3"/>
  <c r="O1575" i="3"/>
  <c r="O1576" i="3"/>
  <c r="O1577" i="3"/>
  <c r="O1578" i="3"/>
  <c r="O1579" i="3"/>
  <c r="O1580" i="3"/>
  <c r="O1581" i="3"/>
  <c r="O1582" i="3"/>
  <c r="O1583" i="3"/>
  <c r="O1584" i="3"/>
  <c r="O1585" i="3"/>
  <c r="O1586" i="3"/>
  <c r="O1587" i="3"/>
  <c r="O1588" i="3"/>
  <c r="O1589" i="3"/>
  <c r="O1590" i="3"/>
  <c r="O1591" i="3"/>
  <c r="O1592" i="3"/>
  <c r="O1593" i="3"/>
  <c r="O1594" i="3"/>
  <c r="O1595" i="3"/>
  <c r="O1596" i="3"/>
  <c r="O1597" i="3"/>
  <c r="O1598" i="3"/>
  <c r="O1599" i="3"/>
  <c r="O1600" i="3"/>
  <c r="O1601" i="3"/>
  <c r="O1602" i="3"/>
  <c r="O1603" i="3"/>
  <c r="O1604" i="3"/>
  <c r="O1605" i="3"/>
  <c r="O1606" i="3"/>
  <c r="O1607" i="3"/>
  <c r="O1608" i="3"/>
  <c r="O1609" i="3"/>
  <c r="O1610" i="3"/>
  <c r="O1611" i="3"/>
  <c r="O1612" i="3"/>
  <c r="O1613" i="3"/>
  <c r="O1614" i="3"/>
  <c r="O1615" i="3"/>
  <c r="O1616" i="3"/>
  <c r="O1617" i="3"/>
  <c r="O1618" i="3"/>
  <c r="O1619" i="3"/>
  <c r="O1620" i="3"/>
  <c r="O1621" i="3"/>
  <c r="O1622" i="3"/>
  <c r="O1623" i="3"/>
  <c r="O1624" i="3"/>
  <c r="O1625" i="3"/>
  <c r="O1626" i="3"/>
  <c r="O1627" i="3"/>
  <c r="O1628" i="3"/>
  <c r="O1629" i="3"/>
  <c r="O1630" i="3"/>
  <c r="O1631" i="3"/>
  <c r="O1632" i="3"/>
  <c r="O1633" i="3"/>
  <c r="O1634" i="3"/>
  <c r="O1635" i="3"/>
  <c r="O1636" i="3"/>
  <c r="O1637" i="3"/>
  <c r="O1638" i="3"/>
  <c r="O1639" i="3"/>
  <c r="O1640" i="3"/>
  <c r="O1641" i="3"/>
  <c r="O1642" i="3"/>
  <c r="O1643" i="3"/>
  <c r="O1644" i="3"/>
  <c r="O1645" i="3"/>
  <c r="O1646" i="3"/>
  <c r="O1647" i="3"/>
  <c r="O1648" i="3"/>
  <c r="O1649" i="3"/>
  <c r="O1650" i="3"/>
  <c r="O1651" i="3"/>
  <c r="O1652" i="3"/>
  <c r="O1653" i="3"/>
  <c r="O1654" i="3"/>
  <c r="O1655" i="3"/>
  <c r="O1656" i="3"/>
  <c r="O1657" i="3"/>
  <c r="O1658" i="3"/>
  <c r="O1659" i="3"/>
  <c r="O1660" i="3"/>
  <c r="O1661" i="3"/>
  <c r="O1662" i="3"/>
  <c r="O1663" i="3"/>
  <c r="O1664" i="3"/>
  <c r="O1665" i="3"/>
  <c r="O1666" i="3"/>
  <c r="O1667" i="3"/>
  <c r="O1668" i="3"/>
  <c r="O1669" i="3"/>
  <c r="O1670" i="3"/>
  <c r="O1671" i="3"/>
  <c r="O1672" i="3"/>
  <c r="O1673" i="3"/>
  <c r="O1674" i="3"/>
  <c r="O1675" i="3"/>
  <c r="O1676" i="3"/>
  <c r="O1677" i="3"/>
  <c r="O1678" i="3"/>
  <c r="O1679" i="3"/>
  <c r="O1680" i="3"/>
  <c r="O1681" i="3"/>
  <c r="O1682" i="3"/>
  <c r="O1683" i="3"/>
  <c r="O1684" i="3"/>
  <c r="O1685" i="3"/>
  <c r="O1686" i="3"/>
  <c r="O1687" i="3"/>
  <c r="O1688" i="3"/>
  <c r="O1689" i="3"/>
  <c r="O1690" i="3"/>
  <c r="O1691" i="3"/>
  <c r="O1692" i="3"/>
  <c r="O1693" i="3"/>
  <c r="O1694" i="3"/>
  <c r="O1695" i="3"/>
  <c r="O1696" i="3"/>
  <c r="O1697" i="3"/>
  <c r="O1698" i="3"/>
  <c r="O1699" i="3"/>
  <c r="O1700" i="3"/>
  <c r="O1701" i="3"/>
  <c r="O1702" i="3"/>
  <c r="O1703" i="3"/>
  <c r="O1704" i="3"/>
  <c r="O1705" i="3"/>
  <c r="O1706" i="3"/>
  <c r="O1707" i="3"/>
  <c r="O1708" i="3"/>
  <c r="O1709" i="3"/>
  <c r="O1710" i="3"/>
  <c r="O1711" i="3"/>
  <c r="O1712" i="3"/>
  <c r="O1713" i="3"/>
  <c r="O1714" i="3"/>
  <c r="O1715" i="3"/>
  <c r="O1716" i="3"/>
  <c r="O1717" i="3"/>
  <c r="O1718" i="3"/>
  <c r="O1719" i="3"/>
  <c r="O1720" i="3"/>
  <c r="O1721" i="3"/>
  <c r="O1722" i="3"/>
  <c r="O1723" i="3"/>
  <c r="O1724" i="3"/>
  <c r="O1725" i="3"/>
  <c r="O1726" i="3"/>
  <c r="O1727" i="3"/>
  <c r="O1728" i="3"/>
  <c r="O1729" i="3"/>
  <c r="O1730" i="3"/>
  <c r="O1731" i="3"/>
  <c r="O1732" i="3"/>
  <c r="O1733" i="3"/>
  <c r="O1734" i="3"/>
  <c r="O1735" i="3"/>
  <c r="O1736" i="3"/>
  <c r="O1737" i="3"/>
  <c r="O1738" i="3"/>
  <c r="O1739" i="3"/>
  <c r="O1740" i="3"/>
  <c r="O1741" i="3"/>
  <c r="O1742" i="3"/>
  <c r="O1743" i="3"/>
  <c r="O1744" i="3"/>
  <c r="O1745" i="3"/>
  <c r="O1746" i="3"/>
  <c r="O1747" i="3"/>
  <c r="O1748" i="3"/>
  <c r="O1749" i="3"/>
  <c r="O1750" i="3"/>
  <c r="O1751" i="3"/>
  <c r="O1752" i="3"/>
  <c r="O1753" i="3"/>
  <c r="O1754" i="3"/>
  <c r="O1755" i="3"/>
  <c r="O1756" i="3"/>
  <c r="O1757" i="3"/>
  <c r="O1758" i="3"/>
  <c r="O1759" i="3"/>
  <c r="O1760" i="3"/>
  <c r="O1761" i="3"/>
  <c r="O1762" i="3"/>
  <c r="O1763" i="3"/>
  <c r="O1764" i="3"/>
  <c r="O1765" i="3"/>
  <c r="O1766" i="3"/>
  <c r="O1767" i="3"/>
  <c r="O1768" i="3"/>
  <c r="O1769" i="3"/>
  <c r="O1770" i="3"/>
  <c r="O1771" i="3"/>
  <c r="O1772" i="3"/>
  <c r="O1773" i="3"/>
  <c r="O1774" i="3"/>
  <c r="O1775" i="3"/>
  <c r="O1776" i="3"/>
  <c r="O1777" i="3"/>
  <c r="O1778" i="3"/>
  <c r="O1779" i="3"/>
  <c r="O1780" i="3"/>
  <c r="O1781" i="3"/>
  <c r="O1782" i="3"/>
  <c r="O1783" i="3"/>
  <c r="O1784" i="3"/>
  <c r="O1785" i="3"/>
  <c r="O1786" i="3"/>
  <c r="O1787" i="3"/>
  <c r="O1788" i="3"/>
  <c r="O1789" i="3"/>
  <c r="O1790" i="3"/>
  <c r="O1791" i="3"/>
  <c r="O1792" i="3"/>
  <c r="O1793" i="3"/>
  <c r="O1794" i="3"/>
  <c r="O1795" i="3"/>
  <c r="O1796" i="3"/>
  <c r="O1797" i="3"/>
  <c r="O1798" i="3"/>
  <c r="O1799" i="3"/>
  <c r="O1800" i="3"/>
  <c r="O1801" i="3"/>
  <c r="O1802" i="3"/>
  <c r="O1803" i="3"/>
  <c r="O1804" i="3"/>
  <c r="O1805" i="3"/>
  <c r="O1806" i="3"/>
  <c r="O1807" i="3"/>
  <c r="O1808" i="3"/>
  <c r="O1809" i="3"/>
  <c r="O1810" i="3"/>
  <c r="O1811" i="3"/>
  <c r="O1812" i="3"/>
  <c r="O1813" i="3"/>
  <c r="O1814" i="3"/>
  <c r="O1815" i="3"/>
  <c r="O1816" i="3"/>
  <c r="O1817" i="3"/>
  <c r="O1818" i="3"/>
  <c r="O1819" i="3"/>
  <c r="O1820" i="3"/>
  <c r="O1821" i="3"/>
  <c r="O1822" i="3"/>
  <c r="O1823" i="3"/>
  <c r="O1824" i="3"/>
  <c r="O1825" i="3"/>
  <c r="O1826" i="3"/>
  <c r="O1827" i="3"/>
  <c r="O1828" i="3"/>
  <c r="O1829" i="3"/>
  <c r="O1830" i="3"/>
  <c r="O1831" i="3"/>
  <c r="O1832" i="3"/>
  <c r="O1833" i="3"/>
  <c r="O1834" i="3"/>
  <c r="O1835" i="3"/>
  <c r="O1836" i="3"/>
  <c r="O1837" i="3"/>
  <c r="O1838" i="3"/>
  <c r="O1839" i="3"/>
  <c r="O1840" i="3"/>
  <c r="O1841" i="3"/>
  <c r="O1842" i="3"/>
  <c r="O1843" i="3"/>
  <c r="O1844" i="3"/>
  <c r="O1845" i="3"/>
  <c r="O1846" i="3"/>
  <c r="O1847" i="3"/>
  <c r="O1848" i="3"/>
  <c r="O1849" i="3"/>
  <c r="O1850" i="3"/>
  <c r="O1851" i="3"/>
  <c r="O1852" i="3"/>
  <c r="O1853" i="3"/>
  <c r="O1854" i="3"/>
  <c r="O1855" i="3"/>
  <c r="O1856" i="3"/>
  <c r="O1857" i="3"/>
  <c r="O1858" i="3"/>
  <c r="O1859" i="3"/>
  <c r="O1860" i="3"/>
  <c r="O1861" i="3"/>
  <c r="O1862" i="3"/>
  <c r="O1863" i="3"/>
  <c r="O1864" i="3"/>
  <c r="O1865" i="3"/>
  <c r="O1866" i="3"/>
  <c r="O1867" i="3"/>
  <c r="O1868" i="3"/>
  <c r="O1869" i="3"/>
  <c r="O1870" i="3"/>
  <c r="O1871" i="3"/>
  <c r="O1872" i="3"/>
  <c r="O1873" i="3"/>
  <c r="O1874" i="3"/>
  <c r="O1875" i="3"/>
  <c r="O1876" i="3"/>
  <c r="O1877" i="3"/>
  <c r="O1878" i="3"/>
  <c r="O1879" i="3"/>
  <c r="O1880" i="3"/>
  <c r="O1881" i="3"/>
  <c r="O1882" i="3"/>
  <c r="O1883" i="3"/>
  <c r="O1884" i="3"/>
  <c r="O1885" i="3"/>
  <c r="O1886" i="3"/>
  <c r="O1887" i="3"/>
  <c r="O1888" i="3"/>
  <c r="O1889" i="3"/>
  <c r="O1890" i="3"/>
  <c r="O1891" i="3"/>
  <c r="O1892" i="3"/>
  <c r="O1893" i="3"/>
  <c r="O1894" i="3"/>
  <c r="O1895" i="3"/>
  <c r="O1896" i="3"/>
  <c r="O1897" i="3"/>
  <c r="O1898" i="3"/>
  <c r="O1899" i="3"/>
  <c r="O1900" i="3"/>
  <c r="O1901" i="3"/>
  <c r="O1902" i="3"/>
  <c r="O1903" i="3"/>
  <c r="O1904" i="3"/>
  <c r="O1905" i="3"/>
  <c r="O1906" i="3"/>
  <c r="O1907" i="3"/>
  <c r="O1908" i="3"/>
  <c r="O1909" i="3"/>
  <c r="O1910" i="3"/>
  <c r="O1911" i="3"/>
  <c r="O1912" i="3"/>
  <c r="O1913" i="3"/>
  <c r="O1914" i="3"/>
  <c r="O1915" i="3"/>
  <c r="O1916" i="3"/>
  <c r="O1917" i="3"/>
  <c r="O1918" i="3"/>
  <c r="O1919" i="3"/>
  <c r="O1920" i="3"/>
  <c r="O1921" i="3"/>
  <c r="O1922" i="3"/>
  <c r="O1923" i="3"/>
  <c r="O1924" i="3"/>
  <c r="O1925" i="3"/>
  <c r="O1926" i="3"/>
  <c r="O1927" i="3"/>
  <c r="O1928" i="3"/>
  <c r="O1929" i="3"/>
  <c r="O1930" i="3"/>
  <c r="O1931" i="3"/>
  <c r="O1932" i="3"/>
  <c r="O1933" i="3"/>
  <c r="O1934" i="3"/>
  <c r="O1935" i="3"/>
  <c r="O1936" i="3"/>
  <c r="O1937" i="3"/>
  <c r="O1938" i="3"/>
  <c r="O1939" i="3"/>
  <c r="O1940" i="3"/>
  <c r="O1941" i="3"/>
  <c r="O1942" i="3"/>
  <c r="O1943" i="3"/>
  <c r="O1944" i="3"/>
  <c r="O1945" i="3"/>
  <c r="O1946" i="3"/>
  <c r="O1947" i="3"/>
  <c r="O1948" i="3"/>
  <c r="O1949" i="3"/>
  <c r="O1950" i="3"/>
  <c r="O1951" i="3"/>
  <c r="O1952" i="3"/>
  <c r="O1953" i="3"/>
  <c r="O1954" i="3"/>
  <c r="O1955" i="3"/>
  <c r="O1956" i="3"/>
  <c r="O1957" i="3"/>
  <c r="O1958" i="3"/>
  <c r="O1959" i="3"/>
  <c r="O1960" i="3"/>
  <c r="O1961" i="3"/>
  <c r="O1962" i="3"/>
  <c r="O1963" i="3"/>
  <c r="O1964" i="3"/>
  <c r="O1965" i="3"/>
  <c r="O1966" i="3"/>
  <c r="O1967" i="3"/>
  <c r="O1968" i="3"/>
  <c r="O1969" i="3"/>
  <c r="O1970" i="3"/>
  <c r="O1971" i="3"/>
  <c r="O1972" i="3"/>
  <c r="O1973" i="3"/>
  <c r="O1974" i="3"/>
  <c r="O1975" i="3"/>
  <c r="O1976" i="3"/>
  <c r="O1977" i="3"/>
  <c r="O1978" i="3"/>
  <c r="O1979" i="3"/>
  <c r="O1980" i="3"/>
  <c r="O1981" i="3"/>
  <c r="O1982" i="3"/>
  <c r="O1983" i="3"/>
  <c r="O1984" i="3"/>
  <c r="O1985" i="3"/>
  <c r="O1986" i="3"/>
  <c r="O1987" i="3"/>
  <c r="O1988" i="3"/>
  <c r="O1989" i="3"/>
  <c r="O1990" i="3"/>
  <c r="O1991" i="3"/>
  <c r="O1992" i="3"/>
  <c r="O1993" i="3"/>
  <c r="O1994" i="3"/>
  <c r="O1995" i="3"/>
  <c r="O1996" i="3"/>
  <c r="O1997" i="3"/>
  <c r="O1998" i="3"/>
  <c r="O1999" i="3"/>
  <c r="O2000" i="3"/>
  <c r="O2001" i="3"/>
  <c r="O2002" i="3"/>
  <c r="O2003" i="3"/>
  <c r="O2004" i="3"/>
  <c r="O2005" i="3"/>
  <c r="O2006" i="3"/>
  <c r="O2007" i="3"/>
  <c r="O2008" i="3"/>
  <c r="O2009" i="3"/>
  <c r="O2010" i="3"/>
  <c r="O2011" i="3"/>
  <c r="O2012" i="3"/>
  <c r="O2013" i="3"/>
  <c r="O2014" i="3"/>
  <c r="O2015" i="3"/>
  <c r="O2016" i="3"/>
  <c r="O2017" i="3"/>
  <c r="O2018" i="3"/>
  <c r="O2019" i="3"/>
  <c r="O2020" i="3"/>
  <c r="O2021" i="3"/>
  <c r="O2022" i="3"/>
  <c r="O2023" i="3"/>
  <c r="O2024" i="3"/>
  <c r="O2025" i="3"/>
  <c r="O2026" i="3"/>
  <c r="O2027" i="3"/>
  <c r="O2028" i="3"/>
  <c r="O2029" i="3"/>
  <c r="O2030" i="3"/>
  <c r="O2031" i="3"/>
  <c r="O2032" i="3"/>
  <c r="O2033" i="3"/>
  <c r="O2034" i="3"/>
  <c r="O2035" i="3"/>
  <c r="O2036" i="3"/>
  <c r="O2037" i="3"/>
  <c r="O2038" i="3"/>
  <c r="O2039" i="3"/>
  <c r="O2040" i="3"/>
  <c r="O2041" i="3"/>
  <c r="O2042" i="3"/>
  <c r="O2043" i="3"/>
  <c r="O2044" i="3"/>
  <c r="O2045" i="3"/>
  <c r="O2046" i="3"/>
  <c r="O2047" i="3"/>
  <c r="O2048" i="3"/>
  <c r="O2049" i="3"/>
  <c r="O2050" i="3"/>
  <c r="O2051" i="3"/>
  <c r="O2052" i="3"/>
  <c r="O2053" i="3"/>
  <c r="O2054" i="3"/>
  <c r="O2055" i="3"/>
  <c r="O2056" i="3"/>
  <c r="O2057" i="3"/>
  <c r="O2058" i="3"/>
  <c r="O2059" i="3"/>
  <c r="O2060" i="3"/>
  <c r="O2061" i="3"/>
  <c r="O2062" i="3"/>
  <c r="O2063" i="3"/>
  <c r="O2064" i="3"/>
  <c r="O2065" i="3"/>
  <c r="O2066" i="3"/>
  <c r="O2067" i="3"/>
  <c r="O2068" i="3"/>
  <c r="O2069" i="3"/>
  <c r="O2070" i="3"/>
  <c r="O2071" i="3"/>
  <c r="O2072" i="3"/>
  <c r="O2073" i="3"/>
  <c r="O2074" i="3"/>
  <c r="O2075" i="3"/>
  <c r="O2076" i="3"/>
  <c r="O2077" i="3"/>
  <c r="O2078" i="3"/>
  <c r="O2079" i="3"/>
  <c r="O2080" i="3"/>
  <c r="O2081" i="3"/>
  <c r="O2082" i="3"/>
  <c r="O2083" i="3"/>
  <c r="O2084" i="3"/>
  <c r="O2085" i="3"/>
  <c r="O2086" i="3"/>
  <c r="O2087" i="3"/>
  <c r="O2088" i="3"/>
  <c r="O2089" i="3"/>
  <c r="O2090" i="3"/>
  <c r="O2091" i="3"/>
  <c r="O2092" i="3"/>
  <c r="O2093" i="3"/>
  <c r="O2094" i="3"/>
  <c r="O2095" i="3"/>
  <c r="O2096" i="3"/>
  <c r="O2097" i="3"/>
  <c r="O2098" i="3"/>
  <c r="O2099" i="3"/>
  <c r="O2100" i="3"/>
  <c r="O2101" i="3"/>
  <c r="O2102" i="3"/>
  <c r="O2103" i="3"/>
  <c r="O2104" i="3"/>
  <c r="O2105" i="3"/>
  <c r="O2106" i="3"/>
  <c r="O2107" i="3"/>
  <c r="O2108" i="3"/>
  <c r="O2109" i="3"/>
  <c r="O2110" i="3"/>
  <c r="O2111" i="3"/>
  <c r="O2112" i="3"/>
  <c r="O2113" i="3"/>
  <c r="O2114" i="3"/>
  <c r="O2115" i="3"/>
  <c r="O2116" i="3"/>
  <c r="O2117" i="3"/>
  <c r="O2118" i="3"/>
  <c r="O2119" i="3"/>
  <c r="O2120" i="3"/>
  <c r="O2121" i="3"/>
  <c r="O2122" i="3"/>
  <c r="O2123" i="3"/>
  <c r="O2124" i="3"/>
  <c r="O2125" i="3"/>
  <c r="O2126" i="3"/>
  <c r="O2127" i="3"/>
  <c r="O2128" i="3"/>
  <c r="O2129" i="3"/>
  <c r="O2130" i="3"/>
  <c r="O2131" i="3"/>
  <c r="O2132" i="3"/>
  <c r="O2133" i="3"/>
  <c r="O2134" i="3"/>
  <c r="O2135" i="3"/>
  <c r="O2136" i="3"/>
  <c r="O2137" i="3"/>
  <c r="O2138" i="3"/>
  <c r="O2139" i="3"/>
  <c r="O2140" i="3"/>
  <c r="O2141" i="3"/>
  <c r="O2142" i="3"/>
  <c r="O2143" i="3"/>
  <c r="O2144" i="3"/>
  <c r="O2145" i="3"/>
  <c r="O2146" i="3"/>
  <c r="O2147" i="3"/>
  <c r="O2148" i="3"/>
  <c r="O2149" i="3"/>
  <c r="O2150" i="3"/>
  <c r="O2151" i="3"/>
  <c r="O2152" i="3"/>
  <c r="O2153" i="3"/>
  <c r="O2154" i="3"/>
  <c r="O2155" i="3"/>
  <c r="O2156" i="3"/>
  <c r="O2157" i="3"/>
  <c r="O2158" i="3"/>
  <c r="O2159" i="3"/>
  <c r="O2160" i="3"/>
  <c r="O2161" i="3"/>
  <c r="O2162" i="3"/>
  <c r="O2163" i="3"/>
  <c r="O2164" i="3"/>
  <c r="O2165" i="3"/>
  <c r="O2166" i="3"/>
  <c r="O2167" i="3"/>
  <c r="O2168" i="3"/>
  <c r="O2169" i="3"/>
  <c r="O2170" i="3"/>
  <c r="O2171" i="3"/>
  <c r="O2172" i="3"/>
  <c r="O2173" i="3"/>
  <c r="O2174" i="3"/>
  <c r="O2175" i="3"/>
  <c r="O2176" i="3"/>
  <c r="O2177" i="3"/>
  <c r="O2178" i="3"/>
  <c r="O2179" i="3"/>
  <c r="O2180" i="3"/>
  <c r="O2181" i="3"/>
  <c r="O2182" i="3"/>
  <c r="O2183" i="3"/>
  <c r="O2184" i="3"/>
  <c r="O2185" i="3"/>
  <c r="O2186" i="3"/>
  <c r="O2187" i="3"/>
  <c r="O2188" i="3"/>
  <c r="O2189" i="3"/>
  <c r="O2190" i="3"/>
  <c r="O2191" i="3"/>
  <c r="O2192" i="3"/>
  <c r="O2193" i="3"/>
  <c r="O2194" i="3"/>
  <c r="O2195" i="3"/>
  <c r="O2196" i="3"/>
  <c r="O2197" i="3"/>
  <c r="O2198" i="3"/>
  <c r="O2199" i="3"/>
  <c r="O2200" i="3"/>
  <c r="O2201" i="3"/>
  <c r="O2202" i="3"/>
  <c r="O2203" i="3"/>
  <c r="O2204" i="3"/>
  <c r="O2205" i="3"/>
  <c r="O2206" i="3"/>
  <c r="O2207" i="3"/>
  <c r="O2208" i="3"/>
  <c r="O2209" i="3"/>
  <c r="O2210" i="3"/>
  <c r="O2211" i="3"/>
  <c r="O2212" i="3"/>
  <c r="O2213" i="3"/>
  <c r="O2214" i="3"/>
  <c r="O2215" i="3"/>
  <c r="O2216" i="3"/>
  <c r="O2217" i="3"/>
  <c r="O2218" i="3"/>
  <c r="O2219" i="3"/>
  <c r="O2220" i="3"/>
  <c r="O2221" i="3"/>
  <c r="O2222" i="3"/>
  <c r="O2223" i="3"/>
  <c r="O2224" i="3"/>
  <c r="O2225" i="3"/>
  <c r="O2226" i="3"/>
  <c r="O2227" i="3"/>
  <c r="O2228" i="3"/>
  <c r="O2229" i="3"/>
  <c r="O2230" i="3"/>
  <c r="O2231" i="3"/>
  <c r="O2232" i="3"/>
  <c r="O2233" i="3"/>
  <c r="O2234" i="3"/>
  <c r="O2235" i="3"/>
  <c r="O2236" i="3"/>
  <c r="O2237" i="3"/>
  <c r="O2238" i="3"/>
  <c r="O2239" i="3"/>
  <c r="O2240" i="3"/>
  <c r="O2241" i="3"/>
  <c r="O2242" i="3"/>
  <c r="O2243" i="3"/>
  <c r="O2244" i="3"/>
  <c r="O2245" i="3"/>
  <c r="O2246" i="3"/>
  <c r="O2247" i="3"/>
  <c r="O2248" i="3"/>
  <c r="O2249" i="3"/>
  <c r="O2250" i="3"/>
  <c r="O2251" i="3"/>
  <c r="O2252" i="3"/>
  <c r="O2253" i="3"/>
  <c r="O2254" i="3"/>
  <c r="O2255" i="3"/>
  <c r="O2256" i="3"/>
  <c r="O2257" i="3"/>
  <c r="O2258" i="3"/>
  <c r="O2259" i="3"/>
  <c r="O2260" i="3"/>
  <c r="O2261" i="3"/>
  <c r="O2262" i="3"/>
  <c r="O2263" i="3"/>
  <c r="O2264" i="3"/>
  <c r="O2265" i="3"/>
  <c r="O2266" i="3"/>
  <c r="O2267" i="3"/>
  <c r="O2268" i="3"/>
  <c r="O2269" i="3"/>
  <c r="O2270" i="3"/>
  <c r="O2271" i="3"/>
  <c r="O2272" i="3"/>
  <c r="O2273" i="3"/>
  <c r="O2274" i="3"/>
  <c r="O2275" i="3"/>
  <c r="O2276" i="3"/>
  <c r="O2277" i="3"/>
  <c r="O2278" i="3"/>
  <c r="O2279" i="3"/>
  <c r="O2280" i="3"/>
  <c r="O2281" i="3"/>
  <c r="O2282" i="3"/>
  <c r="O2283" i="3"/>
  <c r="O2284" i="3"/>
  <c r="O2285" i="3"/>
  <c r="O2286" i="3"/>
  <c r="O2287" i="3"/>
  <c r="O2288" i="3"/>
  <c r="O2289" i="3"/>
  <c r="O2290" i="3"/>
  <c r="O2291" i="3"/>
  <c r="O2292" i="3"/>
  <c r="O2293" i="3"/>
  <c r="O2294" i="3"/>
  <c r="O2295" i="3"/>
  <c r="O2296" i="3"/>
  <c r="O2297" i="3"/>
  <c r="O2298" i="3"/>
  <c r="O2299" i="3"/>
  <c r="O2300" i="3"/>
  <c r="O2301" i="3"/>
  <c r="O2302" i="3"/>
  <c r="O2303" i="3"/>
  <c r="O2304" i="3"/>
  <c r="O2305" i="3"/>
  <c r="O2306" i="3"/>
  <c r="O2307" i="3"/>
  <c r="O2308" i="3"/>
  <c r="O2309" i="3"/>
  <c r="O2310" i="3"/>
  <c r="O2311" i="3"/>
  <c r="O2312" i="3"/>
  <c r="O2313" i="3"/>
  <c r="O2314" i="3"/>
  <c r="O2315" i="3"/>
  <c r="O2316" i="3"/>
  <c r="O2317" i="3"/>
  <c r="O2318" i="3"/>
  <c r="O2319" i="3"/>
  <c r="O2320" i="3"/>
  <c r="O2321" i="3"/>
  <c r="O2322" i="3"/>
  <c r="O2323" i="3"/>
  <c r="O2324" i="3"/>
  <c r="O2325" i="3"/>
  <c r="O2326" i="3"/>
  <c r="O2327" i="3"/>
  <c r="O2328" i="3"/>
  <c r="O2329" i="3"/>
  <c r="O2330" i="3"/>
  <c r="O2331" i="3"/>
  <c r="O2332" i="3"/>
  <c r="O2333" i="3"/>
  <c r="O2334" i="3"/>
  <c r="O2335" i="3"/>
  <c r="O2336" i="3"/>
  <c r="O2337" i="3"/>
  <c r="O2338" i="3"/>
  <c r="O2339" i="3"/>
  <c r="O2340" i="3"/>
  <c r="O2341" i="3"/>
  <c r="O2342" i="3"/>
  <c r="O2343" i="3"/>
  <c r="O2344" i="3"/>
  <c r="O2345" i="3"/>
  <c r="O2346" i="3"/>
  <c r="O2347" i="3"/>
  <c r="O2348" i="3"/>
  <c r="O2349" i="3"/>
  <c r="O2350" i="3"/>
  <c r="O2351" i="3"/>
  <c r="O2352" i="3"/>
  <c r="O2353" i="3"/>
  <c r="O2354" i="3"/>
  <c r="O2355" i="3"/>
  <c r="O2356" i="3"/>
  <c r="O2357" i="3"/>
  <c r="O2358" i="3"/>
  <c r="O2359" i="3"/>
  <c r="O2360" i="3"/>
  <c r="O2361" i="3"/>
  <c r="O2362" i="3"/>
  <c r="O2363" i="3"/>
  <c r="O2364" i="3"/>
  <c r="O2365" i="3"/>
  <c r="O2366" i="3"/>
  <c r="O2367" i="3"/>
  <c r="O2368" i="3"/>
  <c r="O2369" i="3"/>
  <c r="O2370" i="3"/>
  <c r="O2371" i="3"/>
  <c r="O2372" i="3"/>
  <c r="O2373" i="3"/>
  <c r="O2374" i="3"/>
  <c r="O2375" i="3"/>
  <c r="O2376" i="3"/>
  <c r="O2377" i="3"/>
  <c r="O2378" i="3"/>
  <c r="O2379" i="3"/>
  <c r="O2380" i="3"/>
  <c r="O2381" i="3"/>
  <c r="O2382" i="3"/>
  <c r="O2383" i="3"/>
  <c r="O2384" i="3"/>
  <c r="O2385" i="3"/>
  <c r="O2386" i="3"/>
  <c r="O2387" i="3"/>
  <c r="O2388" i="3"/>
  <c r="O2389" i="3"/>
  <c r="O2390" i="3"/>
  <c r="O2391" i="3"/>
  <c r="O2392" i="3"/>
  <c r="O2393" i="3"/>
  <c r="O2394" i="3"/>
  <c r="O2395" i="3"/>
  <c r="O2396" i="3"/>
  <c r="O2397" i="3"/>
  <c r="O2398" i="3"/>
  <c r="O2399" i="3"/>
  <c r="O2400" i="3"/>
  <c r="O2401" i="3"/>
  <c r="O2402" i="3"/>
  <c r="O2403" i="3"/>
  <c r="O2404" i="3"/>
  <c r="O2405" i="3"/>
  <c r="O2406" i="3"/>
  <c r="O2407" i="3"/>
  <c r="O2408" i="3"/>
  <c r="O2409" i="3"/>
  <c r="O2410" i="3"/>
  <c r="O2411" i="3"/>
  <c r="O2412" i="3"/>
  <c r="O2413" i="3"/>
  <c r="O2414" i="3"/>
  <c r="O2415" i="3"/>
  <c r="O2416" i="3"/>
  <c r="O2417" i="3"/>
  <c r="O2418" i="3"/>
  <c r="O2419" i="3"/>
  <c r="O2420" i="3"/>
  <c r="O2421" i="3"/>
  <c r="O2422" i="3"/>
  <c r="O2423" i="3"/>
  <c r="O2424" i="3"/>
  <c r="O2425" i="3"/>
  <c r="O2426" i="3"/>
  <c r="O2427" i="3"/>
  <c r="O2428" i="3"/>
  <c r="O2429" i="3"/>
  <c r="O2430" i="3"/>
  <c r="O2431" i="3"/>
  <c r="O2432" i="3"/>
  <c r="O2433" i="3"/>
  <c r="O2434" i="3"/>
  <c r="O2435" i="3"/>
  <c r="O2436" i="3"/>
  <c r="O2437" i="3"/>
  <c r="O2438" i="3"/>
  <c r="O2439" i="3"/>
  <c r="O2440" i="3"/>
  <c r="O2441" i="3"/>
  <c r="O2442" i="3"/>
  <c r="O2443" i="3"/>
  <c r="O2444" i="3"/>
  <c r="O2445" i="3"/>
  <c r="O2446" i="3"/>
  <c r="O2447" i="3"/>
  <c r="O2448" i="3"/>
  <c r="O2449" i="3"/>
  <c r="O2450" i="3"/>
  <c r="O2451" i="3"/>
  <c r="O2452" i="3"/>
  <c r="O2453" i="3"/>
  <c r="O2454" i="3"/>
  <c r="O2455" i="3"/>
  <c r="O2456" i="3"/>
  <c r="O2457" i="3"/>
  <c r="O2458" i="3"/>
  <c r="O2459" i="3"/>
  <c r="O2460" i="3"/>
  <c r="O2461" i="3"/>
  <c r="O2462" i="3"/>
  <c r="O2463" i="3"/>
  <c r="O2464" i="3"/>
  <c r="O2465" i="3"/>
  <c r="O2466" i="3"/>
  <c r="O2467" i="3"/>
  <c r="O2468" i="3"/>
  <c r="O2469" i="3"/>
  <c r="O2470" i="3"/>
  <c r="O2471" i="3"/>
  <c r="O2472" i="3"/>
  <c r="O2473" i="3"/>
  <c r="O2474" i="3"/>
  <c r="O2475" i="3"/>
  <c r="O2476" i="3"/>
  <c r="O2477" i="3"/>
  <c r="O2478" i="3"/>
  <c r="O2479" i="3"/>
  <c r="O2480" i="3"/>
  <c r="O2481" i="3"/>
  <c r="O2482" i="3"/>
  <c r="O2483" i="3"/>
  <c r="O2484" i="3"/>
  <c r="O2485" i="3"/>
  <c r="O2486" i="3"/>
  <c r="O2487" i="3"/>
  <c r="O2488" i="3"/>
  <c r="O2489" i="3"/>
  <c r="O2490" i="3"/>
  <c r="O2491" i="3"/>
  <c r="O2492" i="3"/>
  <c r="O2493" i="3"/>
  <c r="O2494" i="3"/>
  <c r="O2495" i="3"/>
  <c r="O2496" i="3"/>
  <c r="O2497" i="3"/>
  <c r="O2498" i="3"/>
  <c r="O2499" i="3"/>
  <c r="O2500" i="3"/>
  <c r="O2501" i="3"/>
  <c r="O2502" i="3"/>
  <c r="O2503" i="3"/>
  <c r="O2504" i="3"/>
  <c r="O2505" i="3"/>
  <c r="O2506" i="3"/>
  <c r="O2507" i="3"/>
  <c r="O2508" i="3"/>
  <c r="O2509" i="3"/>
  <c r="O2510" i="3"/>
  <c r="O2511" i="3"/>
  <c r="O2512" i="3"/>
  <c r="O2513" i="3"/>
  <c r="O2514" i="3"/>
  <c r="O2515" i="3"/>
  <c r="O2516" i="3"/>
  <c r="O2517" i="3"/>
  <c r="O2518" i="3"/>
  <c r="O2519" i="3"/>
  <c r="O2520" i="3"/>
  <c r="O2521" i="3"/>
  <c r="O2522" i="3"/>
  <c r="O2523" i="3"/>
  <c r="O2524" i="3"/>
  <c r="O2525" i="3"/>
  <c r="O2526" i="3"/>
  <c r="O2527" i="3"/>
  <c r="O2528" i="3"/>
  <c r="O2529" i="3"/>
  <c r="O2530" i="3"/>
  <c r="O2531" i="3"/>
  <c r="O2532" i="3"/>
  <c r="O2533" i="3"/>
  <c r="O2534" i="3"/>
  <c r="O2535" i="3"/>
  <c r="O2536" i="3"/>
  <c r="O2537" i="3"/>
  <c r="O2538" i="3"/>
  <c r="O2539" i="3"/>
  <c r="O2540" i="3"/>
  <c r="O2541" i="3"/>
  <c r="O2542" i="3"/>
  <c r="O2543" i="3"/>
  <c r="O2544" i="3"/>
  <c r="O2545" i="3"/>
  <c r="O2546" i="3"/>
  <c r="O2547" i="3"/>
  <c r="O2548" i="3"/>
  <c r="O2549" i="3"/>
  <c r="O2550" i="3"/>
  <c r="O2551" i="3"/>
  <c r="O2552" i="3"/>
  <c r="O2553" i="3"/>
  <c r="O2554" i="3"/>
  <c r="O2555" i="3"/>
  <c r="O2556" i="3"/>
  <c r="O2557" i="3"/>
  <c r="O2558" i="3"/>
  <c r="O2559" i="3"/>
  <c r="O2560" i="3"/>
  <c r="O2561" i="3"/>
  <c r="O2562" i="3"/>
  <c r="O2563" i="3"/>
  <c r="O2564" i="3"/>
  <c r="O2565" i="3"/>
  <c r="O2566" i="3"/>
  <c r="O2567" i="3"/>
  <c r="O2568" i="3"/>
  <c r="O2569" i="3"/>
  <c r="O2570" i="3"/>
  <c r="O2571" i="3"/>
  <c r="O2572" i="3"/>
  <c r="O2573" i="3"/>
  <c r="O2574" i="3"/>
  <c r="O2575" i="3"/>
  <c r="O2576" i="3"/>
  <c r="O2577" i="3"/>
  <c r="O2578" i="3"/>
  <c r="O2579" i="3"/>
  <c r="O2580" i="3"/>
  <c r="O2581" i="3"/>
  <c r="O2582" i="3"/>
  <c r="O2583" i="3"/>
  <c r="O2584" i="3"/>
  <c r="O2585" i="3"/>
  <c r="O2586" i="3"/>
  <c r="O2587" i="3"/>
  <c r="O2588" i="3"/>
  <c r="O2589" i="3"/>
  <c r="O2590" i="3"/>
  <c r="O2591" i="3"/>
  <c r="O2592" i="3"/>
  <c r="O2593" i="3"/>
  <c r="O2594" i="3"/>
  <c r="O2595" i="3"/>
  <c r="O2596" i="3"/>
  <c r="O2597" i="3"/>
  <c r="O2598" i="3"/>
  <c r="O2599" i="3"/>
  <c r="O2600" i="3"/>
  <c r="O2601" i="3"/>
  <c r="O2602" i="3"/>
  <c r="O2603" i="3"/>
  <c r="O2604" i="3"/>
  <c r="O2605" i="3"/>
  <c r="O2606" i="3"/>
  <c r="O2607" i="3"/>
  <c r="O2608" i="3"/>
  <c r="O2609" i="3"/>
  <c r="O2610" i="3"/>
  <c r="O2611" i="3"/>
  <c r="O2612" i="3"/>
  <c r="O2613" i="3"/>
  <c r="O2614" i="3"/>
  <c r="O2615" i="3"/>
  <c r="O2616" i="3"/>
  <c r="O2617" i="3"/>
  <c r="O2618" i="3"/>
  <c r="O2619" i="3"/>
  <c r="O2620" i="3"/>
  <c r="O2621" i="3"/>
  <c r="O2622" i="3"/>
  <c r="O2623" i="3"/>
  <c r="O2624" i="3"/>
  <c r="O2625" i="3"/>
  <c r="O2626" i="3"/>
  <c r="O2627" i="3"/>
  <c r="O2628" i="3"/>
  <c r="O2629" i="3"/>
  <c r="O2630" i="3"/>
  <c r="O2631" i="3"/>
  <c r="O2632" i="3"/>
  <c r="O2633" i="3"/>
  <c r="O2634" i="3"/>
  <c r="O2635" i="3"/>
  <c r="O2636" i="3"/>
  <c r="O2637" i="3"/>
  <c r="O2638" i="3"/>
  <c r="O2639" i="3"/>
  <c r="O2640" i="3"/>
  <c r="O2641" i="3"/>
  <c r="O2642" i="3"/>
  <c r="O2643" i="3"/>
  <c r="O2644" i="3"/>
  <c r="O2645" i="3"/>
  <c r="O2646" i="3"/>
  <c r="O2647" i="3"/>
  <c r="O2648" i="3"/>
  <c r="O2649" i="3"/>
  <c r="O2650" i="3"/>
  <c r="O2651" i="3"/>
  <c r="O2652" i="3"/>
  <c r="O2653" i="3"/>
  <c r="O2654" i="3"/>
  <c r="O2655" i="3"/>
  <c r="O2656" i="3"/>
  <c r="O2657" i="3"/>
  <c r="O2658" i="3"/>
  <c r="O2659" i="3"/>
  <c r="O2660" i="3"/>
  <c r="O2661" i="3"/>
  <c r="O2662" i="3"/>
  <c r="O2663" i="3"/>
  <c r="O2664" i="3"/>
  <c r="O2665" i="3"/>
  <c r="O2666" i="3"/>
  <c r="O2667" i="3"/>
  <c r="O2668" i="3"/>
  <c r="O2669" i="3"/>
  <c r="O2670" i="3"/>
  <c r="O2671" i="3"/>
  <c r="O2672" i="3"/>
  <c r="O2673" i="3"/>
  <c r="O2674" i="3"/>
  <c r="O2675" i="3"/>
  <c r="O2676" i="3"/>
  <c r="O2677" i="3"/>
  <c r="O2678" i="3"/>
  <c r="O2679" i="3"/>
  <c r="O2680" i="3"/>
  <c r="O2681" i="3"/>
  <c r="O2682" i="3"/>
  <c r="O2683" i="3"/>
  <c r="O2684" i="3"/>
  <c r="O2685" i="3"/>
  <c r="O2686" i="3"/>
  <c r="O2687" i="3"/>
  <c r="O2688" i="3"/>
  <c r="O2689" i="3"/>
  <c r="O2690" i="3"/>
  <c r="O2691" i="3"/>
  <c r="O2692" i="3"/>
  <c r="O2693" i="3"/>
  <c r="O2694" i="3"/>
  <c r="O2695" i="3"/>
  <c r="O2696" i="3"/>
  <c r="O2697" i="3"/>
  <c r="O2698" i="3"/>
  <c r="O2699" i="3"/>
  <c r="O2700" i="3"/>
  <c r="O2701" i="3"/>
  <c r="O2702" i="3"/>
  <c r="O2703" i="3"/>
  <c r="O2704" i="3"/>
  <c r="O2705" i="3"/>
  <c r="O2706" i="3"/>
  <c r="O2707" i="3"/>
  <c r="O2708" i="3"/>
  <c r="O2709" i="3"/>
  <c r="O2710" i="3"/>
  <c r="O2711" i="3"/>
  <c r="O2712" i="3"/>
  <c r="O2713" i="3"/>
  <c r="O2714" i="3"/>
  <c r="O2715" i="3"/>
  <c r="O2716" i="3"/>
  <c r="O2717" i="3"/>
  <c r="O2718" i="3"/>
  <c r="O2719" i="3"/>
  <c r="O2720" i="3"/>
  <c r="O2721" i="3"/>
  <c r="O2722" i="3"/>
  <c r="O2723" i="3"/>
  <c r="O2724" i="3"/>
  <c r="O2725" i="3"/>
  <c r="O2726" i="3"/>
  <c r="O2727" i="3"/>
  <c r="O2728" i="3"/>
  <c r="O2729" i="3"/>
  <c r="O2730" i="3"/>
  <c r="O2731" i="3"/>
  <c r="O2732" i="3"/>
  <c r="O2733" i="3"/>
  <c r="O2734" i="3"/>
  <c r="O2735" i="3"/>
  <c r="O2736" i="3"/>
  <c r="O2737" i="3"/>
  <c r="O2738" i="3"/>
  <c r="O2739" i="3"/>
  <c r="O2740" i="3"/>
  <c r="O2741" i="3"/>
  <c r="O2742" i="3"/>
  <c r="O2743" i="3"/>
  <c r="O2744" i="3"/>
  <c r="O2745" i="3"/>
  <c r="O2746" i="3"/>
  <c r="O2747" i="3"/>
  <c r="O2748" i="3"/>
  <c r="O2749" i="3"/>
  <c r="O2750" i="3"/>
  <c r="O2751" i="3"/>
  <c r="O2752" i="3"/>
  <c r="O2753" i="3"/>
  <c r="O2754" i="3"/>
  <c r="O2755" i="3"/>
  <c r="O2756" i="3"/>
  <c r="O2757" i="3"/>
  <c r="O2758" i="3"/>
  <c r="O2759" i="3"/>
  <c r="O2760" i="3"/>
  <c r="O2761" i="3"/>
  <c r="O2762" i="3"/>
  <c r="O2763" i="3"/>
  <c r="O2764" i="3"/>
  <c r="O2765" i="3"/>
  <c r="O2766" i="3"/>
  <c r="O2767" i="3"/>
  <c r="O2768" i="3"/>
  <c r="O2769" i="3"/>
  <c r="O2770" i="3"/>
  <c r="O2771" i="3"/>
  <c r="O2772" i="3"/>
  <c r="O2773" i="3"/>
  <c r="O2774" i="3"/>
  <c r="O2775" i="3"/>
  <c r="O2776" i="3"/>
  <c r="O2777" i="3"/>
  <c r="O2778" i="3"/>
  <c r="O2779" i="3"/>
  <c r="O2780" i="3"/>
  <c r="O2781" i="3"/>
  <c r="O2782" i="3"/>
  <c r="O2783" i="3"/>
  <c r="O2784" i="3"/>
  <c r="O2785" i="3"/>
  <c r="O2786" i="3"/>
  <c r="O2787" i="3"/>
  <c r="O2788" i="3"/>
  <c r="O2789" i="3"/>
  <c r="O2790" i="3"/>
  <c r="O2791" i="3"/>
  <c r="O2792" i="3"/>
  <c r="O2793" i="3"/>
  <c r="O2794" i="3"/>
  <c r="O2795" i="3"/>
  <c r="O2796" i="3"/>
  <c r="O2797" i="3"/>
  <c r="O2798" i="3"/>
  <c r="O2799" i="3"/>
  <c r="O2800" i="3"/>
  <c r="O2801" i="3"/>
  <c r="O2802" i="3"/>
  <c r="O2803" i="3"/>
  <c r="O2804" i="3"/>
  <c r="O2805" i="3"/>
  <c r="O2806" i="3"/>
  <c r="O2807" i="3"/>
  <c r="O2808" i="3"/>
  <c r="O2809" i="3"/>
  <c r="O2810" i="3"/>
  <c r="O2811" i="3"/>
  <c r="O2812" i="3"/>
  <c r="O2813" i="3"/>
  <c r="O2814" i="3"/>
  <c r="O2815" i="3"/>
  <c r="O2816" i="3"/>
  <c r="O2817" i="3"/>
  <c r="O2818" i="3"/>
  <c r="O2819" i="3"/>
  <c r="O2820" i="3"/>
  <c r="O2821" i="3"/>
  <c r="O2822" i="3"/>
  <c r="O2823" i="3"/>
  <c r="O2824" i="3"/>
  <c r="O2825" i="3"/>
  <c r="O2826" i="3"/>
  <c r="O2827" i="3"/>
  <c r="O2828" i="3"/>
  <c r="O2829" i="3"/>
  <c r="O2830" i="3"/>
  <c r="O2831" i="3"/>
  <c r="O2832" i="3"/>
  <c r="O2833" i="3"/>
  <c r="O2834" i="3"/>
  <c r="O2835" i="3"/>
  <c r="O2836" i="3"/>
  <c r="O2837" i="3"/>
  <c r="O2838" i="3"/>
  <c r="O2839" i="3"/>
  <c r="O2840" i="3"/>
  <c r="O2841" i="3"/>
  <c r="O2842" i="3"/>
  <c r="O2843" i="3"/>
  <c r="O2844" i="3"/>
  <c r="O2845" i="3"/>
  <c r="O2846" i="3"/>
  <c r="O2847" i="3"/>
  <c r="O2848" i="3"/>
  <c r="O2849" i="3"/>
  <c r="O2850" i="3"/>
  <c r="O2851" i="3"/>
  <c r="O2852" i="3"/>
  <c r="O2853" i="3"/>
  <c r="O2854" i="3"/>
  <c r="O2855" i="3"/>
  <c r="O2856" i="3"/>
  <c r="O2857" i="3"/>
  <c r="O2858" i="3"/>
  <c r="O2859" i="3"/>
  <c r="O2860" i="3"/>
  <c r="O2861" i="3"/>
  <c r="O2862" i="3"/>
  <c r="O2863" i="3"/>
  <c r="O2864" i="3"/>
  <c r="O2865" i="3"/>
  <c r="O2866" i="3"/>
  <c r="O2867" i="3"/>
  <c r="O2868" i="3"/>
  <c r="O2869" i="3"/>
  <c r="O2870" i="3"/>
  <c r="O2871" i="3"/>
  <c r="O2872" i="3"/>
  <c r="O2873" i="3"/>
  <c r="O2874" i="3"/>
  <c r="O2875" i="3"/>
  <c r="O2876" i="3"/>
  <c r="O2877" i="3"/>
  <c r="O2878" i="3"/>
  <c r="O2879" i="3"/>
  <c r="O2880" i="3"/>
  <c r="O2881" i="3"/>
  <c r="O2882" i="3"/>
  <c r="O2883" i="3"/>
  <c r="O2884" i="3"/>
  <c r="O2885" i="3"/>
  <c r="O2886" i="3"/>
  <c r="O2887" i="3"/>
  <c r="O2888" i="3"/>
  <c r="O2889" i="3"/>
  <c r="O2890" i="3"/>
  <c r="O2891" i="3"/>
  <c r="O2892" i="3"/>
  <c r="O2893" i="3"/>
  <c r="O2894" i="3"/>
  <c r="O2895" i="3"/>
  <c r="O2896" i="3"/>
  <c r="O2897" i="3"/>
  <c r="O2898" i="3"/>
  <c r="O2899" i="3"/>
  <c r="O2900" i="3"/>
  <c r="O2901" i="3"/>
  <c r="O2902" i="3"/>
  <c r="O2903" i="3"/>
  <c r="O2904" i="3"/>
  <c r="O2905" i="3"/>
  <c r="O2906" i="3"/>
  <c r="O2907" i="3"/>
  <c r="O2908" i="3"/>
  <c r="O2909" i="3"/>
  <c r="O2910" i="3"/>
  <c r="O2911" i="3"/>
  <c r="O2912" i="3"/>
  <c r="O2913" i="3"/>
  <c r="O2914" i="3"/>
  <c r="O2915" i="3"/>
  <c r="O2916" i="3"/>
  <c r="O2917" i="3"/>
  <c r="O2918" i="3"/>
  <c r="O2919" i="3"/>
  <c r="O2920" i="3"/>
  <c r="O2921" i="3"/>
  <c r="O2922" i="3"/>
  <c r="O2923" i="3"/>
  <c r="O2924" i="3"/>
  <c r="O2925" i="3"/>
  <c r="O2926" i="3"/>
  <c r="O2927" i="3"/>
  <c r="O2928" i="3"/>
  <c r="O2929" i="3"/>
  <c r="O2930" i="3"/>
  <c r="O2931" i="3"/>
  <c r="O2932" i="3"/>
  <c r="O2933" i="3"/>
  <c r="O2934" i="3"/>
  <c r="O2935" i="3"/>
  <c r="O2936" i="3"/>
  <c r="O2937" i="3"/>
  <c r="O2938" i="3"/>
  <c r="O2939" i="3"/>
  <c r="O2940" i="3"/>
  <c r="O2941" i="3"/>
  <c r="O2942" i="3"/>
  <c r="O2943" i="3"/>
  <c r="O2944" i="3"/>
  <c r="O2945" i="3"/>
  <c r="O2946" i="3"/>
  <c r="O2947" i="3"/>
  <c r="O2948" i="3"/>
  <c r="O2949" i="3"/>
  <c r="O2950" i="3"/>
  <c r="O2951" i="3"/>
  <c r="O2952" i="3"/>
  <c r="O2953" i="3"/>
  <c r="O2954" i="3"/>
  <c r="O2955" i="3"/>
  <c r="O2956" i="3"/>
  <c r="O2957" i="3"/>
  <c r="O2958" i="3"/>
  <c r="O2959" i="3"/>
  <c r="O2960" i="3"/>
  <c r="O2961" i="3"/>
  <c r="O2962" i="3"/>
  <c r="O2963" i="3"/>
  <c r="O2964" i="3"/>
  <c r="O2965" i="3"/>
  <c r="O2966" i="3"/>
  <c r="O2967" i="3"/>
  <c r="O2968" i="3"/>
  <c r="O2969" i="3"/>
  <c r="O2970" i="3"/>
  <c r="O2971" i="3"/>
  <c r="O2972" i="3"/>
  <c r="O2973" i="3"/>
  <c r="O2974" i="3"/>
  <c r="O2975" i="3"/>
  <c r="O2976" i="3"/>
  <c r="O2977" i="3"/>
  <c r="O2978" i="3"/>
  <c r="O2979" i="3"/>
  <c r="O2980" i="3"/>
  <c r="O2981" i="3"/>
  <c r="O2982" i="3"/>
  <c r="O2983" i="3"/>
  <c r="O2984" i="3"/>
  <c r="O2985" i="3"/>
  <c r="O2986" i="3"/>
  <c r="O2987" i="3"/>
  <c r="O2988" i="3"/>
  <c r="O2989" i="3"/>
  <c r="O2990" i="3"/>
  <c r="O2991" i="3"/>
  <c r="O2992" i="3"/>
  <c r="O2993" i="3"/>
  <c r="O2994" i="3"/>
  <c r="O2995" i="3"/>
  <c r="O2996" i="3"/>
  <c r="O2997" i="3"/>
  <c r="O2998" i="3"/>
  <c r="O2999" i="3"/>
  <c r="O3000" i="3"/>
  <c r="O3001" i="3"/>
  <c r="O3002" i="3"/>
  <c r="O3003" i="3"/>
  <c r="O3004" i="3"/>
  <c r="O3005" i="3"/>
  <c r="O3006" i="3"/>
  <c r="O3007" i="3"/>
  <c r="O3008" i="3"/>
  <c r="O3009" i="3"/>
  <c r="O3010" i="3"/>
  <c r="O3011" i="3"/>
  <c r="O3012" i="3"/>
  <c r="O3013" i="3"/>
  <c r="O3014" i="3"/>
  <c r="O3015" i="3"/>
  <c r="O3016" i="3"/>
  <c r="O3017" i="3"/>
  <c r="O3018" i="3"/>
  <c r="O3019" i="3"/>
  <c r="O3020" i="3"/>
  <c r="O3021" i="3"/>
  <c r="O3022" i="3"/>
  <c r="O3023" i="3"/>
  <c r="O3024" i="3"/>
  <c r="O3025" i="3"/>
  <c r="O3026" i="3"/>
  <c r="O3027" i="3"/>
  <c r="O3028" i="3"/>
  <c r="O3029" i="3"/>
  <c r="O3030" i="3"/>
  <c r="O3031" i="3"/>
  <c r="O3032" i="3"/>
  <c r="O3033" i="3"/>
  <c r="O3034" i="3"/>
  <c r="O3035" i="3"/>
  <c r="O3036" i="3"/>
  <c r="O3037" i="3"/>
  <c r="O3038" i="3"/>
  <c r="O3039" i="3"/>
  <c r="O3040" i="3"/>
  <c r="O3041" i="3"/>
  <c r="O3042" i="3"/>
  <c r="O3043" i="3"/>
  <c r="O3044" i="3"/>
  <c r="O3045" i="3"/>
  <c r="O3046" i="3"/>
  <c r="O3047" i="3"/>
  <c r="O3048" i="3"/>
  <c r="O3049" i="3"/>
  <c r="O3050" i="3"/>
  <c r="O3051" i="3"/>
  <c r="O3052" i="3"/>
  <c r="O3053" i="3"/>
  <c r="O3054" i="3"/>
  <c r="O3055" i="3"/>
  <c r="O3056" i="3"/>
  <c r="O3057" i="3"/>
  <c r="O3058" i="3"/>
  <c r="O3059" i="3"/>
  <c r="O3060" i="3"/>
  <c r="O3061" i="3"/>
  <c r="O3062" i="3"/>
  <c r="O3063" i="3"/>
  <c r="O3064" i="3"/>
  <c r="O3065" i="3"/>
  <c r="O3066" i="3"/>
  <c r="O3067" i="3"/>
  <c r="O3068" i="3"/>
  <c r="O3069" i="3"/>
  <c r="O3070" i="3"/>
  <c r="O3071" i="3"/>
  <c r="O3072" i="3"/>
  <c r="O3073" i="3"/>
  <c r="O3074" i="3"/>
  <c r="O3075" i="3"/>
  <c r="O3076" i="3"/>
  <c r="O3077" i="3"/>
  <c r="O3078" i="3"/>
  <c r="O3079" i="3"/>
  <c r="O3080" i="3"/>
  <c r="O3081" i="3"/>
  <c r="O3082" i="3"/>
  <c r="O3083" i="3"/>
  <c r="O3084" i="3"/>
  <c r="O3085" i="3"/>
  <c r="O3086" i="3"/>
  <c r="O3087" i="3"/>
  <c r="O3088" i="3"/>
  <c r="O3089" i="3"/>
  <c r="O3090" i="3"/>
  <c r="O3091" i="3"/>
  <c r="O3092" i="3"/>
  <c r="O3093" i="3"/>
  <c r="O3094" i="3"/>
  <c r="O3095" i="3"/>
  <c r="O3096" i="3"/>
  <c r="O3097" i="3"/>
  <c r="O3098" i="3"/>
  <c r="O3099" i="3"/>
  <c r="O3100" i="3"/>
  <c r="O3101" i="3"/>
  <c r="O3102" i="3"/>
  <c r="O3103" i="3"/>
  <c r="O3104" i="3"/>
  <c r="O3105" i="3"/>
  <c r="O3106" i="3"/>
  <c r="O3107" i="3"/>
  <c r="O3108" i="3"/>
  <c r="O3109" i="3"/>
  <c r="O3110" i="3"/>
  <c r="O3111" i="3"/>
  <c r="O3112" i="3"/>
  <c r="O3113" i="3"/>
  <c r="O3114" i="3"/>
  <c r="O3115" i="3"/>
  <c r="O3116" i="3"/>
  <c r="O3117" i="3"/>
  <c r="O3118" i="3"/>
  <c r="O3119" i="3"/>
  <c r="O3120" i="3"/>
  <c r="O3121" i="3"/>
  <c r="O3122" i="3"/>
  <c r="O3123" i="3"/>
  <c r="O3124" i="3"/>
  <c r="O3125" i="3"/>
  <c r="O3126" i="3"/>
  <c r="O3127" i="3"/>
  <c r="O3128" i="3"/>
  <c r="O3129" i="3"/>
  <c r="O3130" i="3"/>
  <c r="O3131" i="3"/>
  <c r="O3132" i="3"/>
  <c r="O3133" i="3"/>
  <c r="O3134" i="3"/>
  <c r="O3135" i="3"/>
  <c r="O3136" i="3"/>
  <c r="O3137" i="3"/>
  <c r="O3138" i="3"/>
  <c r="O3139" i="3"/>
  <c r="O3140" i="3"/>
  <c r="O3141" i="3"/>
  <c r="O3142" i="3"/>
  <c r="O3143" i="3"/>
  <c r="O3144" i="3"/>
  <c r="O3145" i="3"/>
  <c r="O3146" i="3"/>
  <c r="O3147" i="3"/>
  <c r="O3148" i="3"/>
  <c r="O3149" i="3"/>
  <c r="O3150" i="3"/>
  <c r="O3151" i="3"/>
  <c r="O3152" i="3"/>
  <c r="O3153" i="3"/>
  <c r="O3154" i="3"/>
  <c r="O3155" i="3"/>
  <c r="O3156" i="3"/>
  <c r="O3157" i="3"/>
  <c r="O3158" i="3"/>
  <c r="O3159" i="3"/>
  <c r="O3160" i="3"/>
  <c r="O3161" i="3"/>
  <c r="O3162" i="3"/>
  <c r="O3163" i="3"/>
  <c r="O3164" i="3"/>
  <c r="O3165" i="3"/>
  <c r="O3166" i="3"/>
  <c r="O3167" i="3"/>
  <c r="O3168" i="3"/>
  <c r="O3169" i="3"/>
  <c r="O3170" i="3"/>
  <c r="O3171" i="3"/>
  <c r="O3172" i="3"/>
  <c r="O3173" i="3"/>
  <c r="O3174" i="3"/>
  <c r="O3175" i="3"/>
  <c r="O3176" i="3"/>
  <c r="O3177" i="3"/>
  <c r="O3178" i="3"/>
  <c r="O3179" i="3"/>
  <c r="O3180" i="3"/>
  <c r="O3181" i="3"/>
  <c r="O3182" i="3"/>
  <c r="O3183" i="3"/>
  <c r="O3184" i="3"/>
  <c r="O3185" i="3"/>
  <c r="O3186" i="3"/>
  <c r="O3187" i="3"/>
  <c r="O3188" i="3"/>
  <c r="O3189" i="3"/>
  <c r="O3190" i="3"/>
  <c r="O3191" i="3"/>
  <c r="O3192" i="3"/>
  <c r="O3193" i="3"/>
  <c r="O3194" i="3"/>
  <c r="O3195" i="3"/>
  <c r="O3196" i="3"/>
  <c r="O3197" i="3"/>
  <c r="O3198" i="3"/>
  <c r="O3199" i="3"/>
  <c r="O3200" i="3"/>
  <c r="O3201" i="3"/>
  <c r="O3202" i="3"/>
  <c r="O3203" i="3"/>
  <c r="O3204" i="3"/>
  <c r="O3205" i="3"/>
  <c r="O3206" i="3"/>
  <c r="O3207" i="3"/>
  <c r="O3208" i="3"/>
  <c r="O3209" i="3"/>
  <c r="O3210" i="3"/>
  <c r="O3211" i="3"/>
  <c r="O3212" i="3"/>
  <c r="O3213" i="3"/>
  <c r="O3214" i="3"/>
  <c r="O3215" i="3"/>
  <c r="O3216" i="3"/>
  <c r="O3217" i="3"/>
  <c r="O3218" i="3"/>
  <c r="O3219" i="3"/>
  <c r="O3220" i="3"/>
  <c r="O3221" i="3"/>
  <c r="O3222" i="3"/>
  <c r="O3223" i="3"/>
  <c r="O3224" i="3"/>
  <c r="O3225" i="3"/>
  <c r="O3226" i="3"/>
  <c r="O3227" i="3"/>
  <c r="O3228" i="3"/>
  <c r="O3229" i="3"/>
  <c r="O3230" i="3"/>
  <c r="O3231" i="3"/>
  <c r="O3232" i="3"/>
  <c r="O3233" i="3"/>
  <c r="O3234" i="3"/>
  <c r="O3235" i="3"/>
  <c r="O3236" i="3"/>
  <c r="O3237" i="3"/>
  <c r="O3238" i="3"/>
  <c r="O3239" i="3"/>
  <c r="O3240" i="3"/>
  <c r="O3241" i="3"/>
  <c r="O3242" i="3"/>
  <c r="O3243" i="3"/>
  <c r="O3244" i="3"/>
  <c r="O3245" i="3"/>
  <c r="O3246" i="3"/>
  <c r="O3247" i="3"/>
  <c r="O3248" i="3"/>
  <c r="O3249" i="3"/>
  <c r="O3250" i="3"/>
  <c r="O3251" i="3"/>
  <c r="O3252" i="3"/>
  <c r="O3253" i="3"/>
  <c r="O3254" i="3"/>
  <c r="O3255" i="3"/>
  <c r="O3256" i="3"/>
  <c r="O3257" i="3"/>
  <c r="O3258" i="3"/>
  <c r="O3259" i="3"/>
  <c r="O3260" i="3"/>
  <c r="O3261" i="3"/>
  <c r="O3262" i="3"/>
  <c r="O3263" i="3"/>
  <c r="O3264" i="3"/>
  <c r="O3265" i="3"/>
  <c r="O3266" i="3"/>
  <c r="O3267" i="3"/>
  <c r="O3268" i="3"/>
  <c r="O3269" i="3"/>
  <c r="O3270" i="3"/>
  <c r="O3271" i="3"/>
  <c r="O3272" i="3"/>
  <c r="O3273" i="3"/>
  <c r="O3274" i="3"/>
  <c r="O3275" i="3"/>
  <c r="O3276" i="3"/>
  <c r="O3277" i="3"/>
  <c r="O3278" i="3"/>
  <c r="O3279" i="3"/>
  <c r="O3280" i="3"/>
  <c r="O3281" i="3"/>
  <c r="O3282" i="3"/>
  <c r="O3283" i="3"/>
  <c r="O3284" i="3"/>
  <c r="O3285" i="3"/>
  <c r="O3286" i="3"/>
  <c r="O3287" i="3"/>
  <c r="O3288" i="3"/>
  <c r="O3289" i="3"/>
  <c r="O3290" i="3"/>
  <c r="O3291" i="3"/>
  <c r="O3292" i="3"/>
  <c r="O3293" i="3"/>
  <c r="O3294" i="3"/>
  <c r="O3295" i="3"/>
  <c r="O3296" i="3"/>
  <c r="O3297" i="3"/>
  <c r="O3298" i="3"/>
  <c r="O3299" i="3"/>
  <c r="O3300" i="3"/>
  <c r="O3301" i="3"/>
  <c r="O3302" i="3"/>
  <c r="O3303" i="3"/>
  <c r="O3304" i="3"/>
  <c r="O3305" i="3"/>
  <c r="O3306" i="3"/>
  <c r="O3307" i="3"/>
  <c r="O3308" i="3"/>
  <c r="O3309" i="3"/>
  <c r="O3310" i="3"/>
  <c r="O3311" i="3"/>
  <c r="O3312" i="3"/>
  <c r="O3313" i="3"/>
  <c r="O3314" i="3"/>
  <c r="O3315" i="3"/>
  <c r="O3316" i="3"/>
  <c r="O3317" i="3"/>
  <c r="O3318" i="3"/>
  <c r="O3319" i="3"/>
  <c r="O3320" i="3"/>
  <c r="O3321" i="3"/>
  <c r="O3322" i="3"/>
  <c r="O3323" i="3"/>
  <c r="O3324" i="3"/>
  <c r="O3325" i="3"/>
  <c r="O3326" i="3"/>
  <c r="O3327" i="3"/>
  <c r="O3328" i="3"/>
  <c r="O3329" i="3"/>
  <c r="O3330" i="3"/>
  <c r="O3331" i="3"/>
  <c r="O3332" i="3"/>
  <c r="O3333" i="3"/>
  <c r="O3334" i="3"/>
  <c r="O3335" i="3"/>
  <c r="O3336" i="3"/>
  <c r="O3337" i="3"/>
  <c r="O3338" i="3"/>
  <c r="O3339" i="3"/>
  <c r="O3340" i="3"/>
  <c r="O3341" i="3"/>
  <c r="O3342" i="3"/>
  <c r="O3343" i="3"/>
  <c r="O3344" i="3"/>
  <c r="O3345" i="3"/>
  <c r="O3346" i="3"/>
  <c r="O3347" i="3"/>
  <c r="O3348" i="3"/>
  <c r="O3349" i="3"/>
  <c r="O3350" i="3"/>
  <c r="O3351" i="3"/>
  <c r="O3352" i="3"/>
  <c r="O3353" i="3"/>
  <c r="O3354" i="3"/>
  <c r="O3355" i="3"/>
  <c r="O3356" i="3"/>
  <c r="O3357" i="3"/>
  <c r="O3358" i="3"/>
  <c r="O3359" i="3"/>
  <c r="O3360" i="3"/>
  <c r="O3361" i="3"/>
  <c r="O3362" i="3"/>
  <c r="O3363" i="3"/>
  <c r="O3364" i="3"/>
  <c r="O3365" i="3"/>
  <c r="O3366" i="3"/>
  <c r="O3367" i="3"/>
  <c r="O3368" i="3"/>
  <c r="O3369" i="3"/>
  <c r="O3370" i="3"/>
  <c r="O3371" i="3"/>
  <c r="O3372" i="3"/>
  <c r="O3373" i="3"/>
  <c r="O3374" i="3"/>
  <c r="O3375" i="3"/>
  <c r="O3376" i="3"/>
  <c r="O3377" i="3"/>
  <c r="O3378" i="3"/>
  <c r="O3379" i="3"/>
  <c r="O3380" i="3"/>
  <c r="O3381" i="3"/>
  <c r="O3382" i="3"/>
  <c r="O3383" i="3"/>
  <c r="O3384" i="3"/>
  <c r="O3385" i="3"/>
  <c r="O3386" i="3"/>
  <c r="O3387" i="3"/>
  <c r="O3388" i="3"/>
  <c r="O3389" i="3"/>
  <c r="O3390" i="3"/>
  <c r="O3391" i="3"/>
  <c r="O3392" i="3"/>
  <c r="O3393" i="3"/>
  <c r="O3394" i="3"/>
  <c r="O3395" i="3"/>
  <c r="O3396" i="3"/>
  <c r="O3397" i="3"/>
  <c r="O3398" i="3"/>
  <c r="O3399" i="3"/>
  <c r="O3400" i="3"/>
  <c r="O3401" i="3"/>
  <c r="O3402" i="3"/>
  <c r="O3403" i="3"/>
  <c r="O3404" i="3"/>
  <c r="O3405" i="3"/>
  <c r="O3406" i="3"/>
  <c r="O3407" i="3"/>
  <c r="O3408" i="3"/>
  <c r="O3409" i="3"/>
  <c r="O3410" i="3"/>
  <c r="O3411" i="3"/>
  <c r="O3412" i="3"/>
  <c r="O3413" i="3"/>
  <c r="O3414" i="3"/>
  <c r="O3415" i="3"/>
  <c r="O3416" i="3"/>
  <c r="O3417" i="3"/>
  <c r="O3418" i="3"/>
  <c r="O3419" i="3"/>
  <c r="O3420" i="3"/>
  <c r="O3421" i="3"/>
  <c r="O3422" i="3"/>
  <c r="O3423" i="3"/>
  <c r="O3424" i="3"/>
  <c r="O3425" i="3"/>
  <c r="O3426" i="3"/>
  <c r="O3427" i="3"/>
  <c r="O3428" i="3"/>
  <c r="O3429" i="3"/>
  <c r="O3430" i="3"/>
  <c r="O3431" i="3"/>
  <c r="O3432" i="3"/>
  <c r="O3433" i="3"/>
  <c r="O3434" i="3"/>
  <c r="O3435" i="3"/>
  <c r="O3436" i="3"/>
  <c r="O3437" i="3"/>
  <c r="O3438" i="3"/>
  <c r="O3439" i="3"/>
  <c r="O3440" i="3"/>
  <c r="O3441" i="3"/>
  <c r="O3442" i="3"/>
  <c r="O3443" i="3"/>
  <c r="O3444" i="3"/>
  <c r="O3445" i="3"/>
  <c r="O3446" i="3"/>
  <c r="O3447" i="3"/>
  <c r="O3448" i="3"/>
  <c r="O3449" i="3"/>
  <c r="O3450" i="3"/>
  <c r="O3451" i="3"/>
  <c r="O3452" i="3"/>
  <c r="O3453" i="3"/>
  <c r="O3454" i="3"/>
  <c r="O3455" i="3"/>
  <c r="O3456" i="3"/>
  <c r="O3457" i="3"/>
  <c r="O3458" i="3"/>
  <c r="O3459" i="3"/>
  <c r="O3460" i="3"/>
  <c r="O3461" i="3"/>
  <c r="O3462" i="3"/>
  <c r="O3463" i="3"/>
  <c r="O3464" i="3"/>
  <c r="O3465" i="3"/>
  <c r="O3466" i="3"/>
  <c r="O3467" i="3"/>
  <c r="O3468" i="3"/>
  <c r="O3469" i="3"/>
  <c r="O3470" i="3"/>
  <c r="O3471" i="3"/>
  <c r="O3472" i="3"/>
  <c r="O3473" i="3"/>
  <c r="O3474" i="3"/>
  <c r="O3475" i="3"/>
  <c r="O3476" i="3"/>
  <c r="O3477" i="3"/>
  <c r="O3478" i="3"/>
  <c r="O3479" i="3"/>
  <c r="O3480" i="3"/>
  <c r="O3481" i="3"/>
  <c r="O3482" i="3"/>
  <c r="O3483" i="3"/>
  <c r="O3484" i="3"/>
  <c r="O3485" i="3"/>
  <c r="O3486" i="3"/>
  <c r="O3487" i="3"/>
  <c r="O3488" i="3"/>
  <c r="O3489" i="3"/>
  <c r="O3490" i="3"/>
  <c r="O3491" i="3"/>
  <c r="O3492" i="3"/>
  <c r="O3493" i="3"/>
  <c r="O3494" i="3"/>
  <c r="O3495" i="3"/>
  <c r="O3496" i="3"/>
  <c r="O3497" i="3"/>
  <c r="O3498" i="3"/>
  <c r="O3499" i="3"/>
  <c r="O3500" i="3"/>
  <c r="O3501" i="3"/>
  <c r="O3502" i="3"/>
  <c r="O3503" i="3"/>
  <c r="O3504" i="3"/>
  <c r="O3505" i="3"/>
  <c r="O3506" i="3"/>
  <c r="O3507" i="3"/>
  <c r="O3508" i="3"/>
  <c r="O3509" i="3"/>
  <c r="O3510" i="3"/>
  <c r="O3511" i="3"/>
  <c r="O3512" i="3"/>
  <c r="O3513" i="3"/>
  <c r="O3514" i="3"/>
  <c r="O3515" i="3"/>
  <c r="O3516" i="3"/>
  <c r="O3517" i="3"/>
  <c r="O3518" i="3"/>
  <c r="O3519" i="3"/>
  <c r="O3520" i="3"/>
  <c r="O3521" i="3"/>
  <c r="O3522" i="3"/>
  <c r="O3523" i="3"/>
  <c r="O3524" i="3"/>
  <c r="O3525" i="3"/>
  <c r="O3526" i="3"/>
  <c r="O3527" i="3"/>
  <c r="O3528" i="3"/>
  <c r="O3529" i="3"/>
  <c r="O3530" i="3"/>
  <c r="O3531" i="3"/>
  <c r="O3532" i="3"/>
  <c r="O3533" i="3"/>
  <c r="O3534" i="3"/>
  <c r="O3535" i="3"/>
  <c r="O3536" i="3"/>
  <c r="O3537" i="3"/>
  <c r="O3538" i="3"/>
  <c r="O3539" i="3"/>
  <c r="O3540" i="3"/>
  <c r="O3541" i="3"/>
  <c r="O3542" i="3"/>
  <c r="O3543" i="3"/>
  <c r="O3544" i="3"/>
  <c r="O3545" i="3"/>
  <c r="O3546" i="3"/>
  <c r="O3547" i="3"/>
  <c r="O3548" i="3"/>
  <c r="O3549" i="3"/>
  <c r="O3550" i="3"/>
  <c r="O3551" i="3"/>
  <c r="O3552" i="3"/>
  <c r="O3553" i="3"/>
  <c r="O3554" i="3"/>
  <c r="O3555" i="3"/>
  <c r="O3556" i="3"/>
  <c r="O3557" i="3"/>
  <c r="O3558" i="3"/>
  <c r="O3559" i="3"/>
  <c r="O3560" i="3"/>
  <c r="O3561" i="3"/>
  <c r="O3562" i="3"/>
  <c r="O3563" i="3"/>
  <c r="O3564" i="3"/>
  <c r="O3565" i="3"/>
  <c r="O3566" i="3"/>
  <c r="O3567" i="3"/>
  <c r="O3568" i="3"/>
  <c r="O3569" i="3"/>
  <c r="O3570" i="3"/>
  <c r="O3571" i="3"/>
  <c r="O3572" i="3"/>
  <c r="O3573" i="3"/>
  <c r="O3574" i="3"/>
  <c r="O3575" i="3"/>
  <c r="O3576" i="3"/>
  <c r="O3577" i="3"/>
  <c r="O3578" i="3"/>
  <c r="O3579" i="3"/>
  <c r="O3580" i="3"/>
  <c r="O3581" i="3"/>
  <c r="O3582" i="3"/>
  <c r="O3583" i="3"/>
  <c r="O3584" i="3"/>
  <c r="O3585" i="3"/>
  <c r="O3586" i="3"/>
  <c r="O3587" i="3"/>
  <c r="O3588" i="3"/>
  <c r="O3589" i="3"/>
  <c r="O3590" i="3"/>
  <c r="O3591" i="3"/>
  <c r="O3592" i="3"/>
  <c r="O3593" i="3"/>
  <c r="O3594" i="3"/>
  <c r="O3595" i="3"/>
  <c r="O3596" i="3"/>
  <c r="O3597" i="3"/>
  <c r="O3598" i="3"/>
  <c r="O3599" i="3"/>
  <c r="O3600" i="3"/>
  <c r="O3601" i="3"/>
  <c r="O3602" i="3"/>
  <c r="O3603" i="3"/>
  <c r="O3604" i="3"/>
  <c r="O3605" i="3"/>
  <c r="O3606" i="3"/>
  <c r="O3607" i="3"/>
  <c r="O3608" i="3"/>
  <c r="O3609" i="3"/>
  <c r="O3610" i="3"/>
  <c r="O3611" i="3"/>
  <c r="O3612" i="3"/>
  <c r="O3613" i="3"/>
  <c r="O3614" i="3"/>
  <c r="O3615" i="3"/>
  <c r="O3616" i="3"/>
  <c r="O3617" i="3"/>
  <c r="O3618" i="3"/>
  <c r="O3619" i="3"/>
  <c r="O3620" i="3"/>
  <c r="O3621" i="3"/>
  <c r="O3622" i="3"/>
  <c r="O3623" i="3"/>
  <c r="O3624" i="3"/>
  <c r="O3625" i="3"/>
  <c r="O3626" i="3"/>
  <c r="O3627" i="3"/>
  <c r="O3628" i="3"/>
  <c r="O3629" i="3"/>
  <c r="O3630" i="3"/>
  <c r="O3631" i="3"/>
  <c r="O3632" i="3"/>
  <c r="O3633" i="3"/>
  <c r="O3634" i="3"/>
  <c r="O3635" i="3"/>
  <c r="O3636" i="3"/>
  <c r="O3637" i="3"/>
  <c r="O3638" i="3"/>
  <c r="O3639" i="3"/>
  <c r="O3640" i="3"/>
  <c r="O3641" i="3"/>
  <c r="O3642" i="3"/>
  <c r="O3643" i="3"/>
  <c r="O3644" i="3"/>
  <c r="O3645" i="3"/>
  <c r="O3646" i="3"/>
  <c r="O3647" i="3"/>
  <c r="O3648" i="3"/>
  <c r="O3649" i="3"/>
  <c r="O3650" i="3"/>
  <c r="O3651" i="3"/>
  <c r="O3652" i="3"/>
  <c r="O3653" i="3"/>
  <c r="O3654" i="3"/>
  <c r="O3655" i="3"/>
  <c r="O3656" i="3"/>
  <c r="O3657" i="3"/>
  <c r="O3658" i="3"/>
  <c r="O3659" i="3"/>
  <c r="O3660" i="3"/>
  <c r="O3661" i="3"/>
  <c r="O3662" i="3"/>
  <c r="O3663" i="3"/>
  <c r="O3664" i="3"/>
  <c r="O3665" i="3"/>
  <c r="O3666" i="3"/>
  <c r="O3667" i="3"/>
  <c r="O3668" i="3"/>
  <c r="O3669" i="3"/>
  <c r="O3670" i="3"/>
  <c r="O3671" i="3"/>
  <c r="O3672" i="3"/>
  <c r="O3673" i="3"/>
  <c r="O3674" i="3"/>
  <c r="O3675" i="3"/>
  <c r="O3676" i="3"/>
  <c r="O3677" i="3"/>
  <c r="O3678" i="3"/>
  <c r="O3679" i="3"/>
  <c r="O3680" i="3"/>
  <c r="O3681" i="3"/>
  <c r="O3682" i="3"/>
  <c r="O3683" i="3"/>
  <c r="O3684" i="3"/>
  <c r="O3685" i="3"/>
  <c r="O3686" i="3"/>
  <c r="O3687" i="3"/>
  <c r="O3688" i="3"/>
  <c r="O3689" i="3"/>
  <c r="O3690" i="3"/>
  <c r="O3691" i="3"/>
  <c r="O3692" i="3"/>
  <c r="O3693" i="3"/>
  <c r="O3694" i="3"/>
  <c r="O3695" i="3"/>
  <c r="O3696" i="3"/>
  <c r="O3697" i="3"/>
  <c r="O3698" i="3"/>
  <c r="O3699" i="3"/>
  <c r="O3700" i="3"/>
  <c r="O3701" i="3"/>
  <c r="O3702" i="3"/>
  <c r="O3703" i="3"/>
  <c r="O3704" i="3"/>
  <c r="O3705" i="3"/>
  <c r="O3706" i="3"/>
  <c r="O3707" i="3"/>
  <c r="O3708" i="3"/>
  <c r="O3709" i="3"/>
  <c r="O3710" i="3"/>
  <c r="O3711" i="3"/>
  <c r="O3712" i="3"/>
  <c r="O3713" i="3"/>
  <c r="O3714" i="3"/>
  <c r="O3715" i="3"/>
  <c r="O3716" i="3"/>
  <c r="O3717" i="3"/>
  <c r="O3718" i="3"/>
  <c r="O3719" i="3"/>
  <c r="O3720" i="3"/>
  <c r="O3721" i="3"/>
  <c r="O3722" i="3"/>
  <c r="O3723" i="3"/>
  <c r="O3724" i="3"/>
  <c r="O3725" i="3"/>
  <c r="O3726" i="3"/>
  <c r="O3727" i="3"/>
  <c r="O3728" i="3"/>
  <c r="O3729" i="3"/>
  <c r="O3730" i="3"/>
  <c r="O3731" i="3"/>
  <c r="O3732" i="3"/>
  <c r="O3733" i="3"/>
  <c r="O3734" i="3"/>
  <c r="O3735" i="3"/>
  <c r="O3736" i="3"/>
  <c r="O3737" i="3"/>
  <c r="O3738" i="3"/>
  <c r="O3739" i="3"/>
  <c r="O3740" i="3"/>
  <c r="O3741" i="3"/>
  <c r="O3742" i="3"/>
  <c r="O3743" i="3"/>
  <c r="O3744" i="3"/>
  <c r="O3745" i="3"/>
  <c r="O3746" i="3"/>
  <c r="O3747" i="3"/>
  <c r="O3748" i="3"/>
  <c r="O3749" i="3"/>
  <c r="O3750" i="3"/>
  <c r="O3751" i="3"/>
  <c r="O3752" i="3"/>
  <c r="O3753" i="3"/>
  <c r="O3754" i="3"/>
  <c r="O3755" i="3"/>
  <c r="O3756" i="3"/>
  <c r="O3757" i="3"/>
  <c r="O3758" i="3"/>
  <c r="O3759" i="3"/>
  <c r="O3760" i="3"/>
  <c r="O3761" i="3"/>
  <c r="O3762" i="3"/>
  <c r="O3763" i="3"/>
  <c r="O3764" i="3"/>
  <c r="O3765" i="3"/>
  <c r="O3766" i="3"/>
  <c r="O3767" i="3"/>
  <c r="O3768" i="3"/>
  <c r="O3769" i="3"/>
  <c r="O3770" i="3"/>
  <c r="O3771" i="3"/>
  <c r="O3772" i="3"/>
  <c r="O3773" i="3"/>
  <c r="O3774" i="3"/>
  <c r="O3775" i="3"/>
  <c r="O3776" i="3"/>
  <c r="O3777" i="3"/>
  <c r="O3778" i="3"/>
  <c r="O3779" i="3"/>
  <c r="O3780" i="3"/>
  <c r="O3781" i="3"/>
  <c r="O3782" i="3"/>
  <c r="O3783" i="3"/>
  <c r="O3784" i="3"/>
  <c r="O3785" i="3"/>
  <c r="O3786" i="3"/>
  <c r="O3787" i="3"/>
  <c r="O3788" i="3"/>
  <c r="O3789" i="3"/>
  <c r="O3790" i="3"/>
  <c r="O3791" i="3"/>
  <c r="O3792" i="3"/>
  <c r="O3793" i="3"/>
  <c r="O3794" i="3"/>
  <c r="O3795" i="3"/>
  <c r="O3796" i="3"/>
  <c r="O3797" i="3"/>
  <c r="O3798" i="3"/>
  <c r="O3799" i="3"/>
  <c r="O3800" i="3"/>
  <c r="O3801" i="3"/>
  <c r="O3802" i="3"/>
  <c r="O3803" i="3"/>
  <c r="O3804" i="3"/>
  <c r="O3805" i="3"/>
  <c r="O3806" i="3"/>
  <c r="O3807" i="3"/>
  <c r="O3808" i="3"/>
  <c r="O3809" i="3"/>
  <c r="O3810" i="3"/>
  <c r="O3811" i="3"/>
  <c r="O3812" i="3"/>
  <c r="O3813" i="3"/>
  <c r="O3814" i="3"/>
  <c r="O3815" i="3"/>
  <c r="O3816" i="3"/>
  <c r="O3817" i="3"/>
  <c r="O3818" i="3"/>
  <c r="O3819" i="3"/>
  <c r="O3820" i="3"/>
  <c r="O3821" i="3"/>
  <c r="O3822" i="3"/>
  <c r="O3823" i="3"/>
  <c r="O3824" i="3"/>
  <c r="O3825" i="3"/>
  <c r="O3826" i="3"/>
  <c r="O3827" i="3"/>
  <c r="O3828" i="3"/>
  <c r="O3829" i="3"/>
  <c r="O3830" i="3"/>
  <c r="O3831" i="3"/>
  <c r="O3832" i="3"/>
  <c r="O3833" i="3"/>
  <c r="O3834" i="3"/>
  <c r="O3835" i="3"/>
  <c r="O3836" i="3"/>
  <c r="O3837" i="3"/>
  <c r="O3838" i="3"/>
  <c r="O3839" i="3"/>
  <c r="O3840" i="3"/>
  <c r="O3841" i="3"/>
  <c r="O3842" i="3"/>
  <c r="O3843" i="3"/>
  <c r="O3844" i="3"/>
  <c r="O3845" i="3"/>
  <c r="O3846" i="3"/>
  <c r="O3847" i="3"/>
  <c r="O3848" i="3"/>
  <c r="O3849" i="3"/>
  <c r="O3850" i="3"/>
  <c r="O3851" i="3"/>
  <c r="O3852" i="3"/>
  <c r="O3853" i="3"/>
  <c r="O3854" i="3"/>
  <c r="O3855" i="3"/>
  <c r="O3856" i="3"/>
  <c r="O3857" i="3"/>
  <c r="O3858" i="3"/>
  <c r="O3859" i="3"/>
  <c r="O3860" i="3"/>
  <c r="O3861" i="3"/>
  <c r="O3862" i="3"/>
  <c r="O3863" i="3"/>
  <c r="O3864" i="3"/>
  <c r="O3865" i="3"/>
  <c r="O3866" i="3"/>
  <c r="O3867" i="3"/>
  <c r="O3868" i="3"/>
  <c r="O3869" i="3"/>
  <c r="O3870" i="3"/>
  <c r="O3871" i="3"/>
  <c r="O3872" i="3"/>
  <c r="O3873" i="3"/>
  <c r="O3874" i="3"/>
  <c r="O3875" i="3"/>
  <c r="O3876" i="3"/>
  <c r="O3877" i="3"/>
  <c r="O3878" i="3"/>
  <c r="O3879" i="3"/>
  <c r="O3880" i="3"/>
  <c r="O3881" i="3"/>
  <c r="O3882" i="3"/>
  <c r="O3883" i="3"/>
  <c r="O3884" i="3"/>
  <c r="O3885" i="3"/>
  <c r="O3886" i="3"/>
  <c r="O3887" i="3"/>
  <c r="O3888" i="3"/>
  <c r="O3889" i="3"/>
  <c r="O3890" i="3"/>
  <c r="O3891" i="3"/>
  <c r="O3892" i="3"/>
  <c r="O3893" i="3"/>
  <c r="O3894" i="3"/>
  <c r="O3895" i="3"/>
  <c r="O3896" i="3"/>
  <c r="O3897" i="3"/>
  <c r="O3898" i="3"/>
  <c r="O3899" i="3"/>
  <c r="O3900" i="3"/>
  <c r="O3901" i="3"/>
  <c r="O3902" i="3"/>
  <c r="O3903" i="3"/>
  <c r="O3904" i="3"/>
  <c r="O3905" i="3"/>
  <c r="O3906" i="3"/>
  <c r="O3907" i="3"/>
  <c r="O3908" i="3"/>
  <c r="O3909" i="3"/>
  <c r="O3910" i="3"/>
  <c r="O3911" i="3"/>
  <c r="O3912" i="3"/>
  <c r="O3913" i="3"/>
  <c r="O3914" i="3"/>
  <c r="O3915" i="3"/>
  <c r="O3916" i="3"/>
  <c r="O3917" i="3"/>
  <c r="O3918" i="3"/>
  <c r="O3919" i="3"/>
  <c r="O3920" i="3"/>
  <c r="O3921" i="3"/>
  <c r="O3922" i="3"/>
  <c r="O3923" i="3"/>
  <c r="O3924" i="3"/>
  <c r="O3925" i="3"/>
  <c r="O3926" i="3"/>
  <c r="O3927" i="3"/>
  <c r="O3928" i="3"/>
  <c r="O3929" i="3"/>
  <c r="O3930" i="3"/>
  <c r="O3931" i="3"/>
  <c r="O3932" i="3"/>
  <c r="O3933" i="3"/>
  <c r="O3934" i="3"/>
  <c r="O3935" i="3"/>
  <c r="O3936" i="3"/>
  <c r="O3937" i="3"/>
  <c r="O3938" i="3"/>
  <c r="O3939" i="3"/>
  <c r="O3940" i="3"/>
  <c r="O3941" i="3"/>
  <c r="O3942" i="3"/>
  <c r="O3943" i="3"/>
  <c r="O3944" i="3"/>
  <c r="O3945" i="3"/>
  <c r="O3946" i="3"/>
  <c r="O3947" i="3"/>
  <c r="O3948" i="3"/>
  <c r="O3949" i="3"/>
  <c r="O3950" i="3"/>
  <c r="O3951" i="3"/>
  <c r="O3952" i="3"/>
  <c r="O3953" i="3"/>
  <c r="O3954" i="3"/>
  <c r="O3955" i="3"/>
  <c r="O3956" i="3"/>
  <c r="O3957" i="3"/>
  <c r="O3958" i="3"/>
  <c r="O3959" i="3"/>
  <c r="O3960" i="3"/>
  <c r="O3961" i="3"/>
  <c r="O3962" i="3"/>
  <c r="O3963" i="3"/>
  <c r="O3964" i="3"/>
  <c r="O3965" i="3"/>
  <c r="O3966" i="3"/>
  <c r="O3967" i="3"/>
  <c r="O3968" i="3"/>
  <c r="O3969" i="3"/>
  <c r="O3970" i="3"/>
  <c r="O3971" i="3"/>
  <c r="O3972" i="3"/>
  <c r="O3973" i="3"/>
  <c r="O3974" i="3"/>
  <c r="O3975" i="3"/>
  <c r="O3976" i="3"/>
  <c r="O3977" i="3"/>
  <c r="O3978" i="3"/>
  <c r="O3979" i="3"/>
  <c r="O3980" i="3"/>
  <c r="O3981" i="3"/>
  <c r="O3982" i="3"/>
  <c r="O3983" i="3"/>
  <c r="O3984" i="3"/>
  <c r="O3985" i="3"/>
  <c r="O3986" i="3"/>
  <c r="O3987" i="3"/>
  <c r="O3988" i="3"/>
  <c r="O3989" i="3"/>
  <c r="O3990" i="3"/>
  <c r="O3991" i="3"/>
  <c r="O3992" i="3"/>
  <c r="O3993" i="3"/>
  <c r="O3994" i="3"/>
  <c r="O3995" i="3"/>
  <c r="O3996" i="3"/>
  <c r="O3997" i="3"/>
  <c r="O3998" i="3"/>
  <c r="O3999" i="3"/>
  <c r="O4000" i="3"/>
  <c r="O4001" i="3"/>
  <c r="O4002" i="3"/>
  <c r="O4003" i="3"/>
  <c r="O4004" i="3"/>
  <c r="O4005" i="3"/>
  <c r="O4006" i="3"/>
  <c r="O4007" i="3"/>
  <c r="O4008" i="3"/>
  <c r="O4009" i="3"/>
  <c r="O4010" i="3"/>
  <c r="O4011" i="3"/>
  <c r="O4012" i="3"/>
  <c r="O4013" i="3"/>
  <c r="O4014" i="3"/>
  <c r="O4015" i="3"/>
  <c r="O4016" i="3"/>
  <c r="O4017" i="3"/>
  <c r="O4018" i="3"/>
  <c r="O4019" i="3"/>
  <c r="O4020" i="3"/>
  <c r="O4021" i="3"/>
  <c r="O4022" i="3"/>
  <c r="O4023" i="3"/>
  <c r="O4024" i="3"/>
  <c r="O4025" i="3"/>
  <c r="O4026" i="3"/>
  <c r="O4027" i="3"/>
  <c r="O4028" i="3"/>
  <c r="O4029" i="3"/>
  <c r="O4030" i="3"/>
  <c r="O4031" i="3"/>
  <c r="O4032" i="3"/>
  <c r="O4033" i="3"/>
  <c r="O4034" i="3"/>
  <c r="O4035" i="3"/>
  <c r="O4036" i="3"/>
  <c r="O4037" i="3"/>
  <c r="O4038" i="3"/>
  <c r="O4039" i="3"/>
  <c r="O4040" i="3"/>
  <c r="O4041" i="3"/>
  <c r="O4042" i="3"/>
  <c r="O4043" i="3"/>
  <c r="O4044" i="3"/>
  <c r="O4045" i="3"/>
  <c r="O4046" i="3"/>
  <c r="O4047" i="3"/>
  <c r="O4048" i="3"/>
  <c r="O4049" i="3"/>
  <c r="O4050" i="3"/>
  <c r="O4051" i="3"/>
  <c r="O4052" i="3"/>
  <c r="O4053" i="3"/>
  <c r="O4054" i="3"/>
  <c r="O4055" i="3"/>
  <c r="O4056" i="3"/>
  <c r="O4057" i="3"/>
  <c r="O4058" i="3"/>
  <c r="O4059" i="3"/>
  <c r="O4060" i="3"/>
  <c r="O4061" i="3"/>
  <c r="O4062" i="3"/>
  <c r="O4063" i="3"/>
  <c r="O4064" i="3"/>
  <c r="O4065" i="3"/>
  <c r="O4066" i="3"/>
  <c r="O4067" i="3"/>
  <c r="O4068" i="3"/>
  <c r="O4069" i="3"/>
  <c r="O4070" i="3"/>
  <c r="O4071" i="3"/>
  <c r="O4072" i="3"/>
  <c r="O4073" i="3"/>
  <c r="O4074" i="3"/>
  <c r="O4075" i="3"/>
  <c r="O4076" i="3"/>
  <c r="O4077" i="3"/>
  <c r="O4078" i="3"/>
  <c r="O4079" i="3"/>
  <c r="O4080" i="3"/>
  <c r="O4081" i="3"/>
  <c r="O4082" i="3"/>
  <c r="O4083" i="3"/>
  <c r="O4084" i="3"/>
  <c r="O4085" i="3"/>
  <c r="O4086" i="3"/>
  <c r="O4087" i="3"/>
  <c r="O4088" i="3"/>
  <c r="O4089" i="3"/>
  <c r="O4090" i="3"/>
  <c r="O4091" i="3"/>
  <c r="O4092" i="3"/>
  <c r="O4093" i="3"/>
  <c r="O4094" i="3"/>
  <c r="O4095" i="3"/>
  <c r="O4096" i="3"/>
  <c r="O4097" i="3"/>
  <c r="O4098" i="3"/>
  <c r="O4099" i="3"/>
  <c r="O4100" i="3"/>
  <c r="O4101" i="3"/>
  <c r="O4102" i="3"/>
  <c r="O4103" i="3"/>
  <c r="O4104" i="3"/>
  <c r="O4105" i="3"/>
  <c r="O4106" i="3"/>
  <c r="O4107" i="3"/>
  <c r="O4108" i="3"/>
  <c r="O4109" i="3"/>
  <c r="O4110" i="3"/>
  <c r="O4111" i="3"/>
  <c r="O4112" i="3"/>
  <c r="O4113" i="3"/>
  <c r="O4114" i="3"/>
  <c r="O4115" i="3"/>
  <c r="O4116" i="3"/>
  <c r="O4117" i="3"/>
  <c r="O4118" i="3"/>
  <c r="O4119" i="3"/>
  <c r="O4120" i="3"/>
  <c r="O4121" i="3"/>
  <c r="O4122" i="3"/>
  <c r="O4123" i="3"/>
  <c r="O4124" i="3"/>
  <c r="O4125" i="3"/>
  <c r="O4126" i="3"/>
  <c r="O4127" i="3"/>
  <c r="O4128" i="3"/>
  <c r="O4129" i="3"/>
  <c r="O4130" i="3"/>
  <c r="O4131" i="3"/>
  <c r="O4132" i="3"/>
  <c r="O4133" i="3"/>
  <c r="O4134" i="3"/>
  <c r="O4135" i="3"/>
  <c r="O4136" i="3"/>
  <c r="O4137" i="3"/>
  <c r="O4138" i="3"/>
  <c r="O4139" i="3"/>
  <c r="O4140" i="3"/>
  <c r="O4141" i="3"/>
  <c r="O4142" i="3"/>
  <c r="O4143" i="3"/>
  <c r="O4144" i="3"/>
  <c r="O4145" i="3"/>
  <c r="O4146" i="3"/>
  <c r="O4147" i="3"/>
  <c r="O4148" i="3"/>
  <c r="O4149" i="3"/>
  <c r="O4150" i="3"/>
  <c r="O4151" i="3"/>
  <c r="O4152" i="3"/>
  <c r="O4153" i="3"/>
  <c r="O4154" i="3"/>
  <c r="O4155" i="3"/>
  <c r="O4156" i="3"/>
  <c r="O4157" i="3"/>
  <c r="O4158" i="3"/>
  <c r="O4159" i="3"/>
  <c r="O4160" i="3"/>
  <c r="O4161" i="3"/>
  <c r="O4162" i="3"/>
  <c r="O4163" i="3"/>
  <c r="O4164" i="3"/>
  <c r="O4165" i="3"/>
  <c r="O4166" i="3"/>
  <c r="O4167" i="3"/>
  <c r="O4168" i="3"/>
  <c r="O4169" i="3"/>
  <c r="O4170" i="3"/>
  <c r="O4171" i="3"/>
  <c r="O4172" i="3"/>
  <c r="O4173" i="3"/>
  <c r="O4174" i="3"/>
  <c r="O4175" i="3"/>
  <c r="O4176" i="3"/>
  <c r="O4177" i="3"/>
  <c r="O4178" i="3"/>
  <c r="O4179" i="3"/>
  <c r="O4180" i="3"/>
  <c r="O4181" i="3"/>
  <c r="O4182" i="3"/>
  <c r="O4183" i="3"/>
  <c r="O4184" i="3"/>
  <c r="O4185" i="3"/>
  <c r="O4186" i="3"/>
  <c r="O4187" i="3"/>
  <c r="O4188" i="3"/>
  <c r="O4189" i="3"/>
  <c r="O4190" i="3"/>
  <c r="O4191" i="3"/>
  <c r="O4192" i="3"/>
  <c r="O4193" i="3"/>
  <c r="O4194" i="3"/>
  <c r="O4195" i="3"/>
  <c r="O4196" i="3"/>
  <c r="O4197" i="3"/>
  <c r="O4198" i="3"/>
  <c r="O4199" i="3"/>
  <c r="O4200" i="3"/>
  <c r="O4201" i="3"/>
  <c r="O4202" i="3"/>
  <c r="O4203" i="3"/>
  <c r="O4204" i="3"/>
  <c r="O4205" i="3"/>
  <c r="O4206" i="3"/>
  <c r="O4207" i="3"/>
  <c r="O4208" i="3"/>
  <c r="O4209" i="3"/>
  <c r="O4210" i="3"/>
  <c r="O4211" i="3"/>
  <c r="O4212" i="3"/>
  <c r="O4213" i="3"/>
  <c r="O4214" i="3"/>
  <c r="O4215" i="3"/>
  <c r="O4216" i="3"/>
  <c r="O4217" i="3"/>
  <c r="O4218" i="3"/>
  <c r="O4219" i="3"/>
  <c r="O4220" i="3"/>
  <c r="O4221" i="3"/>
  <c r="O4222" i="3"/>
  <c r="O4223" i="3"/>
  <c r="O4224" i="3"/>
  <c r="O4225" i="3"/>
  <c r="O4226" i="3"/>
  <c r="O4227" i="3"/>
  <c r="O4228" i="3"/>
  <c r="O4229" i="3"/>
  <c r="O4230" i="3"/>
  <c r="O4231" i="3"/>
  <c r="O4232" i="3"/>
  <c r="O4233" i="3"/>
  <c r="O4234" i="3"/>
  <c r="O4235" i="3"/>
  <c r="O4236" i="3"/>
  <c r="O4237" i="3"/>
  <c r="O4238" i="3"/>
  <c r="O4239" i="3"/>
  <c r="O4240" i="3"/>
  <c r="O4241" i="3"/>
  <c r="O4242" i="3"/>
  <c r="O4243" i="3"/>
  <c r="O4244" i="3"/>
  <c r="O4245" i="3"/>
  <c r="O4246" i="3"/>
  <c r="O4247" i="3"/>
  <c r="O4248" i="3"/>
  <c r="O4249" i="3"/>
  <c r="O4250" i="3"/>
  <c r="O4251" i="3"/>
  <c r="O4252" i="3"/>
  <c r="O4253" i="3"/>
  <c r="O4254" i="3"/>
  <c r="O4255" i="3"/>
  <c r="O4256" i="3"/>
  <c r="O4257" i="3"/>
  <c r="O4258" i="3"/>
  <c r="O4259" i="3"/>
  <c r="O4260" i="3"/>
  <c r="O4261" i="3"/>
  <c r="O4262" i="3"/>
  <c r="O4263" i="3"/>
  <c r="O4264" i="3"/>
  <c r="O4265" i="3"/>
  <c r="O4266" i="3"/>
  <c r="O4267" i="3"/>
  <c r="O4268" i="3"/>
  <c r="O4269" i="3"/>
  <c r="O4270" i="3"/>
  <c r="O4271" i="3"/>
  <c r="O4272" i="3"/>
  <c r="O4273" i="3"/>
  <c r="O4274" i="3"/>
  <c r="O4275" i="3"/>
  <c r="O4276" i="3"/>
  <c r="O4277" i="3"/>
  <c r="O4278" i="3"/>
  <c r="O4279" i="3"/>
  <c r="O4280" i="3"/>
  <c r="O4281" i="3"/>
  <c r="O4282" i="3"/>
  <c r="O4283" i="3"/>
  <c r="O4284" i="3"/>
  <c r="O4285" i="3"/>
  <c r="O4286" i="3"/>
  <c r="O4287" i="3"/>
  <c r="O4288" i="3"/>
  <c r="O4289" i="3"/>
  <c r="O4290" i="3"/>
  <c r="O4291" i="3"/>
  <c r="O4292" i="3"/>
  <c r="O4293" i="3"/>
  <c r="O4294" i="3"/>
  <c r="O4295" i="3"/>
  <c r="O4296" i="3"/>
  <c r="O4297" i="3"/>
  <c r="O4298" i="3"/>
  <c r="O4299" i="3"/>
  <c r="O4300" i="3"/>
  <c r="O4301" i="3"/>
  <c r="O4302" i="3"/>
  <c r="O4303" i="3"/>
  <c r="O4304" i="3"/>
  <c r="O4305" i="3"/>
  <c r="O4306" i="3"/>
  <c r="O4307" i="3"/>
  <c r="O4308" i="3"/>
  <c r="O4309" i="3"/>
  <c r="O4310" i="3"/>
  <c r="O4311" i="3"/>
  <c r="O4312" i="3"/>
  <c r="O4313" i="3"/>
  <c r="O4314" i="3"/>
  <c r="O4315" i="3"/>
  <c r="O4316" i="3"/>
  <c r="O4317" i="3"/>
  <c r="O4318" i="3"/>
  <c r="O4319" i="3"/>
  <c r="O4320" i="3"/>
  <c r="O4321" i="3"/>
  <c r="O4322" i="3"/>
  <c r="O4323" i="3"/>
  <c r="O4324" i="3"/>
  <c r="O4325" i="3"/>
  <c r="O4326" i="3"/>
  <c r="O4327" i="3"/>
  <c r="O4328" i="3"/>
  <c r="O4329" i="3"/>
  <c r="O4330" i="3"/>
  <c r="O4331" i="3"/>
  <c r="O4332" i="3"/>
  <c r="O4333" i="3"/>
  <c r="O4334" i="3"/>
  <c r="O4335" i="3"/>
  <c r="O4336" i="3"/>
  <c r="O4337" i="3"/>
  <c r="O4338" i="3"/>
  <c r="O4339" i="3"/>
  <c r="O4340" i="3"/>
  <c r="O4341" i="3"/>
  <c r="O4342" i="3"/>
  <c r="O4343" i="3"/>
  <c r="O4344" i="3"/>
  <c r="O4345" i="3"/>
  <c r="O4346" i="3"/>
  <c r="O4347" i="3"/>
  <c r="O4348" i="3"/>
  <c r="O4349" i="3"/>
  <c r="O4350" i="3"/>
  <c r="O4351" i="3"/>
  <c r="O4352" i="3"/>
  <c r="O4353" i="3"/>
  <c r="O4354" i="3"/>
  <c r="O4355" i="3"/>
  <c r="O4356" i="3"/>
  <c r="O4357" i="3"/>
  <c r="O4358" i="3"/>
  <c r="O4359" i="3"/>
  <c r="O4360" i="3"/>
  <c r="O4361" i="3"/>
  <c r="O4362" i="3"/>
  <c r="O4363" i="3"/>
  <c r="O4364" i="3"/>
  <c r="O4365" i="3"/>
  <c r="O4366" i="3"/>
  <c r="O4367" i="3"/>
  <c r="O4368" i="3"/>
  <c r="O4369" i="3"/>
  <c r="O4370" i="3"/>
  <c r="O4371" i="3"/>
  <c r="O4372" i="3"/>
  <c r="O4373" i="3"/>
  <c r="O4374" i="3"/>
  <c r="O4375" i="3"/>
  <c r="O4376" i="3"/>
  <c r="O4377" i="3"/>
  <c r="O4378" i="3"/>
  <c r="O4379" i="3"/>
  <c r="O4380" i="3"/>
  <c r="O4381" i="3"/>
  <c r="O4382" i="3"/>
  <c r="O4383" i="3"/>
  <c r="O4384" i="3"/>
  <c r="O4385" i="3"/>
  <c r="O4386" i="3"/>
  <c r="O4387" i="3"/>
  <c r="O4388" i="3"/>
  <c r="O4389" i="3"/>
  <c r="O4390" i="3"/>
  <c r="O4391" i="3"/>
  <c r="O4392" i="3"/>
  <c r="O4393" i="3"/>
  <c r="O4394" i="3"/>
  <c r="O4395" i="3"/>
  <c r="O4396" i="3"/>
  <c r="O4397" i="3"/>
  <c r="O4398" i="3"/>
  <c r="O4399" i="3"/>
  <c r="O4400" i="3"/>
  <c r="O4401" i="3"/>
  <c r="O4402" i="3"/>
  <c r="O4403" i="3"/>
  <c r="O4404" i="3"/>
  <c r="O4405" i="3"/>
  <c r="O4406" i="3"/>
  <c r="O4407" i="3"/>
  <c r="O4408" i="3"/>
  <c r="O4409" i="3"/>
  <c r="O4410" i="3"/>
  <c r="O4411" i="3"/>
  <c r="O4412" i="3"/>
  <c r="O4413" i="3"/>
  <c r="O4414" i="3"/>
  <c r="O4415" i="3"/>
  <c r="O4416" i="3"/>
  <c r="O4417" i="3"/>
  <c r="O4418" i="3"/>
  <c r="O4419" i="3"/>
  <c r="O4420" i="3"/>
  <c r="O4421" i="3"/>
  <c r="O4422" i="3"/>
  <c r="O4423" i="3"/>
  <c r="O4424" i="3"/>
  <c r="O4425" i="3"/>
  <c r="O4426" i="3"/>
  <c r="O4427" i="3"/>
  <c r="O4428" i="3"/>
  <c r="O4429" i="3"/>
  <c r="O4430" i="3"/>
  <c r="O4431" i="3"/>
  <c r="O4432" i="3"/>
  <c r="O4433" i="3"/>
  <c r="O4434" i="3"/>
  <c r="O4435" i="3"/>
  <c r="O4436" i="3"/>
  <c r="O4437" i="3"/>
  <c r="O4438" i="3"/>
  <c r="O4439" i="3"/>
  <c r="O4440" i="3"/>
  <c r="O4441" i="3"/>
  <c r="O4442" i="3"/>
  <c r="O4443" i="3"/>
  <c r="O4444" i="3"/>
  <c r="O4445" i="3"/>
  <c r="O4446" i="3"/>
  <c r="O4447" i="3"/>
  <c r="O4448" i="3"/>
  <c r="O4449" i="3"/>
  <c r="O4450" i="3"/>
  <c r="O4451" i="3"/>
  <c r="O4452" i="3"/>
  <c r="O4453" i="3"/>
  <c r="O4454" i="3"/>
  <c r="O4455" i="3"/>
  <c r="O4456" i="3"/>
  <c r="O4457" i="3"/>
  <c r="O4458" i="3"/>
  <c r="O4459" i="3"/>
  <c r="O4460" i="3"/>
  <c r="O4461" i="3"/>
  <c r="O4462" i="3"/>
  <c r="O4463" i="3"/>
  <c r="O4464" i="3"/>
  <c r="O4465" i="3"/>
  <c r="O4466" i="3"/>
  <c r="O4467" i="3"/>
  <c r="O4468" i="3"/>
  <c r="O4469" i="3"/>
  <c r="O4470" i="3"/>
  <c r="O4471" i="3"/>
  <c r="O4472" i="3"/>
  <c r="O4473" i="3"/>
  <c r="O4474" i="3"/>
  <c r="O4475" i="3"/>
  <c r="O4476" i="3"/>
  <c r="O4477" i="3"/>
  <c r="O4478" i="3"/>
  <c r="O4479" i="3"/>
  <c r="O4480" i="3"/>
  <c r="O4481" i="3"/>
  <c r="O4482" i="3"/>
  <c r="O4483" i="3"/>
  <c r="O4484" i="3"/>
  <c r="O4485" i="3"/>
  <c r="O4486" i="3"/>
  <c r="O4487" i="3"/>
  <c r="O4488" i="3"/>
  <c r="O4489" i="3"/>
  <c r="O4490" i="3"/>
  <c r="O4491" i="3"/>
  <c r="O4492" i="3"/>
  <c r="O4493" i="3"/>
  <c r="O4494" i="3"/>
  <c r="O4495" i="3"/>
  <c r="O4496" i="3"/>
  <c r="O4497" i="3"/>
  <c r="O4498" i="3"/>
  <c r="O4499" i="3"/>
  <c r="O4500" i="3"/>
  <c r="O4501" i="3"/>
  <c r="O4502" i="3"/>
  <c r="O4503" i="3"/>
  <c r="O4504" i="3"/>
  <c r="O4505" i="3"/>
  <c r="O4506" i="3"/>
  <c r="O4507" i="3"/>
  <c r="O4508" i="3"/>
  <c r="O4509" i="3"/>
  <c r="O4510" i="3"/>
  <c r="O4511" i="3"/>
  <c r="O4512" i="3"/>
  <c r="O4513" i="3"/>
  <c r="O4514" i="3"/>
  <c r="O4515" i="3"/>
  <c r="O4516" i="3"/>
  <c r="O4517" i="3"/>
  <c r="O4518" i="3"/>
  <c r="O4519" i="3"/>
  <c r="O4520" i="3"/>
  <c r="O4521" i="3"/>
  <c r="O4522" i="3"/>
  <c r="O4523" i="3"/>
  <c r="O4524" i="3"/>
  <c r="O4525" i="3"/>
  <c r="O4526" i="3"/>
  <c r="O4527" i="3"/>
  <c r="O4528" i="3"/>
  <c r="O4529" i="3"/>
  <c r="O4530" i="3"/>
  <c r="O4531" i="3"/>
  <c r="O4532" i="3"/>
  <c r="O4533" i="3"/>
  <c r="O4534" i="3"/>
  <c r="O4535" i="3"/>
  <c r="O4536" i="3"/>
  <c r="O4537" i="3"/>
  <c r="O4538" i="3"/>
  <c r="O4539" i="3"/>
  <c r="O4540" i="3"/>
  <c r="O4541" i="3"/>
  <c r="O4542" i="3"/>
  <c r="O4543" i="3"/>
  <c r="O4544" i="3"/>
  <c r="O4545" i="3"/>
  <c r="O4546" i="3"/>
  <c r="O4547" i="3"/>
  <c r="O4548" i="3"/>
  <c r="O4549" i="3"/>
  <c r="O4550" i="3"/>
  <c r="O4551" i="3"/>
  <c r="O4552" i="3"/>
  <c r="O4553" i="3"/>
  <c r="O4554" i="3"/>
  <c r="O4555" i="3"/>
  <c r="O4556" i="3"/>
  <c r="O4557" i="3"/>
  <c r="O4558" i="3"/>
  <c r="O4559" i="3"/>
  <c r="O4560" i="3"/>
  <c r="O4561" i="3"/>
  <c r="O4562" i="3"/>
  <c r="O4563" i="3"/>
  <c r="O4564" i="3"/>
  <c r="O4565" i="3"/>
  <c r="O4566" i="3"/>
  <c r="O4567" i="3"/>
  <c r="O4568" i="3"/>
  <c r="O4569" i="3"/>
  <c r="O4570" i="3"/>
  <c r="O4571" i="3"/>
  <c r="O4572" i="3"/>
  <c r="O4573" i="3"/>
  <c r="O4574" i="3"/>
  <c r="O4575" i="3"/>
  <c r="O4576" i="3"/>
  <c r="O4577" i="3"/>
  <c r="O4578" i="3"/>
  <c r="O4579" i="3"/>
  <c r="O4580" i="3"/>
  <c r="O4581" i="3"/>
  <c r="O4582" i="3"/>
  <c r="O4583" i="3"/>
  <c r="O4584" i="3"/>
  <c r="O4585" i="3"/>
  <c r="O4586" i="3"/>
  <c r="O4587" i="3"/>
  <c r="O4588" i="3"/>
  <c r="O4589" i="3"/>
  <c r="O4590" i="3"/>
  <c r="O4591" i="3"/>
  <c r="O4592" i="3"/>
  <c r="O4593" i="3"/>
  <c r="O4594" i="3"/>
  <c r="O4595" i="3"/>
  <c r="O4596" i="3"/>
  <c r="O4597" i="3"/>
  <c r="O4598" i="3"/>
  <c r="O4599" i="3"/>
  <c r="O4600" i="3"/>
  <c r="O4601" i="3"/>
  <c r="O4602" i="3"/>
  <c r="O4603" i="3"/>
  <c r="O4604" i="3"/>
  <c r="O4605" i="3"/>
  <c r="O4606" i="3"/>
  <c r="O4607" i="3"/>
  <c r="O4608" i="3"/>
  <c r="O4609" i="3"/>
  <c r="O4610" i="3"/>
  <c r="O4611" i="3"/>
  <c r="O4612" i="3"/>
  <c r="O4613" i="3"/>
  <c r="O4614" i="3"/>
  <c r="O4615" i="3"/>
  <c r="O4616" i="3"/>
  <c r="O4617" i="3"/>
  <c r="O4618" i="3"/>
  <c r="O4619" i="3"/>
  <c r="O4620" i="3"/>
  <c r="O4621" i="3"/>
  <c r="O4622" i="3"/>
  <c r="O4623" i="3"/>
  <c r="O4624" i="3"/>
  <c r="O4625" i="3"/>
  <c r="O4626" i="3"/>
  <c r="O4627" i="3"/>
  <c r="O4628" i="3"/>
  <c r="O4629" i="3"/>
  <c r="O4630" i="3"/>
  <c r="O4631" i="3"/>
  <c r="O4632" i="3"/>
  <c r="O4633" i="3"/>
  <c r="O4634" i="3"/>
  <c r="O4635" i="3"/>
  <c r="O4636" i="3"/>
  <c r="O4637" i="3"/>
  <c r="O4638" i="3"/>
  <c r="O4639" i="3"/>
  <c r="O4640" i="3"/>
  <c r="O4641" i="3"/>
  <c r="O4642" i="3"/>
  <c r="O4643" i="3"/>
  <c r="O4644" i="3"/>
  <c r="O4645" i="3"/>
  <c r="O4646" i="3"/>
  <c r="O4647" i="3"/>
  <c r="O4648" i="3"/>
  <c r="O4649" i="3"/>
  <c r="O4650" i="3"/>
  <c r="O4651" i="3"/>
  <c r="O4652" i="3"/>
  <c r="O4653" i="3"/>
  <c r="O4654" i="3"/>
  <c r="O4655" i="3"/>
  <c r="O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N1311" i="3"/>
  <c r="N1312" i="3"/>
  <c r="N1313" i="3"/>
  <c r="N1314" i="3"/>
  <c r="N1315" i="3"/>
  <c r="N1316" i="3"/>
  <c r="N1317" i="3"/>
  <c r="N1318" i="3"/>
  <c r="N1319" i="3"/>
  <c r="N1320" i="3"/>
  <c r="N1321" i="3"/>
  <c r="N1322" i="3"/>
  <c r="N1323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N1340" i="3"/>
  <c r="N1341" i="3"/>
  <c r="N1342" i="3"/>
  <c r="N1343" i="3"/>
  <c r="N1344" i="3"/>
  <c r="N1345" i="3"/>
  <c r="N1346" i="3"/>
  <c r="N1347" i="3"/>
  <c r="N1348" i="3"/>
  <c r="N1349" i="3"/>
  <c r="N1350" i="3"/>
  <c r="N1351" i="3"/>
  <c r="N1352" i="3"/>
  <c r="N1353" i="3"/>
  <c r="N1354" i="3"/>
  <c r="N1355" i="3"/>
  <c r="N1356" i="3"/>
  <c r="N1357" i="3"/>
  <c r="N1358" i="3"/>
  <c r="N1359" i="3"/>
  <c r="N1360" i="3"/>
  <c r="N1361" i="3"/>
  <c r="N1362" i="3"/>
  <c r="N1363" i="3"/>
  <c r="N1364" i="3"/>
  <c r="N1365" i="3"/>
  <c r="N1366" i="3"/>
  <c r="N1367" i="3"/>
  <c r="N1368" i="3"/>
  <c r="N1369" i="3"/>
  <c r="N1370" i="3"/>
  <c r="N1371" i="3"/>
  <c r="N1372" i="3"/>
  <c r="N1373" i="3"/>
  <c r="N1374" i="3"/>
  <c r="N1375" i="3"/>
  <c r="N1376" i="3"/>
  <c r="N1377" i="3"/>
  <c r="N1378" i="3"/>
  <c r="N1379" i="3"/>
  <c r="N1380" i="3"/>
  <c r="N1381" i="3"/>
  <c r="N1382" i="3"/>
  <c r="N1383" i="3"/>
  <c r="N1384" i="3"/>
  <c r="N1385" i="3"/>
  <c r="N1386" i="3"/>
  <c r="N1387" i="3"/>
  <c r="N1388" i="3"/>
  <c r="N1389" i="3"/>
  <c r="N1390" i="3"/>
  <c r="N1391" i="3"/>
  <c r="N1392" i="3"/>
  <c r="N1393" i="3"/>
  <c r="N1394" i="3"/>
  <c r="N1395" i="3"/>
  <c r="N1396" i="3"/>
  <c r="N1397" i="3"/>
  <c r="N1398" i="3"/>
  <c r="N1399" i="3"/>
  <c r="N1400" i="3"/>
  <c r="N1401" i="3"/>
  <c r="N1402" i="3"/>
  <c r="N1403" i="3"/>
  <c r="N1404" i="3"/>
  <c r="N1405" i="3"/>
  <c r="N1406" i="3"/>
  <c r="N1407" i="3"/>
  <c r="N1408" i="3"/>
  <c r="N1409" i="3"/>
  <c r="N1410" i="3"/>
  <c r="N1411" i="3"/>
  <c r="N1412" i="3"/>
  <c r="N1413" i="3"/>
  <c r="N1414" i="3"/>
  <c r="N1415" i="3"/>
  <c r="N1416" i="3"/>
  <c r="N1417" i="3"/>
  <c r="N1418" i="3"/>
  <c r="N1419" i="3"/>
  <c r="N1420" i="3"/>
  <c r="N1421" i="3"/>
  <c r="N1422" i="3"/>
  <c r="N1423" i="3"/>
  <c r="N1424" i="3"/>
  <c r="N1425" i="3"/>
  <c r="N1426" i="3"/>
  <c r="N1427" i="3"/>
  <c r="N1428" i="3"/>
  <c r="N1429" i="3"/>
  <c r="N1430" i="3"/>
  <c r="N1431" i="3"/>
  <c r="N1432" i="3"/>
  <c r="N1433" i="3"/>
  <c r="N1434" i="3"/>
  <c r="N1435" i="3"/>
  <c r="N1436" i="3"/>
  <c r="N1437" i="3"/>
  <c r="N1438" i="3"/>
  <c r="N1439" i="3"/>
  <c r="N1440" i="3"/>
  <c r="N1441" i="3"/>
  <c r="N1442" i="3"/>
  <c r="N1443" i="3"/>
  <c r="N1444" i="3"/>
  <c r="N1445" i="3"/>
  <c r="N1446" i="3"/>
  <c r="N1447" i="3"/>
  <c r="N1448" i="3"/>
  <c r="N1449" i="3"/>
  <c r="N1450" i="3"/>
  <c r="N1451" i="3"/>
  <c r="N1452" i="3"/>
  <c r="N1453" i="3"/>
  <c r="N1454" i="3"/>
  <c r="N1455" i="3"/>
  <c r="N1456" i="3"/>
  <c r="N1457" i="3"/>
  <c r="N1458" i="3"/>
  <c r="N1459" i="3"/>
  <c r="N1460" i="3"/>
  <c r="N1461" i="3"/>
  <c r="N1462" i="3"/>
  <c r="N1463" i="3"/>
  <c r="N1464" i="3"/>
  <c r="N1465" i="3"/>
  <c r="N1466" i="3"/>
  <c r="N1467" i="3"/>
  <c r="N1468" i="3"/>
  <c r="N1469" i="3"/>
  <c r="N1470" i="3"/>
  <c r="N1471" i="3"/>
  <c r="N1472" i="3"/>
  <c r="N1473" i="3"/>
  <c r="N1474" i="3"/>
  <c r="N1475" i="3"/>
  <c r="N1476" i="3"/>
  <c r="N1477" i="3"/>
  <c r="N1478" i="3"/>
  <c r="N1479" i="3"/>
  <c r="N1480" i="3"/>
  <c r="N1481" i="3"/>
  <c r="N1482" i="3"/>
  <c r="N1483" i="3"/>
  <c r="N1484" i="3"/>
  <c r="N1485" i="3"/>
  <c r="N1486" i="3"/>
  <c r="N1487" i="3"/>
  <c r="N1488" i="3"/>
  <c r="N1489" i="3"/>
  <c r="N1490" i="3"/>
  <c r="N1491" i="3"/>
  <c r="N1492" i="3"/>
  <c r="N1493" i="3"/>
  <c r="N1494" i="3"/>
  <c r="N1495" i="3"/>
  <c r="N1496" i="3"/>
  <c r="N1497" i="3"/>
  <c r="N1498" i="3"/>
  <c r="N1499" i="3"/>
  <c r="N1500" i="3"/>
  <c r="N1501" i="3"/>
  <c r="N1502" i="3"/>
  <c r="N1503" i="3"/>
  <c r="N1504" i="3"/>
  <c r="N1505" i="3"/>
  <c r="N1506" i="3"/>
  <c r="N1507" i="3"/>
  <c r="N1508" i="3"/>
  <c r="N1509" i="3"/>
  <c r="N1510" i="3"/>
  <c r="N1511" i="3"/>
  <c r="N1512" i="3"/>
  <c r="N1513" i="3"/>
  <c r="N1514" i="3"/>
  <c r="N1515" i="3"/>
  <c r="N1516" i="3"/>
  <c r="N1517" i="3"/>
  <c r="N1518" i="3"/>
  <c r="N1519" i="3"/>
  <c r="N1520" i="3"/>
  <c r="N1521" i="3"/>
  <c r="N1522" i="3"/>
  <c r="N1523" i="3"/>
  <c r="N1524" i="3"/>
  <c r="N1525" i="3"/>
  <c r="N1526" i="3"/>
  <c r="N1527" i="3"/>
  <c r="N1528" i="3"/>
  <c r="N1529" i="3"/>
  <c r="N1530" i="3"/>
  <c r="N1531" i="3"/>
  <c r="N1532" i="3"/>
  <c r="N1533" i="3"/>
  <c r="N1534" i="3"/>
  <c r="N1535" i="3"/>
  <c r="N1536" i="3"/>
  <c r="N1537" i="3"/>
  <c r="N1538" i="3"/>
  <c r="N1539" i="3"/>
  <c r="N1540" i="3"/>
  <c r="N1541" i="3"/>
  <c r="N1542" i="3"/>
  <c r="N1543" i="3"/>
  <c r="N1544" i="3"/>
  <c r="N1545" i="3"/>
  <c r="N1546" i="3"/>
  <c r="N1547" i="3"/>
  <c r="N1548" i="3"/>
  <c r="N1549" i="3"/>
  <c r="N1550" i="3"/>
  <c r="N1551" i="3"/>
  <c r="N1552" i="3"/>
  <c r="N1553" i="3"/>
  <c r="N1554" i="3"/>
  <c r="N1555" i="3"/>
  <c r="N1556" i="3"/>
  <c r="N1557" i="3"/>
  <c r="N1558" i="3"/>
  <c r="N1559" i="3"/>
  <c r="N1560" i="3"/>
  <c r="N1561" i="3"/>
  <c r="N1562" i="3"/>
  <c r="N1563" i="3"/>
  <c r="N1564" i="3"/>
  <c r="N1565" i="3"/>
  <c r="N1566" i="3"/>
  <c r="N1567" i="3"/>
  <c r="N1568" i="3"/>
  <c r="N1569" i="3"/>
  <c r="N1570" i="3"/>
  <c r="N1571" i="3"/>
  <c r="N1572" i="3"/>
  <c r="N1573" i="3"/>
  <c r="N1574" i="3"/>
  <c r="N1575" i="3"/>
  <c r="N1576" i="3"/>
  <c r="N1577" i="3"/>
  <c r="N1578" i="3"/>
  <c r="N1579" i="3"/>
  <c r="N1580" i="3"/>
  <c r="N1581" i="3"/>
  <c r="N1582" i="3"/>
  <c r="N1583" i="3"/>
  <c r="N1584" i="3"/>
  <c r="N1585" i="3"/>
  <c r="N1586" i="3"/>
  <c r="N1587" i="3"/>
  <c r="N1588" i="3"/>
  <c r="N1589" i="3"/>
  <c r="N1590" i="3"/>
  <c r="N1591" i="3"/>
  <c r="N1592" i="3"/>
  <c r="N1593" i="3"/>
  <c r="N1594" i="3"/>
  <c r="N1595" i="3"/>
  <c r="N1596" i="3"/>
  <c r="N1597" i="3"/>
  <c r="N1598" i="3"/>
  <c r="N1599" i="3"/>
  <c r="N1600" i="3"/>
  <c r="N1601" i="3"/>
  <c r="N1602" i="3"/>
  <c r="N1603" i="3"/>
  <c r="N1604" i="3"/>
  <c r="N1605" i="3"/>
  <c r="N1606" i="3"/>
  <c r="N1607" i="3"/>
  <c r="N1608" i="3"/>
  <c r="N1609" i="3"/>
  <c r="N1610" i="3"/>
  <c r="N1611" i="3"/>
  <c r="N1612" i="3"/>
  <c r="N1613" i="3"/>
  <c r="N1614" i="3"/>
  <c r="N1615" i="3"/>
  <c r="N1616" i="3"/>
  <c r="N1617" i="3"/>
  <c r="N1618" i="3"/>
  <c r="N1619" i="3"/>
  <c r="N1620" i="3"/>
  <c r="N1621" i="3"/>
  <c r="N1622" i="3"/>
  <c r="N1623" i="3"/>
  <c r="N1624" i="3"/>
  <c r="N1625" i="3"/>
  <c r="N1626" i="3"/>
  <c r="N1627" i="3"/>
  <c r="N1628" i="3"/>
  <c r="N1629" i="3"/>
  <c r="N1630" i="3"/>
  <c r="N1631" i="3"/>
  <c r="N1632" i="3"/>
  <c r="N1633" i="3"/>
  <c r="N1634" i="3"/>
  <c r="N1635" i="3"/>
  <c r="N1636" i="3"/>
  <c r="N1637" i="3"/>
  <c r="N1638" i="3"/>
  <c r="N1639" i="3"/>
  <c r="N1640" i="3"/>
  <c r="N1641" i="3"/>
  <c r="N1642" i="3"/>
  <c r="N1643" i="3"/>
  <c r="N1644" i="3"/>
  <c r="N1645" i="3"/>
  <c r="N1646" i="3"/>
  <c r="N1647" i="3"/>
  <c r="N1648" i="3"/>
  <c r="N1649" i="3"/>
  <c r="N1650" i="3"/>
  <c r="N1651" i="3"/>
  <c r="N1652" i="3"/>
  <c r="N1653" i="3"/>
  <c r="N1654" i="3"/>
  <c r="N1655" i="3"/>
  <c r="N1656" i="3"/>
  <c r="N1657" i="3"/>
  <c r="N1658" i="3"/>
  <c r="N1659" i="3"/>
  <c r="N1660" i="3"/>
  <c r="N1661" i="3"/>
  <c r="N1662" i="3"/>
  <c r="N1663" i="3"/>
  <c r="N1664" i="3"/>
  <c r="N1665" i="3"/>
  <c r="N1666" i="3"/>
  <c r="N1667" i="3"/>
  <c r="N1668" i="3"/>
  <c r="N1669" i="3"/>
  <c r="N1670" i="3"/>
  <c r="N1671" i="3"/>
  <c r="N1672" i="3"/>
  <c r="N1673" i="3"/>
  <c r="N1674" i="3"/>
  <c r="N1675" i="3"/>
  <c r="N1676" i="3"/>
  <c r="N1677" i="3"/>
  <c r="N1678" i="3"/>
  <c r="N1679" i="3"/>
  <c r="N1680" i="3"/>
  <c r="N1681" i="3"/>
  <c r="N1682" i="3"/>
  <c r="N1683" i="3"/>
  <c r="N1684" i="3"/>
  <c r="N1685" i="3"/>
  <c r="N1686" i="3"/>
  <c r="N1687" i="3"/>
  <c r="N1688" i="3"/>
  <c r="N1689" i="3"/>
  <c r="N1690" i="3"/>
  <c r="N1691" i="3"/>
  <c r="N1692" i="3"/>
  <c r="N1693" i="3"/>
  <c r="N1694" i="3"/>
  <c r="N1695" i="3"/>
  <c r="N1696" i="3"/>
  <c r="N1697" i="3"/>
  <c r="N1698" i="3"/>
  <c r="N1699" i="3"/>
  <c r="N1700" i="3"/>
  <c r="N1701" i="3"/>
  <c r="N1702" i="3"/>
  <c r="N1703" i="3"/>
  <c r="N1704" i="3"/>
  <c r="N1705" i="3"/>
  <c r="N1706" i="3"/>
  <c r="N1707" i="3"/>
  <c r="N1708" i="3"/>
  <c r="N1709" i="3"/>
  <c r="N1710" i="3"/>
  <c r="N1711" i="3"/>
  <c r="N1712" i="3"/>
  <c r="N1713" i="3"/>
  <c r="N1714" i="3"/>
  <c r="N1715" i="3"/>
  <c r="N1716" i="3"/>
  <c r="N1717" i="3"/>
  <c r="N1718" i="3"/>
  <c r="N1719" i="3"/>
  <c r="N1720" i="3"/>
  <c r="N1721" i="3"/>
  <c r="N1722" i="3"/>
  <c r="N1723" i="3"/>
  <c r="N1724" i="3"/>
  <c r="N1725" i="3"/>
  <c r="N1726" i="3"/>
  <c r="N1727" i="3"/>
  <c r="N1728" i="3"/>
  <c r="N1729" i="3"/>
  <c r="N1730" i="3"/>
  <c r="N1731" i="3"/>
  <c r="N1732" i="3"/>
  <c r="N1733" i="3"/>
  <c r="N1734" i="3"/>
  <c r="N1735" i="3"/>
  <c r="N1736" i="3"/>
  <c r="N1737" i="3"/>
  <c r="N1738" i="3"/>
  <c r="N1739" i="3"/>
  <c r="N1740" i="3"/>
  <c r="N1741" i="3"/>
  <c r="N1742" i="3"/>
  <c r="N1743" i="3"/>
  <c r="N1744" i="3"/>
  <c r="N1745" i="3"/>
  <c r="N1746" i="3"/>
  <c r="N1747" i="3"/>
  <c r="N1748" i="3"/>
  <c r="N1749" i="3"/>
  <c r="N1750" i="3"/>
  <c r="N1751" i="3"/>
  <c r="N1752" i="3"/>
  <c r="N1753" i="3"/>
  <c r="N1754" i="3"/>
  <c r="N1755" i="3"/>
  <c r="N1756" i="3"/>
  <c r="N1757" i="3"/>
  <c r="N1758" i="3"/>
  <c r="N1759" i="3"/>
  <c r="N1760" i="3"/>
  <c r="N1761" i="3"/>
  <c r="N1762" i="3"/>
  <c r="N1763" i="3"/>
  <c r="N1764" i="3"/>
  <c r="N1765" i="3"/>
  <c r="N1766" i="3"/>
  <c r="N1767" i="3"/>
  <c r="N1768" i="3"/>
  <c r="N1769" i="3"/>
  <c r="N1770" i="3"/>
  <c r="N1771" i="3"/>
  <c r="N1772" i="3"/>
  <c r="N1773" i="3"/>
  <c r="N1774" i="3"/>
  <c r="N1775" i="3"/>
  <c r="N1776" i="3"/>
  <c r="N1777" i="3"/>
  <c r="N1778" i="3"/>
  <c r="N1779" i="3"/>
  <c r="N1780" i="3"/>
  <c r="N1781" i="3"/>
  <c r="N1782" i="3"/>
  <c r="N1783" i="3"/>
  <c r="N1784" i="3"/>
  <c r="N1785" i="3"/>
  <c r="N1786" i="3"/>
  <c r="N1787" i="3"/>
  <c r="N1788" i="3"/>
  <c r="N1789" i="3"/>
  <c r="N1790" i="3"/>
  <c r="N1791" i="3"/>
  <c r="N1792" i="3"/>
  <c r="N1793" i="3"/>
  <c r="N1794" i="3"/>
  <c r="N1795" i="3"/>
  <c r="N1796" i="3"/>
  <c r="N1797" i="3"/>
  <c r="N1798" i="3"/>
  <c r="N1799" i="3"/>
  <c r="N1800" i="3"/>
  <c r="N1801" i="3"/>
  <c r="N1802" i="3"/>
  <c r="N1803" i="3"/>
  <c r="N1804" i="3"/>
  <c r="N1805" i="3"/>
  <c r="N1806" i="3"/>
  <c r="N1807" i="3"/>
  <c r="N1808" i="3"/>
  <c r="N1809" i="3"/>
  <c r="N1810" i="3"/>
  <c r="N1811" i="3"/>
  <c r="N1812" i="3"/>
  <c r="N1813" i="3"/>
  <c r="N1814" i="3"/>
  <c r="N1815" i="3"/>
  <c r="N1816" i="3"/>
  <c r="N1817" i="3"/>
  <c r="N1818" i="3"/>
  <c r="N1819" i="3"/>
  <c r="N1820" i="3"/>
  <c r="N1821" i="3"/>
  <c r="N1822" i="3"/>
  <c r="N1823" i="3"/>
  <c r="N1824" i="3"/>
  <c r="N1825" i="3"/>
  <c r="N1826" i="3"/>
  <c r="N1827" i="3"/>
  <c r="N1828" i="3"/>
  <c r="N1829" i="3"/>
  <c r="N1830" i="3"/>
  <c r="N1831" i="3"/>
  <c r="N1832" i="3"/>
  <c r="N1833" i="3"/>
  <c r="N1834" i="3"/>
  <c r="N1835" i="3"/>
  <c r="N1836" i="3"/>
  <c r="N1837" i="3"/>
  <c r="N1838" i="3"/>
  <c r="N1839" i="3"/>
  <c r="N1840" i="3"/>
  <c r="N1841" i="3"/>
  <c r="N1842" i="3"/>
  <c r="N1843" i="3"/>
  <c r="N1844" i="3"/>
  <c r="N1845" i="3"/>
  <c r="N1846" i="3"/>
  <c r="N1847" i="3"/>
  <c r="N1848" i="3"/>
  <c r="N1849" i="3"/>
  <c r="N1850" i="3"/>
  <c r="N1851" i="3"/>
  <c r="N1852" i="3"/>
  <c r="N1853" i="3"/>
  <c r="N1854" i="3"/>
  <c r="N1855" i="3"/>
  <c r="N1856" i="3"/>
  <c r="N1857" i="3"/>
  <c r="N1858" i="3"/>
  <c r="N1859" i="3"/>
  <c r="N1860" i="3"/>
  <c r="N1861" i="3"/>
  <c r="N1862" i="3"/>
  <c r="N1863" i="3"/>
  <c r="N1864" i="3"/>
  <c r="N1865" i="3"/>
  <c r="N1866" i="3"/>
  <c r="N1867" i="3"/>
  <c r="N1868" i="3"/>
  <c r="N1869" i="3"/>
  <c r="N1870" i="3"/>
  <c r="N1871" i="3"/>
  <c r="N1872" i="3"/>
  <c r="N1873" i="3"/>
  <c r="N1874" i="3"/>
  <c r="N1875" i="3"/>
  <c r="N1876" i="3"/>
  <c r="N1877" i="3"/>
  <c r="N1878" i="3"/>
  <c r="N1879" i="3"/>
  <c r="N1880" i="3"/>
  <c r="N1881" i="3"/>
  <c r="N1882" i="3"/>
  <c r="N1883" i="3"/>
  <c r="N1884" i="3"/>
  <c r="N1885" i="3"/>
  <c r="N1886" i="3"/>
  <c r="N1887" i="3"/>
  <c r="N1888" i="3"/>
  <c r="N1889" i="3"/>
  <c r="N1890" i="3"/>
  <c r="N1891" i="3"/>
  <c r="N1892" i="3"/>
  <c r="N1893" i="3"/>
  <c r="N1894" i="3"/>
  <c r="N1895" i="3"/>
  <c r="N1896" i="3"/>
  <c r="N1897" i="3"/>
  <c r="N1898" i="3"/>
  <c r="N1899" i="3"/>
  <c r="N1900" i="3"/>
  <c r="N1901" i="3"/>
  <c r="N1902" i="3"/>
  <c r="N1903" i="3"/>
  <c r="N1904" i="3"/>
  <c r="N1905" i="3"/>
  <c r="N1906" i="3"/>
  <c r="N1907" i="3"/>
  <c r="N1908" i="3"/>
  <c r="N1909" i="3"/>
  <c r="N1910" i="3"/>
  <c r="N1911" i="3"/>
  <c r="N1912" i="3"/>
  <c r="N1913" i="3"/>
  <c r="N1914" i="3"/>
  <c r="N1915" i="3"/>
  <c r="N1916" i="3"/>
  <c r="N1917" i="3"/>
  <c r="N1918" i="3"/>
  <c r="N1919" i="3"/>
  <c r="N1920" i="3"/>
  <c r="N1921" i="3"/>
  <c r="N1922" i="3"/>
  <c r="N1923" i="3"/>
  <c r="N1924" i="3"/>
  <c r="N1925" i="3"/>
  <c r="N1926" i="3"/>
  <c r="N1927" i="3"/>
  <c r="N1928" i="3"/>
  <c r="N1929" i="3"/>
  <c r="N1930" i="3"/>
  <c r="N1931" i="3"/>
  <c r="N1932" i="3"/>
  <c r="N1933" i="3"/>
  <c r="N1934" i="3"/>
  <c r="N1935" i="3"/>
  <c r="N1936" i="3"/>
  <c r="N1937" i="3"/>
  <c r="N1938" i="3"/>
  <c r="N1939" i="3"/>
  <c r="N1940" i="3"/>
  <c r="N1941" i="3"/>
  <c r="N1942" i="3"/>
  <c r="N1943" i="3"/>
  <c r="N1944" i="3"/>
  <c r="N1945" i="3"/>
  <c r="N1946" i="3"/>
  <c r="N1947" i="3"/>
  <c r="N1948" i="3"/>
  <c r="N1949" i="3"/>
  <c r="N1950" i="3"/>
  <c r="N1951" i="3"/>
  <c r="N1952" i="3"/>
  <c r="N1953" i="3"/>
  <c r="N1954" i="3"/>
  <c r="N1955" i="3"/>
  <c r="N1956" i="3"/>
  <c r="N1957" i="3"/>
  <c r="N1958" i="3"/>
  <c r="N1959" i="3"/>
  <c r="N1960" i="3"/>
  <c r="N1961" i="3"/>
  <c r="N1962" i="3"/>
  <c r="N1963" i="3"/>
  <c r="N1964" i="3"/>
  <c r="N1965" i="3"/>
  <c r="N1966" i="3"/>
  <c r="N1967" i="3"/>
  <c r="N1968" i="3"/>
  <c r="N1969" i="3"/>
  <c r="N1970" i="3"/>
  <c r="N1971" i="3"/>
  <c r="N1972" i="3"/>
  <c r="N1973" i="3"/>
  <c r="N1974" i="3"/>
  <c r="N1975" i="3"/>
  <c r="N1976" i="3"/>
  <c r="N1977" i="3"/>
  <c r="N1978" i="3"/>
  <c r="N1979" i="3"/>
  <c r="N1980" i="3"/>
  <c r="N1981" i="3"/>
  <c r="N1982" i="3"/>
  <c r="N1983" i="3"/>
  <c r="N1984" i="3"/>
  <c r="N1985" i="3"/>
  <c r="N1986" i="3"/>
  <c r="N1987" i="3"/>
  <c r="N1988" i="3"/>
  <c r="N1989" i="3"/>
  <c r="N1990" i="3"/>
  <c r="N1991" i="3"/>
  <c r="N1992" i="3"/>
  <c r="N1993" i="3"/>
  <c r="N1994" i="3"/>
  <c r="N1995" i="3"/>
  <c r="N1996" i="3"/>
  <c r="N1997" i="3"/>
  <c r="N1998" i="3"/>
  <c r="N1999" i="3"/>
  <c r="N2000" i="3"/>
  <c r="N2001" i="3"/>
  <c r="N2002" i="3"/>
  <c r="N2003" i="3"/>
  <c r="N2004" i="3"/>
  <c r="N2005" i="3"/>
  <c r="N2006" i="3"/>
  <c r="N2007" i="3"/>
  <c r="N2008" i="3"/>
  <c r="N2009" i="3"/>
  <c r="N2010" i="3"/>
  <c r="N2011" i="3"/>
  <c r="N2012" i="3"/>
  <c r="N2013" i="3"/>
  <c r="N2014" i="3"/>
  <c r="N2015" i="3"/>
  <c r="N2016" i="3"/>
  <c r="N2017" i="3"/>
  <c r="N2018" i="3"/>
  <c r="N2019" i="3"/>
  <c r="N2020" i="3"/>
  <c r="N2021" i="3"/>
  <c r="N2022" i="3"/>
  <c r="N2023" i="3"/>
  <c r="N2024" i="3"/>
  <c r="N2025" i="3"/>
  <c r="N2026" i="3"/>
  <c r="N2027" i="3"/>
  <c r="N2028" i="3"/>
  <c r="N2029" i="3"/>
  <c r="N2030" i="3"/>
  <c r="N2031" i="3"/>
  <c r="N2032" i="3"/>
  <c r="N2033" i="3"/>
  <c r="N2034" i="3"/>
  <c r="N2035" i="3"/>
  <c r="N2036" i="3"/>
  <c r="N2037" i="3"/>
  <c r="N2038" i="3"/>
  <c r="N2039" i="3"/>
  <c r="N2040" i="3"/>
  <c r="N2041" i="3"/>
  <c r="N2042" i="3"/>
  <c r="N2043" i="3"/>
  <c r="N2044" i="3"/>
  <c r="N2045" i="3"/>
  <c r="N2046" i="3"/>
  <c r="N2047" i="3"/>
  <c r="N2048" i="3"/>
  <c r="N2049" i="3"/>
  <c r="N2050" i="3"/>
  <c r="N2051" i="3"/>
  <c r="N2052" i="3"/>
  <c r="N2053" i="3"/>
  <c r="N2054" i="3"/>
  <c r="N2055" i="3"/>
  <c r="N2056" i="3"/>
  <c r="N2057" i="3"/>
  <c r="N2058" i="3"/>
  <c r="N2059" i="3"/>
  <c r="N2060" i="3"/>
  <c r="N2061" i="3"/>
  <c r="N2062" i="3"/>
  <c r="N2063" i="3"/>
  <c r="N2064" i="3"/>
  <c r="N2065" i="3"/>
  <c r="N2066" i="3"/>
  <c r="N2067" i="3"/>
  <c r="N2068" i="3"/>
  <c r="N2069" i="3"/>
  <c r="N2070" i="3"/>
  <c r="N2071" i="3"/>
  <c r="N2072" i="3"/>
  <c r="N2073" i="3"/>
  <c r="N2074" i="3"/>
  <c r="N2075" i="3"/>
  <c r="N2076" i="3"/>
  <c r="N2077" i="3"/>
  <c r="N2078" i="3"/>
  <c r="N2079" i="3"/>
  <c r="N2080" i="3"/>
  <c r="N2081" i="3"/>
  <c r="N2082" i="3"/>
  <c r="N2083" i="3"/>
  <c r="N2084" i="3"/>
  <c r="N2085" i="3"/>
  <c r="N2086" i="3"/>
  <c r="N2087" i="3"/>
  <c r="N2088" i="3"/>
  <c r="N2089" i="3"/>
  <c r="N2090" i="3"/>
  <c r="N2091" i="3"/>
  <c r="N2092" i="3"/>
  <c r="N2093" i="3"/>
  <c r="N2094" i="3"/>
  <c r="N2095" i="3"/>
  <c r="N2096" i="3"/>
  <c r="N2097" i="3"/>
  <c r="N2098" i="3"/>
  <c r="N2099" i="3"/>
  <c r="N2100" i="3"/>
  <c r="N2101" i="3"/>
  <c r="N2102" i="3"/>
  <c r="N2103" i="3"/>
  <c r="N2104" i="3"/>
  <c r="N2105" i="3"/>
  <c r="N2106" i="3"/>
  <c r="N2107" i="3"/>
  <c r="N2108" i="3"/>
  <c r="N2109" i="3"/>
  <c r="N2110" i="3"/>
  <c r="N2111" i="3"/>
  <c r="N2112" i="3"/>
  <c r="N2113" i="3"/>
  <c r="N2114" i="3"/>
  <c r="N2115" i="3"/>
  <c r="N2116" i="3"/>
  <c r="N2117" i="3"/>
  <c r="N2118" i="3"/>
  <c r="N2119" i="3"/>
  <c r="N2120" i="3"/>
  <c r="N2121" i="3"/>
  <c r="N2122" i="3"/>
  <c r="N2123" i="3"/>
  <c r="N2124" i="3"/>
  <c r="N2125" i="3"/>
  <c r="N2126" i="3"/>
  <c r="N2127" i="3"/>
  <c r="N2128" i="3"/>
  <c r="N2129" i="3"/>
  <c r="N2130" i="3"/>
  <c r="N2131" i="3"/>
  <c r="N2132" i="3"/>
  <c r="N2133" i="3"/>
  <c r="N2134" i="3"/>
  <c r="N2135" i="3"/>
  <c r="N2136" i="3"/>
  <c r="N2137" i="3"/>
  <c r="N2138" i="3"/>
  <c r="N2139" i="3"/>
  <c r="N2140" i="3"/>
  <c r="N2141" i="3"/>
  <c r="N2142" i="3"/>
  <c r="N2143" i="3"/>
  <c r="N2144" i="3"/>
  <c r="N2145" i="3"/>
  <c r="N2146" i="3"/>
  <c r="N2147" i="3"/>
  <c r="N2148" i="3"/>
  <c r="N2149" i="3"/>
  <c r="N2150" i="3"/>
  <c r="N2151" i="3"/>
  <c r="N2152" i="3"/>
  <c r="N2153" i="3"/>
  <c r="N2154" i="3"/>
  <c r="N2155" i="3"/>
  <c r="N2156" i="3"/>
  <c r="N2157" i="3"/>
  <c r="N2158" i="3"/>
  <c r="N2159" i="3"/>
  <c r="N2160" i="3"/>
  <c r="N2161" i="3"/>
  <c r="N2162" i="3"/>
  <c r="N2163" i="3"/>
  <c r="N2164" i="3"/>
  <c r="N2165" i="3"/>
  <c r="N2166" i="3"/>
  <c r="N2167" i="3"/>
  <c r="N2168" i="3"/>
  <c r="N2169" i="3"/>
  <c r="N2170" i="3"/>
  <c r="N2171" i="3"/>
  <c r="N2172" i="3"/>
  <c r="N2173" i="3"/>
  <c r="N2174" i="3"/>
  <c r="N2175" i="3"/>
  <c r="N2176" i="3"/>
  <c r="N2177" i="3"/>
  <c r="N2178" i="3"/>
  <c r="N2179" i="3"/>
  <c r="N2180" i="3"/>
  <c r="N2181" i="3"/>
  <c r="N2182" i="3"/>
  <c r="N2183" i="3"/>
  <c r="N2184" i="3"/>
  <c r="N2185" i="3"/>
  <c r="N2186" i="3"/>
  <c r="N2187" i="3"/>
  <c r="N2188" i="3"/>
  <c r="N2189" i="3"/>
  <c r="N2190" i="3"/>
  <c r="N2191" i="3"/>
  <c r="N2192" i="3"/>
  <c r="N2193" i="3"/>
  <c r="N2194" i="3"/>
  <c r="N2195" i="3"/>
  <c r="N2196" i="3"/>
  <c r="N2197" i="3"/>
  <c r="N2198" i="3"/>
  <c r="N2199" i="3"/>
  <c r="N2200" i="3"/>
  <c r="N2201" i="3"/>
  <c r="N2202" i="3"/>
  <c r="N2203" i="3"/>
  <c r="N2204" i="3"/>
  <c r="N2205" i="3"/>
  <c r="N2206" i="3"/>
  <c r="N2207" i="3"/>
  <c r="N2208" i="3"/>
  <c r="N2209" i="3"/>
  <c r="N2210" i="3"/>
  <c r="N2211" i="3"/>
  <c r="N2212" i="3"/>
  <c r="N2213" i="3"/>
  <c r="N2214" i="3"/>
  <c r="N2215" i="3"/>
  <c r="N2216" i="3"/>
  <c r="N2217" i="3"/>
  <c r="N2218" i="3"/>
  <c r="N2219" i="3"/>
  <c r="N2220" i="3"/>
  <c r="N2221" i="3"/>
  <c r="N2222" i="3"/>
  <c r="N2223" i="3"/>
  <c r="N2224" i="3"/>
  <c r="N2225" i="3"/>
  <c r="N2226" i="3"/>
  <c r="N2227" i="3"/>
  <c r="N2228" i="3"/>
  <c r="N2229" i="3"/>
  <c r="N2230" i="3"/>
  <c r="N2231" i="3"/>
  <c r="N2232" i="3"/>
  <c r="N2233" i="3"/>
  <c r="N2234" i="3"/>
  <c r="N2235" i="3"/>
  <c r="N2236" i="3"/>
  <c r="N2237" i="3"/>
  <c r="N2238" i="3"/>
  <c r="N2239" i="3"/>
  <c r="N2240" i="3"/>
  <c r="N2241" i="3"/>
  <c r="N2242" i="3"/>
  <c r="N2243" i="3"/>
  <c r="N2244" i="3"/>
  <c r="N2245" i="3"/>
  <c r="N2246" i="3"/>
  <c r="N2247" i="3"/>
  <c r="N2248" i="3"/>
  <c r="N2249" i="3"/>
  <c r="N2250" i="3"/>
  <c r="N2251" i="3"/>
  <c r="N2252" i="3"/>
  <c r="N2253" i="3"/>
  <c r="N2254" i="3"/>
  <c r="N2255" i="3"/>
  <c r="N2256" i="3"/>
  <c r="N2257" i="3"/>
  <c r="N2258" i="3"/>
  <c r="N2259" i="3"/>
  <c r="N2260" i="3"/>
  <c r="N2261" i="3"/>
  <c r="N2262" i="3"/>
  <c r="N2263" i="3"/>
  <c r="N2264" i="3"/>
  <c r="N2265" i="3"/>
  <c r="N2266" i="3"/>
  <c r="N2267" i="3"/>
  <c r="N2268" i="3"/>
  <c r="N2269" i="3"/>
  <c r="N2270" i="3"/>
  <c r="N2271" i="3"/>
  <c r="N2272" i="3"/>
  <c r="N2273" i="3"/>
  <c r="N2274" i="3"/>
  <c r="N2275" i="3"/>
  <c r="N2276" i="3"/>
  <c r="N2277" i="3"/>
  <c r="N2278" i="3"/>
  <c r="N2279" i="3"/>
  <c r="N2280" i="3"/>
  <c r="N2281" i="3"/>
  <c r="N2282" i="3"/>
  <c r="N2283" i="3"/>
  <c r="N2284" i="3"/>
  <c r="N2285" i="3"/>
  <c r="N2286" i="3"/>
  <c r="N2287" i="3"/>
  <c r="N2288" i="3"/>
  <c r="N2289" i="3"/>
  <c r="N2290" i="3"/>
  <c r="N2291" i="3"/>
  <c r="N2292" i="3"/>
  <c r="N2293" i="3"/>
  <c r="N2294" i="3"/>
  <c r="N2295" i="3"/>
  <c r="N2296" i="3"/>
  <c r="N2297" i="3"/>
  <c r="N2298" i="3"/>
  <c r="N2299" i="3"/>
  <c r="N2300" i="3"/>
  <c r="N2301" i="3"/>
  <c r="N2302" i="3"/>
  <c r="N2303" i="3"/>
  <c r="N2304" i="3"/>
  <c r="N2305" i="3"/>
  <c r="N2306" i="3"/>
  <c r="N2307" i="3"/>
  <c r="N2308" i="3"/>
  <c r="N2309" i="3"/>
  <c r="N2310" i="3"/>
  <c r="N2311" i="3"/>
  <c r="N2312" i="3"/>
  <c r="N2313" i="3"/>
  <c r="N2314" i="3"/>
  <c r="N2315" i="3"/>
  <c r="N2316" i="3"/>
  <c r="N2317" i="3"/>
  <c r="N2318" i="3"/>
  <c r="N2319" i="3"/>
  <c r="N2320" i="3"/>
  <c r="N2321" i="3"/>
  <c r="N2322" i="3"/>
  <c r="N2323" i="3"/>
  <c r="N2324" i="3"/>
  <c r="N2325" i="3"/>
  <c r="N2326" i="3"/>
  <c r="N2327" i="3"/>
  <c r="N2328" i="3"/>
  <c r="N2329" i="3"/>
  <c r="N2330" i="3"/>
  <c r="N2331" i="3"/>
  <c r="N2332" i="3"/>
  <c r="N2333" i="3"/>
  <c r="N2334" i="3"/>
  <c r="N2335" i="3"/>
  <c r="N2336" i="3"/>
  <c r="N2337" i="3"/>
  <c r="N2338" i="3"/>
  <c r="N2339" i="3"/>
  <c r="N2340" i="3"/>
  <c r="N2341" i="3"/>
  <c r="N2342" i="3"/>
  <c r="N2343" i="3"/>
  <c r="N2344" i="3"/>
  <c r="N2345" i="3"/>
  <c r="N2346" i="3"/>
  <c r="N2347" i="3"/>
  <c r="N2348" i="3"/>
  <c r="N2349" i="3"/>
  <c r="N2350" i="3"/>
  <c r="N2351" i="3"/>
  <c r="N2352" i="3"/>
  <c r="N2353" i="3"/>
  <c r="N2354" i="3"/>
  <c r="N2355" i="3"/>
  <c r="N2356" i="3"/>
  <c r="N2357" i="3"/>
  <c r="N2358" i="3"/>
  <c r="N2359" i="3"/>
  <c r="N2360" i="3"/>
  <c r="N2361" i="3"/>
  <c r="N2362" i="3"/>
  <c r="N2363" i="3"/>
  <c r="N2364" i="3"/>
  <c r="N2365" i="3"/>
  <c r="N2366" i="3"/>
  <c r="N2367" i="3"/>
  <c r="N2368" i="3"/>
  <c r="N2369" i="3"/>
  <c r="N2370" i="3"/>
  <c r="N2371" i="3"/>
  <c r="N2372" i="3"/>
  <c r="N2373" i="3"/>
  <c r="N2374" i="3"/>
  <c r="N2375" i="3"/>
  <c r="N2376" i="3"/>
  <c r="N2377" i="3"/>
  <c r="N2378" i="3"/>
  <c r="N2379" i="3"/>
  <c r="N2380" i="3"/>
  <c r="N2381" i="3"/>
  <c r="N2382" i="3"/>
  <c r="N2383" i="3"/>
  <c r="N2384" i="3"/>
  <c r="N2385" i="3"/>
  <c r="N2386" i="3"/>
  <c r="N2387" i="3"/>
  <c r="N2388" i="3"/>
  <c r="N2389" i="3"/>
  <c r="N2390" i="3"/>
  <c r="N2391" i="3"/>
  <c r="N2392" i="3"/>
  <c r="N2393" i="3"/>
  <c r="N2394" i="3"/>
  <c r="N2395" i="3"/>
  <c r="N2396" i="3"/>
  <c r="N2397" i="3"/>
  <c r="N2398" i="3"/>
  <c r="N2399" i="3"/>
  <c r="N2400" i="3"/>
  <c r="N2401" i="3"/>
  <c r="N2402" i="3"/>
  <c r="N2403" i="3"/>
  <c r="N2404" i="3"/>
  <c r="N2405" i="3"/>
  <c r="N2406" i="3"/>
  <c r="N2407" i="3"/>
  <c r="N2408" i="3"/>
  <c r="N2409" i="3"/>
  <c r="N2410" i="3"/>
  <c r="N2411" i="3"/>
  <c r="N2412" i="3"/>
  <c r="N2413" i="3"/>
  <c r="N2414" i="3"/>
  <c r="N2415" i="3"/>
  <c r="N2416" i="3"/>
  <c r="N2417" i="3"/>
  <c r="N2418" i="3"/>
  <c r="N2419" i="3"/>
  <c r="N2420" i="3"/>
  <c r="N2421" i="3"/>
  <c r="N2422" i="3"/>
  <c r="N2423" i="3"/>
  <c r="N2424" i="3"/>
  <c r="N2425" i="3"/>
  <c r="N2426" i="3"/>
  <c r="N2427" i="3"/>
  <c r="N2428" i="3"/>
  <c r="N2429" i="3"/>
  <c r="N2430" i="3"/>
  <c r="N2431" i="3"/>
  <c r="N2432" i="3"/>
  <c r="N2433" i="3"/>
  <c r="N2434" i="3"/>
  <c r="N2435" i="3"/>
  <c r="N2436" i="3"/>
  <c r="N2437" i="3"/>
  <c r="N2438" i="3"/>
  <c r="N2439" i="3"/>
  <c r="N2440" i="3"/>
  <c r="N2441" i="3"/>
  <c r="N2442" i="3"/>
  <c r="N2443" i="3"/>
  <c r="N2444" i="3"/>
  <c r="N2445" i="3"/>
  <c r="N2446" i="3"/>
  <c r="N2447" i="3"/>
  <c r="N2448" i="3"/>
  <c r="N2449" i="3"/>
  <c r="N2450" i="3"/>
  <c r="N2451" i="3"/>
  <c r="N2452" i="3"/>
  <c r="N2453" i="3"/>
  <c r="N2454" i="3"/>
  <c r="N2455" i="3"/>
  <c r="N2456" i="3"/>
  <c r="N2457" i="3"/>
  <c r="N2458" i="3"/>
  <c r="N2459" i="3"/>
  <c r="N2460" i="3"/>
  <c r="N2461" i="3"/>
  <c r="N2462" i="3"/>
  <c r="N2463" i="3"/>
  <c r="N2464" i="3"/>
  <c r="N2465" i="3"/>
  <c r="N2466" i="3"/>
  <c r="N2467" i="3"/>
  <c r="N2468" i="3"/>
  <c r="N2469" i="3"/>
  <c r="N2470" i="3"/>
  <c r="N2471" i="3"/>
  <c r="N2472" i="3"/>
  <c r="N2473" i="3"/>
  <c r="N2474" i="3"/>
  <c r="N2475" i="3"/>
  <c r="N2476" i="3"/>
  <c r="N2477" i="3"/>
  <c r="N2478" i="3"/>
  <c r="N2479" i="3"/>
  <c r="N2480" i="3"/>
  <c r="N2481" i="3"/>
  <c r="N2482" i="3"/>
  <c r="N2483" i="3"/>
  <c r="N2484" i="3"/>
  <c r="N2485" i="3"/>
  <c r="N2486" i="3"/>
  <c r="N2487" i="3"/>
  <c r="N2488" i="3"/>
  <c r="N2489" i="3"/>
  <c r="N2490" i="3"/>
  <c r="N2491" i="3"/>
  <c r="N2492" i="3"/>
  <c r="N2493" i="3"/>
  <c r="N2494" i="3"/>
  <c r="N2495" i="3"/>
  <c r="N2496" i="3"/>
  <c r="N2497" i="3"/>
  <c r="N2498" i="3"/>
  <c r="N2499" i="3"/>
  <c r="N2500" i="3"/>
  <c r="N2501" i="3"/>
  <c r="N2502" i="3"/>
  <c r="N2503" i="3"/>
  <c r="N2504" i="3"/>
  <c r="N2505" i="3"/>
  <c r="N2506" i="3"/>
  <c r="N2507" i="3"/>
  <c r="N2508" i="3"/>
  <c r="N2509" i="3"/>
  <c r="N2510" i="3"/>
  <c r="N2511" i="3"/>
  <c r="N2512" i="3"/>
  <c r="N2513" i="3"/>
  <c r="N2514" i="3"/>
  <c r="N2515" i="3"/>
  <c r="N2516" i="3"/>
  <c r="N2517" i="3"/>
  <c r="N2518" i="3"/>
  <c r="N2519" i="3"/>
  <c r="N2520" i="3"/>
  <c r="N2521" i="3"/>
  <c r="N2522" i="3"/>
  <c r="N2523" i="3"/>
  <c r="N2524" i="3"/>
  <c r="N2525" i="3"/>
  <c r="N2526" i="3"/>
  <c r="N2527" i="3"/>
  <c r="N2528" i="3"/>
  <c r="N2529" i="3"/>
  <c r="N2530" i="3"/>
  <c r="N2531" i="3"/>
  <c r="N2532" i="3"/>
  <c r="N2533" i="3"/>
  <c r="N2534" i="3"/>
  <c r="N2535" i="3"/>
  <c r="N2536" i="3"/>
  <c r="N2537" i="3"/>
  <c r="N2538" i="3"/>
  <c r="N2539" i="3"/>
  <c r="N2540" i="3"/>
  <c r="N2541" i="3"/>
  <c r="N2542" i="3"/>
  <c r="N2543" i="3"/>
  <c r="N2544" i="3"/>
  <c r="N2545" i="3"/>
  <c r="N2546" i="3"/>
  <c r="N2547" i="3"/>
  <c r="N2548" i="3"/>
  <c r="N2549" i="3"/>
  <c r="N2550" i="3"/>
  <c r="N2551" i="3"/>
  <c r="N2552" i="3"/>
  <c r="N2553" i="3"/>
  <c r="N2554" i="3"/>
  <c r="N2555" i="3"/>
  <c r="N2556" i="3"/>
  <c r="N2557" i="3"/>
  <c r="N2558" i="3"/>
  <c r="N2559" i="3"/>
  <c r="N2560" i="3"/>
  <c r="N2561" i="3"/>
  <c r="N2562" i="3"/>
  <c r="N2563" i="3"/>
  <c r="N2564" i="3"/>
  <c r="N2565" i="3"/>
  <c r="N2566" i="3"/>
  <c r="N2567" i="3"/>
  <c r="N2568" i="3"/>
  <c r="N2569" i="3"/>
  <c r="N2570" i="3"/>
  <c r="N2571" i="3"/>
  <c r="N2572" i="3"/>
  <c r="N2573" i="3"/>
  <c r="N2574" i="3"/>
  <c r="N2575" i="3"/>
  <c r="N2576" i="3"/>
  <c r="N2577" i="3"/>
  <c r="N2578" i="3"/>
  <c r="N2579" i="3"/>
  <c r="N2580" i="3"/>
  <c r="N2581" i="3"/>
  <c r="N2582" i="3"/>
  <c r="N2583" i="3"/>
  <c r="N2584" i="3"/>
  <c r="N2585" i="3"/>
  <c r="N2586" i="3"/>
  <c r="N2587" i="3"/>
  <c r="N2588" i="3"/>
  <c r="N2589" i="3"/>
  <c r="N2590" i="3"/>
  <c r="N2591" i="3"/>
  <c r="N2592" i="3"/>
  <c r="N2593" i="3"/>
  <c r="N2594" i="3"/>
  <c r="N2595" i="3"/>
  <c r="N2596" i="3"/>
  <c r="N2597" i="3"/>
  <c r="N2598" i="3"/>
  <c r="N2599" i="3"/>
  <c r="N2600" i="3"/>
  <c r="N2601" i="3"/>
  <c r="N2602" i="3"/>
  <c r="N2603" i="3"/>
  <c r="N2604" i="3"/>
  <c r="N2605" i="3"/>
  <c r="N2606" i="3"/>
  <c r="N2607" i="3"/>
  <c r="N2608" i="3"/>
  <c r="N2609" i="3"/>
  <c r="N2610" i="3"/>
  <c r="N2611" i="3"/>
  <c r="N2612" i="3"/>
  <c r="N2613" i="3"/>
  <c r="N2614" i="3"/>
  <c r="N2615" i="3"/>
  <c r="N2616" i="3"/>
  <c r="N2617" i="3"/>
  <c r="N2618" i="3"/>
  <c r="N2619" i="3"/>
  <c r="N2620" i="3"/>
  <c r="N2621" i="3"/>
  <c r="N2622" i="3"/>
  <c r="N2623" i="3"/>
  <c r="N2624" i="3"/>
  <c r="N2625" i="3"/>
  <c r="N2626" i="3"/>
  <c r="N2627" i="3"/>
  <c r="N2628" i="3"/>
  <c r="N2629" i="3"/>
  <c r="N2630" i="3"/>
  <c r="N2631" i="3"/>
  <c r="N2632" i="3"/>
  <c r="N2633" i="3"/>
  <c r="N2634" i="3"/>
  <c r="N2635" i="3"/>
  <c r="N2636" i="3"/>
  <c r="N2637" i="3"/>
  <c r="N2638" i="3"/>
  <c r="N2639" i="3"/>
  <c r="N2640" i="3"/>
  <c r="N2641" i="3"/>
  <c r="N2642" i="3"/>
  <c r="N2643" i="3"/>
  <c r="N2644" i="3"/>
  <c r="N2645" i="3"/>
  <c r="N2646" i="3"/>
  <c r="N2647" i="3"/>
  <c r="N2648" i="3"/>
  <c r="N2649" i="3"/>
  <c r="N2650" i="3"/>
  <c r="N2651" i="3"/>
  <c r="N2652" i="3"/>
  <c r="N2653" i="3"/>
  <c r="N2654" i="3"/>
  <c r="N2655" i="3"/>
  <c r="N2656" i="3"/>
  <c r="N2657" i="3"/>
  <c r="N2658" i="3"/>
  <c r="N2659" i="3"/>
  <c r="N2660" i="3"/>
  <c r="N2661" i="3"/>
  <c r="N2662" i="3"/>
  <c r="N2663" i="3"/>
  <c r="N2664" i="3"/>
  <c r="N2665" i="3"/>
  <c r="N2666" i="3"/>
  <c r="N2667" i="3"/>
  <c r="N2668" i="3"/>
  <c r="N2669" i="3"/>
  <c r="N2670" i="3"/>
  <c r="N2671" i="3"/>
  <c r="N2672" i="3"/>
  <c r="N2673" i="3"/>
  <c r="N2674" i="3"/>
  <c r="N2675" i="3"/>
  <c r="N2676" i="3"/>
  <c r="N2677" i="3"/>
  <c r="N2678" i="3"/>
  <c r="N2679" i="3"/>
  <c r="N2680" i="3"/>
  <c r="N2681" i="3"/>
  <c r="N2682" i="3"/>
  <c r="N2683" i="3"/>
  <c r="N2684" i="3"/>
  <c r="N2685" i="3"/>
  <c r="N2686" i="3"/>
  <c r="N2687" i="3"/>
  <c r="N2688" i="3"/>
  <c r="N2689" i="3"/>
  <c r="N2690" i="3"/>
  <c r="N2691" i="3"/>
  <c r="N2692" i="3"/>
  <c r="N2693" i="3"/>
  <c r="N2694" i="3"/>
  <c r="N2695" i="3"/>
  <c r="N2696" i="3"/>
  <c r="N2697" i="3"/>
  <c r="N2698" i="3"/>
  <c r="N2699" i="3"/>
  <c r="N2700" i="3"/>
  <c r="N2701" i="3"/>
  <c r="N2702" i="3"/>
  <c r="N2703" i="3"/>
  <c r="N2704" i="3"/>
  <c r="N2705" i="3"/>
  <c r="N2706" i="3"/>
  <c r="N2707" i="3"/>
  <c r="N2708" i="3"/>
  <c r="N2709" i="3"/>
  <c r="N2710" i="3"/>
  <c r="N2711" i="3"/>
  <c r="N2712" i="3"/>
  <c r="N2713" i="3"/>
  <c r="N2714" i="3"/>
  <c r="N2715" i="3"/>
  <c r="N2716" i="3"/>
  <c r="N2717" i="3"/>
  <c r="N2718" i="3"/>
  <c r="N2719" i="3"/>
  <c r="N2720" i="3"/>
  <c r="N2721" i="3"/>
  <c r="N2722" i="3"/>
  <c r="N2723" i="3"/>
  <c r="N2724" i="3"/>
  <c r="N2725" i="3"/>
  <c r="N2726" i="3"/>
  <c r="N2727" i="3"/>
  <c r="N2728" i="3"/>
  <c r="N2729" i="3"/>
  <c r="N2730" i="3"/>
  <c r="N2731" i="3"/>
  <c r="N2732" i="3"/>
  <c r="N2733" i="3"/>
  <c r="N2734" i="3"/>
  <c r="N2735" i="3"/>
  <c r="N2736" i="3"/>
  <c r="N2737" i="3"/>
  <c r="N2738" i="3"/>
  <c r="N2739" i="3"/>
  <c r="N2740" i="3"/>
  <c r="N2741" i="3"/>
  <c r="N2742" i="3"/>
  <c r="N2743" i="3"/>
  <c r="N2744" i="3"/>
  <c r="N2745" i="3"/>
  <c r="N2746" i="3"/>
  <c r="N2747" i="3"/>
  <c r="N2748" i="3"/>
  <c r="N2749" i="3"/>
  <c r="N2750" i="3"/>
  <c r="N2751" i="3"/>
  <c r="N2752" i="3"/>
  <c r="N2753" i="3"/>
  <c r="N2754" i="3"/>
  <c r="N2755" i="3"/>
  <c r="N2756" i="3"/>
  <c r="N2757" i="3"/>
  <c r="N2758" i="3"/>
  <c r="N2759" i="3"/>
  <c r="N2760" i="3"/>
  <c r="N2761" i="3"/>
  <c r="N2762" i="3"/>
  <c r="N2763" i="3"/>
  <c r="N2764" i="3"/>
  <c r="N2765" i="3"/>
  <c r="N2766" i="3"/>
  <c r="N2767" i="3"/>
  <c r="N2768" i="3"/>
  <c r="N2769" i="3"/>
  <c r="N2770" i="3"/>
  <c r="N2771" i="3"/>
  <c r="N2772" i="3"/>
  <c r="N2773" i="3"/>
  <c r="N2774" i="3"/>
  <c r="N2775" i="3"/>
  <c r="N2776" i="3"/>
  <c r="N2777" i="3"/>
  <c r="N2778" i="3"/>
  <c r="N2779" i="3"/>
  <c r="N2780" i="3"/>
  <c r="N2781" i="3"/>
  <c r="N2782" i="3"/>
  <c r="N2783" i="3"/>
  <c r="N2784" i="3"/>
  <c r="N2785" i="3"/>
  <c r="N2786" i="3"/>
  <c r="N2787" i="3"/>
  <c r="N2788" i="3"/>
  <c r="N2789" i="3"/>
  <c r="N2790" i="3"/>
  <c r="N2791" i="3"/>
  <c r="N2792" i="3"/>
  <c r="N2793" i="3"/>
  <c r="N2794" i="3"/>
  <c r="N2795" i="3"/>
  <c r="N2796" i="3"/>
  <c r="N2797" i="3"/>
  <c r="N2798" i="3"/>
  <c r="N2799" i="3"/>
  <c r="N2800" i="3"/>
  <c r="N2801" i="3"/>
  <c r="N2802" i="3"/>
  <c r="N2803" i="3"/>
  <c r="N2804" i="3"/>
  <c r="N2805" i="3"/>
  <c r="N2806" i="3"/>
  <c r="N2807" i="3"/>
  <c r="N2808" i="3"/>
  <c r="N2809" i="3"/>
  <c r="N2810" i="3"/>
  <c r="N2811" i="3"/>
  <c r="N2812" i="3"/>
  <c r="N2813" i="3"/>
  <c r="N2814" i="3"/>
  <c r="N2815" i="3"/>
  <c r="N2816" i="3"/>
  <c r="N2817" i="3"/>
  <c r="N2818" i="3"/>
  <c r="N2819" i="3"/>
  <c r="N2820" i="3"/>
  <c r="N2821" i="3"/>
  <c r="N2822" i="3"/>
  <c r="N2823" i="3"/>
  <c r="N2824" i="3"/>
  <c r="N2825" i="3"/>
  <c r="N2826" i="3"/>
  <c r="N2827" i="3"/>
  <c r="N2828" i="3"/>
  <c r="N2829" i="3"/>
  <c r="N2830" i="3"/>
  <c r="N2831" i="3"/>
  <c r="N2832" i="3"/>
  <c r="N2833" i="3"/>
  <c r="N2834" i="3"/>
  <c r="N2835" i="3"/>
  <c r="N2836" i="3"/>
  <c r="N2837" i="3"/>
  <c r="N2838" i="3"/>
  <c r="N2839" i="3"/>
  <c r="N2840" i="3"/>
  <c r="N2841" i="3"/>
  <c r="N2842" i="3"/>
  <c r="N2843" i="3"/>
  <c r="N2844" i="3"/>
  <c r="N2845" i="3"/>
  <c r="N2846" i="3"/>
  <c r="N2847" i="3"/>
  <c r="N2848" i="3"/>
  <c r="N2849" i="3"/>
  <c r="N2850" i="3"/>
  <c r="N2851" i="3"/>
  <c r="N2852" i="3"/>
  <c r="N2853" i="3"/>
  <c r="N2854" i="3"/>
  <c r="N2855" i="3"/>
  <c r="N2856" i="3"/>
  <c r="N2857" i="3"/>
  <c r="N2858" i="3"/>
  <c r="N2859" i="3"/>
  <c r="N2860" i="3"/>
  <c r="N2861" i="3"/>
  <c r="N2862" i="3"/>
  <c r="N2863" i="3"/>
  <c r="N2864" i="3"/>
  <c r="N2865" i="3"/>
  <c r="N2866" i="3"/>
  <c r="N2867" i="3"/>
  <c r="N2868" i="3"/>
  <c r="N2869" i="3"/>
  <c r="N2870" i="3"/>
  <c r="N2871" i="3"/>
  <c r="N2872" i="3"/>
  <c r="N2873" i="3"/>
  <c r="N2874" i="3"/>
  <c r="N2875" i="3"/>
  <c r="N2876" i="3"/>
  <c r="N2877" i="3"/>
  <c r="N2878" i="3"/>
  <c r="N2879" i="3"/>
  <c r="N2880" i="3"/>
  <c r="N2881" i="3"/>
  <c r="N2882" i="3"/>
  <c r="N2883" i="3"/>
  <c r="N2884" i="3"/>
  <c r="N2885" i="3"/>
  <c r="N2886" i="3"/>
  <c r="N2887" i="3"/>
  <c r="N2888" i="3"/>
  <c r="N2889" i="3"/>
  <c r="N2890" i="3"/>
  <c r="N2891" i="3"/>
  <c r="N2892" i="3"/>
  <c r="N2893" i="3"/>
  <c r="N2894" i="3"/>
  <c r="N2895" i="3"/>
  <c r="N2896" i="3"/>
  <c r="N2897" i="3"/>
  <c r="N2898" i="3"/>
  <c r="N2899" i="3"/>
  <c r="N2900" i="3"/>
  <c r="N2901" i="3"/>
  <c r="N2902" i="3"/>
  <c r="N2903" i="3"/>
  <c r="N2904" i="3"/>
  <c r="N2905" i="3"/>
  <c r="N2906" i="3"/>
  <c r="N2907" i="3"/>
  <c r="N2908" i="3"/>
  <c r="N2909" i="3"/>
  <c r="N2910" i="3"/>
  <c r="N2911" i="3"/>
  <c r="N2912" i="3"/>
  <c r="N2913" i="3"/>
  <c r="N2914" i="3"/>
  <c r="N2915" i="3"/>
  <c r="N2916" i="3"/>
  <c r="N2917" i="3"/>
  <c r="N2918" i="3"/>
  <c r="N2919" i="3"/>
  <c r="N2920" i="3"/>
  <c r="N2921" i="3"/>
  <c r="N2922" i="3"/>
  <c r="N2923" i="3"/>
  <c r="N2924" i="3"/>
  <c r="N2925" i="3"/>
  <c r="N2926" i="3"/>
  <c r="N2927" i="3"/>
  <c r="N2928" i="3"/>
  <c r="N2929" i="3"/>
  <c r="N2930" i="3"/>
  <c r="N2931" i="3"/>
  <c r="N2932" i="3"/>
  <c r="N2933" i="3"/>
  <c r="N2934" i="3"/>
  <c r="N2935" i="3"/>
  <c r="N2936" i="3"/>
  <c r="N2937" i="3"/>
  <c r="N2938" i="3"/>
  <c r="N2939" i="3"/>
  <c r="N2940" i="3"/>
  <c r="N2941" i="3"/>
  <c r="N2942" i="3"/>
  <c r="N2943" i="3"/>
  <c r="N2944" i="3"/>
  <c r="N2945" i="3"/>
  <c r="N2946" i="3"/>
  <c r="N2947" i="3"/>
  <c r="N2948" i="3"/>
  <c r="N2949" i="3"/>
  <c r="N2950" i="3"/>
  <c r="N2951" i="3"/>
  <c r="N2952" i="3"/>
  <c r="N2953" i="3"/>
  <c r="N2954" i="3"/>
  <c r="N2955" i="3"/>
  <c r="N2956" i="3"/>
  <c r="N2957" i="3"/>
  <c r="N2958" i="3"/>
  <c r="N2959" i="3"/>
  <c r="N2960" i="3"/>
  <c r="N2961" i="3"/>
  <c r="N2962" i="3"/>
  <c r="N2963" i="3"/>
  <c r="N2964" i="3"/>
  <c r="N2965" i="3"/>
  <c r="N2966" i="3"/>
  <c r="N2967" i="3"/>
  <c r="N2968" i="3"/>
  <c r="N2969" i="3"/>
  <c r="N2970" i="3"/>
  <c r="N2971" i="3"/>
  <c r="N2972" i="3"/>
  <c r="N2973" i="3"/>
  <c r="N2974" i="3"/>
  <c r="N2975" i="3"/>
  <c r="N2976" i="3"/>
  <c r="N2977" i="3"/>
  <c r="N2978" i="3"/>
  <c r="N2979" i="3"/>
  <c r="N2980" i="3"/>
  <c r="N2981" i="3"/>
  <c r="N2982" i="3"/>
  <c r="N2983" i="3"/>
  <c r="N2984" i="3"/>
  <c r="N2985" i="3"/>
  <c r="N2986" i="3"/>
  <c r="N2987" i="3"/>
  <c r="N2988" i="3"/>
  <c r="N2989" i="3"/>
  <c r="N2990" i="3"/>
  <c r="N2991" i="3"/>
  <c r="N2992" i="3"/>
  <c r="N2993" i="3"/>
  <c r="N2994" i="3"/>
  <c r="N2995" i="3"/>
  <c r="N2996" i="3"/>
  <c r="N2997" i="3"/>
  <c r="N2998" i="3"/>
  <c r="N2999" i="3"/>
  <c r="N3000" i="3"/>
  <c r="N3001" i="3"/>
  <c r="N3002" i="3"/>
  <c r="N3003" i="3"/>
  <c r="N3004" i="3"/>
  <c r="N3005" i="3"/>
  <c r="N3006" i="3"/>
  <c r="N3007" i="3"/>
  <c r="N3008" i="3"/>
  <c r="N3009" i="3"/>
  <c r="N3010" i="3"/>
  <c r="N3011" i="3"/>
  <c r="N3012" i="3"/>
  <c r="N3013" i="3"/>
  <c r="N3014" i="3"/>
  <c r="N3015" i="3"/>
  <c r="N3016" i="3"/>
  <c r="N3017" i="3"/>
  <c r="N3018" i="3"/>
  <c r="N3019" i="3"/>
  <c r="N3020" i="3"/>
  <c r="N3021" i="3"/>
  <c r="N3022" i="3"/>
  <c r="N3023" i="3"/>
  <c r="N3024" i="3"/>
  <c r="N3025" i="3"/>
  <c r="N3026" i="3"/>
  <c r="N3027" i="3"/>
  <c r="N3028" i="3"/>
  <c r="N3029" i="3"/>
  <c r="N3030" i="3"/>
  <c r="N3031" i="3"/>
  <c r="N3032" i="3"/>
  <c r="N3033" i="3"/>
  <c r="N3034" i="3"/>
  <c r="N3035" i="3"/>
  <c r="N3036" i="3"/>
  <c r="N3037" i="3"/>
  <c r="N3038" i="3"/>
  <c r="N3039" i="3"/>
  <c r="N3040" i="3"/>
  <c r="N3041" i="3"/>
  <c r="N3042" i="3"/>
  <c r="N3043" i="3"/>
  <c r="N3044" i="3"/>
  <c r="N3045" i="3"/>
  <c r="N3046" i="3"/>
  <c r="N3047" i="3"/>
  <c r="N3048" i="3"/>
  <c r="N3049" i="3"/>
  <c r="N3050" i="3"/>
  <c r="N3051" i="3"/>
  <c r="N3052" i="3"/>
  <c r="N3053" i="3"/>
  <c r="N3054" i="3"/>
  <c r="N3055" i="3"/>
  <c r="N3056" i="3"/>
  <c r="N3057" i="3"/>
  <c r="N3058" i="3"/>
  <c r="N3059" i="3"/>
  <c r="N3060" i="3"/>
  <c r="N3061" i="3"/>
  <c r="N3062" i="3"/>
  <c r="N3063" i="3"/>
  <c r="N3064" i="3"/>
  <c r="N3065" i="3"/>
  <c r="N3066" i="3"/>
  <c r="N3067" i="3"/>
  <c r="N3068" i="3"/>
  <c r="N3069" i="3"/>
  <c r="N3070" i="3"/>
  <c r="N3071" i="3"/>
  <c r="N3072" i="3"/>
  <c r="N3073" i="3"/>
  <c r="N3074" i="3"/>
  <c r="N3075" i="3"/>
  <c r="N3076" i="3"/>
  <c r="N3077" i="3"/>
  <c r="N3078" i="3"/>
  <c r="N3079" i="3"/>
  <c r="N3080" i="3"/>
  <c r="N3081" i="3"/>
  <c r="N3082" i="3"/>
  <c r="N3083" i="3"/>
  <c r="N3084" i="3"/>
  <c r="N3085" i="3"/>
  <c r="N3086" i="3"/>
  <c r="N3087" i="3"/>
  <c r="N3088" i="3"/>
  <c r="N3089" i="3"/>
  <c r="N3090" i="3"/>
  <c r="N3091" i="3"/>
  <c r="N3092" i="3"/>
  <c r="N3093" i="3"/>
  <c r="N3094" i="3"/>
  <c r="N3095" i="3"/>
  <c r="N3096" i="3"/>
  <c r="N3097" i="3"/>
  <c r="N3098" i="3"/>
  <c r="N3099" i="3"/>
  <c r="N3100" i="3"/>
  <c r="N3101" i="3"/>
  <c r="N3102" i="3"/>
  <c r="N3103" i="3"/>
  <c r="N3104" i="3"/>
  <c r="N3105" i="3"/>
  <c r="N3106" i="3"/>
  <c r="N3107" i="3"/>
  <c r="N3108" i="3"/>
  <c r="N3109" i="3"/>
  <c r="N3110" i="3"/>
  <c r="N3111" i="3"/>
  <c r="N3112" i="3"/>
  <c r="N3113" i="3"/>
  <c r="N3114" i="3"/>
  <c r="N3115" i="3"/>
  <c r="N3116" i="3"/>
  <c r="N3117" i="3"/>
  <c r="N3118" i="3"/>
  <c r="N3119" i="3"/>
  <c r="N3120" i="3"/>
  <c r="N3121" i="3"/>
  <c r="N3122" i="3"/>
  <c r="N3123" i="3"/>
  <c r="N3124" i="3"/>
  <c r="N3125" i="3"/>
  <c r="N3126" i="3"/>
  <c r="N3127" i="3"/>
  <c r="N3128" i="3"/>
  <c r="N3129" i="3"/>
  <c r="N3130" i="3"/>
  <c r="N3131" i="3"/>
  <c r="N3132" i="3"/>
  <c r="N3133" i="3"/>
  <c r="N3134" i="3"/>
  <c r="N3135" i="3"/>
  <c r="N3136" i="3"/>
  <c r="N3137" i="3"/>
  <c r="N3138" i="3"/>
  <c r="N3139" i="3"/>
  <c r="N3140" i="3"/>
  <c r="N3141" i="3"/>
  <c r="N3142" i="3"/>
  <c r="N3143" i="3"/>
  <c r="N3144" i="3"/>
  <c r="N3145" i="3"/>
  <c r="N3146" i="3"/>
  <c r="N3147" i="3"/>
  <c r="N3148" i="3"/>
  <c r="N3149" i="3"/>
  <c r="N3150" i="3"/>
  <c r="N3151" i="3"/>
  <c r="N3152" i="3"/>
  <c r="N3153" i="3"/>
  <c r="N3154" i="3"/>
  <c r="N3155" i="3"/>
  <c r="N3156" i="3"/>
  <c r="N3157" i="3"/>
  <c r="N3158" i="3"/>
  <c r="N3159" i="3"/>
  <c r="N3160" i="3"/>
  <c r="N3161" i="3"/>
  <c r="N3162" i="3"/>
  <c r="N3163" i="3"/>
  <c r="N3164" i="3"/>
  <c r="N3165" i="3"/>
  <c r="N3166" i="3"/>
  <c r="N3167" i="3"/>
  <c r="N3168" i="3"/>
  <c r="N3169" i="3"/>
  <c r="N3170" i="3"/>
  <c r="N3171" i="3"/>
  <c r="N3172" i="3"/>
  <c r="N3173" i="3"/>
  <c r="N3174" i="3"/>
  <c r="N3175" i="3"/>
  <c r="N3176" i="3"/>
  <c r="N3177" i="3"/>
  <c r="N3178" i="3"/>
  <c r="N3179" i="3"/>
  <c r="N3180" i="3"/>
  <c r="N3181" i="3"/>
  <c r="N3182" i="3"/>
  <c r="N3183" i="3"/>
  <c r="N3184" i="3"/>
  <c r="N3185" i="3"/>
  <c r="N3186" i="3"/>
  <c r="N3187" i="3"/>
  <c r="N3188" i="3"/>
  <c r="N3189" i="3"/>
  <c r="N3190" i="3"/>
  <c r="N3191" i="3"/>
  <c r="N3192" i="3"/>
  <c r="N3193" i="3"/>
  <c r="N3194" i="3"/>
  <c r="N3195" i="3"/>
  <c r="N3196" i="3"/>
  <c r="N3197" i="3"/>
  <c r="N3198" i="3"/>
  <c r="N3199" i="3"/>
  <c r="N3200" i="3"/>
  <c r="N3201" i="3"/>
  <c r="N3202" i="3"/>
  <c r="N3203" i="3"/>
  <c r="N3204" i="3"/>
  <c r="N3205" i="3"/>
  <c r="N3206" i="3"/>
  <c r="N3207" i="3"/>
  <c r="N3208" i="3"/>
  <c r="N3209" i="3"/>
  <c r="N3210" i="3"/>
  <c r="N3211" i="3"/>
  <c r="N3212" i="3"/>
  <c r="N3213" i="3"/>
  <c r="N3214" i="3"/>
  <c r="N3215" i="3"/>
  <c r="N3216" i="3"/>
  <c r="N3217" i="3"/>
  <c r="N3218" i="3"/>
  <c r="N3219" i="3"/>
  <c r="N3220" i="3"/>
  <c r="N3221" i="3"/>
  <c r="N3222" i="3"/>
  <c r="N3223" i="3"/>
  <c r="N3224" i="3"/>
  <c r="N3225" i="3"/>
  <c r="N3226" i="3"/>
  <c r="N3227" i="3"/>
  <c r="N3228" i="3"/>
  <c r="N3229" i="3"/>
  <c r="N3230" i="3"/>
  <c r="N3231" i="3"/>
  <c r="N3232" i="3"/>
  <c r="N3233" i="3"/>
  <c r="N3234" i="3"/>
  <c r="N3235" i="3"/>
  <c r="N3236" i="3"/>
  <c r="N3237" i="3"/>
  <c r="N3238" i="3"/>
  <c r="N3239" i="3"/>
  <c r="N3240" i="3"/>
  <c r="N3241" i="3"/>
  <c r="N3242" i="3"/>
  <c r="N3243" i="3"/>
  <c r="N3244" i="3"/>
  <c r="N3245" i="3"/>
  <c r="N3246" i="3"/>
  <c r="N3247" i="3"/>
  <c r="N3248" i="3"/>
  <c r="N3249" i="3"/>
  <c r="N3250" i="3"/>
  <c r="N3251" i="3"/>
  <c r="N3252" i="3"/>
  <c r="N3253" i="3"/>
  <c r="N3254" i="3"/>
  <c r="N3255" i="3"/>
  <c r="N3256" i="3"/>
  <c r="N3257" i="3"/>
  <c r="N3258" i="3"/>
  <c r="N3259" i="3"/>
  <c r="N3260" i="3"/>
  <c r="N3261" i="3"/>
  <c r="N3262" i="3"/>
  <c r="N3263" i="3"/>
  <c r="N3264" i="3"/>
  <c r="N3265" i="3"/>
  <c r="N3266" i="3"/>
  <c r="N3267" i="3"/>
  <c r="N3268" i="3"/>
  <c r="N3269" i="3"/>
  <c r="N3270" i="3"/>
  <c r="N3271" i="3"/>
  <c r="N3272" i="3"/>
  <c r="N3273" i="3"/>
  <c r="N3274" i="3"/>
  <c r="N3275" i="3"/>
  <c r="N3276" i="3"/>
  <c r="N3277" i="3"/>
  <c r="N3278" i="3"/>
  <c r="N3279" i="3"/>
  <c r="N3280" i="3"/>
  <c r="N3281" i="3"/>
  <c r="N3282" i="3"/>
  <c r="N3283" i="3"/>
  <c r="N3284" i="3"/>
  <c r="N3285" i="3"/>
  <c r="N3286" i="3"/>
  <c r="N3287" i="3"/>
  <c r="N3288" i="3"/>
  <c r="N3289" i="3"/>
  <c r="N3290" i="3"/>
  <c r="N3291" i="3"/>
  <c r="N3292" i="3"/>
  <c r="N3293" i="3"/>
  <c r="N3294" i="3"/>
  <c r="N3295" i="3"/>
  <c r="N3296" i="3"/>
  <c r="N3297" i="3"/>
  <c r="N3298" i="3"/>
  <c r="N3299" i="3"/>
  <c r="N3300" i="3"/>
  <c r="N3301" i="3"/>
  <c r="N3302" i="3"/>
  <c r="N3303" i="3"/>
  <c r="N3304" i="3"/>
  <c r="N3305" i="3"/>
  <c r="N3306" i="3"/>
  <c r="N3307" i="3"/>
  <c r="N3308" i="3"/>
  <c r="N3309" i="3"/>
  <c r="N3310" i="3"/>
  <c r="N3311" i="3"/>
  <c r="N3312" i="3"/>
  <c r="N3313" i="3"/>
  <c r="N3314" i="3"/>
  <c r="N3315" i="3"/>
  <c r="N3316" i="3"/>
  <c r="N3317" i="3"/>
  <c r="N3318" i="3"/>
  <c r="N3319" i="3"/>
  <c r="N3320" i="3"/>
  <c r="N3321" i="3"/>
  <c r="N3322" i="3"/>
  <c r="N3323" i="3"/>
  <c r="N3324" i="3"/>
  <c r="N3325" i="3"/>
  <c r="N3326" i="3"/>
  <c r="N3327" i="3"/>
  <c r="N3328" i="3"/>
  <c r="N3329" i="3"/>
  <c r="N3330" i="3"/>
  <c r="N3331" i="3"/>
  <c r="N3332" i="3"/>
  <c r="N3333" i="3"/>
  <c r="N3334" i="3"/>
  <c r="N3335" i="3"/>
  <c r="N3336" i="3"/>
  <c r="N3337" i="3"/>
  <c r="N3338" i="3"/>
  <c r="N3339" i="3"/>
  <c r="N3340" i="3"/>
  <c r="N3341" i="3"/>
  <c r="N3342" i="3"/>
  <c r="N3343" i="3"/>
  <c r="N3344" i="3"/>
  <c r="N3345" i="3"/>
  <c r="N3346" i="3"/>
  <c r="N3347" i="3"/>
  <c r="N3348" i="3"/>
  <c r="N3349" i="3"/>
  <c r="N3350" i="3"/>
  <c r="N3351" i="3"/>
  <c r="N3352" i="3"/>
  <c r="N3353" i="3"/>
  <c r="N3354" i="3"/>
  <c r="N3355" i="3"/>
  <c r="N3356" i="3"/>
  <c r="N3357" i="3"/>
  <c r="N3358" i="3"/>
  <c r="N3359" i="3"/>
  <c r="N3360" i="3"/>
  <c r="N3361" i="3"/>
  <c r="N3362" i="3"/>
  <c r="N3363" i="3"/>
  <c r="N3364" i="3"/>
  <c r="N3365" i="3"/>
  <c r="N3366" i="3"/>
  <c r="N3367" i="3"/>
  <c r="N3368" i="3"/>
  <c r="N3369" i="3"/>
  <c r="N3370" i="3"/>
  <c r="N3371" i="3"/>
  <c r="N3372" i="3"/>
  <c r="N3373" i="3"/>
  <c r="N3374" i="3"/>
  <c r="N3375" i="3"/>
  <c r="N3376" i="3"/>
  <c r="N3377" i="3"/>
  <c r="N3378" i="3"/>
  <c r="N3379" i="3"/>
  <c r="N3380" i="3"/>
  <c r="N3381" i="3"/>
  <c r="N3382" i="3"/>
  <c r="N3383" i="3"/>
  <c r="N3384" i="3"/>
  <c r="N3385" i="3"/>
  <c r="N3386" i="3"/>
  <c r="N3387" i="3"/>
  <c r="N3388" i="3"/>
  <c r="N3389" i="3"/>
  <c r="N3390" i="3"/>
  <c r="N3391" i="3"/>
  <c r="N3392" i="3"/>
  <c r="N3393" i="3"/>
  <c r="N3394" i="3"/>
  <c r="N3395" i="3"/>
  <c r="N3396" i="3"/>
  <c r="N3397" i="3"/>
  <c r="N3398" i="3"/>
  <c r="N3399" i="3"/>
  <c r="N3400" i="3"/>
  <c r="N3401" i="3"/>
  <c r="N3402" i="3"/>
  <c r="N3403" i="3"/>
  <c r="N3404" i="3"/>
  <c r="N3405" i="3"/>
  <c r="N3406" i="3"/>
  <c r="N3407" i="3"/>
  <c r="N3408" i="3"/>
  <c r="N3409" i="3"/>
  <c r="N3410" i="3"/>
  <c r="N3411" i="3"/>
  <c r="N3412" i="3"/>
  <c r="N3413" i="3"/>
  <c r="N3414" i="3"/>
  <c r="N3415" i="3"/>
  <c r="N3416" i="3"/>
  <c r="N3417" i="3"/>
  <c r="N3418" i="3"/>
  <c r="N3419" i="3"/>
  <c r="N3420" i="3"/>
  <c r="N3421" i="3"/>
  <c r="N3422" i="3"/>
  <c r="N3423" i="3"/>
  <c r="N3424" i="3"/>
  <c r="N3425" i="3"/>
  <c r="N3426" i="3"/>
  <c r="N3427" i="3"/>
  <c r="N3428" i="3"/>
  <c r="N3429" i="3"/>
  <c r="N3430" i="3"/>
  <c r="N3431" i="3"/>
  <c r="N3432" i="3"/>
  <c r="N3433" i="3"/>
  <c r="N3434" i="3"/>
  <c r="N3435" i="3"/>
  <c r="N3436" i="3"/>
  <c r="N3437" i="3"/>
  <c r="N3438" i="3"/>
  <c r="N3439" i="3"/>
  <c r="N3440" i="3"/>
  <c r="N3441" i="3"/>
  <c r="N3442" i="3"/>
  <c r="N3443" i="3"/>
  <c r="N3444" i="3"/>
  <c r="N3445" i="3"/>
  <c r="N3446" i="3"/>
  <c r="N3447" i="3"/>
  <c r="N3448" i="3"/>
  <c r="N3449" i="3"/>
  <c r="N3450" i="3"/>
  <c r="N3451" i="3"/>
  <c r="N3452" i="3"/>
  <c r="N3453" i="3"/>
  <c r="N3454" i="3"/>
  <c r="N3455" i="3"/>
  <c r="N3456" i="3"/>
  <c r="N3457" i="3"/>
  <c r="N3458" i="3"/>
  <c r="N3459" i="3"/>
  <c r="N3460" i="3"/>
  <c r="N3461" i="3"/>
  <c r="N3462" i="3"/>
  <c r="N3463" i="3"/>
  <c r="N3464" i="3"/>
  <c r="N3465" i="3"/>
  <c r="N3466" i="3"/>
  <c r="N3467" i="3"/>
  <c r="N3468" i="3"/>
  <c r="N3469" i="3"/>
  <c r="N3470" i="3"/>
  <c r="N3471" i="3"/>
  <c r="N3472" i="3"/>
  <c r="N3473" i="3"/>
  <c r="N3474" i="3"/>
  <c r="N3475" i="3"/>
  <c r="N3476" i="3"/>
  <c r="N3477" i="3"/>
  <c r="N3478" i="3"/>
  <c r="N3479" i="3"/>
  <c r="N3480" i="3"/>
  <c r="N3481" i="3"/>
  <c r="N3482" i="3"/>
  <c r="N3483" i="3"/>
  <c r="N3484" i="3"/>
  <c r="N3485" i="3"/>
  <c r="N3486" i="3"/>
  <c r="N3487" i="3"/>
  <c r="N3488" i="3"/>
  <c r="N3489" i="3"/>
  <c r="N3490" i="3"/>
  <c r="N3491" i="3"/>
  <c r="N3492" i="3"/>
  <c r="N3493" i="3"/>
  <c r="N3494" i="3"/>
  <c r="N3495" i="3"/>
  <c r="N3496" i="3"/>
  <c r="N3497" i="3"/>
  <c r="N3498" i="3"/>
  <c r="N3499" i="3"/>
  <c r="N3500" i="3"/>
  <c r="N3501" i="3"/>
  <c r="N3502" i="3"/>
  <c r="N3503" i="3"/>
  <c r="N3504" i="3"/>
  <c r="N3505" i="3"/>
  <c r="N3506" i="3"/>
  <c r="N3507" i="3"/>
  <c r="N3508" i="3"/>
  <c r="N3509" i="3"/>
  <c r="N3510" i="3"/>
  <c r="N3511" i="3"/>
  <c r="N3512" i="3"/>
  <c r="N3513" i="3"/>
  <c r="N3514" i="3"/>
  <c r="N3515" i="3"/>
  <c r="N3516" i="3"/>
  <c r="N3517" i="3"/>
  <c r="N3518" i="3"/>
  <c r="N3519" i="3"/>
  <c r="N3520" i="3"/>
  <c r="N3521" i="3"/>
  <c r="N3522" i="3"/>
  <c r="N3523" i="3"/>
  <c r="N3524" i="3"/>
  <c r="N3525" i="3"/>
  <c r="N3526" i="3"/>
  <c r="N3527" i="3"/>
  <c r="N3528" i="3"/>
  <c r="N3529" i="3"/>
  <c r="N3530" i="3"/>
  <c r="N3531" i="3"/>
  <c r="N3532" i="3"/>
  <c r="N3533" i="3"/>
  <c r="N3534" i="3"/>
  <c r="N3535" i="3"/>
  <c r="N3536" i="3"/>
  <c r="N3537" i="3"/>
  <c r="N3538" i="3"/>
  <c r="N3539" i="3"/>
  <c r="N3540" i="3"/>
  <c r="N3541" i="3"/>
  <c r="N3542" i="3"/>
  <c r="N3543" i="3"/>
  <c r="N3544" i="3"/>
  <c r="N3545" i="3"/>
  <c r="N3546" i="3"/>
  <c r="N3547" i="3"/>
  <c r="N3548" i="3"/>
  <c r="N3549" i="3"/>
  <c r="N3550" i="3"/>
  <c r="N3551" i="3"/>
  <c r="N3552" i="3"/>
  <c r="N3553" i="3"/>
  <c r="N3554" i="3"/>
  <c r="N3555" i="3"/>
  <c r="N3556" i="3"/>
  <c r="N3557" i="3"/>
  <c r="N3558" i="3"/>
  <c r="N3559" i="3"/>
  <c r="N3560" i="3"/>
  <c r="N3561" i="3"/>
  <c r="N3562" i="3"/>
  <c r="N3563" i="3"/>
  <c r="N3564" i="3"/>
  <c r="N3565" i="3"/>
  <c r="N3566" i="3"/>
  <c r="N3567" i="3"/>
  <c r="N3568" i="3"/>
  <c r="N3569" i="3"/>
  <c r="N3570" i="3"/>
  <c r="N3571" i="3"/>
  <c r="N3572" i="3"/>
  <c r="N3573" i="3"/>
  <c r="N3574" i="3"/>
  <c r="N3575" i="3"/>
  <c r="N3576" i="3"/>
  <c r="N3577" i="3"/>
  <c r="N3578" i="3"/>
  <c r="N3579" i="3"/>
  <c r="N3580" i="3"/>
  <c r="N3581" i="3"/>
  <c r="N3582" i="3"/>
  <c r="N3583" i="3"/>
  <c r="N3584" i="3"/>
  <c r="N3585" i="3"/>
  <c r="N3586" i="3"/>
  <c r="N3587" i="3"/>
  <c r="N3588" i="3"/>
  <c r="N3589" i="3"/>
  <c r="N3590" i="3"/>
  <c r="N3591" i="3"/>
  <c r="N3592" i="3"/>
  <c r="N3593" i="3"/>
  <c r="N3594" i="3"/>
  <c r="N3595" i="3"/>
  <c r="N3596" i="3"/>
  <c r="N3597" i="3"/>
  <c r="N3598" i="3"/>
  <c r="N3599" i="3"/>
  <c r="N3600" i="3"/>
  <c r="N3601" i="3"/>
  <c r="N3602" i="3"/>
  <c r="N3603" i="3"/>
  <c r="N3604" i="3"/>
  <c r="N3605" i="3"/>
  <c r="N3606" i="3"/>
  <c r="N3607" i="3"/>
  <c r="N3608" i="3"/>
  <c r="N3609" i="3"/>
  <c r="N3610" i="3"/>
  <c r="N3611" i="3"/>
  <c r="N3612" i="3"/>
  <c r="N3613" i="3"/>
  <c r="N3614" i="3"/>
  <c r="N3615" i="3"/>
  <c r="N3616" i="3"/>
  <c r="N3617" i="3"/>
  <c r="N3618" i="3"/>
  <c r="N3619" i="3"/>
  <c r="N3620" i="3"/>
  <c r="N3621" i="3"/>
  <c r="N3622" i="3"/>
  <c r="N3623" i="3"/>
  <c r="N3624" i="3"/>
  <c r="N3625" i="3"/>
  <c r="N3626" i="3"/>
  <c r="N3627" i="3"/>
  <c r="N3628" i="3"/>
  <c r="N3629" i="3"/>
  <c r="N3630" i="3"/>
  <c r="N3631" i="3"/>
  <c r="N3632" i="3"/>
  <c r="N3633" i="3"/>
  <c r="N3634" i="3"/>
  <c r="N3635" i="3"/>
  <c r="N3636" i="3"/>
  <c r="N3637" i="3"/>
  <c r="N3638" i="3"/>
  <c r="N3639" i="3"/>
  <c r="N3640" i="3"/>
  <c r="N3641" i="3"/>
  <c r="N3642" i="3"/>
  <c r="N3643" i="3"/>
  <c r="N3644" i="3"/>
  <c r="N3645" i="3"/>
  <c r="N3646" i="3"/>
  <c r="N3647" i="3"/>
  <c r="N3648" i="3"/>
  <c r="N3649" i="3"/>
  <c r="N3650" i="3"/>
  <c r="N3651" i="3"/>
  <c r="N3652" i="3"/>
  <c r="N3653" i="3"/>
  <c r="N3654" i="3"/>
  <c r="N3655" i="3"/>
  <c r="N3656" i="3"/>
  <c r="N3657" i="3"/>
  <c r="N3658" i="3"/>
  <c r="N3659" i="3"/>
  <c r="N3660" i="3"/>
  <c r="N3661" i="3"/>
  <c r="N3662" i="3"/>
  <c r="N3663" i="3"/>
  <c r="N3664" i="3"/>
  <c r="N3665" i="3"/>
  <c r="N3666" i="3"/>
  <c r="N3667" i="3"/>
  <c r="N3668" i="3"/>
  <c r="N3669" i="3"/>
  <c r="N3670" i="3"/>
  <c r="N3671" i="3"/>
  <c r="N3672" i="3"/>
  <c r="N3673" i="3"/>
  <c r="N3674" i="3"/>
  <c r="N3675" i="3"/>
  <c r="N3676" i="3"/>
  <c r="N3677" i="3"/>
  <c r="N3678" i="3"/>
  <c r="N3679" i="3"/>
  <c r="N3680" i="3"/>
  <c r="N3681" i="3"/>
  <c r="N3682" i="3"/>
  <c r="N3683" i="3"/>
  <c r="N3684" i="3"/>
  <c r="N3685" i="3"/>
  <c r="N3686" i="3"/>
  <c r="N3687" i="3"/>
  <c r="N3688" i="3"/>
  <c r="N3689" i="3"/>
  <c r="N3690" i="3"/>
  <c r="N3691" i="3"/>
  <c r="N3692" i="3"/>
  <c r="N3693" i="3"/>
  <c r="N3694" i="3"/>
  <c r="N3695" i="3"/>
  <c r="N3696" i="3"/>
  <c r="N3697" i="3"/>
  <c r="N3698" i="3"/>
  <c r="N3699" i="3"/>
  <c r="N3700" i="3"/>
  <c r="N3701" i="3"/>
  <c r="N3702" i="3"/>
  <c r="N3703" i="3"/>
  <c r="N3704" i="3"/>
  <c r="N3705" i="3"/>
  <c r="N3706" i="3"/>
  <c r="N3707" i="3"/>
  <c r="N3708" i="3"/>
  <c r="N3709" i="3"/>
  <c r="N3710" i="3"/>
  <c r="N3711" i="3"/>
  <c r="N3712" i="3"/>
  <c r="N3713" i="3"/>
  <c r="N3714" i="3"/>
  <c r="N3715" i="3"/>
  <c r="N3716" i="3"/>
  <c r="N3717" i="3"/>
  <c r="N3718" i="3"/>
  <c r="N3719" i="3"/>
  <c r="N3720" i="3"/>
  <c r="N3721" i="3"/>
  <c r="N3722" i="3"/>
  <c r="N3723" i="3"/>
  <c r="N3724" i="3"/>
  <c r="N3725" i="3"/>
  <c r="N3726" i="3"/>
  <c r="N3727" i="3"/>
  <c r="N3728" i="3"/>
  <c r="N3729" i="3"/>
  <c r="N3730" i="3"/>
  <c r="N3731" i="3"/>
  <c r="N3732" i="3"/>
  <c r="N3733" i="3"/>
  <c r="N3734" i="3"/>
  <c r="N3735" i="3"/>
  <c r="N3736" i="3"/>
  <c r="N3737" i="3"/>
  <c r="N3738" i="3"/>
  <c r="N3739" i="3"/>
  <c r="N3740" i="3"/>
  <c r="N3741" i="3"/>
  <c r="N3742" i="3"/>
  <c r="N3743" i="3"/>
  <c r="N3744" i="3"/>
  <c r="N3745" i="3"/>
  <c r="N3746" i="3"/>
  <c r="N3747" i="3"/>
  <c r="N3748" i="3"/>
  <c r="N3749" i="3"/>
  <c r="N3750" i="3"/>
  <c r="N3751" i="3"/>
  <c r="N3752" i="3"/>
  <c r="N3753" i="3"/>
  <c r="N3754" i="3"/>
  <c r="N3755" i="3"/>
  <c r="N3756" i="3"/>
  <c r="N3757" i="3"/>
  <c r="N3758" i="3"/>
  <c r="N3759" i="3"/>
  <c r="N3760" i="3"/>
  <c r="N3761" i="3"/>
  <c r="N3762" i="3"/>
  <c r="N3763" i="3"/>
  <c r="N3764" i="3"/>
  <c r="N3765" i="3"/>
  <c r="N3766" i="3"/>
  <c r="N3767" i="3"/>
  <c r="N3768" i="3"/>
  <c r="N3769" i="3"/>
  <c r="N3770" i="3"/>
  <c r="N3771" i="3"/>
  <c r="N3772" i="3"/>
  <c r="N3773" i="3"/>
  <c r="N3774" i="3"/>
  <c r="N3775" i="3"/>
  <c r="N3776" i="3"/>
  <c r="N3777" i="3"/>
  <c r="N3778" i="3"/>
  <c r="N3779" i="3"/>
  <c r="N3780" i="3"/>
  <c r="N3781" i="3"/>
  <c r="N3782" i="3"/>
  <c r="N3783" i="3"/>
  <c r="N3784" i="3"/>
  <c r="N3785" i="3"/>
  <c r="N3786" i="3"/>
  <c r="N3787" i="3"/>
  <c r="N3788" i="3"/>
  <c r="N3789" i="3"/>
  <c r="N3790" i="3"/>
  <c r="N3791" i="3"/>
  <c r="N3792" i="3"/>
  <c r="N3793" i="3"/>
  <c r="N3794" i="3"/>
  <c r="N3795" i="3"/>
  <c r="N3796" i="3"/>
  <c r="N3797" i="3"/>
  <c r="N3798" i="3"/>
  <c r="N3799" i="3"/>
  <c r="N3800" i="3"/>
  <c r="N3801" i="3"/>
  <c r="N3802" i="3"/>
  <c r="N3803" i="3"/>
  <c r="N3804" i="3"/>
  <c r="N3805" i="3"/>
  <c r="N3806" i="3"/>
  <c r="N3807" i="3"/>
  <c r="N3808" i="3"/>
  <c r="N3809" i="3"/>
  <c r="N3810" i="3"/>
  <c r="N3811" i="3"/>
  <c r="N3812" i="3"/>
  <c r="N3813" i="3"/>
  <c r="N3814" i="3"/>
  <c r="N3815" i="3"/>
  <c r="N3816" i="3"/>
  <c r="N3817" i="3"/>
  <c r="N3818" i="3"/>
  <c r="N3819" i="3"/>
  <c r="N3820" i="3"/>
  <c r="N3821" i="3"/>
  <c r="N3822" i="3"/>
  <c r="N3823" i="3"/>
  <c r="N3824" i="3"/>
  <c r="N3825" i="3"/>
  <c r="N3826" i="3"/>
  <c r="N3827" i="3"/>
  <c r="N3828" i="3"/>
  <c r="N3829" i="3"/>
  <c r="N3830" i="3"/>
  <c r="N3831" i="3"/>
  <c r="N3832" i="3"/>
  <c r="N3833" i="3"/>
  <c r="N3834" i="3"/>
  <c r="N3835" i="3"/>
  <c r="N3836" i="3"/>
  <c r="N3837" i="3"/>
  <c r="N3838" i="3"/>
  <c r="N3839" i="3"/>
  <c r="N3840" i="3"/>
  <c r="N3841" i="3"/>
  <c r="N3842" i="3"/>
  <c r="N3843" i="3"/>
  <c r="N3844" i="3"/>
  <c r="N3845" i="3"/>
  <c r="N3846" i="3"/>
  <c r="N3847" i="3"/>
  <c r="N3848" i="3"/>
  <c r="N3849" i="3"/>
  <c r="N3850" i="3"/>
  <c r="N3851" i="3"/>
  <c r="N3852" i="3"/>
  <c r="N3853" i="3"/>
  <c r="N3854" i="3"/>
  <c r="N3855" i="3"/>
  <c r="N3856" i="3"/>
  <c r="N3857" i="3"/>
  <c r="N3858" i="3"/>
  <c r="N3859" i="3"/>
  <c r="N3860" i="3"/>
  <c r="N3861" i="3"/>
  <c r="N3862" i="3"/>
  <c r="N3863" i="3"/>
  <c r="N3864" i="3"/>
  <c r="N3865" i="3"/>
  <c r="N3866" i="3"/>
  <c r="N3867" i="3"/>
  <c r="N3868" i="3"/>
  <c r="N3869" i="3"/>
  <c r="N3870" i="3"/>
  <c r="N3871" i="3"/>
  <c r="N3872" i="3"/>
  <c r="N3873" i="3"/>
  <c r="N3874" i="3"/>
  <c r="N3875" i="3"/>
  <c r="N3876" i="3"/>
  <c r="N3877" i="3"/>
  <c r="N3878" i="3"/>
  <c r="N3879" i="3"/>
  <c r="N3880" i="3"/>
  <c r="N3881" i="3"/>
  <c r="N3882" i="3"/>
  <c r="N3883" i="3"/>
  <c r="N3884" i="3"/>
  <c r="N3885" i="3"/>
  <c r="N3886" i="3"/>
  <c r="N3887" i="3"/>
  <c r="N3888" i="3"/>
  <c r="N3889" i="3"/>
  <c r="N3890" i="3"/>
  <c r="N3891" i="3"/>
  <c r="N3892" i="3"/>
  <c r="N3893" i="3"/>
  <c r="N3894" i="3"/>
  <c r="N3895" i="3"/>
  <c r="N3896" i="3"/>
  <c r="N3897" i="3"/>
  <c r="N3898" i="3"/>
  <c r="N3899" i="3"/>
  <c r="N3900" i="3"/>
  <c r="N3901" i="3"/>
  <c r="N3902" i="3"/>
  <c r="N3903" i="3"/>
  <c r="N3904" i="3"/>
  <c r="N3905" i="3"/>
  <c r="N3906" i="3"/>
  <c r="N3907" i="3"/>
  <c r="N3908" i="3"/>
  <c r="N3909" i="3"/>
  <c r="N3910" i="3"/>
  <c r="N3911" i="3"/>
  <c r="N3912" i="3"/>
  <c r="N3913" i="3"/>
  <c r="N3914" i="3"/>
  <c r="N3915" i="3"/>
  <c r="N3916" i="3"/>
  <c r="N3917" i="3"/>
  <c r="N3918" i="3"/>
  <c r="N3919" i="3"/>
  <c r="N3920" i="3"/>
  <c r="N3921" i="3"/>
  <c r="N3922" i="3"/>
  <c r="N3923" i="3"/>
  <c r="N3924" i="3"/>
  <c r="N3925" i="3"/>
  <c r="N3926" i="3"/>
  <c r="N3927" i="3"/>
  <c r="N3928" i="3"/>
  <c r="N3929" i="3"/>
  <c r="N3930" i="3"/>
  <c r="N3931" i="3"/>
  <c r="N3932" i="3"/>
  <c r="N3933" i="3"/>
  <c r="N3934" i="3"/>
  <c r="N3935" i="3"/>
  <c r="N3936" i="3"/>
  <c r="N3937" i="3"/>
  <c r="N3938" i="3"/>
  <c r="N3939" i="3"/>
  <c r="N3940" i="3"/>
  <c r="N3941" i="3"/>
  <c r="N3942" i="3"/>
  <c r="N3943" i="3"/>
  <c r="N3944" i="3"/>
  <c r="N3945" i="3"/>
  <c r="N3946" i="3"/>
  <c r="N3947" i="3"/>
  <c r="N3948" i="3"/>
  <c r="N3949" i="3"/>
  <c r="N3950" i="3"/>
  <c r="N3951" i="3"/>
  <c r="N3952" i="3"/>
  <c r="N3953" i="3"/>
  <c r="N3954" i="3"/>
  <c r="N3955" i="3"/>
  <c r="N3956" i="3"/>
  <c r="N3957" i="3"/>
  <c r="N3958" i="3"/>
  <c r="N3959" i="3"/>
  <c r="N3960" i="3"/>
  <c r="N3961" i="3"/>
  <c r="N3962" i="3"/>
  <c r="N3963" i="3"/>
  <c r="N3964" i="3"/>
  <c r="N3965" i="3"/>
  <c r="N3966" i="3"/>
  <c r="N3967" i="3"/>
  <c r="N3968" i="3"/>
  <c r="N3969" i="3"/>
  <c r="N3970" i="3"/>
  <c r="N3971" i="3"/>
  <c r="N3972" i="3"/>
  <c r="N3973" i="3"/>
  <c r="N3974" i="3"/>
  <c r="N3975" i="3"/>
  <c r="N3976" i="3"/>
  <c r="N3977" i="3"/>
  <c r="N3978" i="3"/>
  <c r="N3979" i="3"/>
  <c r="N3980" i="3"/>
  <c r="N3981" i="3"/>
  <c r="N3982" i="3"/>
  <c r="N3983" i="3"/>
  <c r="N3984" i="3"/>
  <c r="N3985" i="3"/>
  <c r="N3986" i="3"/>
  <c r="N3987" i="3"/>
  <c r="N3988" i="3"/>
  <c r="N3989" i="3"/>
  <c r="N3990" i="3"/>
  <c r="N3991" i="3"/>
  <c r="N3992" i="3"/>
  <c r="N3993" i="3"/>
  <c r="N3994" i="3"/>
  <c r="N3995" i="3"/>
  <c r="N3996" i="3"/>
  <c r="N3997" i="3"/>
  <c r="N3998" i="3"/>
  <c r="N3999" i="3"/>
  <c r="N4000" i="3"/>
  <c r="N4001" i="3"/>
  <c r="N4002" i="3"/>
  <c r="N4003" i="3"/>
  <c r="N4004" i="3"/>
  <c r="N4005" i="3"/>
  <c r="N4006" i="3"/>
  <c r="N4007" i="3"/>
  <c r="N4008" i="3"/>
  <c r="N4009" i="3"/>
  <c r="N4010" i="3"/>
  <c r="N4011" i="3"/>
  <c r="N4012" i="3"/>
  <c r="N4013" i="3"/>
  <c r="N4014" i="3"/>
  <c r="N4015" i="3"/>
  <c r="N4016" i="3"/>
  <c r="N4017" i="3"/>
  <c r="N4018" i="3"/>
  <c r="N4019" i="3"/>
  <c r="N4020" i="3"/>
  <c r="N4021" i="3"/>
  <c r="N4022" i="3"/>
  <c r="N4023" i="3"/>
  <c r="N4024" i="3"/>
  <c r="N4025" i="3"/>
  <c r="N4026" i="3"/>
  <c r="N4027" i="3"/>
  <c r="N4028" i="3"/>
  <c r="N4029" i="3"/>
  <c r="N4030" i="3"/>
  <c r="N4031" i="3"/>
  <c r="N4032" i="3"/>
  <c r="N4033" i="3"/>
  <c r="N4034" i="3"/>
  <c r="N4035" i="3"/>
  <c r="N4036" i="3"/>
  <c r="N4037" i="3"/>
  <c r="N4038" i="3"/>
  <c r="N4039" i="3"/>
  <c r="N4040" i="3"/>
  <c r="N4041" i="3"/>
  <c r="N4042" i="3"/>
  <c r="N4043" i="3"/>
  <c r="N4044" i="3"/>
  <c r="N4045" i="3"/>
  <c r="N4046" i="3"/>
  <c r="N4047" i="3"/>
  <c r="N4048" i="3"/>
  <c r="N4049" i="3"/>
  <c r="N4050" i="3"/>
  <c r="N4051" i="3"/>
  <c r="N4052" i="3"/>
  <c r="N4053" i="3"/>
  <c r="N4054" i="3"/>
  <c r="N4055" i="3"/>
  <c r="N4056" i="3"/>
  <c r="N4057" i="3"/>
  <c r="N4058" i="3"/>
  <c r="N4059" i="3"/>
  <c r="N4060" i="3"/>
  <c r="N4061" i="3"/>
  <c r="N4062" i="3"/>
  <c r="N4063" i="3"/>
  <c r="N4064" i="3"/>
  <c r="N4065" i="3"/>
  <c r="N4066" i="3"/>
  <c r="N4067" i="3"/>
  <c r="N4068" i="3"/>
  <c r="N4069" i="3"/>
  <c r="N4070" i="3"/>
  <c r="N4071" i="3"/>
  <c r="N4072" i="3"/>
  <c r="N4073" i="3"/>
  <c r="N4074" i="3"/>
  <c r="N4075" i="3"/>
  <c r="N4076" i="3"/>
  <c r="N4077" i="3"/>
  <c r="N4078" i="3"/>
  <c r="N4079" i="3"/>
  <c r="N4080" i="3"/>
  <c r="N4081" i="3"/>
  <c r="N4082" i="3"/>
  <c r="N4083" i="3"/>
  <c r="N4084" i="3"/>
  <c r="N4085" i="3"/>
  <c r="N4086" i="3"/>
  <c r="N4087" i="3"/>
  <c r="N4088" i="3"/>
  <c r="N4089" i="3"/>
  <c r="N4090" i="3"/>
  <c r="N4091" i="3"/>
  <c r="N4092" i="3"/>
  <c r="N4093" i="3"/>
  <c r="N4094" i="3"/>
  <c r="N4095" i="3"/>
  <c r="N4096" i="3"/>
  <c r="N4097" i="3"/>
  <c r="N4098" i="3"/>
  <c r="N4099" i="3"/>
  <c r="N4100" i="3"/>
  <c r="N4101" i="3"/>
  <c r="N4102" i="3"/>
  <c r="N4103" i="3"/>
  <c r="N4104" i="3"/>
  <c r="N4105" i="3"/>
  <c r="N4106" i="3"/>
  <c r="N4107" i="3"/>
  <c r="N4108" i="3"/>
  <c r="N4109" i="3"/>
  <c r="N4110" i="3"/>
  <c r="N4111" i="3"/>
  <c r="N4112" i="3"/>
  <c r="N4113" i="3"/>
  <c r="N4114" i="3"/>
  <c r="N4115" i="3"/>
  <c r="N4116" i="3"/>
  <c r="N4117" i="3"/>
  <c r="N4118" i="3"/>
  <c r="N4119" i="3"/>
  <c r="N4120" i="3"/>
  <c r="N4121" i="3"/>
  <c r="N4122" i="3"/>
  <c r="N4123" i="3"/>
  <c r="N4124" i="3"/>
  <c r="N4125" i="3"/>
  <c r="N4126" i="3"/>
  <c r="N4127" i="3"/>
  <c r="N4128" i="3"/>
  <c r="N4129" i="3"/>
  <c r="N4130" i="3"/>
  <c r="N4131" i="3"/>
  <c r="N4132" i="3"/>
  <c r="N4133" i="3"/>
  <c r="N4134" i="3"/>
  <c r="N4135" i="3"/>
  <c r="N4136" i="3"/>
  <c r="N4137" i="3"/>
  <c r="N4138" i="3"/>
  <c r="N4139" i="3"/>
  <c r="N4140" i="3"/>
  <c r="N4141" i="3"/>
  <c r="N4142" i="3"/>
  <c r="N4143" i="3"/>
  <c r="N4144" i="3"/>
  <c r="N4145" i="3"/>
  <c r="N4146" i="3"/>
  <c r="N4147" i="3"/>
  <c r="N4148" i="3"/>
  <c r="N4149" i="3"/>
  <c r="N4150" i="3"/>
  <c r="N4151" i="3"/>
  <c r="N4152" i="3"/>
  <c r="N4153" i="3"/>
  <c r="N4154" i="3"/>
  <c r="N4155" i="3"/>
  <c r="N4156" i="3"/>
  <c r="N4157" i="3"/>
  <c r="N4158" i="3"/>
  <c r="N4159" i="3"/>
  <c r="N4160" i="3"/>
  <c r="N4161" i="3"/>
  <c r="N4162" i="3"/>
  <c r="N4163" i="3"/>
  <c r="N4164" i="3"/>
  <c r="N4165" i="3"/>
  <c r="N4166" i="3"/>
  <c r="N4167" i="3"/>
  <c r="N4168" i="3"/>
  <c r="N4169" i="3"/>
  <c r="N4170" i="3"/>
  <c r="N4171" i="3"/>
  <c r="N4172" i="3"/>
  <c r="N4173" i="3"/>
  <c r="N4174" i="3"/>
  <c r="N4175" i="3"/>
  <c r="N4176" i="3"/>
  <c r="N4177" i="3"/>
  <c r="N4178" i="3"/>
  <c r="N4179" i="3"/>
  <c r="N4180" i="3"/>
  <c r="N4181" i="3"/>
  <c r="N4182" i="3"/>
  <c r="N4183" i="3"/>
  <c r="N4184" i="3"/>
  <c r="N4185" i="3"/>
  <c r="N4186" i="3"/>
  <c r="N4187" i="3"/>
  <c r="N4188" i="3"/>
  <c r="N4189" i="3"/>
  <c r="N4190" i="3"/>
  <c r="N4191" i="3"/>
  <c r="N4192" i="3"/>
  <c r="N4193" i="3"/>
  <c r="N4194" i="3"/>
  <c r="N4195" i="3"/>
  <c r="N4196" i="3"/>
  <c r="N4197" i="3"/>
  <c r="N4198" i="3"/>
  <c r="N4199" i="3"/>
  <c r="N4200" i="3"/>
  <c r="N4201" i="3"/>
  <c r="N4202" i="3"/>
  <c r="N4203" i="3"/>
  <c r="N4204" i="3"/>
  <c r="N4205" i="3"/>
  <c r="N4206" i="3"/>
  <c r="N4207" i="3"/>
  <c r="N4208" i="3"/>
  <c r="N4209" i="3"/>
  <c r="N4210" i="3"/>
  <c r="N4211" i="3"/>
  <c r="N4212" i="3"/>
  <c r="N4213" i="3"/>
  <c r="N4214" i="3"/>
  <c r="N4215" i="3"/>
  <c r="N4216" i="3"/>
  <c r="N4217" i="3"/>
  <c r="N4218" i="3"/>
  <c r="N4219" i="3"/>
  <c r="N4220" i="3"/>
  <c r="N4221" i="3"/>
  <c r="N4222" i="3"/>
  <c r="N4223" i="3"/>
  <c r="N4224" i="3"/>
  <c r="N4225" i="3"/>
  <c r="N4226" i="3"/>
  <c r="N4227" i="3"/>
  <c r="N4228" i="3"/>
  <c r="N4229" i="3"/>
  <c r="N4230" i="3"/>
  <c r="N4231" i="3"/>
  <c r="N4232" i="3"/>
  <c r="N4233" i="3"/>
  <c r="N4234" i="3"/>
  <c r="N4235" i="3"/>
  <c r="N4236" i="3"/>
  <c r="N4237" i="3"/>
  <c r="N4238" i="3"/>
  <c r="N4239" i="3"/>
  <c r="N4240" i="3"/>
  <c r="N4241" i="3"/>
  <c r="N4242" i="3"/>
  <c r="N4243" i="3"/>
  <c r="N4244" i="3"/>
  <c r="N4245" i="3"/>
  <c r="N4246" i="3"/>
  <c r="N4247" i="3"/>
  <c r="N4248" i="3"/>
  <c r="N4249" i="3"/>
  <c r="N4250" i="3"/>
  <c r="N4251" i="3"/>
  <c r="N4252" i="3"/>
  <c r="N4253" i="3"/>
  <c r="N4254" i="3"/>
  <c r="N4255" i="3"/>
  <c r="N4256" i="3"/>
  <c r="N4257" i="3"/>
  <c r="N4258" i="3"/>
  <c r="N4259" i="3"/>
  <c r="N4260" i="3"/>
  <c r="N4261" i="3"/>
  <c r="N4262" i="3"/>
  <c r="N4263" i="3"/>
  <c r="N4264" i="3"/>
  <c r="N4265" i="3"/>
  <c r="N4266" i="3"/>
  <c r="N4267" i="3"/>
  <c r="N4268" i="3"/>
  <c r="N4269" i="3"/>
  <c r="N4270" i="3"/>
  <c r="N4271" i="3"/>
  <c r="N4272" i="3"/>
  <c r="N4273" i="3"/>
  <c r="N4274" i="3"/>
  <c r="N4275" i="3"/>
  <c r="N4276" i="3"/>
  <c r="N4277" i="3"/>
  <c r="N4278" i="3"/>
  <c r="N4279" i="3"/>
  <c r="N4280" i="3"/>
  <c r="N4281" i="3"/>
  <c r="N4282" i="3"/>
  <c r="N4283" i="3"/>
  <c r="N4284" i="3"/>
  <c r="N4285" i="3"/>
  <c r="N4286" i="3"/>
  <c r="N4287" i="3"/>
  <c r="N4288" i="3"/>
  <c r="N4289" i="3"/>
  <c r="N4290" i="3"/>
  <c r="N4291" i="3"/>
  <c r="N4292" i="3"/>
  <c r="N4293" i="3"/>
  <c r="N4294" i="3"/>
  <c r="N4295" i="3"/>
  <c r="N4296" i="3"/>
  <c r="N4297" i="3"/>
  <c r="N4298" i="3"/>
  <c r="N4299" i="3"/>
  <c r="N4300" i="3"/>
  <c r="N4301" i="3"/>
  <c r="N4302" i="3"/>
  <c r="N4303" i="3"/>
  <c r="N4304" i="3"/>
  <c r="N4305" i="3"/>
  <c r="N4306" i="3"/>
  <c r="N4307" i="3"/>
  <c r="N4308" i="3"/>
  <c r="N4309" i="3"/>
  <c r="N4310" i="3"/>
  <c r="N4311" i="3"/>
  <c r="N4312" i="3"/>
  <c r="N4313" i="3"/>
  <c r="N4314" i="3"/>
  <c r="N4315" i="3"/>
  <c r="N4316" i="3"/>
  <c r="N4317" i="3"/>
  <c r="N4318" i="3"/>
  <c r="N4319" i="3"/>
  <c r="N4320" i="3"/>
  <c r="N4321" i="3"/>
  <c r="N4322" i="3"/>
  <c r="N4323" i="3"/>
  <c r="N4324" i="3"/>
  <c r="N4325" i="3"/>
  <c r="N4326" i="3"/>
  <c r="N4327" i="3"/>
  <c r="N4328" i="3"/>
  <c r="N4329" i="3"/>
  <c r="N4330" i="3"/>
  <c r="N4331" i="3"/>
  <c r="N4332" i="3"/>
  <c r="N4333" i="3"/>
  <c r="N4334" i="3"/>
  <c r="N4335" i="3"/>
  <c r="N4336" i="3"/>
  <c r="N4337" i="3"/>
  <c r="N4338" i="3"/>
  <c r="N4339" i="3"/>
  <c r="N4340" i="3"/>
  <c r="N4341" i="3"/>
  <c r="N4342" i="3"/>
  <c r="N4343" i="3"/>
  <c r="N4344" i="3"/>
  <c r="N4345" i="3"/>
  <c r="N4346" i="3"/>
  <c r="N4347" i="3"/>
  <c r="N4348" i="3"/>
  <c r="N4349" i="3"/>
  <c r="N4350" i="3"/>
  <c r="N4351" i="3"/>
  <c r="N4352" i="3"/>
  <c r="N4353" i="3"/>
  <c r="N4354" i="3"/>
  <c r="N4355" i="3"/>
  <c r="N4356" i="3"/>
  <c r="N4357" i="3"/>
  <c r="N4358" i="3"/>
  <c r="N4359" i="3"/>
  <c r="N4360" i="3"/>
  <c r="N4361" i="3"/>
  <c r="N4362" i="3"/>
  <c r="N4363" i="3"/>
  <c r="N4364" i="3"/>
  <c r="N4365" i="3"/>
  <c r="N4366" i="3"/>
  <c r="N4367" i="3"/>
  <c r="N4368" i="3"/>
  <c r="N4369" i="3"/>
  <c r="N4370" i="3"/>
  <c r="N4371" i="3"/>
  <c r="N4372" i="3"/>
  <c r="N4373" i="3"/>
  <c r="N4374" i="3"/>
  <c r="N4375" i="3"/>
  <c r="N4376" i="3"/>
  <c r="N4377" i="3"/>
  <c r="N4378" i="3"/>
  <c r="N4379" i="3"/>
  <c r="N4380" i="3"/>
  <c r="N4381" i="3"/>
  <c r="N4382" i="3"/>
  <c r="N4383" i="3"/>
  <c r="N4384" i="3"/>
  <c r="N4385" i="3"/>
  <c r="N4386" i="3"/>
  <c r="N4387" i="3"/>
  <c r="N4388" i="3"/>
  <c r="N4389" i="3"/>
  <c r="N4390" i="3"/>
  <c r="N4391" i="3"/>
  <c r="N4392" i="3"/>
  <c r="N4393" i="3"/>
  <c r="N4394" i="3"/>
  <c r="N4395" i="3"/>
  <c r="N4396" i="3"/>
  <c r="N4397" i="3"/>
  <c r="N4398" i="3"/>
  <c r="N4399" i="3"/>
  <c r="N4400" i="3"/>
  <c r="N4401" i="3"/>
  <c r="N4402" i="3"/>
  <c r="N4403" i="3"/>
  <c r="N4404" i="3"/>
  <c r="N4405" i="3"/>
  <c r="N4406" i="3"/>
  <c r="N4407" i="3"/>
  <c r="N4408" i="3"/>
  <c r="N4409" i="3"/>
  <c r="N4410" i="3"/>
  <c r="N4411" i="3"/>
  <c r="N4412" i="3"/>
  <c r="N4413" i="3"/>
  <c r="N4414" i="3"/>
  <c r="N4415" i="3"/>
  <c r="N4416" i="3"/>
  <c r="N4417" i="3"/>
  <c r="N4418" i="3"/>
  <c r="N4419" i="3"/>
  <c r="N4420" i="3"/>
  <c r="N4421" i="3"/>
  <c r="N4422" i="3"/>
  <c r="N4423" i="3"/>
  <c r="N4424" i="3"/>
  <c r="N4425" i="3"/>
  <c r="N4426" i="3"/>
  <c r="N4427" i="3"/>
  <c r="N4428" i="3"/>
  <c r="N4429" i="3"/>
  <c r="N4430" i="3"/>
  <c r="N4431" i="3"/>
  <c r="N4432" i="3"/>
  <c r="N4433" i="3"/>
  <c r="N4434" i="3"/>
  <c r="N4435" i="3"/>
  <c r="N4436" i="3"/>
  <c r="N4437" i="3"/>
  <c r="N4438" i="3"/>
  <c r="N4439" i="3"/>
  <c r="N4440" i="3"/>
  <c r="N4441" i="3"/>
  <c r="N4442" i="3"/>
  <c r="N4443" i="3"/>
  <c r="N4444" i="3"/>
  <c r="N4445" i="3"/>
  <c r="N4446" i="3"/>
  <c r="N4447" i="3"/>
  <c r="N4448" i="3"/>
  <c r="N4449" i="3"/>
  <c r="N4450" i="3"/>
  <c r="N4451" i="3"/>
  <c r="N4452" i="3"/>
  <c r="N4453" i="3"/>
  <c r="N4454" i="3"/>
  <c r="N4455" i="3"/>
  <c r="N4456" i="3"/>
  <c r="N4457" i="3"/>
  <c r="N4458" i="3"/>
  <c r="N4459" i="3"/>
  <c r="N4460" i="3"/>
  <c r="N4461" i="3"/>
  <c r="N4462" i="3"/>
  <c r="N4463" i="3"/>
  <c r="N4464" i="3"/>
  <c r="N4465" i="3"/>
  <c r="N4466" i="3"/>
  <c r="N4467" i="3"/>
  <c r="N4468" i="3"/>
  <c r="N4469" i="3"/>
  <c r="N4470" i="3"/>
  <c r="N4471" i="3"/>
  <c r="N4472" i="3"/>
  <c r="N4473" i="3"/>
  <c r="N4474" i="3"/>
  <c r="N4475" i="3"/>
  <c r="N4476" i="3"/>
  <c r="N4477" i="3"/>
  <c r="N4478" i="3"/>
  <c r="N4479" i="3"/>
  <c r="N4480" i="3"/>
  <c r="N4481" i="3"/>
  <c r="N4482" i="3"/>
  <c r="N4483" i="3"/>
  <c r="N4484" i="3"/>
  <c r="N4485" i="3"/>
  <c r="N4486" i="3"/>
  <c r="N4487" i="3"/>
  <c r="N4488" i="3"/>
  <c r="N4489" i="3"/>
  <c r="N4490" i="3"/>
  <c r="N4491" i="3"/>
  <c r="N4492" i="3"/>
  <c r="N4493" i="3"/>
  <c r="N4494" i="3"/>
  <c r="N4495" i="3"/>
  <c r="N4496" i="3"/>
  <c r="N4497" i="3"/>
  <c r="N4498" i="3"/>
  <c r="N4499" i="3"/>
  <c r="N4500" i="3"/>
  <c r="N4501" i="3"/>
  <c r="N4502" i="3"/>
  <c r="N4503" i="3"/>
  <c r="N4504" i="3"/>
  <c r="N4505" i="3"/>
  <c r="N4506" i="3"/>
  <c r="N4507" i="3"/>
  <c r="N4508" i="3"/>
  <c r="N4509" i="3"/>
  <c r="N4510" i="3"/>
  <c r="N4511" i="3"/>
  <c r="N4512" i="3"/>
  <c r="N4513" i="3"/>
  <c r="N4514" i="3"/>
  <c r="N4515" i="3"/>
  <c r="N4516" i="3"/>
  <c r="N4517" i="3"/>
  <c r="N4518" i="3"/>
  <c r="N4519" i="3"/>
  <c r="N4520" i="3"/>
  <c r="N4521" i="3"/>
  <c r="N4522" i="3"/>
  <c r="N4523" i="3"/>
  <c r="N4524" i="3"/>
  <c r="N4525" i="3"/>
  <c r="N4526" i="3"/>
  <c r="N4527" i="3"/>
  <c r="N4528" i="3"/>
  <c r="N4529" i="3"/>
  <c r="N4530" i="3"/>
  <c r="N4531" i="3"/>
  <c r="N4532" i="3"/>
  <c r="N4533" i="3"/>
  <c r="N4534" i="3"/>
  <c r="N4535" i="3"/>
  <c r="N4536" i="3"/>
  <c r="N4537" i="3"/>
  <c r="N4538" i="3"/>
  <c r="N4539" i="3"/>
  <c r="N4540" i="3"/>
  <c r="N4541" i="3"/>
  <c r="N4542" i="3"/>
  <c r="N4543" i="3"/>
  <c r="N4544" i="3"/>
  <c r="N4545" i="3"/>
  <c r="N4546" i="3"/>
  <c r="N4547" i="3"/>
  <c r="N4548" i="3"/>
  <c r="N4549" i="3"/>
  <c r="N4550" i="3"/>
  <c r="N4551" i="3"/>
  <c r="N4552" i="3"/>
  <c r="N4553" i="3"/>
  <c r="N4554" i="3"/>
  <c r="N4555" i="3"/>
  <c r="N4556" i="3"/>
  <c r="N4557" i="3"/>
  <c r="N4558" i="3"/>
  <c r="N4559" i="3"/>
  <c r="N4560" i="3"/>
  <c r="N4561" i="3"/>
  <c r="N4562" i="3"/>
  <c r="N4563" i="3"/>
  <c r="N4564" i="3"/>
  <c r="N4565" i="3"/>
  <c r="N4566" i="3"/>
  <c r="N4567" i="3"/>
  <c r="N4568" i="3"/>
  <c r="N4569" i="3"/>
  <c r="N4570" i="3"/>
  <c r="N4571" i="3"/>
  <c r="N4572" i="3"/>
  <c r="N4573" i="3"/>
  <c r="N4574" i="3"/>
  <c r="N4575" i="3"/>
  <c r="N4576" i="3"/>
  <c r="N4577" i="3"/>
  <c r="N4578" i="3"/>
  <c r="N4579" i="3"/>
  <c r="N4580" i="3"/>
  <c r="N4581" i="3"/>
  <c r="N4582" i="3"/>
  <c r="N4583" i="3"/>
  <c r="N4584" i="3"/>
  <c r="N4585" i="3"/>
  <c r="N4586" i="3"/>
  <c r="N4587" i="3"/>
  <c r="N4588" i="3"/>
  <c r="N4589" i="3"/>
  <c r="N4590" i="3"/>
  <c r="N4591" i="3"/>
  <c r="N4592" i="3"/>
  <c r="N4593" i="3"/>
  <c r="N4594" i="3"/>
  <c r="N4595" i="3"/>
  <c r="N4596" i="3"/>
  <c r="N4597" i="3"/>
  <c r="N4598" i="3"/>
  <c r="N4599" i="3"/>
  <c r="N4600" i="3"/>
  <c r="N4601" i="3"/>
  <c r="N4602" i="3"/>
  <c r="N4603" i="3"/>
  <c r="N4604" i="3"/>
  <c r="N4605" i="3"/>
  <c r="N4606" i="3"/>
  <c r="N4607" i="3"/>
  <c r="N4608" i="3"/>
  <c r="N4609" i="3"/>
  <c r="N4610" i="3"/>
  <c r="N4611" i="3"/>
  <c r="N4612" i="3"/>
  <c r="N4613" i="3"/>
  <c r="N4614" i="3"/>
  <c r="N4615" i="3"/>
  <c r="N4616" i="3"/>
  <c r="N4617" i="3"/>
  <c r="N4618" i="3"/>
  <c r="N4619" i="3"/>
  <c r="N4620" i="3"/>
  <c r="N4621" i="3"/>
  <c r="N4622" i="3"/>
  <c r="N4623" i="3"/>
  <c r="N4624" i="3"/>
  <c r="N4625" i="3"/>
  <c r="N4626" i="3"/>
  <c r="N4627" i="3"/>
  <c r="N4628" i="3"/>
  <c r="N4629" i="3"/>
  <c r="N4630" i="3"/>
  <c r="N4631" i="3"/>
  <c r="N4632" i="3"/>
  <c r="N4633" i="3"/>
  <c r="N4634" i="3"/>
  <c r="N4635" i="3"/>
  <c r="N4636" i="3"/>
  <c r="N4637" i="3"/>
  <c r="N4638" i="3"/>
  <c r="N4639" i="3"/>
  <c r="N4640" i="3"/>
  <c r="N4641" i="3"/>
  <c r="N4642" i="3"/>
  <c r="N4643" i="3"/>
  <c r="N4644" i="3"/>
  <c r="N4645" i="3"/>
  <c r="N4646" i="3"/>
  <c r="N4647" i="3"/>
  <c r="N4648" i="3"/>
  <c r="N4649" i="3"/>
  <c r="N4650" i="3"/>
  <c r="N4651" i="3"/>
  <c r="N4652" i="3"/>
  <c r="N4653" i="3"/>
  <c r="N4654" i="3"/>
  <c r="N4655" i="3"/>
  <c r="N3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1316" i="3"/>
  <c r="M1317" i="3"/>
  <c r="M1318" i="3"/>
  <c r="M1319" i="3"/>
  <c r="M1320" i="3"/>
  <c r="M1321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M1340" i="3"/>
  <c r="M1341" i="3"/>
  <c r="M1342" i="3"/>
  <c r="M1343" i="3"/>
  <c r="M1344" i="3"/>
  <c r="M1345" i="3"/>
  <c r="M1346" i="3"/>
  <c r="M1347" i="3"/>
  <c r="M1348" i="3"/>
  <c r="M1349" i="3"/>
  <c r="M1350" i="3"/>
  <c r="M1351" i="3"/>
  <c r="M1352" i="3"/>
  <c r="M1353" i="3"/>
  <c r="M1354" i="3"/>
  <c r="M1355" i="3"/>
  <c r="M1356" i="3"/>
  <c r="M1357" i="3"/>
  <c r="M1358" i="3"/>
  <c r="M1359" i="3"/>
  <c r="M1360" i="3"/>
  <c r="M1361" i="3"/>
  <c r="M1362" i="3"/>
  <c r="M1363" i="3"/>
  <c r="M1364" i="3"/>
  <c r="M1365" i="3"/>
  <c r="M1366" i="3"/>
  <c r="M1367" i="3"/>
  <c r="M1368" i="3"/>
  <c r="M1369" i="3"/>
  <c r="M1370" i="3"/>
  <c r="M1371" i="3"/>
  <c r="M1372" i="3"/>
  <c r="M1373" i="3"/>
  <c r="M1374" i="3"/>
  <c r="M1375" i="3"/>
  <c r="M1376" i="3"/>
  <c r="M1377" i="3"/>
  <c r="M1378" i="3"/>
  <c r="M1379" i="3"/>
  <c r="M1380" i="3"/>
  <c r="M1381" i="3"/>
  <c r="M1382" i="3"/>
  <c r="M1383" i="3"/>
  <c r="M1384" i="3"/>
  <c r="M1385" i="3"/>
  <c r="M1386" i="3"/>
  <c r="M1387" i="3"/>
  <c r="M1388" i="3"/>
  <c r="M1389" i="3"/>
  <c r="M1390" i="3"/>
  <c r="M1391" i="3"/>
  <c r="M1392" i="3"/>
  <c r="M1393" i="3"/>
  <c r="M1394" i="3"/>
  <c r="M1395" i="3"/>
  <c r="M1396" i="3"/>
  <c r="M1397" i="3"/>
  <c r="M1398" i="3"/>
  <c r="M1399" i="3"/>
  <c r="M1400" i="3"/>
  <c r="M1401" i="3"/>
  <c r="M1402" i="3"/>
  <c r="M1403" i="3"/>
  <c r="M1404" i="3"/>
  <c r="M1405" i="3"/>
  <c r="M1406" i="3"/>
  <c r="M1407" i="3"/>
  <c r="M1408" i="3"/>
  <c r="M1409" i="3"/>
  <c r="M1410" i="3"/>
  <c r="M1411" i="3"/>
  <c r="M1412" i="3"/>
  <c r="M1413" i="3"/>
  <c r="M1414" i="3"/>
  <c r="M1415" i="3"/>
  <c r="M1416" i="3"/>
  <c r="M1417" i="3"/>
  <c r="M1418" i="3"/>
  <c r="M1419" i="3"/>
  <c r="M1420" i="3"/>
  <c r="M1421" i="3"/>
  <c r="M1422" i="3"/>
  <c r="M1423" i="3"/>
  <c r="M1424" i="3"/>
  <c r="M1425" i="3"/>
  <c r="M1426" i="3"/>
  <c r="M1427" i="3"/>
  <c r="M1428" i="3"/>
  <c r="M1429" i="3"/>
  <c r="M1430" i="3"/>
  <c r="M1431" i="3"/>
  <c r="M1432" i="3"/>
  <c r="M1433" i="3"/>
  <c r="M1434" i="3"/>
  <c r="M1435" i="3"/>
  <c r="M1436" i="3"/>
  <c r="M1437" i="3"/>
  <c r="M1438" i="3"/>
  <c r="M1439" i="3"/>
  <c r="M1440" i="3"/>
  <c r="M1441" i="3"/>
  <c r="M1442" i="3"/>
  <c r="M1443" i="3"/>
  <c r="M1444" i="3"/>
  <c r="M1445" i="3"/>
  <c r="M1446" i="3"/>
  <c r="M1447" i="3"/>
  <c r="M1448" i="3"/>
  <c r="M1449" i="3"/>
  <c r="M1450" i="3"/>
  <c r="M1451" i="3"/>
  <c r="M1452" i="3"/>
  <c r="M1453" i="3"/>
  <c r="M1454" i="3"/>
  <c r="M1455" i="3"/>
  <c r="M1456" i="3"/>
  <c r="M1457" i="3"/>
  <c r="M1458" i="3"/>
  <c r="M1459" i="3"/>
  <c r="M1460" i="3"/>
  <c r="M1461" i="3"/>
  <c r="M1462" i="3"/>
  <c r="M1463" i="3"/>
  <c r="M1464" i="3"/>
  <c r="M1465" i="3"/>
  <c r="M1466" i="3"/>
  <c r="M1467" i="3"/>
  <c r="M1468" i="3"/>
  <c r="M1469" i="3"/>
  <c r="M1470" i="3"/>
  <c r="M1471" i="3"/>
  <c r="M1472" i="3"/>
  <c r="M1473" i="3"/>
  <c r="M1474" i="3"/>
  <c r="M1475" i="3"/>
  <c r="M1476" i="3"/>
  <c r="M1477" i="3"/>
  <c r="M1478" i="3"/>
  <c r="M1479" i="3"/>
  <c r="M1480" i="3"/>
  <c r="M1481" i="3"/>
  <c r="M1482" i="3"/>
  <c r="M1483" i="3"/>
  <c r="M1484" i="3"/>
  <c r="M1485" i="3"/>
  <c r="M1486" i="3"/>
  <c r="M1487" i="3"/>
  <c r="M1488" i="3"/>
  <c r="M1489" i="3"/>
  <c r="M1490" i="3"/>
  <c r="M1491" i="3"/>
  <c r="M1492" i="3"/>
  <c r="M1493" i="3"/>
  <c r="M1494" i="3"/>
  <c r="M1495" i="3"/>
  <c r="M1496" i="3"/>
  <c r="M1497" i="3"/>
  <c r="M1498" i="3"/>
  <c r="M1499" i="3"/>
  <c r="M1500" i="3"/>
  <c r="M1501" i="3"/>
  <c r="M1502" i="3"/>
  <c r="M1503" i="3"/>
  <c r="M1504" i="3"/>
  <c r="M1505" i="3"/>
  <c r="M1506" i="3"/>
  <c r="M1507" i="3"/>
  <c r="M1508" i="3"/>
  <c r="M1509" i="3"/>
  <c r="M1510" i="3"/>
  <c r="M1511" i="3"/>
  <c r="M1512" i="3"/>
  <c r="M1513" i="3"/>
  <c r="M1514" i="3"/>
  <c r="M1515" i="3"/>
  <c r="M1516" i="3"/>
  <c r="M1517" i="3"/>
  <c r="M1518" i="3"/>
  <c r="M1519" i="3"/>
  <c r="M1520" i="3"/>
  <c r="M1521" i="3"/>
  <c r="M1522" i="3"/>
  <c r="M1523" i="3"/>
  <c r="M1524" i="3"/>
  <c r="M1525" i="3"/>
  <c r="M1526" i="3"/>
  <c r="M1527" i="3"/>
  <c r="M1528" i="3"/>
  <c r="M1529" i="3"/>
  <c r="M1530" i="3"/>
  <c r="M1531" i="3"/>
  <c r="M1532" i="3"/>
  <c r="M1533" i="3"/>
  <c r="M1534" i="3"/>
  <c r="M1535" i="3"/>
  <c r="M1536" i="3"/>
  <c r="M1537" i="3"/>
  <c r="M1538" i="3"/>
  <c r="M1539" i="3"/>
  <c r="M1540" i="3"/>
  <c r="M1541" i="3"/>
  <c r="M1542" i="3"/>
  <c r="M1543" i="3"/>
  <c r="M1544" i="3"/>
  <c r="M1545" i="3"/>
  <c r="M1546" i="3"/>
  <c r="M1547" i="3"/>
  <c r="M1548" i="3"/>
  <c r="M1549" i="3"/>
  <c r="M1550" i="3"/>
  <c r="M1551" i="3"/>
  <c r="M1552" i="3"/>
  <c r="M1553" i="3"/>
  <c r="M1554" i="3"/>
  <c r="M1555" i="3"/>
  <c r="M1556" i="3"/>
  <c r="M1557" i="3"/>
  <c r="M1558" i="3"/>
  <c r="M1559" i="3"/>
  <c r="M1560" i="3"/>
  <c r="M1561" i="3"/>
  <c r="M1562" i="3"/>
  <c r="M1563" i="3"/>
  <c r="M1564" i="3"/>
  <c r="M1565" i="3"/>
  <c r="M1566" i="3"/>
  <c r="M1567" i="3"/>
  <c r="M1568" i="3"/>
  <c r="M1569" i="3"/>
  <c r="M1570" i="3"/>
  <c r="M1571" i="3"/>
  <c r="M1572" i="3"/>
  <c r="M1573" i="3"/>
  <c r="M1574" i="3"/>
  <c r="M1575" i="3"/>
  <c r="M1576" i="3"/>
  <c r="M1577" i="3"/>
  <c r="M1578" i="3"/>
  <c r="M1579" i="3"/>
  <c r="M1580" i="3"/>
  <c r="M1581" i="3"/>
  <c r="M1582" i="3"/>
  <c r="M1583" i="3"/>
  <c r="M1584" i="3"/>
  <c r="M1585" i="3"/>
  <c r="M1586" i="3"/>
  <c r="M1587" i="3"/>
  <c r="M1588" i="3"/>
  <c r="M1589" i="3"/>
  <c r="M1590" i="3"/>
  <c r="M1591" i="3"/>
  <c r="M1592" i="3"/>
  <c r="M1593" i="3"/>
  <c r="M1594" i="3"/>
  <c r="M1595" i="3"/>
  <c r="M1596" i="3"/>
  <c r="M1597" i="3"/>
  <c r="M1598" i="3"/>
  <c r="M1599" i="3"/>
  <c r="M1600" i="3"/>
  <c r="M1601" i="3"/>
  <c r="M1602" i="3"/>
  <c r="M1603" i="3"/>
  <c r="M1604" i="3"/>
  <c r="M1605" i="3"/>
  <c r="M1606" i="3"/>
  <c r="M1607" i="3"/>
  <c r="M1608" i="3"/>
  <c r="M1609" i="3"/>
  <c r="M1610" i="3"/>
  <c r="M1611" i="3"/>
  <c r="M1612" i="3"/>
  <c r="M1613" i="3"/>
  <c r="M1614" i="3"/>
  <c r="M1615" i="3"/>
  <c r="M1616" i="3"/>
  <c r="M1617" i="3"/>
  <c r="M1618" i="3"/>
  <c r="M1619" i="3"/>
  <c r="M1620" i="3"/>
  <c r="M1621" i="3"/>
  <c r="M1622" i="3"/>
  <c r="M1623" i="3"/>
  <c r="M1624" i="3"/>
  <c r="M1625" i="3"/>
  <c r="M1626" i="3"/>
  <c r="M1627" i="3"/>
  <c r="M1628" i="3"/>
  <c r="M1629" i="3"/>
  <c r="M1630" i="3"/>
  <c r="M1631" i="3"/>
  <c r="M1632" i="3"/>
  <c r="M1633" i="3"/>
  <c r="M1634" i="3"/>
  <c r="M1635" i="3"/>
  <c r="M1636" i="3"/>
  <c r="M1637" i="3"/>
  <c r="M1638" i="3"/>
  <c r="M1639" i="3"/>
  <c r="M1640" i="3"/>
  <c r="M1641" i="3"/>
  <c r="M1642" i="3"/>
  <c r="M1643" i="3"/>
  <c r="M1644" i="3"/>
  <c r="M1645" i="3"/>
  <c r="M1646" i="3"/>
  <c r="M1647" i="3"/>
  <c r="M1648" i="3"/>
  <c r="M1649" i="3"/>
  <c r="M1650" i="3"/>
  <c r="M1651" i="3"/>
  <c r="M1652" i="3"/>
  <c r="M1653" i="3"/>
  <c r="M1654" i="3"/>
  <c r="M1655" i="3"/>
  <c r="M1656" i="3"/>
  <c r="M1657" i="3"/>
  <c r="M1658" i="3"/>
  <c r="M1659" i="3"/>
  <c r="M1660" i="3"/>
  <c r="M1661" i="3"/>
  <c r="M1662" i="3"/>
  <c r="M1663" i="3"/>
  <c r="M1664" i="3"/>
  <c r="M1665" i="3"/>
  <c r="M1666" i="3"/>
  <c r="M1667" i="3"/>
  <c r="M1668" i="3"/>
  <c r="M1669" i="3"/>
  <c r="M1670" i="3"/>
  <c r="M1671" i="3"/>
  <c r="M1672" i="3"/>
  <c r="M1673" i="3"/>
  <c r="M1674" i="3"/>
  <c r="M1675" i="3"/>
  <c r="M1676" i="3"/>
  <c r="M1677" i="3"/>
  <c r="M1678" i="3"/>
  <c r="M1679" i="3"/>
  <c r="M1680" i="3"/>
  <c r="M1681" i="3"/>
  <c r="M1682" i="3"/>
  <c r="M1683" i="3"/>
  <c r="M1684" i="3"/>
  <c r="M1685" i="3"/>
  <c r="M1686" i="3"/>
  <c r="M1687" i="3"/>
  <c r="M1688" i="3"/>
  <c r="M1689" i="3"/>
  <c r="M1690" i="3"/>
  <c r="M1691" i="3"/>
  <c r="M1692" i="3"/>
  <c r="M1693" i="3"/>
  <c r="M1694" i="3"/>
  <c r="M1695" i="3"/>
  <c r="M1696" i="3"/>
  <c r="M1697" i="3"/>
  <c r="M1698" i="3"/>
  <c r="M1699" i="3"/>
  <c r="M1700" i="3"/>
  <c r="M1701" i="3"/>
  <c r="M1702" i="3"/>
  <c r="M1703" i="3"/>
  <c r="M1704" i="3"/>
  <c r="M1705" i="3"/>
  <c r="M1706" i="3"/>
  <c r="M1707" i="3"/>
  <c r="M1708" i="3"/>
  <c r="M1709" i="3"/>
  <c r="M1710" i="3"/>
  <c r="M1711" i="3"/>
  <c r="M1712" i="3"/>
  <c r="M1713" i="3"/>
  <c r="M1714" i="3"/>
  <c r="M1715" i="3"/>
  <c r="M1716" i="3"/>
  <c r="M1717" i="3"/>
  <c r="M1718" i="3"/>
  <c r="M1719" i="3"/>
  <c r="M1720" i="3"/>
  <c r="M1721" i="3"/>
  <c r="M1722" i="3"/>
  <c r="M1723" i="3"/>
  <c r="M1724" i="3"/>
  <c r="M1725" i="3"/>
  <c r="M1726" i="3"/>
  <c r="M1727" i="3"/>
  <c r="M1728" i="3"/>
  <c r="M1729" i="3"/>
  <c r="M1730" i="3"/>
  <c r="M1731" i="3"/>
  <c r="M1732" i="3"/>
  <c r="M1733" i="3"/>
  <c r="M1734" i="3"/>
  <c r="M1735" i="3"/>
  <c r="M1736" i="3"/>
  <c r="M1737" i="3"/>
  <c r="M1738" i="3"/>
  <c r="M1739" i="3"/>
  <c r="M1740" i="3"/>
  <c r="M1741" i="3"/>
  <c r="M1742" i="3"/>
  <c r="M1743" i="3"/>
  <c r="M1744" i="3"/>
  <c r="M1745" i="3"/>
  <c r="M1746" i="3"/>
  <c r="M1747" i="3"/>
  <c r="M1748" i="3"/>
  <c r="M1749" i="3"/>
  <c r="M1750" i="3"/>
  <c r="M1751" i="3"/>
  <c r="M1752" i="3"/>
  <c r="M1753" i="3"/>
  <c r="M1754" i="3"/>
  <c r="M1755" i="3"/>
  <c r="M1756" i="3"/>
  <c r="M1757" i="3"/>
  <c r="M1758" i="3"/>
  <c r="M1759" i="3"/>
  <c r="M1760" i="3"/>
  <c r="M1761" i="3"/>
  <c r="M1762" i="3"/>
  <c r="M1763" i="3"/>
  <c r="M1764" i="3"/>
  <c r="M1765" i="3"/>
  <c r="M1766" i="3"/>
  <c r="M1767" i="3"/>
  <c r="M1768" i="3"/>
  <c r="M1769" i="3"/>
  <c r="M1770" i="3"/>
  <c r="M1771" i="3"/>
  <c r="M1772" i="3"/>
  <c r="M1773" i="3"/>
  <c r="M1774" i="3"/>
  <c r="M1775" i="3"/>
  <c r="M1776" i="3"/>
  <c r="M1777" i="3"/>
  <c r="M1778" i="3"/>
  <c r="M1779" i="3"/>
  <c r="M1780" i="3"/>
  <c r="M1781" i="3"/>
  <c r="M1782" i="3"/>
  <c r="M1783" i="3"/>
  <c r="M1784" i="3"/>
  <c r="M1785" i="3"/>
  <c r="M1786" i="3"/>
  <c r="M1787" i="3"/>
  <c r="M1788" i="3"/>
  <c r="M1789" i="3"/>
  <c r="M1790" i="3"/>
  <c r="M1791" i="3"/>
  <c r="M1792" i="3"/>
  <c r="M1793" i="3"/>
  <c r="M1794" i="3"/>
  <c r="M1795" i="3"/>
  <c r="M1796" i="3"/>
  <c r="M1797" i="3"/>
  <c r="M1798" i="3"/>
  <c r="M1799" i="3"/>
  <c r="M1800" i="3"/>
  <c r="M1801" i="3"/>
  <c r="M1802" i="3"/>
  <c r="M1803" i="3"/>
  <c r="M1804" i="3"/>
  <c r="M1805" i="3"/>
  <c r="M1806" i="3"/>
  <c r="M1807" i="3"/>
  <c r="M1808" i="3"/>
  <c r="M1809" i="3"/>
  <c r="M1810" i="3"/>
  <c r="M1811" i="3"/>
  <c r="M1812" i="3"/>
  <c r="M1813" i="3"/>
  <c r="M1814" i="3"/>
  <c r="M1815" i="3"/>
  <c r="M1816" i="3"/>
  <c r="M1817" i="3"/>
  <c r="M1818" i="3"/>
  <c r="M1819" i="3"/>
  <c r="M1820" i="3"/>
  <c r="M1821" i="3"/>
  <c r="M1822" i="3"/>
  <c r="M1823" i="3"/>
  <c r="M1824" i="3"/>
  <c r="M1825" i="3"/>
  <c r="M1826" i="3"/>
  <c r="M1827" i="3"/>
  <c r="M1828" i="3"/>
  <c r="M1829" i="3"/>
  <c r="M1830" i="3"/>
  <c r="M1831" i="3"/>
  <c r="M1832" i="3"/>
  <c r="M1833" i="3"/>
  <c r="M1834" i="3"/>
  <c r="M1835" i="3"/>
  <c r="M1836" i="3"/>
  <c r="M1837" i="3"/>
  <c r="M1838" i="3"/>
  <c r="M1839" i="3"/>
  <c r="M1840" i="3"/>
  <c r="M1841" i="3"/>
  <c r="M1842" i="3"/>
  <c r="M1843" i="3"/>
  <c r="M1844" i="3"/>
  <c r="M1845" i="3"/>
  <c r="M1846" i="3"/>
  <c r="M1847" i="3"/>
  <c r="M1848" i="3"/>
  <c r="M1849" i="3"/>
  <c r="M1850" i="3"/>
  <c r="M1851" i="3"/>
  <c r="M1852" i="3"/>
  <c r="M1853" i="3"/>
  <c r="M1854" i="3"/>
  <c r="M1855" i="3"/>
  <c r="M1856" i="3"/>
  <c r="M1857" i="3"/>
  <c r="M1858" i="3"/>
  <c r="M1859" i="3"/>
  <c r="M1860" i="3"/>
  <c r="M1861" i="3"/>
  <c r="M1862" i="3"/>
  <c r="M1863" i="3"/>
  <c r="M1864" i="3"/>
  <c r="M1865" i="3"/>
  <c r="M1866" i="3"/>
  <c r="M1867" i="3"/>
  <c r="M1868" i="3"/>
  <c r="M1869" i="3"/>
  <c r="M1870" i="3"/>
  <c r="M1871" i="3"/>
  <c r="M1872" i="3"/>
  <c r="M1873" i="3"/>
  <c r="M1874" i="3"/>
  <c r="M1875" i="3"/>
  <c r="M1876" i="3"/>
  <c r="M1877" i="3"/>
  <c r="M1878" i="3"/>
  <c r="M1879" i="3"/>
  <c r="M1880" i="3"/>
  <c r="M1881" i="3"/>
  <c r="M1882" i="3"/>
  <c r="M1883" i="3"/>
  <c r="M1884" i="3"/>
  <c r="M1885" i="3"/>
  <c r="M1886" i="3"/>
  <c r="M1887" i="3"/>
  <c r="M1888" i="3"/>
  <c r="M1889" i="3"/>
  <c r="M1890" i="3"/>
  <c r="M1891" i="3"/>
  <c r="M1892" i="3"/>
  <c r="M1893" i="3"/>
  <c r="M1894" i="3"/>
  <c r="M1895" i="3"/>
  <c r="M1896" i="3"/>
  <c r="M1897" i="3"/>
  <c r="M1898" i="3"/>
  <c r="M1899" i="3"/>
  <c r="M1900" i="3"/>
  <c r="M1901" i="3"/>
  <c r="M1902" i="3"/>
  <c r="M1903" i="3"/>
  <c r="M1904" i="3"/>
  <c r="M1905" i="3"/>
  <c r="M1906" i="3"/>
  <c r="M1907" i="3"/>
  <c r="M1908" i="3"/>
  <c r="M1909" i="3"/>
  <c r="M1910" i="3"/>
  <c r="M1911" i="3"/>
  <c r="M1912" i="3"/>
  <c r="M1913" i="3"/>
  <c r="M1914" i="3"/>
  <c r="M1915" i="3"/>
  <c r="M1916" i="3"/>
  <c r="M1917" i="3"/>
  <c r="M1918" i="3"/>
  <c r="M1919" i="3"/>
  <c r="M1920" i="3"/>
  <c r="M1921" i="3"/>
  <c r="M1922" i="3"/>
  <c r="M1923" i="3"/>
  <c r="M1924" i="3"/>
  <c r="M1925" i="3"/>
  <c r="M1926" i="3"/>
  <c r="M1927" i="3"/>
  <c r="M1928" i="3"/>
  <c r="M1929" i="3"/>
  <c r="M1930" i="3"/>
  <c r="M1931" i="3"/>
  <c r="M1932" i="3"/>
  <c r="M1933" i="3"/>
  <c r="M1934" i="3"/>
  <c r="M1935" i="3"/>
  <c r="M1936" i="3"/>
  <c r="M1937" i="3"/>
  <c r="M1938" i="3"/>
  <c r="M1939" i="3"/>
  <c r="M1940" i="3"/>
  <c r="M1941" i="3"/>
  <c r="M1942" i="3"/>
  <c r="M1943" i="3"/>
  <c r="M1944" i="3"/>
  <c r="M1945" i="3"/>
  <c r="M1946" i="3"/>
  <c r="M1947" i="3"/>
  <c r="M1948" i="3"/>
  <c r="M1949" i="3"/>
  <c r="M1950" i="3"/>
  <c r="M1951" i="3"/>
  <c r="M1952" i="3"/>
  <c r="M1953" i="3"/>
  <c r="M1954" i="3"/>
  <c r="M1955" i="3"/>
  <c r="M1956" i="3"/>
  <c r="M1957" i="3"/>
  <c r="M1958" i="3"/>
  <c r="M1959" i="3"/>
  <c r="M1960" i="3"/>
  <c r="M1961" i="3"/>
  <c r="M1962" i="3"/>
  <c r="M1963" i="3"/>
  <c r="M1964" i="3"/>
  <c r="M1965" i="3"/>
  <c r="M1966" i="3"/>
  <c r="M1967" i="3"/>
  <c r="M1968" i="3"/>
  <c r="M1969" i="3"/>
  <c r="M1970" i="3"/>
  <c r="M1971" i="3"/>
  <c r="M1972" i="3"/>
  <c r="M1973" i="3"/>
  <c r="M1974" i="3"/>
  <c r="M1975" i="3"/>
  <c r="M1976" i="3"/>
  <c r="M1977" i="3"/>
  <c r="M1978" i="3"/>
  <c r="M1979" i="3"/>
  <c r="M1980" i="3"/>
  <c r="M1981" i="3"/>
  <c r="M1982" i="3"/>
  <c r="M1983" i="3"/>
  <c r="M1984" i="3"/>
  <c r="M1985" i="3"/>
  <c r="M1986" i="3"/>
  <c r="M1987" i="3"/>
  <c r="M1988" i="3"/>
  <c r="M1989" i="3"/>
  <c r="M1990" i="3"/>
  <c r="M1991" i="3"/>
  <c r="M1992" i="3"/>
  <c r="M1993" i="3"/>
  <c r="M1994" i="3"/>
  <c r="M1995" i="3"/>
  <c r="M1996" i="3"/>
  <c r="M1997" i="3"/>
  <c r="M1998" i="3"/>
  <c r="M1999" i="3"/>
  <c r="M2000" i="3"/>
  <c r="M2001" i="3"/>
  <c r="M2002" i="3"/>
  <c r="M2003" i="3"/>
  <c r="M2004" i="3"/>
  <c r="M2005" i="3"/>
  <c r="M2006" i="3"/>
  <c r="M2007" i="3"/>
  <c r="M2008" i="3"/>
  <c r="M2009" i="3"/>
  <c r="M2010" i="3"/>
  <c r="M2011" i="3"/>
  <c r="M2012" i="3"/>
  <c r="M2013" i="3"/>
  <c r="M2014" i="3"/>
  <c r="M2015" i="3"/>
  <c r="M2016" i="3"/>
  <c r="M2017" i="3"/>
  <c r="M2018" i="3"/>
  <c r="M2019" i="3"/>
  <c r="M2020" i="3"/>
  <c r="M2021" i="3"/>
  <c r="M2022" i="3"/>
  <c r="M2023" i="3"/>
  <c r="M2024" i="3"/>
  <c r="M2025" i="3"/>
  <c r="M2026" i="3"/>
  <c r="M2027" i="3"/>
  <c r="M2028" i="3"/>
  <c r="M2029" i="3"/>
  <c r="M2030" i="3"/>
  <c r="M2031" i="3"/>
  <c r="M2032" i="3"/>
  <c r="M2033" i="3"/>
  <c r="M2034" i="3"/>
  <c r="M2035" i="3"/>
  <c r="M2036" i="3"/>
  <c r="M2037" i="3"/>
  <c r="M2038" i="3"/>
  <c r="M2039" i="3"/>
  <c r="M2040" i="3"/>
  <c r="M2041" i="3"/>
  <c r="M2042" i="3"/>
  <c r="M2043" i="3"/>
  <c r="M2044" i="3"/>
  <c r="M2045" i="3"/>
  <c r="M2046" i="3"/>
  <c r="M2047" i="3"/>
  <c r="M2048" i="3"/>
  <c r="M2049" i="3"/>
  <c r="M2050" i="3"/>
  <c r="M2051" i="3"/>
  <c r="M2052" i="3"/>
  <c r="M2053" i="3"/>
  <c r="M2054" i="3"/>
  <c r="M2055" i="3"/>
  <c r="M2056" i="3"/>
  <c r="M2057" i="3"/>
  <c r="M2058" i="3"/>
  <c r="M2059" i="3"/>
  <c r="M2060" i="3"/>
  <c r="M2061" i="3"/>
  <c r="M2062" i="3"/>
  <c r="M2063" i="3"/>
  <c r="M2064" i="3"/>
  <c r="M2065" i="3"/>
  <c r="M2066" i="3"/>
  <c r="M2067" i="3"/>
  <c r="M2068" i="3"/>
  <c r="M2069" i="3"/>
  <c r="M2070" i="3"/>
  <c r="M2071" i="3"/>
  <c r="M2072" i="3"/>
  <c r="M2073" i="3"/>
  <c r="M2074" i="3"/>
  <c r="M2075" i="3"/>
  <c r="M2076" i="3"/>
  <c r="M2077" i="3"/>
  <c r="M2078" i="3"/>
  <c r="M2079" i="3"/>
  <c r="M2080" i="3"/>
  <c r="M2081" i="3"/>
  <c r="M2082" i="3"/>
  <c r="M2083" i="3"/>
  <c r="M2084" i="3"/>
  <c r="M2085" i="3"/>
  <c r="M2086" i="3"/>
  <c r="M2087" i="3"/>
  <c r="M2088" i="3"/>
  <c r="M2089" i="3"/>
  <c r="M2090" i="3"/>
  <c r="M2091" i="3"/>
  <c r="M2092" i="3"/>
  <c r="M2093" i="3"/>
  <c r="M2094" i="3"/>
  <c r="M2095" i="3"/>
  <c r="M2096" i="3"/>
  <c r="M2097" i="3"/>
  <c r="M2098" i="3"/>
  <c r="M2099" i="3"/>
  <c r="M2100" i="3"/>
  <c r="M2101" i="3"/>
  <c r="M2102" i="3"/>
  <c r="M2103" i="3"/>
  <c r="M2104" i="3"/>
  <c r="M2105" i="3"/>
  <c r="M2106" i="3"/>
  <c r="M2107" i="3"/>
  <c r="M2108" i="3"/>
  <c r="M2109" i="3"/>
  <c r="M2110" i="3"/>
  <c r="M2111" i="3"/>
  <c r="M2112" i="3"/>
  <c r="M2113" i="3"/>
  <c r="M2114" i="3"/>
  <c r="M2115" i="3"/>
  <c r="M2116" i="3"/>
  <c r="M2117" i="3"/>
  <c r="M2118" i="3"/>
  <c r="M2119" i="3"/>
  <c r="M2120" i="3"/>
  <c r="M2121" i="3"/>
  <c r="M2122" i="3"/>
  <c r="M2123" i="3"/>
  <c r="M2124" i="3"/>
  <c r="M2125" i="3"/>
  <c r="M2126" i="3"/>
  <c r="M2127" i="3"/>
  <c r="M2128" i="3"/>
  <c r="M2129" i="3"/>
  <c r="M2130" i="3"/>
  <c r="M2131" i="3"/>
  <c r="M2132" i="3"/>
  <c r="M2133" i="3"/>
  <c r="M2134" i="3"/>
  <c r="M2135" i="3"/>
  <c r="M2136" i="3"/>
  <c r="M2137" i="3"/>
  <c r="M2138" i="3"/>
  <c r="M2139" i="3"/>
  <c r="M2140" i="3"/>
  <c r="M2141" i="3"/>
  <c r="M2142" i="3"/>
  <c r="M2143" i="3"/>
  <c r="M2144" i="3"/>
  <c r="M2145" i="3"/>
  <c r="M2146" i="3"/>
  <c r="M2147" i="3"/>
  <c r="M2148" i="3"/>
  <c r="M2149" i="3"/>
  <c r="M2150" i="3"/>
  <c r="M2151" i="3"/>
  <c r="M2152" i="3"/>
  <c r="M2153" i="3"/>
  <c r="M2154" i="3"/>
  <c r="M2155" i="3"/>
  <c r="M2156" i="3"/>
  <c r="M2157" i="3"/>
  <c r="M2158" i="3"/>
  <c r="M2159" i="3"/>
  <c r="M2160" i="3"/>
  <c r="M2161" i="3"/>
  <c r="M2162" i="3"/>
  <c r="M2163" i="3"/>
  <c r="M2164" i="3"/>
  <c r="M2165" i="3"/>
  <c r="M2166" i="3"/>
  <c r="M2167" i="3"/>
  <c r="M2168" i="3"/>
  <c r="M2169" i="3"/>
  <c r="M2170" i="3"/>
  <c r="M2171" i="3"/>
  <c r="M2172" i="3"/>
  <c r="M2173" i="3"/>
  <c r="M2174" i="3"/>
  <c r="M2175" i="3"/>
  <c r="M2176" i="3"/>
  <c r="M2177" i="3"/>
  <c r="M2178" i="3"/>
  <c r="M2179" i="3"/>
  <c r="M2180" i="3"/>
  <c r="M2181" i="3"/>
  <c r="M2182" i="3"/>
  <c r="M2183" i="3"/>
  <c r="M2184" i="3"/>
  <c r="M2185" i="3"/>
  <c r="M2186" i="3"/>
  <c r="M2187" i="3"/>
  <c r="M2188" i="3"/>
  <c r="M2189" i="3"/>
  <c r="M2190" i="3"/>
  <c r="M2191" i="3"/>
  <c r="M2192" i="3"/>
  <c r="M2193" i="3"/>
  <c r="M2194" i="3"/>
  <c r="M2195" i="3"/>
  <c r="M2196" i="3"/>
  <c r="M2197" i="3"/>
  <c r="M2198" i="3"/>
  <c r="M2199" i="3"/>
  <c r="M2200" i="3"/>
  <c r="M2201" i="3"/>
  <c r="M2202" i="3"/>
  <c r="M2203" i="3"/>
  <c r="M2204" i="3"/>
  <c r="M2205" i="3"/>
  <c r="M2206" i="3"/>
  <c r="M2207" i="3"/>
  <c r="M2208" i="3"/>
  <c r="M2209" i="3"/>
  <c r="M2210" i="3"/>
  <c r="M2211" i="3"/>
  <c r="M2212" i="3"/>
  <c r="M2213" i="3"/>
  <c r="M2214" i="3"/>
  <c r="M2215" i="3"/>
  <c r="M2216" i="3"/>
  <c r="M2217" i="3"/>
  <c r="M2218" i="3"/>
  <c r="M2219" i="3"/>
  <c r="M2220" i="3"/>
  <c r="M2221" i="3"/>
  <c r="M2222" i="3"/>
  <c r="M2223" i="3"/>
  <c r="M2224" i="3"/>
  <c r="M2225" i="3"/>
  <c r="M2226" i="3"/>
  <c r="M2227" i="3"/>
  <c r="M2228" i="3"/>
  <c r="M2229" i="3"/>
  <c r="M2230" i="3"/>
  <c r="M2231" i="3"/>
  <c r="M2232" i="3"/>
  <c r="M2233" i="3"/>
  <c r="M2234" i="3"/>
  <c r="M2235" i="3"/>
  <c r="M2236" i="3"/>
  <c r="M2237" i="3"/>
  <c r="M2238" i="3"/>
  <c r="M2239" i="3"/>
  <c r="M2240" i="3"/>
  <c r="M2241" i="3"/>
  <c r="M2242" i="3"/>
  <c r="M2243" i="3"/>
  <c r="M2244" i="3"/>
  <c r="M2245" i="3"/>
  <c r="M2246" i="3"/>
  <c r="M2247" i="3"/>
  <c r="M2248" i="3"/>
  <c r="M2249" i="3"/>
  <c r="M2250" i="3"/>
  <c r="M2251" i="3"/>
  <c r="M2252" i="3"/>
  <c r="M2253" i="3"/>
  <c r="M2254" i="3"/>
  <c r="M2255" i="3"/>
  <c r="M2256" i="3"/>
  <c r="M2257" i="3"/>
  <c r="M2258" i="3"/>
  <c r="M2259" i="3"/>
  <c r="M2260" i="3"/>
  <c r="M2261" i="3"/>
  <c r="M2262" i="3"/>
  <c r="M2263" i="3"/>
  <c r="M2264" i="3"/>
  <c r="M2265" i="3"/>
  <c r="M2266" i="3"/>
  <c r="M2267" i="3"/>
  <c r="M2268" i="3"/>
  <c r="M2269" i="3"/>
  <c r="M2270" i="3"/>
  <c r="M2271" i="3"/>
  <c r="M2272" i="3"/>
  <c r="M2273" i="3"/>
  <c r="M2274" i="3"/>
  <c r="M2275" i="3"/>
  <c r="M2276" i="3"/>
  <c r="M2277" i="3"/>
  <c r="M2278" i="3"/>
  <c r="M2279" i="3"/>
  <c r="M2280" i="3"/>
  <c r="M2281" i="3"/>
  <c r="M2282" i="3"/>
  <c r="M2283" i="3"/>
  <c r="M2284" i="3"/>
  <c r="M2285" i="3"/>
  <c r="M2286" i="3"/>
  <c r="M2287" i="3"/>
  <c r="M2288" i="3"/>
  <c r="M2289" i="3"/>
  <c r="M2290" i="3"/>
  <c r="M2291" i="3"/>
  <c r="M2292" i="3"/>
  <c r="M2293" i="3"/>
  <c r="M2294" i="3"/>
  <c r="M2295" i="3"/>
  <c r="M2296" i="3"/>
  <c r="M2297" i="3"/>
  <c r="M2298" i="3"/>
  <c r="M2299" i="3"/>
  <c r="M2300" i="3"/>
  <c r="M2301" i="3"/>
  <c r="M2302" i="3"/>
  <c r="M2303" i="3"/>
  <c r="M2304" i="3"/>
  <c r="M2305" i="3"/>
  <c r="M2306" i="3"/>
  <c r="M2307" i="3"/>
  <c r="M2308" i="3"/>
  <c r="M2309" i="3"/>
  <c r="M2310" i="3"/>
  <c r="M2311" i="3"/>
  <c r="M2312" i="3"/>
  <c r="M2313" i="3"/>
  <c r="M2314" i="3"/>
  <c r="M2315" i="3"/>
  <c r="M2316" i="3"/>
  <c r="M2317" i="3"/>
  <c r="M2318" i="3"/>
  <c r="M2319" i="3"/>
  <c r="M2320" i="3"/>
  <c r="M2321" i="3"/>
  <c r="M2322" i="3"/>
  <c r="M2323" i="3"/>
  <c r="M2324" i="3"/>
  <c r="M2325" i="3"/>
  <c r="M2326" i="3"/>
  <c r="M2327" i="3"/>
  <c r="M2328" i="3"/>
  <c r="M2329" i="3"/>
  <c r="M2330" i="3"/>
  <c r="M2331" i="3"/>
  <c r="M2332" i="3"/>
  <c r="M2333" i="3"/>
  <c r="M2334" i="3"/>
  <c r="M2335" i="3"/>
  <c r="M2336" i="3"/>
  <c r="M2337" i="3"/>
  <c r="M2338" i="3"/>
  <c r="M2339" i="3"/>
  <c r="M2340" i="3"/>
  <c r="M2341" i="3"/>
  <c r="M2342" i="3"/>
  <c r="M2343" i="3"/>
  <c r="M2344" i="3"/>
  <c r="M2345" i="3"/>
  <c r="M2346" i="3"/>
  <c r="M2347" i="3"/>
  <c r="M2348" i="3"/>
  <c r="M2349" i="3"/>
  <c r="M2350" i="3"/>
  <c r="M2351" i="3"/>
  <c r="M2352" i="3"/>
  <c r="M2353" i="3"/>
  <c r="M2354" i="3"/>
  <c r="M2355" i="3"/>
  <c r="M2356" i="3"/>
  <c r="M2357" i="3"/>
  <c r="M2358" i="3"/>
  <c r="M2359" i="3"/>
  <c r="M2360" i="3"/>
  <c r="M2361" i="3"/>
  <c r="M2362" i="3"/>
  <c r="M2363" i="3"/>
  <c r="M2364" i="3"/>
  <c r="M2365" i="3"/>
  <c r="M2366" i="3"/>
  <c r="M2367" i="3"/>
  <c r="M2368" i="3"/>
  <c r="M2369" i="3"/>
  <c r="M2370" i="3"/>
  <c r="M2371" i="3"/>
  <c r="M2372" i="3"/>
  <c r="M2373" i="3"/>
  <c r="M2374" i="3"/>
  <c r="M2375" i="3"/>
  <c r="M2376" i="3"/>
  <c r="M2377" i="3"/>
  <c r="M2378" i="3"/>
  <c r="M2379" i="3"/>
  <c r="M2380" i="3"/>
  <c r="M2381" i="3"/>
  <c r="M2382" i="3"/>
  <c r="M2383" i="3"/>
  <c r="M2384" i="3"/>
  <c r="M2385" i="3"/>
  <c r="M2386" i="3"/>
  <c r="M2387" i="3"/>
  <c r="M2388" i="3"/>
  <c r="M2389" i="3"/>
  <c r="M2390" i="3"/>
  <c r="M2391" i="3"/>
  <c r="M2392" i="3"/>
  <c r="M2393" i="3"/>
  <c r="M2394" i="3"/>
  <c r="M2395" i="3"/>
  <c r="M2396" i="3"/>
  <c r="M2397" i="3"/>
  <c r="M2398" i="3"/>
  <c r="M2399" i="3"/>
  <c r="M2400" i="3"/>
  <c r="M2401" i="3"/>
  <c r="M2402" i="3"/>
  <c r="M2403" i="3"/>
  <c r="M2404" i="3"/>
  <c r="M2405" i="3"/>
  <c r="M2406" i="3"/>
  <c r="M2407" i="3"/>
  <c r="M2408" i="3"/>
  <c r="M2409" i="3"/>
  <c r="M2410" i="3"/>
  <c r="M2411" i="3"/>
  <c r="M2412" i="3"/>
  <c r="M2413" i="3"/>
  <c r="M2414" i="3"/>
  <c r="M2415" i="3"/>
  <c r="M2416" i="3"/>
  <c r="M2417" i="3"/>
  <c r="M2418" i="3"/>
  <c r="M2419" i="3"/>
  <c r="M2420" i="3"/>
  <c r="M2421" i="3"/>
  <c r="M2422" i="3"/>
  <c r="M2423" i="3"/>
  <c r="M2424" i="3"/>
  <c r="M2425" i="3"/>
  <c r="M2426" i="3"/>
  <c r="M2427" i="3"/>
  <c r="M2428" i="3"/>
  <c r="M2429" i="3"/>
  <c r="M2430" i="3"/>
  <c r="M2431" i="3"/>
  <c r="M2432" i="3"/>
  <c r="M2433" i="3"/>
  <c r="M2434" i="3"/>
  <c r="M2435" i="3"/>
  <c r="M2436" i="3"/>
  <c r="M2437" i="3"/>
  <c r="M2438" i="3"/>
  <c r="M2439" i="3"/>
  <c r="M2440" i="3"/>
  <c r="M2441" i="3"/>
  <c r="M2442" i="3"/>
  <c r="M2443" i="3"/>
  <c r="M2444" i="3"/>
  <c r="M2445" i="3"/>
  <c r="M2446" i="3"/>
  <c r="M2447" i="3"/>
  <c r="M2448" i="3"/>
  <c r="M2449" i="3"/>
  <c r="M2450" i="3"/>
  <c r="M2451" i="3"/>
  <c r="M2452" i="3"/>
  <c r="M2453" i="3"/>
  <c r="M2454" i="3"/>
  <c r="M2455" i="3"/>
  <c r="M2456" i="3"/>
  <c r="M2457" i="3"/>
  <c r="M2458" i="3"/>
  <c r="M2459" i="3"/>
  <c r="M2460" i="3"/>
  <c r="M2461" i="3"/>
  <c r="M2462" i="3"/>
  <c r="M2463" i="3"/>
  <c r="M2464" i="3"/>
  <c r="M2465" i="3"/>
  <c r="M2466" i="3"/>
  <c r="M2467" i="3"/>
  <c r="M2468" i="3"/>
  <c r="M2469" i="3"/>
  <c r="M2470" i="3"/>
  <c r="M2471" i="3"/>
  <c r="M2472" i="3"/>
  <c r="M2473" i="3"/>
  <c r="M2474" i="3"/>
  <c r="M2475" i="3"/>
  <c r="M2476" i="3"/>
  <c r="M2477" i="3"/>
  <c r="M2478" i="3"/>
  <c r="M2479" i="3"/>
  <c r="M2480" i="3"/>
  <c r="M2481" i="3"/>
  <c r="M2482" i="3"/>
  <c r="M2483" i="3"/>
  <c r="M2484" i="3"/>
  <c r="M2485" i="3"/>
  <c r="M2486" i="3"/>
  <c r="M2487" i="3"/>
  <c r="M2488" i="3"/>
  <c r="M2489" i="3"/>
  <c r="M2490" i="3"/>
  <c r="M2491" i="3"/>
  <c r="M2492" i="3"/>
  <c r="M2493" i="3"/>
  <c r="M2494" i="3"/>
  <c r="M2495" i="3"/>
  <c r="M2496" i="3"/>
  <c r="M2497" i="3"/>
  <c r="M2498" i="3"/>
  <c r="M2499" i="3"/>
  <c r="M2500" i="3"/>
  <c r="M2501" i="3"/>
  <c r="M2502" i="3"/>
  <c r="M2503" i="3"/>
  <c r="M2504" i="3"/>
  <c r="M2505" i="3"/>
  <c r="M2506" i="3"/>
  <c r="M2507" i="3"/>
  <c r="M2508" i="3"/>
  <c r="M2509" i="3"/>
  <c r="M2510" i="3"/>
  <c r="M2511" i="3"/>
  <c r="M2512" i="3"/>
  <c r="M2513" i="3"/>
  <c r="M2514" i="3"/>
  <c r="M2515" i="3"/>
  <c r="M2516" i="3"/>
  <c r="M2517" i="3"/>
  <c r="M2518" i="3"/>
  <c r="M2519" i="3"/>
  <c r="M2520" i="3"/>
  <c r="M2521" i="3"/>
  <c r="M2522" i="3"/>
  <c r="M2523" i="3"/>
  <c r="M2524" i="3"/>
  <c r="M2525" i="3"/>
  <c r="M2526" i="3"/>
  <c r="M2527" i="3"/>
  <c r="M2528" i="3"/>
  <c r="M2529" i="3"/>
  <c r="M2530" i="3"/>
  <c r="M2531" i="3"/>
  <c r="M2532" i="3"/>
  <c r="M2533" i="3"/>
  <c r="M2534" i="3"/>
  <c r="M2535" i="3"/>
  <c r="M2536" i="3"/>
  <c r="M2537" i="3"/>
  <c r="M2538" i="3"/>
  <c r="M2539" i="3"/>
  <c r="M2540" i="3"/>
  <c r="M2541" i="3"/>
  <c r="M2542" i="3"/>
  <c r="M2543" i="3"/>
  <c r="M2544" i="3"/>
  <c r="M2545" i="3"/>
  <c r="M2546" i="3"/>
  <c r="M2547" i="3"/>
  <c r="M2548" i="3"/>
  <c r="M2549" i="3"/>
  <c r="M2550" i="3"/>
  <c r="M2551" i="3"/>
  <c r="M2552" i="3"/>
  <c r="M2553" i="3"/>
  <c r="M2554" i="3"/>
  <c r="M2555" i="3"/>
  <c r="M2556" i="3"/>
  <c r="M2557" i="3"/>
  <c r="M2558" i="3"/>
  <c r="M2559" i="3"/>
  <c r="M2560" i="3"/>
  <c r="M2561" i="3"/>
  <c r="M2562" i="3"/>
  <c r="M2563" i="3"/>
  <c r="M2564" i="3"/>
  <c r="M2565" i="3"/>
  <c r="M2566" i="3"/>
  <c r="M2567" i="3"/>
  <c r="M2568" i="3"/>
  <c r="M2569" i="3"/>
  <c r="M2570" i="3"/>
  <c r="M2571" i="3"/>
  <c r="M2572" i="3"/>
  <c r="M2573" i="3"/>
  <c r="M2574" i="3"/>
  <c r="M2575" i="3"/>
  <c r="M2576" i="3"/>
  <c r="M2577" i="3"/>
  <c r="M2578" i="3"/>
  <c r="M2579" i="3"/>
  <c r="M2580" i="3"/>
  <c r="M2581" i="3"/>
  <c r="M2582" i="3"/>
  <c r="M2583" i="3"/>
  <c r="M2584" i="3"/>
  <c r="M2585" i="3"/>
  <c r="M2586" i="3"/>
  <c r="M2587" i="3"/>
  <c r="M2588" i="3"/>
  <c r="M2589" i="3"/>
  <c r="M2590" i="3"/>
  <c r="M2591" i="3"/>
  <c r="M2592" i="3"/>
  <c r="M2593" i="3"/>
  <c r="M2594" i="3"/>
  <c r="M2595" i="3"/>
  <c r="M2596" i="3"/>
  <c r="M2597" i="3"/>
  <c r="M2598" i="3"/>
  <c r="M2599" i="3"/>
  <c r="M2600" i="3"/>
  <c r="M2601" i="3"/>
  <c r="M2602" i="3"/>
  <c r="M2603" i="3"/>
  <c r="M2604" i="3"/>
  <c r="M2605" i="3"/>
  <c r="M2606" i="3"/>
  <c r="M2607" i="3"/>
  <c r="M2608" i="3"/>
  <c r="M2609" i="3"/>
  <c r="M2610" i="3"/>
  <c r="M2611" i="3"/>
  <c r="M2612" i="3"/>
  <c r="M2613" i="3"/>
  <c r="M2614" i="3"/>
  <c r="M2615" i="3"/>
  <c r="M2616" i="3"/>
  <c r="M2617" i="3"/>
  <c r="M2618" i="3"/>
  <c r="M2619" i="3"/>
  <c r="M2620" i="3"/>
  <c r="M2621" i="3"/>
  <c r="M2622" i="3"/>
  <c r="M2623" i="3"/>
  <c r="M2624" i="3"/>
  <c r="M2625" i="3"/>
  <c r="M2626" i="3"/>
  <c r="M2627" i="3"/>
  <c r="M2628" i="3"/>
  <c r="M2629" i="3"/>
  <c r="M2630" i="3"/>
  <c r="M2631" i="3"/>
  <c r="M2632" i="3"/>
  <c r="M2633" i="3"/>
  <c r="M2634" i="3"/>
  <c r="M2635" i="3"/>
  <c r="M2636" i="3"/>
  <c r="M2637" i="3"/>
  <c r="M2638" i="3"/>
  <c r="M2639" i="3"/>
  <c r="M2640" i="3"/>
  <c r="M2641" i="3"/>
  <c r="M2642" i="3"/>
  <c r="M2643" i="3"/>
  <c r="M2644" i="3"/>
  <c r="M2645" i="3"/>
  <c r="M2646" i="3"/>
  <c r="M2647" i="3"/>
  <c r="M2648" i="3"/>
  <c r="M2649" i="3"/>
  <c r="M2650" i="3"/>
  <c r="M2651" i="3"/>
  <c r="M2652" i="3"/>
  <c r="M2653" i="3"/>
  <c r="M2654" i="3"/>
  <c r="M2655" i="3"/>
  <c r="M2656" i="3"/>
  <c r="M2657" i="3"/>
  <c r="M2658" i="3"/>
  <c r="M2659" i="3"/>
  <c r="M2660" i="3"/>
  <c r="M2661" i="3"/>
  <c r="M2662" i="3"/>
  <c r="M2663" i="3"/>
  <c r="M2664" i="3"/>
  <c r="M2665" i="3"/>
  <c r="M2666" i="3"/>
  <c r="M2667" i="3"/>
  <c r="M2668" i="3"/>
  <c r="M2669" i="3"/>
  <c r="M2670" i="3"/>
  <c r="M2671" i="3"/>
  <c r="M2672" i="3"/>
  <c r="M2673" i="3"/>
  <c r="M2674" i="3"/>
  <c r="M2675" i="3"/>
  <c r="M2676" i="3"/>
  <c r="M2677" i="3"/>
  <c r="M2678" i="3"/>
  <c r="M2679" i="3"/>
  <c r="M2680" i="3"/>
  <c r="M2681" i="3"/>
  <c r="M2682" i="3"/>
  <c r="M2683" i="3"/>
  <c r="M2684" i="3"/>
  <c r="M2685" i="3"/>
  <c r="M2686" i="3"/>
  <c r="M2687" i="3"/>
  <c r="M2688" i="3"/>
  <c r="M2689" i="3"/>
  <c r="M2690" i="3"/>
  <c r="M2691" i="3"/>
  <c r="M2692" i="3"/>
  <c r="M2693" i="3"/>
  <c r="M2694" i="3"/>
  <c r="M2695" i="3"/>
  <c r="M2696" i="3"/>
  <c r="M2697" i="3"/>
  <c r="M2698" i="3"/>
  <c r="M2699" i="3"/>
  <c r="M2700" i="3"/>
  <c r="M2701" i="3"/>
  <c r="M2702" i="3"/>
  <c r="M2703" i="3"/>
  <c r="M2704" i="3"/>
  <c r="M2705" i="3"/>
  <c r="M2706" i="3"/>
  <c r="M2707" i="3"/>
  <c r="M2708" i="3"/>
  <c r="M2709" i="3"/>
  <c r="M2710" i="3"/>
  <c r="M2711" i="3"/>
  <c r="M2712" i="3"/>
  <c r="M2713" i="3"/>
  <c r="M2714" i="3"/>
  <c r="M2715" i="3"/>
  <c r="M2716" i="3"/>
  <c r="M2717" i="3"/>
  <c r="M2718" i="3"/>
  <c r="M2719" i="3"/>
  <c r="M2720" i="3"/>
  <c r="M2721" i="3"/>
  <c r="M2722" i="3"/>
  <c r="M2723" i="3"/>
  <c r="M2724" i="3"/>
  <c r="M2725" i="3"/>
  <c r="M2726" i="3"/>
  <c r="M2727" i="3"/>
  <c r="M2728" i="3"/>
  <c r="M2729" i="3"/>
  <c r="M2730" i="3"/>
  <c r="M2731" i="3"/>
  <c r="M2732" i="3"/>
  <c r="M2733" i="3"/>
  <c r="M2734" i="3"/>
  <c r="M2735" i="3"/>
  <c r="M2736" i="3"/>
  <c r="M2737" i="3"/>
  <c r="M2738" i="3"/>
  <c r="M2739" i="3"/>
  <c r="M2740" i="3"/>
  <c r="M2741" i="3"/>
  <c r="M2742" i="3"/>
  <c r="M2743" i="3"/>
  <c r="M2744" i="3"/>
  <c r="M2745" i="3"/>
  <c r="M2746" i="3"/>
  <c r="M2747" i="3"/>
  <c r="M2748" i="3"/>
  <c r="M2749" i="3"/>
  <c r="M2750" i="3"/>
  <c r="M2751" i="3"/>
  <c r="M2752" i="3"/>
  <c r="M2753" i="3"/>
  <c r="M2754" i="3"/>
  <c r="M2755" i="3"/>
  <c r="M2756" i="3"/>
  <c r="M2757" i="3"/>
  <c r="M2758" i="3"/>
  <c r="M2759" i="3"/>
  <c r="M2760" i="3"/>
  <c r="M2761" i="3"/>
  <c r="M2762" i="3"/>
  <c r="M2763" i="3"/>
  <c r="M2764" i="3"/>
  <c r="M2765" i="3"/>
  <c r="M2766" i="3"/>
  <c r="M2767" i="3"/>
  <c r="M2768" i="3"/>
  <c r="M2769" i="3"/>
  <c r="M2770" i="3"/>
  <c r="M2771" i="3"/>
  <c r="M2772" i="3"/>
  <c r="M2773" i="3"/>
  <c r="M2774" i="3"/>
  <c r="M2775" i="3"/>
  <c r="M2776" i="3"/>
  <c r="M2777" i="3"/>
  <c r="M2778" i="3"/>
  <c r="M2779" i="3"/>
  <c r="M2780" i="3"/>
  <c r="M2781" i="3"/>
  <c r="M2782" i="3"/>
  <c r="M2783" i="3"/>
  <c r="M2784" i="3"/>
  <c r="M2785" i="3"/>
  <c r="M2786" i="3"/>
  <c r="M2787" i="3"/>
  <c r="M2788" i="3"/>
  <c r="M2789" i="3"/>
  <c r="M2790" i="3"/>
  <c r="M2791" i="3"/>
  <c r="M2792" i="3"/>
  <c r="M2793" i="3"/>
  <c r="M2794" i="3"/>
  <c r="M2795" i="3"/>
  <c r="M2796" i="3"/>
  <c r="M2797" i="3"/>
  <c r="M2798" i="3"/>
  <c r="M2799" i="3"/>
  <c r="M2800" i="3"/>
  <c r="M2801" i="3"/>
  <c r="M2802" i="3"/>
  <c r="M2803" i="3"/>
  <c r="M2804" i="3"/>
  <c r="M2805" i="3"/>
  <c r="M2806" i="3"/>
  <c r="M2807" i="3"/>
  <c r="M2808" i="3"/>
  <c r="M2809" i="3"/>
  <c r="M2810" i="3"/>
  <c r="M2811" i="3"/>
  <c r="M2812" i="3"/>
  <c r="M2813" i="3"/>
  <c r="M2814" i="3"/>
  <c r="M2815" i="3"/>
  <c r="M2816" i="3"/>
  <c r="M2817" i="3"/>
  <c r="M2818" i="3"/>
  <c r="M2819" i="3"/>
  <c r="M2820" i="3"/>
  <c r="M2821" i="3"/>
  <c r="M2822" i="3"/>
  <c r="M2823" i="3"/>
  <c r="M2824" i="3"/>
  <c r="M2825" i="3"/>
  <c r="M2826" i="3"/>
  <c r="M2827" i="3"/>
  <c r="M2828" i="3"/>
  <c r="M2829" i="3"/>
  <c r="M2830" i="3"/>
  <c r="M2831" i="3"/>
  <c r="M2832" i="3"/>
  <c r="M2833" i="3"/>
  <c r="M2834" i="3"/>
  <c r="M2835" i="3"/>
  <c r="M2836" i="3"/>
  <c r="M2837" i="3"/>
  <c r="M2838" i="3"/>
  <c r="M2839" i="3"/>
  <c r="M2840" i="3"/>
  <c r="M2841" i="3"/>
  <c r="M2842" i="3"/>
  <c r="M2843" i="3"/>
  <c r="M2844" i="3"/>
  <c r="M2845" i="3"/>
  <c r="M2846" i="3"/>
  <c r="M2847" i="3"/>
  <c r="M2848" i="3"/>
  <c r="M2849" i="3"/>
  <c r="M2850" i="3"/>
  <c r="M2851" i="3"/>
  <c r="M2852" i="3"/>
  <c r="M2853" i="3"/>
  <c r="M2854" i="3"/>
  <c r="M2855" i="3"/>
  <c r="M2856" i="3"/>
  <c r="M2857" i="3"/>
  <c r="M2858" i="3"/>
  <c r="M2859" i="3"/>
  <c r="M2860" i="3"/>
  <c r="M2861" i="3"/>
  <c r="M2862" i="3"/>
  <c r="M2863" i="3"/>
  <c r="M2864" i="3"/>
  <c r="M2865" i="3"/>
  <c r="M2866" i="3"/>
  <c r="M2867" i="3"/>
  <c r="M2868" i="3"/>
  <c r="M2869" i="3"/>
  <c r="M2870" i="3"/>
  <c r="M2871" i="3"/>
  <c r="M2872" i="3"/>
  <c r="M2873" i="3"/>
  <c r="M2874" i="3"/>
  <c r="M2875" i="3"/>
  <c r="M2876" i="3"/>
  <c r="M2877" i="3"/>
  <c r="M2878" i="3"/>
  <c r="M2879" i="3"/>
  <c r="M2880" i="3"/>
  <c r="M2881" i="3"/>
  <c r="M2882" i="3"/>
  <c r="M2883" i="3"/>
  <c r="M2884" i="3"/>
  <c r="M2885" i="3"/>
  <c r="M2886" i="3"/>
  <c r="M2887" i="3"/>
  <c r="M2888" i="3"/>
  <c r="M2889" i="3"/>
  <c r="M2890" i="3"/>
  <c r="M2891" i="3"/>
  <c r="M2892" i="3"/>
  <c r="M2893" i="3"/>
  <c r="M2894" i="3"/>
  <c r="M2895" i="3"/>
  <c r="M2896" i="3"/>
  <c r="M2897" i="3"/>
  <c r="M2898" i="3"/>
  <c r="M2899" i="3"/>
  <c r="M2900" i="3"/>
  <c r="M2901" i="3"/>
  <c r="M2902" i="3"/>
  <c r="M2903" i="3"/>
  <c r="M2904" i="3"/>
  <c r="M2905" i="3"/>
  <c r="M2906" i="3"/>
  <c r="M2907" i="3"/>
  <c r="M2908" i="3"/>
  <c r="M2909" i="3"/>
  <c r="M2910" i="3"/>
  <c r="M2911" i="3"/>
  <c r="M2912" i="3"/>
  <c r="M2913" i="3"/>
  <c r="M2914" i="3"/>
  <c r="M2915" i="3"/>
  <c r="M2916" i="3"/>
  <c r="M2917" i="3"/>
  <c r="M2918" i="3"/>
  <c r="M2919" i="3"/>
  <c r="M2920" i="3"/>
  <c r="M2921" i="3"/>
  <c r="M2922" i="3"/>
  <c r="M2923" i="3"/>
  <c r="M2924" i="3"/>
  <c r="M2925" i="3"/>
  <c r="M2926" i="3"/>
  <c r="M2927" i="3"/>
  <c r="M2928" i="3"/>
  <c r="M2929" i="3"/>
  <c r="M2930" i="3"/>
  <c r="M2931" i="3"/>
  <c r="M2932" i="3"/>
  <c r="M2933" i="3"/>
  <c r="M2934" i="3"/>
  <c r="M2935" i="3"/>
  <c r="M2936" i="3"/>
  <c r="M2937" i="3"/>
  <c r="M2938" i="3"/>
  <c r="M2939" i="3"/>
  <c r="M2940" i="3"/>
  <c r="M2941" i="3"/>
  <c r="M2942" i="3"/>
  <c r="M2943" i="3"/>
  <c r="M2944" i="3"/>
  <c r="M2945" i="3"/>
  <c r="M2946" i="3"/>
  <c r="M2947" i="3"/>
  <c r="M2948" i="3"/>
  <c r="M2949" i="3"/>
  <c r="M2950" i="3"/>
  <c r="M2951" i="3"/>
  <c r="M2952" i="3"/>
  <c r="M2953" i="3"/>
  <c r="M2954" i="3"/>
  <c r="M2955" i="3"/>
  <c r="M2956" i="3"/>
  <c r="M2957" i="3"/>
  <c r="M2958" i="3"/>
  <c r="M2959" i="3"/>
  <c r="M2960" i="3"/>
  <c r="M2961" i="3"/>
  <c r="M2962" i="3"/>
  <c r="M2963" i="3"/>
  <c r="M2964" i="3"/>
  <c r="M2965" i="3"/>
  <c r="M2966" i="3"/>
  <c r="M2967" i="3"/>
  <c r="M2968" i="3"/>
  <c r="M2969" i="3"/>
  <c r="M2970" i="3"/>
  <c r="M2971" i="3"/>
  <c r="M2972" i="3"/>
  <c r="M2973" i="3"/>
  <c r="M2974" i="3"/>
  <c r="M2975" i="3"/>
  <c r="M2976" i="3"/>
  <c r="M2977" i="3"/>
  <c r="M2978" i="3"/>
  <c r="M2979" i="3"/>
  <c r="M2980" i="3"/>
  <c r="M2981" i="3"/>
  <c r="M2982" i="3"/>
  <c r="M2983" i="3"/>
  <c r="M2984" i="3"/>
  <c r="M2985" i="3"/>
  <c r="M2986" i="3"/>
  <c r="M2987" i="3"/>
  <c r="M2988" i="3"/>
  <c r="M2989" i="3"/>
  <c r="M2990" i="3"/>
  <c r="M2991" i="3"/>
  <c r="M2992" i="3"/>
  <c r="M2993" i="3"/>
  <c r="M2994" i="3"/>
  <c r="M2995" i="3"/>
  <c r="M2996" i="3"/>
  <c r="M2997" i="3"/>
  <c r="M2998" i="3"/>
  <c r="M2999" i="3"/>
  <c r="M3000" i="3"/>
  <c r="M3001" i="3"/>
  <c r="M3002" i="3"/>
  <c r="M3003" i="3"/>
  <c r="M3004" i="3"/>
  <c r="M3005" i="3"/>
  <c r="M3006" i="3"/>
  <c r="M3007" i="3"/>
  <c r="M3008" i="3"/>
  <c r="M3009" i="3"/>
  <c r="M3010" i="3"/>
  <c r="M3011" i="3"/>
  <c r="M3012" i="3"/>
  <c r="M3013" i="3"/>
  <c r="M3014" i="3"/>
  <c r="M3015" i="3"/>
  <c r="M3016" i="3"/>
  <c r="M3017" i="3"/>
  <c r="M3018" i="3"/>
  <c r="M3019" i="3"/>
  <c r="M3020" i="3"/>
  <c r="M3021" i="3"/>
  <c r="M3022" i="3"/>
  <c r="M3023" i="3"/>
  <c r="M3024" i="3"/>
  <c r="M3025" i="3"/>
  <c r="M3026" i="3"/>
  <c r="M3027" i="3"/>
  <c r="M3028" i="3"/>
  <c r="M3029" i="3"/>
  <c r="M3030" i="3"/>
  <c r="M3031" i="3"/>
  <c r="M3032" i="3"/>
  <c r="M3033" i="3"/>
  <c r="M3034" i="3"/>
  <c r="M3035" i="3"/>
  <c r="M3036" i="3"/>
  <c r="M3037" i="3"/>
  <c r="M3038" i="3"/>
  <c r="M3039" i="3"/>
  <c r="M3040" i="3"/>
  <c r="M3041" i="3"/>
  <c r="M3042" i="3"/>
  <c r="M3043" i="3"/>
  <c r="M3044" i="3"/>
  <c r="M3045" i="3"/>
  <c r="M3046" i="3"/>
  <c r="M3047" i="3"/>
  <c r="M3048" i="3"/>
  <c r="M3049" i="3"/>
  <c r="M3050" i="3"/>
  <c r="M3051" i="3"/>
  <c r="M3052" i="3"/>
  <c r="M3053" i="3"/>
  <c r="M3054" i="3"/>
  <c r="M3055" i="3"/>
  <c r="M3056" i="3"/>
  <c r="M3057" i="3"/>
  <c r="M3058" i="3"/>
  <c r="M3059" i="3"/>
  <c r="M3060" i="3"/>
  <c r="M3061" i="3"/>
  <c r="M3062" i="3"/>
  <c r="M3063" i="3"/>
  <c r="M3064" i="3"/>
  <c r="M3065" i="3"/>
  <c r="M3066" i="3"/>
  <c r="M3067" i="3"/>
  <c r="M3068" i="3"/>
  <c r="M3069" i="3"/>
  <c r="M3070" i="3"/>
  <c r="M3071" i="3"/>
  <c r="M3072" i="3"/>
  <c r="M3073" i="3"/>
  <c r="M3074" i="3"/>
  <c r="M3075" i="3"/>
  <c r="M3076" i="3"/>
  <c r="M3077" i="3"/>
  <c r="M3078" i="3"/>
  <c r="M3079" i="3"/>
  <c r="M3080" i="3"/>
  <c r="M3081" i="3"/>
  <c r="M3082" i="3"/>
  <c r="M3083" i="3"/>
  <c r="M3084" i="3"/>
  <c r="M3085" i="3"/>
  <c r="M3086" i="3"/>
  <c r="M3087" i="3"/>
  <c r="M3088" i="3"/>
  <c r="M3089" i="3"/>
  <c r="M3090" i="3"/>
  <c r="M3091" i="3"/>
  <c r="M3092" i="3"/>
  <c r="M3093" i="3"/>
  <c r="M3094" i="3"/>
  <c r="M3095" i="3"/>
  <c r="M3096" i="3"/>
  <c r="M3097" i="3"/>
  <c r="M3098" i="3"/>
  <c r="M3099" i="3"/>
  <c r="M3100" i="3"/>
  <c r="M3101" i="3"/>
  <c r="M3102" i="3"/>
  <c r="M3103" i="3"/>
  <c r="M3104" i="3"/>
  <c r="M3105" i="3"/>
  <c r="M3106" i="3"/>
  <c r="M3107" i="3"/>
  <c r="M3108" i="3"/>
  <c r="M3109" i="3"/>
  <c r="M3110" i="3"/>
  <c r="M3111" i="3"/>
  <c r="M3112" i="3"/>
  <c r="M3113" i="3"/>
  <c r="M3114" i="3"/>
  <c r="M3115" i="3"/>
  <c r="M3116" i="3"/>
  <c r="M3117" i="3"/>
  <c r="M3118" i="3"/>
  <c r="M3119" i="3"/>
  <c r="M3120" i="3"/>
  <c r="M3121" i="3"/>
  <c r="M3122" i="3"/>
  <c r="M3123" i="3"/>
  <c r="M3124" i="3"/>
  <c r="M3125" i="3"/>
  <c r="M3126" i="3"/>
  <c r="M3127" i="3"/>
  <c r="M3128" i="3"/>
  <c r="M3129" i="3"/>
  <c r="M3130" i="3"/>
  <c r="M3131" i="3"/>
  <c r="M3132" i="3"/>
  <c r="M3133" i="3"/>
  <c r="M3134" i="3"/>
  <c r="M3135" i="3"/>
  <c r="M3136" i="3"/>
  <c r="M3137" i="3"/>
  <c r="M3138" i="3"/>
  <c r="M3139" i="3"/>
  <c r="M3140" i="3"/>
  <c r="M3141" i="3"/>
  <c r="M3142" i="3"/>
  <c r="M3143" i="3"/>
  <c r="M3144" i="3"/>
  <c r="M3145" i="3"/>
  <c r="M3146" i="3"/>
  <c r="M3147" i="3"/>
  <c r="M3148" i="3"/>
  <c r="M3149" i="3"/>
  <c r="M3150" i="3"/>
  <c r="M3151" i="3"/>
  <c r="M3152" i="3"/>
  <c r="M3153" i="3"/>
  <c r="M3154" i="3"/>
  <c r="M3155" i="3"/>
  <c r="M3156" i="3"/>
  <c r="M3157" i="3"/>
  <c r="M3158" i="3"/>
  <c r="M3159" i="3"/>
  <c r="M3160" i="3"/>
  <c r="M3161" i="3"/>
  <c r="M3162" i="3"/>
  <c r="M3163" i="3"/>
  <c r="M3164" i="3"/>
  <c r="M3165" i="3"/>
  <c r="M3166" i="3"/>
  <c r="M3167" i="3"/>
  <c r="M3168" i="3"/>
  <c r="M3169" i="3"/>
  <c r="M3170" i="3"/>
  <c r="M3171" i="3"/>
  <c r="M3172" i="3"/>
  <c r="M3173" i="3"/>
  <c r="M3174" i="3"/>
  <c r="M3175" i="3"/>
  <c r="M3176" i="3"/>
  <c r="M3177" i="3"/>
  <c r="M3178" i="3"/>
  <c r="M3179" i="3"/>
  <c r="M3180" i="3"/>
  <c r="M3181" i="3"/>
  <c r="M3182" i="3"/>
  <c r="M3183" i="3"/>
  <c r="M3184" i="3"/>
  <c r="M3185" i="3"/>
  <c r="M3186" i="3"/>
  <c r="M3187" i="3"/>
  <c r="M3188" i="3"/>
  <c r="M3189" i="3"/>
  <c r="M3190" i="3"/>
  <c r="M3191" i="3"/>
  <c r="M3192" i="3"/>
  <c r="M3193" i="3"/>
  <c r="M3194" i="3"/>
  <c r="M3195" i="3"/>
  <c r="M3196" i="3"/>
  <c r="M3197" i="3"/>
  <c r="M3198" i="3"/>
  <c r="M3199" i="3"/>
  <c r="M3200" i="3"/>
  <c r="M3201" i="3"/>
  <c r="M3202" i="3"/>
  <c r="M3203" i="3"/>
  <c r="M3204" i="3"/>
  <c r="M3205" i="3"/>
  <c r="M3206" i="3"/>
  <c r="M3207" i="3"/>
  <c r="M3208" i="3"/>
  <c r="M3209" i="3"/>
  <c r="M3210" i="3"/>
  <c r="M3211" i="3"/>
  <c r="M3212" i="3"/>
  <c r="M3213" i="3"/>
  <c r="M3214" i="3"/>
  <c r="M3215" i="3"/>
  <c r="M3216" i="3"/>
  <c r="M3217" i="3"/>
  <c r="M3218" i="3"/>
  <c r="M3219" i="3"/>
  <c r="M3220" i="3"/>
  <c r="M3221" i="3"/>
  <c r="M3222" i="3"/>
  <c r="M3223" i="3"/>
  <c r="M3224" i="3"/>
  <c r="M3225" i="3"/>
  <c r="M3226" i="3"/>
  <c r="M3227" i="3"/>
  <c r="M3228" i="3"/>
  <c r="M3229" i="3"/>
  <c r="M3230" i="3"/>
  <c r="M3231" i="3"/>
  <c r="M3232" i="3"/>
  <c r="M3233" i="3"/>
  <c r="M3234" i="3"/>
  <c r="M3235" i="3"/>
  <c r="M3236" i="3"/>
  <c r="M3237" i="3"/>
  <c r="M3238" i="3"/>
  <c r="M3239" i="3"/>
  <c r="M3240" i="3"/>
  <c r="M3241" i="3"/>
  <c r="M3242" i="3"/>
  <c r="M3243" i="3"/>
  <c r="M3244" i="3"/>
  <c r="M3245" i="3"/>
  <c r="M3246" i="3"/>
  <c r="M3247" i="3"/>
  <c r="M3248" i="3"/>
  <c r="M3249" i="3"/>
  <c r="M3250" i="3"/>
  <c r="M3251" i="3"/>
  <c r="M3252" i="3"/>
  <c r="M3253" i="3"/>
  <c r="M3254" i="3"/>
  <c r="M3255" i="3"/>
  <c r="M3256" i="3"/>
  <c r="M3257" i="3"/>
  <c r="M3258" i="3"/>
  <c r="M3259" i="3"/>
  <c r="M3260" i="3"/>
  <c r="M3261" i="3"/>
  <c r="M3262" i="3"/>
  <c r="M3263" i="3"/>
  <c r="M3264" i="3"/>
  <c r="M3265" i="3"/>
  <c r="M3266" i="3"/>
  <c r="M3267" i="3"/>
  <c r="M3268" i="3"/>
  <c r="M3269" i="3"/>
  <c r="M3270" i="3"/>
  <c r="M3271" i="3"/>
  <c r="M3272" i="3"/>
  <c r="M3273" i="3"/>
  <c r="M3274" i="3"/>
  <c r="M3275" i="3"/>
  <c r="M3276" i="3"/>
  <c r="M3277" i="3"/>
  <c r="M3278" i="3"/>
  <c r="M3279" i="3"/>
  <c r="M3280" i="3"/>
  <c r="M3281" i="3"/>
  <c r="M3282" i="3"/>
  <c r="M3283" i="3"/>
  <c r="M3284" i="3"/>
  <c r="M3285" i="3"/>
  <c r="M3286" i="3"/>
  <c r="M3287" i="3"/>
  <c r="M3288" i="3"/>
  <c r="M3289" i="3"/>
  <c r="M3290" i="3"/>
  <c r="M3291" i="3"/>
  <c r="M3292" i="3"/>
  <c r="M3293" i="3"/>
  <c r="M3294" i="3"/>
  <c r="M3295" i="3"/>
  <c r="M3296" i="3"/>
  <c r="M3297" i="3"/>
  <c r="M3298" i="3"/>
  <c r="M3299" i="3"/>
  <c r="M3300" i="3"/>
  <c r="M3301" i="3"/>
  <c r="M3302" i="3"/>
  <c r="M3303" i="3"/>
  <c r="M3304" i="3"/>
  <c r="M3305" i="3"/>
  <c r="M3306" i="3"/>
  <c r="M3307" i="3"/>
  <c r="M3308" i="3"/>
  <c r="M3309" i="3"/>
  <c r="M3310" i="3"/>
  <c r="M3311" i="3"/>
  <c r="M3312" i="3"/>
  <c r="M3313" i="3"/>
  <c r="M3314" i="3"/>
  <c r="M3315" i="3"/>
  <c r="M3316" i="3"/>
  <c r="M3317" i="3"/>
  <c r="M3318" i="3"/>
  <c r="M3319" i="3"/>
  <c r="M3320" i="3"/>
  <c r="M3321" i="3"/>
  <c r="M3322" i="3"/>
  <c r="M3323" i="3"/>
  <c r="M3324" i="3"/>
  <c r="M3325" i="3"/>
  <c r="M3326" i="3"/>
  <c r="M3327" i="3"/>
  <c r="M3328" i="3"/>
  <c r="M3329" i="3"/>
  <c r="M3330" i="3"/>
  <c r="M3331" i="3"/>
  <c r="M3332" i="3"/>
  <c r="M3333" i="3"/>
  <c r="M3334" i="3"/>
  <c r="M3335" i="3"/>
  <c r="M3336" i="3"/>
  <c r="M3337" i="3"/>
  <c r="M3338" i="3"/>
  <c r="M3339" i="3"/>
  <c r="M3340" i="3"/>
  <c r="M3341" i="3"/>
  <c r="M3342" i="3"/>
  <c r="M3343" i="3"/>
  <c r="M3344" i="3"/>
  <c r="M3345" i="3"/>
  <c r="M3346" i="3"/>
  <c r="M3347" i="3"/>
  <c r="M3348" i="3"/>
  <c r="M3349" i="3"/>
  <c r="M3350" i="3"/>
  <c r="M3351" i="3"/>
  <c r="M3352" i="3"/>
  <c r="M3353" i="3"/>
  <c r="M3354" i="3"/>
  <c r="M3355" i="3"/>
  <c r="M3356" i="3"/>
  <c r="M3357" i="3"/>
  <c r="M3358" i="3"/>
  <c r="M3359" i="3"/>
  <c r="M3360" i="3"/>
  <c r="M3361" i="3"/>
  <c r="M3362" i="3"/>
  <c r="M3363" i="3"/>
  <c r="M3364" i="3"/>
  <c r="M3365" i="3"/>
  <c r="M3366" i="3"/>
  <c r="M3367" i="3"/>
  <c r="M3368" i="3"/>
  <c r="M3369" i="3"/>
  <c r="M3370" i="3"/>
  <c r="M3371" i="3"/>
  <c r="M3372" i="3"/>
  <c r="M3373" i="3"/>
  <c r="M3374" i="3"/>
  <c r="M3375" i="3"/>
  <c r="M3376" i="3"/>
  <c r="M3377" i="3"/>
  <c r="M3378" i="3"/>
  <c r="M3379" i="3"/>
  <c r="M3380" i="3"/>
  <c r="M3381" i="3"/>
  <c r="M3382" i="3"/>
  <c r="M3383" i="3"/>
  <c r="M3384" i="3"/>
  <c r="M3385" i="3"/>
  <c r="M3386" i="3"/>
  <c r="M3387" i="3"/>
  <c r="M3388" i="3"/>
  <c r="M3389" i="3"/>
  <c r="M3390" i="3"/>
  <c r="M3391" i="3"/>
  <c r="M3392" i="3"/>
  <c r="M3393" i="3"/>
  <c r="M3394" i="3"/>
  <c r="M3395" i="3"/>
  <c r="M3396" i="3"/>
  <c r="M3397" i="3"/>
  <c r="M3398" i="3"/>
  <c r="M3399" i="3"/>
  <c r="M3400" i="3"/>
  <c r="M3401" i="3"/>
  <c r="M3402" i="3"/>
  <c r="M3403" i="3"/>
  <c r="M3404" i="3"/>
  <c r="M3405" i="3"/>
  <c r="M3406" i="3"/>
  <c r="M3407" i="3"/>
  <c r="M3408" i="3"/>
  <c r="M3409" i="3"/>
  <c r="M3410" i="3"/>
  <c r="M3411" i="3"/>
  <c r="M3412" i="3"/>
  <c r="M3413" i="3"/>
  <c r="M3414" i="3"/>
  <c r="M3415" i="3"/>
  <c r="M3416" i="3"/>
  <c r="M3417" i="3"/>
  <c r="M3418" i="3"/>
  <c r="M3419" i="3"/>
  <c r="M3420" i="3"/>
  <c r="M3421" i="3"/>
  <c r="M3422" i="3"/>
  <c r="M3423" i="3"/>
  <c r="M3424" i="3"/>
  <c r="M3425" i="3"/>
  <c r="M3426" i="3"/>
  <c r="M3427" i="3"/>
  <c r="M3428" i="3"/>
  <c r="M3429" i="3"/>
  <c r="M3430" i="3"/>
  <c r="M3431" i="3"/>
  <c r="M3432" i="3"/>
  <c r="M3433" i="3"/>
  <c r="M3434" i="3"/>
  <c r="M3435" i="3"/>
  <c r="M3436" i="3"/>
  <c r="M3437" i="3"/>
  <c r="M3438" i="3"/>
  <c r="M3439" i="3"/>
  <c r="M3440" i="3"/>
  <c r="M3441" i="3"/>
  <c r="M3442" i="3"/>
  <c r="M3443" i="3"/>
  <c r="M3444" i="3"/>
  <c r="M3445" i="3"/>
  <c r="M3446" i="3"/>
  <c r="M3447" i="3"/>
  <c r="M3448" i="3"/>
  <c r="M3449" i="3"/>
  <c r="M3450" i="3"/>
  <c r="M3451" i="3"/>
  <c r="M3452" i="3"/>
  <c r="M3453" i="3"/>
  <c r="M3454" i="3"/>
  <c r="M3455" i="3"/>
  <c r="M3456" i="3"/>
  <c r="M3457" i="3"/>
  <c r="M3458" i="3"/>
  <c r="M3459" i="3"/>
  <c r="M3460" i="3"/>
  <c r="M3461" i="3"/>
  <c r="M3462" i="3"/>
  <c r="M3463" i="3"/>
  <c r="M3464" i="3"/>
  <c r="M3465" i="3"/>
  <c r="M3466" i="3"/>
  <c r="M3467" i="3"/>
  <c r="M3468" i="3"/>
  <c r="M3469" i="3"/>
  <c r="M3470" i="3"/>
  <c r="M3471" i="3"/>
  <c r="M3472" i="3"/>
  <c r="M3473" i="3"/>
  <c r="M3474" i="3"/>
  <c r="M3475" i="3"/>
  <c r="M3476" i="3"/>
  <c r="M3477" i="3"/>
  <c r="M3478" i="3"/>
  <c r="M3479" i="3"/>
  <c r="M3480" i="3"/>
  <c r="M3481" i="3"/>
  <c r="M3482" i="3"/>
  <c r="M3483" i="3"/>
  <c r="M3484" i="3"/>
  <c r="M3485" i="3"/>
  <c r="M3486" i="3"/>
  <c r="M3487" i="3"/>
  <c r="M3488" i="3"/>
  <c r="M3489" i="3"/>
  <c r="M3490" i="3"/>
  <c r="M3491" i="3"/>
  <c r="M3492" i="3"/>
  <c r="M3493" i="3"/>
  <c r="M3494" i="3"/>
  <c r="M3495" i="3"/>
  <c r="M3496" i="3"/>
  <c r="M3497" i="3"/>
  <c r="M3498" i="3"/>
  <c r="M3499" i="3"/>
  <c r="M3500" i="3"/>
  <c r="M3501" i="3"/>
  <c r="M3502" i="3"/>
  <c r="M3503" i="3"/>
  <c r="M3504" i="3"/>
  <c r="M3505" i="3"/>
  <c r="M3506" i="3"/>
  <c r="M3507" i="3"/>
  <c r="M3508" i="3"/>
  <c r="M3509" i="3"/>
  <c r="M3510" i="3"/>
  <c r="M3511" i="3"/>
  <c r="M3512" i="3"/>
  <c r="M3513" i="3"/>
  <c r="M3514" i="3"/>
  <c r="M3515" i="3"/>
  <c r="M3516" i="3"/>
  <c r="M3517" i="3"/>
  <c r="M3518" i="3"/>
  <c r="M3519" i="3"/>
  <c r="M3520" i="3"/>
  <c r="M3521" i="3"/>
  <c r="M3522" i="3"/>
  <c r="M3523" i="3"/>
  <c r="M3524" i="3"/>
  <c r="M3525" i="3"/>
  <c r="M3526" i="3"/>
  <c r="M3527" i="3"/>
  <c r="M3528" i="3"/>
  <c r="M3529" i="3"/>
  <c r="M3530" i="3"/>
  <c r="M3531" i="3"/>
  <c r="M3532" i="3"/>
  <c r="M3533" i="3"/>
  <c r="M3534" i="3"/>
  <c r="M3535" i="3"/>
  <c r="M3536" i="3"/>
  <c r="M3537" i="3"/>
  <c r="M3538" i="3"/>
  <c r="M3539" i="3"/>
  <c r="M3540" i="3"/>
  <c r="M3541" i="3"/>
  <c r="M3542" i="3"/>
  <c r="M3543" i="3"/>
  <c r="M3544" i="3"/>
  <c r="M3545" i="3"/>
  <c r="M3546" i="3"/>
  <c r="M3547" i="3"/>
  <c r="M3548" i="3"/>
  <c r="M3549" i="3"/>
  <c r="M3550" i="3"/>
  <c r="M3551" i="3"/>
  <c r="M3552" i="3"/>
  <c r="M3553" i="3"/>
  <c r="M3554" i="3"/>
  <c r="M3555" i="3"/>
  <c r="M3556" i="3"/>
  <c r="M3557" i="3"/>
  <c r="M3558" i="3"/>
  <c r="M3559" i="3"/>
  <c r="M3560" i="3"/>
  <c r="M3561" i="3"/>
  <c r="M3562" i="3"/>
  <c r="M3563" i="3"/>
  <c r="M3564" i="3"/>
  <c r="M3565" i="3"/>
  <c r="M3566" i="3"/>
  <c r="M3567" i="3"/>
  <c r="M3568" i="3"/>
  <c r="M3569" i="3"/>
  <c r="M3570" i="3"/>
  <c r="M3571" i="3"/>
  <c r="M3572" i="3"/>
  <c r="M3573" i="3"/>
  <c r="M3574" i="3"/>
  <c r="M3575" i="3"/>
  <c r="M3576" i="3"/>
  <c r="M3577" i="3"/>
  <c r="M3578" i="3"/>
  <c r="M3579" i="3"/>
  <c r="M3580" i="3"/>
  <c r="M3581" i="3"/>
  <c r="M3582" i="3"/>
  <c r="M3583" i="3"/>
  <c r="M3584" i="3"/>
  <c r="M3585" i="3"/>
  <c r="M3586" i="3"/>
  <c r="M3587" i="3"/>
  <c r="M3588" i="3"/>
  <c r="M3589" i="3"/>
  <c r="M3590" i="3"/>
  <c r="M3591" i="3"/>
  <c r="M3592" i="3"/>
  <c r="M3593" i="3"/>
  <c r="M3594" i="3"/>
  <c r="M3595" i="3"/>
  <c r="M3596" i="3"/>
  <c r="M3597" i="3"/>
  <c r="M3598" i="3"/>
  <c r="M3599" i="3"/>
  <c r="M3600" i="3"/>
  <c r="M3601" i="3"/>
  <c r="M3602" i="3"/>
  <c r="M3603" i="3"/>
  <c r="M3604" i="3"/>
  <c r="M3605" i="3"/>
  <c r="M3606" i="3"/>
  <c r="M3607" i="3"/>
  <c r="M3608" i="3"/>
  <c r="M3609" i="3"/>
  <c r="M3610" i="3"/>
  <c r="M3611" i="3"/>
  <c r="M3612" i="3"/>
  <c r="M3613" i="3"/>
  <c r="M3614" i="3"/>
  <c r="M3615" i="3"/>
  <c r="M3616" i="3"/>
  <c r="M3617" i="3"/>
  <c r="M3618" i="3"/>
  <c r="M3619" i="3"/>
  <c r="M3620" i="3"/>
  <c r="M3621" i="3"/>
  <c r="M3622" i="3"/>
  <c r="M3623" i="3"/>
  <c r="M3624" i="3"/>
  <c r="M3625" i="3"/>
  <c r="M3626" i="3"/>
  <c r="M3627" i="3"/>
  <c r="M3628" i="3"/>
  <c r="M3629" i="3"/>
  <c r="M3630" i="3"/>
  <c r="M3631" i="3"/>
  <c r="M3632" i="3"/>
  <c r="M3633" i="3"/>
  <c r="M3634" i="3"/>
  <c r="M3635" i="3"/>
  <c r="M3636" i="3"/>
  <c r="M3637" i="3"/>
  <c r="M3638" i="3"/>
  <c r="M3639" i="3"/>
  <c r="M3640" i="3"/>
  <c r="M3641" i="3"/>
  <c r="M3642" i="3"/>
  <c r="M3643" i="3"/>
  <c r="M3644" i="3"/>
  <c r="M3645" i="3"/>
  <c r="M3646" i="3"/>
  <c r="M3647" i="3"/>
  <c r="M3648" i="3"/>
  <c r="M3649" i="3"/>
  <c r="M3650" i="3"/>
  <c r="M3651" i="3"/>
  <c r="M3652" i="3"/>
  <c r="M3653" i="3"/>
  <c r="M3654" i="3"/>
  <c r="M3655" i="3"/>
  <c r="M3656" i="3"/>
  <c r="M3657" i="3"/>
  <c r="M3658" i="3"/>
  <c r="M3659" i="3"/>
  <c r="M3660" i="3"/>
  <c r="M3661" i="3"/>
  <c r="M3662" i="3"/>
  <c r="M3663" i="3"/>
  <c r="M3664" i="3"/>
  <c r="M3665" i="3"/>
  <c r="M3666" i="3"/>
  <c r="M3667" i="3"/>
  <c r="M3668" i="3"/>
  <c r="M3669" i="3"/>
  <c r="M3670" i="3"/>
  <c r="M3671" i="3"/>
  <c r="M3672" i="3"/>
  <c r="M3673" i="3"/>
  <c r="M3674" i="3"/>
  <c r="M3675" i="3"/>
  <c r="M3676" i="3"/>
  <c r="M3677" i="3"/>
  <c r="M3678" i="3"/>
  <c r="M3679" i="3"/>
  <c r="M3680" i="3"/>
  <c r="M3681" i="3"/>
  <c r="M3682" i="3"/>
  <c r="M3683" i="3"/>
  <c r="M3684" i="3"/>
  <c r="M3685" i="3"/>
  <c r="M3686" i="3"/>
  <c r="M3687" i="3"/>
  <c r="M3688" i="3"/>
  <c r="M3689" i="3"/>
  <c r="M3690" i="3"/>
  <c r="M3691" i="3"/>
  <c r="M3692" i="3"/>
  <c r="M3693" i="3"/>
  <c r="M3694" i="3"/>
  <c r="M3695" i="3"/>
  <c r="M3696" i="3"/>
  <c r="M3697" i="3"/>
  <c r="M3698" i="3"/>
  <c r="M3699" i="3"/>
  <c r="M3700" i="3"/>
  <c r="M3701" i="3"/>
  <c r="M3702" i="3"/>
  <c r="M3703" i="3"/>
  <c r="M3704" i="3"/>
  <c r="M3705" i="3"/>
  <c r="M3706" i="3"/>
  <c r="M3707" i="3"/>
  <c r="M3708" i="3"/>
  <c r="M3709" i="3"/>
  <c r="M3710" i="3"/>
  <c r="M3711" i="3"/>
  <c r="M3712" i="3"/>
  <c r="M3713" i="3"/>
  <c r="M3714" i="3"/>
  <c r="M3715" i="3"/>
  <c r="M3716" i="3"/>
  <c r="M3717" i="3"/>
  <c r="M3718" i="3"/>
  <c r="M3719" i="3"/>
  <c r="M3720" i="3"/>
  <c r="M3721" i="3"/>
  <c r="M3722" i="3"/>
  <c r="M3723" i="3"/>
  <c r="M3724" i="3"/>
  <c r="M3725" i="3"/>
  <c r="M3726" i="3"/>
  <c r="M3727" i="3"/>
  <c r="M3728" i="3"/>
  <c r="M3729" i="3"/>
  <c r="M3730" i="3"/>
  <c r="M3731" i="3"/>
  <c r="M3732" i="3"/>
  <c r="M3733" i="3"/>
  <c r="M3734" i="3"/>
  <c r="M3735" i="3"/>
  <c r="M3736" i="3"/>
  <c r="M3737" i="3"/>
  <c r="M3738" i="3"/>
  <c r="M3739" i="3"/>
  <c r="M3740" i="3"/>
  <c r="M3741" i="3"/>
  <c r="M3742" i="3"/>
  <c r="M3743" i="3"/>
  <c r="M3744" i="3"/>
  <c r="M3745" i="3"/>
  <c r="M3746" i="3"/>
  <c r="M3747" i="3"/>
  <c r="M3748" i="3"/>
  <c r="M3749" i="3"/>
  <c r="M3750" i="3"/>
  <c r="M3751" i="3"/>
  <c r="M3752" i="3"/>
  <c r="M3753" i="3"/>
  <c r="M3754" i="3"/>
  <c r="M3755" i="3"/>
  <c r="M3756" i="3"/>
  <c r="M3757" i="3"/>
  <c r="M3758" i="3"/>
  <c r="M3759" i="3"/>
  <c r="M3760" i="3"/>
  <c r="M3761" i="3"/>
  <c r="M3762" i="3"/>
  <c r="M3763" i="3"/>
  <c r="M3764" i="3"/>
  <c r="M3765" i="3"/>
  <c r="M3766" i="3"/>
  <c r="M3767" i="3"/>
  <c r="M3768" i="3"/>
  <c r="M3769" i="3"/>
  <c r="M3770" i="3"/>
  <c r="M3771" i="3"/>
  <c r="M3772" i="3"/>
  <c r="M3773" i="3"/>
  <c r="M3774" i="3"/>
  <c r="M3775" i="3"/>
  <c r="M3776" i="3"/>
  <c r="M3777" i="3"/>
  <c r="M3778" i="3"/>
  <c r="M3779" i="3"/>
  <c r="M3780" i="3"/>
  <c r="M3781" i="3"/>
  <c r="M3782" i="3"/>
  <c r="M3783" i="3"/>
  <c r="M3784" i="3"/>
  <c r="M3785" i="3"/>
  <c r="M3786" i="3"/>
  <c r="M3787" i="3"/>
  <c r="M3788" i="3"/>
  <c r="M3789" i="3"/>
  <c r="M3790" i="3"/>
  <c r="M3791" i="3"/>
  <c r="M3792" i="3"/>
  <c r="M3793" i="3"/>
  <c r="M3794" i="3"/>
  <c r="M3795" i="3"/>
  <c r="M3796" i="3"/>
  <c r="M3797" i="3"/>
  <c r="M3798" i="3"/>
  <c r="M3799" i="3"/>
  <c r="M3800" i="3"/>
  <c r="M3801" i="3"/>
  <c r="M3802" i="3"/>
  <c r="M3803" i="3"/>
  <c r="M3804" i="3"/>
  <c r="M3805" i="3"/>
  <c r="M3806" i="3"/>
  <c r="M3807" i="3"/>
  <c r="M3808" i="3"/>
  <c r="M3809" i="3"/>
  <c r="M3810" i="3"/>
  <c r="M3811" i="3"/>
  <c r="M3812" i="3"/>
  <c r="M3813" i="3"/>
  <c r="M3814" i="3"/>
  <c r="M3815" i="3"/>
  <c r="M3816" i="3"/>
  <c r="M3817" i="3"/>
  <c r="M3818" i="3"/>
  <c r="M3819" i="3"/>
  <c r="M3820" i="3"/>
  <c r="M3821" i="3"/>
  <c r="M3822" i="3"/>
  <c r="M3823" i="3"/>
  <c r="M3824" i="3"/>
  <c r="M3825" i="3"/>
  <c r="M3826" i="3"/>
  <c r="M3827" i="3"/>
  <c r="M3828" i="3"/>
  <c r="M3829" i="3"/>
  <c r="M3830" i="3"/>
  <c r="M3831" i="3"/>
  <c r="M3832" i="3"/>
  <c r="M3833" i="3"/>
  <c r="M3834" i="3"/>
  <c r="M3835" i="3"/>
  <c r="M3836" i="3"/>
  <c r="M3837" i="3"/>
  <c r="M3838" i="3"/>
  <c r="M3839" i="3"/>
  <c r="M3840" i="3"/>
  <c r="M3841" i="3"/>
  <c r="M3842" i="3"/>
  <c r="M3843" i="3"/>
  <c r="M3844" i="3"/>
  <c r="M3845" i="3"/>
  <c r="M3846" i="3"/>
  <c r="M3847" i="3"/>
  <c r="M3848" i="3"/>
  <c r="M3849" i="3"/>
  <c r="M3850" i="3"/>
  <c r="M3851" i="3"/>
  <c r="M3852" i="3"/>
  <c r="M3853" i="3"/>
  <c r="M3854" i="3"/>
  <c r="M3855" i="3"/>
  <c r="M3856" i="3"/>
  <c r="M3857" i="3"/>
  <c r="M3858" i="3"/>
  <c r="M3859" i="3"/>
  <c r="M3860" i="3"/>
  <c r="M3861" i="3"/>
  <c r="M3862" i="3"/>
  <c r="M3863" i="3"/>
  <c r="M3864" i="3"/>
  <c r="M3865" i="3"/>
  <c r="M3866" i="3"/>
  <c r="M3867" i="3"/>
  <c r="M3868" i="3"/>
  <c r="M3869" i="3"/>
  <c r="M3870" i="3"/>
  <c r="M3871" i="3"/>
  <c r="M3872" i="3"/>
  <c r="M3873" i="3"/>
  <c r="M3874" i="3"/>
  <c r="M3875" i="3"/>
  <c r="M3876" i="3"/>
  <c r="M3877" i="3"/>
  <c r="M3878" i="3"/>
  <c r="M3879" i="3"/>
  <c r="M3880" i="3"/>
  <c r="M3881" i="3"/>
  <c r="M3882" i="3"/>
  <c r="M3883" i="3"/>
  <c r="M3884" i="3"/>
  <c r="M3885" i="3"/>
  <c r="M3886" i="3"/>
  <c r="M3887" i="3"/>
  <c r="M3888" i="3"/>
  <c r="M3889" i="3"/>
  <c r="M3890" i="3"/>
  <c r="M3891" i="3"/>
  <c r="M3892" i="3"/>
  <c r="M3893" i="3"/>
  <c r="M3894" i="3"/>
  <c r="M3895" i="3"/>
  <c r="M3896" i="3"/>
  <c r="M3897" i="3"/>
  <c r="M3898" i="3"/>
  <c r="M3899" i="3"/>
  <c r="M3900" i="3"/>
  <c r="M3901" i="3"/>
  <c r="M3902" i="3"/>
  <c r="M3903" i="3"/>
  <c r="M3904" i="3"/>
  <c r="M3905" i="3"/>
  <c r="M3906" i="3"/>
  <c r="M3907" i="3"/>
  <c r="M3908" i="3"/>
  <c r="M3909" i="3"/>
  <c r="M3910" i="3"/>
  <c r="M3911" i="3"/>
  <c r="M3912" i="3"/>
  <c r="M3913" i="3"/>
  <c r="M3914" i="3"/>
  <c r="M3915" i="3"/>
  <c r="M3916" i="3"/>
  <c r="M3917" i="3"/>
  <c r="M3918" i="3"/>
  <c r="M3919" i="3"/>
  <c r="M3920" i="3"/>
  <c r="M3921" i="3"/>
  <c r="M3922" i="3"/>
  <c r="M3923" i="3"/>
  <c r="M3924" i="3"/>
  <c r="M3925" i="3"/>
  <c r="M3926" i="3"/>
  <c r="M3927" i="3"/>
  <c r="M3928" i="3"/>
  <c r="M3929" i="3"/>
  <c r="M3930" i="3"/>
  <c r="M3931" i="3"/>
  <c r="M3932" i="3"/>
  <c r="M3933" i="3"/>
  <c r="M3934" i="3"/>
  <c r="M3935" i="3"/>
  <c r="M3936" i="3"/>
  <c r="M3937" i="3"/>
  <c r="M3938" i="3"/>
  <c r="M3939" i="3"/>
  <c r="M3940" i="3"/>
  <c r="M3941" i="3"/>
  <c r="M3942" i="3"/>
  <c r="M3943" i="3"/>
  <c r="M3944" i="3"/>
  <c r="M3945" i="3"/>
  <c r="M3946" i="3"/>
  <c r="M3947" i="3"/>
  <c r="M3948" i="3"/>
  <c r="M3949" i="3"/>
  <c r="M3950" i="3"/>
  <c r="M3951" i="3"/>
  <c r="M3952" i="3"/>
  <c r="M3953" i="3"/>
  <c r="M3954" i="3"/>
  <c r="M3955" i="3"/>
  <c r="M3956" i="3"/>
  <c r="M3957" i="3"/>
  <c r="M3958" i="3"/>
  <c r="M3959" i="3"/>
  <c r="M3960" i="3"/>
  <c r="M3961" i="3"/>
  <c r="M3962" i="3"/>
  <c r="M3963" i="3"/>
  <c r="M3964" i="3"/>
  <c r="M3965" i="3"/>
  <c r="M3966" i="3"/>
  <c r="M3967" i="3"/>
  <c r="M3968" i="3"/>
  <c r="M3969" i="3"/>
  <c r="M3970" i="3"/>
  <c r="M3971" i="3"/>
  <c r="M3972" i="3"/>
  <c r="M3973" i="3"/>
  <c r="M3974" i="3"/>
  <c r="M3975" i="3"/>
  <c r="M3976" i="3"/>
  <c r="M3977" i="3"/>
  <c r="M3978" i="3"/>
  <c r="M3979" i="3"/>
  <c r="M3980" i="3"/>
  <c r="M3981" i="3"/>
  <c r="M3982" i="3"/>
  <c r="M3983" i="3"/>
  <c r="M3984" i="3"/>
  <c r="M3985" i="3"/>
  <c r="M3986" i="3"/>
  <c r="M3987" i="3"/>
  <c r="M3988" i="3"/>
  <c r="M3989" i="3"/>
  <c r="M3990" i="3"/>
  <c r="M3991" i="3"/>
  <c r="M3992" i="3"/>
  <c r="M3993" i="3"/>
  <c r="M3994" i="3"/>
  <c r="M3995" i="3"/>
  <c r="M3996" i="3"/>
  <c r="M3997" i="3"/>
  <c r="M3998" i="3"/>
  <c r="M3999" i="3"/>
  <c r="M4000" i="3"/>
  <c r="M4001" i="3"/>
  <c r="M4002" i="3"/>
  <c r="M4003" i="3"/>
  <c r="M4004" i="3"/>
  <c r="M4005" i="3"/>
  <c r="M4006" i="3"/>
  <c r="M4007" i="3"/>
  <c r="M4008" i="3"/>
  <c r="M4009" i="3"/>
  <c r="M4010" i="3"/>
  <c r="M4011" i="3"/>
  <c r="M4012" i="3"/>
  <c r="M4013" i="3"/>
  <c r="M4014" i="3"/>
  <c r="M4015" i="3"/>
  <c r="M4016" i="3"/>
  <c r="M4017" i="3"/>
  <c r="M4018" i="3"/>
  <c r="M4019" i="3"/>
  <c r="M4020" i="3"/>
  <c r="M4021" i="3"/>
  <c r="M4022" i="3"/>
  <c r="M4023" i="3"/>
  <c r="M4024" i="3"/>
  <c r="M4025" i="3"/>
  <c r="M4026" i="3"/>
  <c r="M4027" i="3"/>
  <c r="M4028" i="3"/>
  <c r="M4029" i="3"/>
  <c r="M4030" i="3"/>
  <c r="M4031" i="3"/>
  <c r="M4032" i="3"/>
  <c r="M4033" i="3"/>
  <c r="M4034" i="3"/>
  <c r="M4035" i="3"/>
  <c r="M4036" i="3"/>
  <c r="M4037" i="3"/>
  <c r="M4038" i="3"/>
  <c r="M4039" i="3"/>
  <c r="M4040" i="3"/>
  <c r="M4041" i="3"/>
  <c r="M4042" i="3"/>
  <c r="M4043" i="3"/>
  <c r="M4044" i="3"/>
  <c r="M4045" i="3"/>
  <c r="M4046" i="3"/>
  <c r="M4047" i="3"/>
  <c r="M4048" i="3"/>
  <c r="M4049" i="3"/>
  <c r="M4050" i="3"/>
  <c r="M4051" i="3"/>
  <c r="M4052" i="3"/>
  <c r="M4053" i="3"/>
  <c r="M4054" i="3"/>
  <c r="M4055" i="3"/>
  <c r="M4056" i="3"/>
  <c r="M4057" i="3"/>
  <c r="M4058" i="3"/>
  <c r="M4059" i="3"/>
  <c r="M4060" i="3"/>
  <c r="M4061" i="3"/>
  <c r="M4062" i="3"/>
  <c r="M4063" i="3"/>
  <c r="M4064" i="3"/>
  <c r="M4065" i="3"/>
  <c r="M4066" i="3"/>
  <c r="M4067" i="3"/>
  <c r="M4068" i="3"/>
  <c r="M4069" i="3"/>
  <c r="M4070" i="3"/>
  <c r="M4071" i="3"/>
  <c r="M4072" i="3"/>
  <c r="M4073" i="3"/>
  <c r="M4074" i="3"/>
  <c r="M4075" i="3"/>
  <c r="M4076" i="3"/>
  <c r="M4077" i="3"/>
  <c r="M4078" i="3"/>
  <c r="M4079" i="3"/>
  <c r="M4080" i="3"/>
  <c r="M4081" i="3"/>
  <c r="M4082" i="3"/>
  <c r="M4083" i="3"/>
  <c r="M4084" i="3"/>
  <c r="M4085" i="3"/>
  <c r="M4086" i="3"/>
  <c r="M4087" i="3"/>
  <c r="M4088" i="3"/>
  <c r="M4089" i="3"/>
  <c r="M4090" i="3"/>
  <c r="M4091" i="3"/>
  <c r="M4092" i="3"/>
  <c r="M4093" i="3"/>
  <c r="M4094" i="3"/>
  <c r="M4095" i="3"/>
  <c r="M4096" i="3"/>
  <c r="M4097" i="3"/>
  <c r="M4098" i="3"/>
  <c r="M4099" i="3"/>
  <c r="M4100" i="3"/>
  <c r="M4101" i="3"/>
  <c r="M4102" i="3"/>
  <c r="M4103" i="3"/>
  <c r="M4104" i="3"/>
  <c r="M4105" i="3"/>
  <c r="M4106" i="3"/>
  <c r="M4107" i="3"/>
  <c r="M4108" i="3"/>
  <c r="M4109" i="3"/>
  <c r="M4110" i="3"/>
  <c r="M4111" i="3"/>
  <c r="M4112" i="3"/>
  <c r="M4113" i="3"/>
  <c r="M4114" i="3"/>
  <c r="M4115" i="3"/>
  <c r="M4116" i="3"/>
  <c r="M4117" i="3"/>
  <c r="M4118" i="3"/>
  <c r="M4119" i="3"/>
  <c r="M4120" i="3"/>
  <c r="M4121" i="3"/>
  <c r="M4122" i="3"/>
  <c r="M4123" i="3"/>
  <c r="M4124" i="3"/>
  <c r="M4125" i="3"/>
  <c r="M4126" i="3"/>
  <c r="M4127" i="3"/>
  <c r="M4128" i="3"/>
  <c r="M4129" i="3"/>
  <c r="M4130" i="3"/>
  <c r="M4131" i="3"/>
  <c r="M4132" i="3"/>
  <c r="M4133" i="3"/>
  <c r="M4134" i="3"/>
  <c r="M4135" i="3"/>
  <c r="M4136" i="3"/>
  <c r="M4137" i="3"/>
  <c r="M4138" i="3"/>
  <c r="M4139" i="3"/>
  <c r="M4140" i="3"/>
  <c r="M4141" i="3"/>
  <c r="M4142" i="3"/>
  <c r="M4143" i="3"/>
  <c r="M4144" i="3"/>
  <c r="M4145" i="3"/>
  <c r="M4146" i="3"/>
  <c r="M4147" i="3"/>
  <c r="M4148" i="3"/>
  <c r="M4149" i="3"/>
  <c r="M4150" i="3"/>
  <c r="M4151" i="3"/>
  <c r="M4152" i="3"/>
  <c r="M4153" i="3"/>
  <c r="M4154" i="3"/>
  <c r="M4155" i="3"/>
  <c r="M4156" i="3"/>
  <c r="M4157" i="3"/>
  <c r="M4158" i="3"/>
  <c r="M4159" i="3"/>
  <c r="M4160" i="3"/>
  <c r="M4161" i="3"/>
  <c r="M4162" i="3"/>
  <c r="M4163" i="3"/>
  <c r="M4164" i="3"/>
  <c r="M4165" i="3"/>
  <c r="M4166" i="3"/>
  <c r="M4167" i="3"/>
  <c r="M4168" i="3"/>
  <c r="M4169" i="3"/>
  <c r="M4170" i="3"/>
  <c r="M4171" i="3"/>
  <c r="M4172" i="3"/>
  <c r="M4173" i="3"/>
  <c r="M4174" i="3"/>
  <c r="M4175" i="3"/>
  <c r="M4176" i="3"/>
  <c r="M4177" i="3"/>
  <c r="M4178" i="3"/>
  <c r="M4179" i="3"/>
  <c r="M4180" i="3"/>
  <c r="M4181" i="3"/>
  <c r="M4182" i="3"/>
  <c r="M4183" i="3"/>
  <c r="M4184" i="3"/>
  <c r="M4185" i="3"/>
  <c r="M4186" i="3"/>
  <c r="M4187" i="3"/>
  <c r="M4188" i="3"/>
  <c r="M4189" i="3"/>
  <c r="M4190" i="3"/>
  <c r="M4191" i="3"/>
  <c r="M4192" i="3"/>
  <c r="M4193" i="3"/>
  <c r="M4194" i="3"/>
  <c r="M4195" i="3"/>
  <c r="M4196" i="3"/>
  <c r="M4197" i="3"/>
  <c r="M4198" i="3"/>
  <c r="M4199" i="3"/>
  <c r="M4200" i="3"/>
  <c r="M4201" i="3"/>
  <c r="M4202" i="3"/>
  <c r="M4203" i="3"/>
  <c r="M4204" i="3"/>
  <c r="M4205" i="3"/>
  <c r="M4206" i="3"/>
  <c r="M4207" i="3"/>
  <c r="M4208" i="3"/>
  <c r="M4209" i="3"/>
  <c r="M4210" i="3"/>
  <c r="M4211" i="3"/>
  <c r="M4212" i="3"/>
  <c r="M4213" i="3"/>
  <c r="M4214" i="3"/>
  <c r="M4215" i="3"/>
  <c r="M4216" i="3"/>
  <c r="M4217" i="3"/>
  <c r="M4218" i="3"/>
  <c r="M4219" i="3"/>
  <c r="M4220" i="3"/>
  <c r="M4221" i="3"/>
  <c r="M4222" i="3"/>
  <c r="M4223" i="3"/>
  <c r="M4224" i="3"/>
  <c r="M4225" i="3"/>
  <c r="M4226" i="3"/>
  <c r="M4227" i="3"/>
  <c r="M4228" i="3"/>
  <c r="M4229" i="3"/>
  <c r="M4230" i="3"/>
  <c r="M4231" i="3"/>
  <c r="M4232" i="3"/>
  <c r="M4233" i="3"/>
  <c r="M4234" i="3"/>
  <c r="M4235" i="3"/>
  <c r="M4236" i="3"/>
  <c r="M4237" i="3"/>
  <c r="M4238" i="3"/>
  <c r="M4239" i="3"/>
  <c r="M4240" i="3"/>
  <c r="M4241" i="3"/>
  <c r="M4242" i="3"/>
  <c r="M4243" i="3"/>
  <c r="M4244" i="3"/>
  <c r="M4245" i="3"/>
  <c r="M4246" i="3"/>
  <c r="M4247" i="3"/>
  <c r="M4248" i="3"/>
  <c r="M4249" i="3"/>
  <c r="M4250" i="3"/>
  <c r="M4251" i="3"/>
  <c r="M4252" i="3"/>
  <c r="M4253" i="3"/>
  <c r="M4254" i="3"/>
  <c r="M4255" i="3"/>
  <c r="M4256" i="3"/>
  <c r="M4257" i="3"/>
  <c r="M4258" i="3"/>
  <c r="M4259" i="3"/>
  <c r="M4260" i="3"/>
  <c r="M4261" i="3"/>
  <c r="M4262" i="3"/>
  <c r="M4263" i="3"/>
  <c r="M4264" i="3"/>
  <c r="M4265" i="3"/>
  <c r="M4266" i="3"/>
  <c r="M4267" i="3"/>
  <c r="M4268" i="3"/>
  <c r="M4269" i="3"/>
  <c r="M4270" i="3"/>
  <c r="M4271" i="3"/>
  <c r="M4272" i="3"/>
  <c r="M4273" i="3"/>
  <c r="M4274" i="3"/>
  <c r="M4275" i="3"/>
  <c r="M4276" i="3"/>
  <c r="M4277" i="3"/>
  <c r="M4278" i="3"/>
  <c r="M4279" i="3"/>
  <c r="M4280" i="3"/>
  <c r="M4281" i="3"/>
  <c r="M4282" i="3"/>
  <c r="M4283" i="3"/>
  <c r="M4284" i="3"/>
  <c r="M4285" i="3"/>
  <c r="M4286" i="3"/>
  <c r="M4287" i="3"/>
  <c r="M4288" i="3"/>
  <c r="M4289" i="3"/>
  <c r="M4290" i="3"/>
  <c r="M4291" i="3"/>
  <c r="M4292" i="3"/>
  <c r="M4293" i="3"/>
  <c r="M4294" i="3"/>
  <c r="M4295" i="3"/>
  <c r="M4296" i="3"/>
  <c r="M4297" i="3"/>
  <c r="M4298" i="3"/>
  <c r="M4299" i="3"/>
  <c r="M4300" i="3"/>
  <c r="M4301" i="3"/>
  <c r="M4302" i="3"/>
  <c r="M4303" i="3"/>
  <c r="M4304" i="3"/>
  <c r="M4305" i="3"/>
  <c r="M4306" i="3"/>
  <c r="M4307" i="3"/>
  <c r="M4308" i="3"/>
  <c r="M4309" i="3"/>
  <c r="M4310" i="3"/>
  <c r="M4311" i="3"/>
  <c r="M4312" i="3"/>
  <c r="M4313" i="3"/>
  <c r="M4314" i="3"/>
  <c r="M4315" i="3"/>
  <c r="M4316" i="3"/>
  <c r="M4317" i="3"/>
  <c r="M4318" i="3"/>
  <c r="M4319" i="3"/>
  <c r="M4320" i="3"/>
  <c r="M4321" i="3"/>
  <c r="M4322" i="3"/>
  <c r="M4323" i="3"/>
  <c r="M4324" i="3"/>
  <c r="M4325" i="3"/>
  <c r="M4326" i="3"/>
  <c r="M4327" i="3"/>
  <c r="M4328" i="3"/>
  <c r="M4329" i="3"/>
  <c r="M4330" i="3"/>
  <c r="M4331" i="3"/>
  <c r="M4332" i="3"/>
  <c r="M4333" i="3"/>
  <c r="M4334" i="3"/>
  <c r="M4335" i="3"/>
  <c r="M4336" i="3"/>
  <c r="M4337" i="3"/>
  <c r="M4338" i="3"/>
  <c r="M4339" i="3"/>
  <c r="M4340" i="3"/>
  <c r="M4341" i="3"/>
  <c r="M4342" i="3"/>
  <c r="M4343" i="3"/>
  <c r="M4344" i="3"/>
  <c r="M4345" i="3"/>
  <c r="M4346" i="3"/>
  <c r="M4347" i="3"/>
  <c r="M4348" i="3"/>
  <c r="M4349" i="3"/>
  <c r="M4350" i="3"/>
  <c r="M4351" i="3"/>
  <c r="M4352" i="3"/>
  <c r="M4353" i="3"/>
  <c r="M4354" i="3"/>
  <c r="M4355" i="3"/>
  <c r="M4356" i="3"/>
  <c r="M4357" i="3"/>
  <c r="M4358" i="3"/>
  <c r="M4359" i="3"/>
  <c r="M4360" i="3"/>
  <c r="M4361" i="3"/>
  <c r="M4362" i="3"/>
  <c r="M4363" i="3"/>
  <c r="M4364" i="3"/>
  <c r="M4365" i="3"/>
  <c r="M4366" i="3"/>
  <c r="M4367" i="3"/>
  <c r="M4368" i="3"/>
  <c r="M4369" i="3"/>
  <c r="M4370" i="3"/>
  <c r="M4371" i="3"/>
  <c r="M4372" i="3"/>
  <c r="M4373" i="3"/>
  <c r="M4374" i="3"/>
  <c r="M4375" i="3"/>
  <c r="M4376" i="3"/>
  <c r="M4377" i="3"/>
  <c r="M4378" i="3"/>
  <c r="M4379" i="3"/>
  <c r="M4380" i="3"/>
  <c r="M4381" i="3"/>
  <c r="M4382" i="3"/>
  <c r="M4383" i="3"/>
  <c r="M4384" i="3"/>
  <c r="M4385" i="3"/>
  <c r="M4386" i="3"/>
  <c r="M4387" i="3"/>
  <c r="M4388" i="3"/>
  <c r="M4389" i="3"/>
  <c r="M4390" i="3"/>
  <c r="M4391" i="3"/>
  <c r="M4392" i="3"/>
  <c r="M4393" i="3"/>
  <c r="M4394" i="3"/>
  <c r="M4395" i="3"/>
  <c r="M4396" i="3"/>
  <c r="M4397" i="3"/>
  <c r="M4398" i="3"/>
  <c r="M4399" i="3"/>
  <c r="M4400" i="3"/>
  <c r="M4401" i="3"/>
  <c r="M4402" i="3"/>
  <c r="M4403" i="3"/>
  <c r="M4404" i="3"/>
  <c r="M4405" i="3"/>
  <c r="M4406" i="3"/>
  <c r="M4407" i="3"/>
  <c r="M4408" i="3"/>
  <c r="M4409" i="3"/>
  <c r="M4410" i="3"/>
  <c r="M4411" i="3"/>
  <c r="M4412" i="3"/>
  <c r="M4413" i="3"/>
  <c r="M4414" i="3"/>
  <c r="M4415" i="3"/>
  <c r="M4416" i="3"/>
  <c r="M4417" i="3"/>
  <c r="M4418" i="3"/>
  <c r="M4419" i="3"/>
  <c r="M4420" i="3"/>
  <c r="M4421" i="3"/>
  <c r="M4422" i="3"/>
  <c r="M4423" i="3"/>
  <c r="M4424" i="3"/>
  <c r="M4425" i="3"/>
  <c r="M4426" i="3"/>
  <c r="M4427" i="3"/>
  <c r="M4428" i="3"/>
  <c r="M4429" i="3"/>
  <c r="M4430" i="3"/>
  <c r="M4431" i="3"/>
  <c r="M4432" i="3"/>
  <c r="M4433" i="3"/>
  <c r="M4434" i="3"/>
  <c r="M4435" i="3"/>
  <c r="M4436" i="3"/>
  <c r="M4437" i="3"/>
  <c r="M4438" i="3"/>
  <c r="M4439" i="3"/>
  <c r="M4440" i="3"/>
  <c r="M4441" i="3"/>
  <c r="M4442" i="3"/>
  <c r="M4443" i="3"/>
  <c r="M4444" i="3"/>
  <c r="M4445" i="3"/>
  <c r="M4446" i="3"/>
  <c r="M4447" i="3"/>
  <c r="M4448" i="3"/>
  <c r="M4449" i="3"/>
  <c r="M4450" i="3"/>
  <c r="M4451" i="3"/>
  <c r="M4452" i="3"/>
  <c r="M4453" i="3"/>
  <c r="M4454" i="3"/>
  <c r="M4455" i="3"/>
  <c r="M4456" i="3"/>
  <c r="M4457" i="3"/>
  <c r="M4458" i="3"/>
  <c r="M4459" i="3"/>
  <c r="M4460" i="3"/>
  <c r="M4461" i="3"/>
  <c r="M4462" i="3"/>
  <c r="M4463" i="3"/>
  <c r="M4464" i="3"/>
  <c r="M4465" i="3"/>
  <c r="M4466" i="3"/>
  <c r="M4467" i="3"/>
  <c r="M4468" i="3"/>
  <c r="M4469" i="3"/>
  <c r="M4470" i="3"/>
  <c r="M4471" i="3"/>
  <c r="M4472" i="3"/>
  <c r="M4473" i="3"/>
  <c r="M4474" i="3"/>
  <c r="M4475" i="3"/>
  <c r="M4476" i="3"/>
  <c r="M4477" i="3"/>
  <c r="M4478" i="3"/>
  <c r="M4479" i="3"/>
  <c r="M4480" i="3"/>
  <c r="M4481" i="3"/>
  <c r="M4482" i="3"/>
  <c r="M4483" i="3"/>
  <c r="M4484" i="3"/>
  <c r="M4485" i="3"/>
  <c r="M4486" i="3"/>
  <c r="M4487" i="3"/>
  <c r="M4488" i="3"/>
  <c r="M4489" i="3"/>
  <c r="M4490" i="3"/>
  <c r="M4491" i="3"/>
  <c r="M4492" i="3"/>
  <c r="M4493" i="3"/>
  <c r="M4494" i="3"/>
  <c r="M4495" i="3"/>
  <c r="M4496" i="3"/>
  <c r="M4497" i="3"/>
  <c r="M4498" i="3"/>
  <c r="M4499" i="3"/>
  <c r="M4500" i="3"/>
  <c r="M4501" i="3"/>
  <c r="M4502" i="3"/>
  <c r="M4503" i="3"/>
  <c r="M4504" i="3"/>
  <c r="M4505" i="3"/>
  <c r="M4506" i="3"/>
  <c r="M4507" i="3"/>
  <c r="M4508" i="3"/>
  <c r="M4509" i="3"/>
  <c r="M4510" i="3"/>
  <c r="M4511" i="3"/>
  <c r="M4512" i="3"/>
  <c r="M4513" i="3"/>
  <c r="M4514" i="3"/>
  <c r="M4515" i="3"/>
  <c r="M4516" i="3"/>
  <c r="M4517" i="3"/>
  <c r="M4518" i="3"/>
  <c r="M4519" i="3"/>
  <c r="M4520" i="3"/>
  <c r="M4521" i="3"/>
  <c r="M4522" i="3"/>
  <c r="M4523" i="3"/>
  <c r="M4524" i="3"/>
  <c r="M4525" i="3"/>
  <c r="M4526" i="3"/>
  <c r="M4527" i="3"/>
  <c r="M4528" i="3"/>
  <c r="M4529" i="3"/>
  <c r="M4530" i="3"/>
  <c r="M4531" i="3"/>
  <c r="M4532" i="3"/>
  <c r="M4533" i="3"/>
  <c r="M4534" i="3"/>
  <c r="M4535" i="3"/>
  <c r="M4536" i="3"/>
  <c r="M4537" i="3"/>
  <c r="M4538" i="3"/>
  <c r="M4539" i="3"/>
  <c r="M4540" i="3"/>
  <c r="M4541" i="3"/>
  <c r="M4542" i="3"/>
  <c r="M4543" i="3"/>
  <c r="M4544" i="3"/>
  <c r="M4545" i="3"/>
  <c r="M4546" i="3"/>
  <c r="M4547" i="3"/>
  <c r="M4548" i="3"/>
  <c r="M4549" i="3"/>
  <c r="M4550" i="3"/>
  <c r="M4551" i="3"/>
  <c r="M4552" i="3"/>
  <c r="M4553" i="3"/>
  <c r="M4554" i="3"/>
  <c r="M4555" i="3"/>
  <c r="M4556" i="3"/>
  <c r="M4557" i="3"/>
  <c r="M4558" i="3"/>
  <c r="M4559" i="3"/>
  <c r="M4560" i="3"/>
  <c r="M4561" i="3"/>
  <c r="M4562" i="3"/>
  <c r="M4563" i="3"/>
  <c r="M4564" i="3"/>
  <c r="M4565" i="3"/>
  <c r="M4566" i="3"/>
  <c r="M4567" i="3"/>
  <c r="M4568" i="3"/>
  <c r="M4569" i="3"/>
  <c r="M4570" i="3"/>
  <c r="M4571" i="3"/>
  <c r="M4572" i="3"/>
  <c r="M4573" i="3"/>
  <c r="M4574" i="3"/>
  <c r="M4575" i="3"/>
  <c r="M4576" i="3"/>
  <c r="M4577" i="3"/>
  <c r="M4578" i="3"/>
  <c r="M4579" i="3"/>
  <c r="M4580" i="3"/>
  <c r="M4581" i="3"/>
  <c r="M4582" i="3"/>
  <c r="M4583" i="3"/>
  <c r="M4584" i="3"/>
  <c r="M4585" i="3"/>
  <c r="M4586" i="3"/>
  <c r="M4587" i="3"/>
  <c r="M4588" i="3"/>
  <c r="M4589" i="3"/>
  <c r="M4590" i="3"/>
  <c r="M4591" i="3"/>
  <c r="M4592" i="3"/>
  <c r="M4593" i="3"/>
  <c r="M4594" i="3"/>
  <c r="M4595" i="3"/>
  <c r="M4596" i="3"/>
  <c r="M4597" i="3"/>
  <c r="M4598" i="3"/>
  <c r="M4599" i="3"/>
  <c r="M4600" i="3"/>
  <c r="M4601" i="3"/>
  <c r="M4602" i="3"/>
  <c r="M4603" i="3"/>
  <c r="M4604" i="3"/>
  <c r="M4605" i="3"/>
  <c r="M4606" i="3"/>
  <c r="M4607" i="3"/>
  <c r="M4608" i="3"/>
  <c r="M4609" i="3"/>
  <c r="M4610" i="3"/>
  <c r="M4611" i="3"/>
  <c r="M4612" i="3"/>
  <c r="M4613" i="3"/>
  <c r="M4614" i="3"/>
  <c r="M4615" i="3"/>
  <c r="M4616" i="3"/>
  <c r="M4617" i="3"/>
  <c r="M4618" i="3"/>
  <c r="M4619" i="3"/>
  <c r="M4620" i="3"/>
  <c r="M4621" i="3"/>
  <c r="M4622" i="3"/>
  <c r="M4623" i="3"/>
  <c r="M4624" i="3"/>
  <c r="M4625" i="3"/>
  <c r="M4626" i="3"/>
  <c r="M4627" i="3"/>
  <c r="M4628" i="3"/>
  <c r="M4629" i="3"/>
  <c r="M4630" i="3"/>
  <c r="M4631" i="3"/>
  <c r="M4632" i="3"/>
  <c r="M4633" i="3"/>
  <c r="M4634" i="3"/>
  <c r="M4635" i="3"/>
  <c r="M4636" i="3"/>
  <c r="M4637" i="3"/>
  <c r="M4638" i="3"/>
  <c r="M4639" i="3"/>
  <c r="M4640" i="3"/>
  <c r="M4641" i="3"/>
  <c r="M4642" i="3"/>
  <c r="M4643" i="3"/>
  <c r="M4644" i="3"/>
  <c r="M4645" i="3"/>
  <c r="M4646" i="3"/>
  <c r="M4647" i="3"/>
  <c r="M4648" i="3"/>
  <c r="M4649" i="3"/>
  <c r="M4650" i="3"/>
  <c r="M4651" i="3"/>
  <c r="M4652" i="3"/>
  <c r="M4653" i="3"/>
  <c r="M4654" i="3"/>
  <c r="M4655" i="3"/>
  <c r="M4" i="3"/>
  <c r="M5" i="3"/>
  <c r="M6" i="3"/>
  <c r="M3" i="3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4" i="1"/>
  <c r="Q3" i="1"/>
  <c r="P3" i="1"/>
  <c r="M11" i="1"/>
  <c r="M15" i="1"/>
  <c r="M19" i="1"/>
  <c r="M23" i="1"/>
  <c r="M27" i="1"/>
  <c r="L4" i="1"/>
  <c r="L8" i="1"/>
  <c r="L12" i="1"/>
  <c r="L16" i="1"/>
  <c r="L20" i="1"/>
  <c r="L24" i="1"/>
  <c r="L28" i="1"/>
  <c r="K5" i="1"/>
  <c r="K9" i="1"/>
  <c r="C11" i="1" a="1"/>
  <c r="C11" i="1" s="1"/>
  <c r="F11" i="1" s="1"/>
  <c r="C12" i="1" a="1"/>
  <c r="C12" i="1" s="1"/>
  <c r="F12" i="1" s="1"/>
  <c r="C13" i="1" a="1"/>
  <c r="C13" i="1" s="1"/>
  <c r="F13" i="1" s="1"/>
  <c r="C14" i="1" a="1"/>
  <c r="C14" i="1" s="1"/>
  <c r="F14" i="1" s="1"/>
  <c r="C15" i="1" a="1"/>
  <c r="C15" i="1" s="1"/>
  <c r="F15" i="1" s="1"/>
  <c r="C16" i="1" a="1"/>
  <c r="C16" i="1" s="1"/>
  <c r="F16" i="1" s="1"/>
  <c r="C18" i="1" a="1"/>
  <c r="C18" i="1" s="1"/>
  <c r="F18" i="1" s="1"/>
  <c r="C19" i="1" a="1"/>
  <c r="C19" i="1" s="1"/>
  <c r="F19" i="1" s="1"/>
  <c r="C20" i="1" a="1"/>
  <c r="C20" i="1" s="1"/>
  <c r="F20" i="1" s="1"/>
  <c r="C21" i="1" a="1"/>
  <c r="C21" i="1" s="1"/>
  <c r="F21" i="1" s="1"/>
  <c r="C22" i="1" a="1"/>
  <c r="C22" i="1" s="1"/>
  <c r="F22" i="1" s="1"/>
  <c r="C23" i="1" a="1"/>
  <c r="C23" i="1" s="1"/>
  <c r="F23" i="1" s="1"/>
  <c r="C24" i="1" a="1"/>
  <c r="C24" i="1" s="1"/>
  <c r="F24" i="1" s="1"/>
  <c r="C25" i="1" a="1"/>
  <c r="C25" i="1" s="1"/>
  <c r="F25" i="1" s="1"/>
  <c r="C26" i="1" a="1"/>
  <c r="C26" i="1" s="1"/>
  <c r="F26" i="1" s="1"/>
  <c r="C27" i="1" a="1"/>
  <c r="C27" i="1" s="1"/>
  <c r="F27" i="1" s="1"/>
  <c r="C28" i="1" a="1"/>
  <c r="C28" i="1" s="1"/>
  <c r="F28" i="1" s="1"/>
  <c r="C29" i="1" a="1"/>
  <c r="C29" i="1" s="1"/>
  <c r="F29" i="1" s="1"/>
  <c r="C4" i="1" a="1"/>
  <c r="C4" i="1" s="1"/>
  <c r="F4" i="1" s="1"/>
  <c r="C5" i="1" a="1"/>
  <c r="C5" i="1" s="1"/>
  <c r="F5" i="1" s="1"/>
  <c r="C6" i="1" a="1"/>
  <c r="C6" i="1" s="1"/>
  <c r="F6" i="1" s="1"/>
  <c r="C7" i="1" a="1"/>
  <c r="C7" i="1" s="1"/>
  <c r="F7" i="1" s="1"/>
  <c r="C8" i="1" a="1"/>
  <c r="C8" i="1" s="1"/>
  <c r="F8" i="1" s="1"/>
  <c r="C9" i="1" a="1"/>
  <c r="C9" i="1" s="1"/>
  <c r="F9" i="1" s="1"/>
  <c r="C10" i="1" a="1"/>
  <c r="C10" i="1" s="1"/>
  <c r="F10" i="1" s="1"/>
  <c r="C3" i="1" a="1"/>
  <c r="C3" i="1" s="1"/>
  <c r="F3" i="1" s="1"/>
  <c r="K29" i="1" l="1"/>
  <c r="K17" i="1"/>
  <c r="K28" i="1"/>
  <c r="K24" i="1"/>
  <c r="K20" i="1"/>
  <c r="K16" i="1"/>
  <c r="K12" i="1"/>
  <c r="K8" i="1"/>
  <c r="K4" i="1"/>
  <c r="L27" i="1"/>
  <c r="L23" i="1"/>
  <c r="L19" i="1"/>
  <c r="L15" i="1"/>
  <c r="L11" i="1"/>
  <c r="L7" i="1"/>
  <c r="M3" i="1"/>
  <c r="M26" i="1"/>
  <c r="M22" i="1"/>
  <c r="M18" i="1"/>
  <c r="M14" i="1"/>
  <c r="M10" i="1"/>
  <c r="M6" i="1"/>
  <c r="K25" i="1"/>
  <c r="K13" i="1"/>
  <c r="K27" i="1"/>
  <c r="K23" i="1"/>
  <c r="K19" i="1"/>
  <c r="K15" i="1"/>
  <c r="K11" i="1"/>
  <c r="K7" i="1"/>
  <c r="L3" i="1"/>
  <c r="L26" i="1"/>
  <c r="L22" i="1"/>
  <c r="L18" i="1"/>
  <c r="L14" i="1"/>
  <c r="L10" i="1"/>
  <c r="L6" i="1"/>
  <c r="M29" i="1"/>
  <c r="M25" i="1"/>
  <c r="M21" i="1"/>
  <c r="M17" i="1"/>
  <c r="M13" i="1"/>
  <c r="M9" i="1"/>
  <c r="M5" i="1"/>
  <c r="K21" i="1"/>
  <c r="M7" i="1"/>
  <c r="K3" i="1"/>
  <c r="K26" i="1"/>
  <c r="K22" i="1"/>
  <c r="K18" i="1"/>
  <c r="K14" i="1"/>
  <c r="K10" i="1"/>
  <c r="K6" i="1"/>
  <c r="L29" i="1"/>
  <c r="L25" i="1"/>
  <c r="L21" i="1"/>
  <c r="L17" i="1"/>
  <c r="L13" i="1"/>
  <c r="L9" i="1"/>
  <c r="L5" i="1"/>
  <c r="M28" i="1"/>
  <c r="M24" i="1"/>
  <c r="M20" i="1"/>
  <c r="M16" i="1"/>
  <c r="M12" i="1"/>
  <c r="M8" i="1"/>
  <c r="M4" i="1"/>
  <c r="I13" i="1"/>
  <c r="G13" i="1"/>
  <c r="H13" i="1" s="1"/>
  <c r="J13" i="1"/>
  <c r="I6" i="1"/>
  <c r="G6" i="1"/>
  <c r="H6" i="1" s="1"/>
  <c r="J6" i="1"/>
  <c r="I26" i="1"/>
  <c r="G26" i="1"/>
  <c r="H26" i="1" s="1"/>
  <c r="J26" i="1"/>
  <c r="J20" i="1"/>
  <c r="I20" i="1"/>
  <c r="G20" i="1"/>
  <c r="H20" i="1" s="1"/>
  <c r="I14" i="1"/>
  <c r="G14" i="1"/>
  <c r="H14" i="1" s="1"/>
  <c r="J14" i="1"/>
  <c r="J28" i="1"/>
  <c r="I28" i="1"/>
  <c r="G28" i="1"/>
  <c r="H28" i="1" s="1"/>
  <c r="I25" i="1"/>
  <c r="G25" i="1"/>
  <c r="H25" i="1" s="1"/>
  <c r="J25" i="1"/>
  <c r="J16" i="1"/>
  <c r="I16" i="1"/>
  <c r="G16" i="1"/>
  <c r="H16" i="1" s="1"/>
  <c r="G3" i="1"/>
  <c r="H3" i="1" s="1"/>
  <c r="J3" i="1"/>
  <c r="I3" i="1"/>
  <c r="J7" i="1"/>
  <c r="I7" i="1"/>
  <c r="G7" i="1"/>
  <c r="H7" i="1" s="1"/>
  <c r="J24" i="1"/>
  <c r="I24" i="1"/>
  <c r="G24" i="1"/>
  <c r="H24" i="1" s="1"/>
  <c r="J19" i="1"/>
  <c r="I19" i="1"/>
  <c r="G19" i="1"/>
  <c r="H19" i="1" s="1"/>
  <c r="J12" i="1"/>
  <c r="I12" i="1"/>
  <c r="G12" i="1"/>
  <c r="H12" i="1" s="1"/>
  <c r="I9" i="1"/>
  <c r="G9" i="1"/>
  <c r="H9" i="1" s="1"/>
  <c r="J9" i="1"/>
  <c r="I29" i="1"/>
  <c r="G29" i="1"/>
  <c r="H29" i="1" s="1"/>
  <c r="J29" i="1"/>
  <c r="J23" i="1"/>
  <c r="I23" i="1"/>
  <c r="G23" i="1"/>
  <c r="H23" i="1" s="1"/>
  <c r="I17" i="1"/>
  <c r="G17" i="1"/>
  <c r="H17" i="1" s="1"/>
  <c r="J17" i="1"/>
  <c r="J8" i="1"/>
  <c r="I8" i="1"/>
  <c r="G8" i="1"/>
  <c r="H8" i="1" s="1"/>
  <c r="I5" i="1"/>
  <c r="G5" i="1"/>
  <c r="H5" i="1" s="1"/>
  <c r="J5" i="1"/>
  <c r="I22" i="1"/>
  <c r="G22" i="1"/>
  <c r="H22" i="1" s="1"/>
  <c r="J22" i="1"/>
  <c r="I10" i="1"/>
  <c r="G10" i="1"/>
  <c r="H10" i="1" s="1"/>
  <c r="J10" i="1"/>
  <c r="J4" i="1"/>
  <c r="I4" i="1"/>
  <c r="G4" i="1"/>
  <c r="H4" i="1" s="1"/>
  <c r="J27" i="1"/>
  <c r="I27" i="1"/>
  <c r="G27" i="1"/>
  <c r="H27" i="1" s="1"/>
  <c r="I21" i="1"/>
  <c r="G21" i="1"/>
  <c r="H21" i="1" s="1"/>
  <c r="J21" i="1"/>
  <c r="I18" i="1"/>
  <c r="G18" i="1"/>
  <c r="H18" i="1" s="1"/>
  <c r="J18" i="1"/>
  <c r="J15" i="1"/>
  <c r="I15" i="1"/>
  <c r="G15" i="1"/>
  <c r="H15" i="1" s="1"/>
  <c r="J11" i="1"/>
  <c r="I11" i="1"/>
  <c r="G11" i="1"/>
  <c r="H11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EFF1A0-E1FA-445E-8342-64058CA33286}" keepAlive="1" name="Query - Employee" description="Connection to the 'Employee' query in the workbook." type="5" refreshedVersion="0" background="1">
    <dbPr connection="Provider=Microsoft.Mashup.OleDb.1;Data Source=$Workbook$;Location=Employee;Extended Properties=&quot;&quot;" command="SELECT * FROM [Employee]"/>
  </connection>
  <connection id="2" xr16:uid="{97249DB6-3D9D-42F0-AB93-6BE230052DA9}" keepAlive="1" name="Query - Employee (2)" description="Connection to the 'Employee (2)' query in the workbook." type="5" refreshedVersion="8" background="1" saveData="1">
    <dbPr connection="Provider=Microsoft.Mashup.OleDb.1;Data Source=$Workbook$;Location=&quot;Employee (2)&quot;;Extended Properties=&quot;&quot;" command="SELECT * FROM [Employee (2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<sst xmlns="http://schemas.openxmlformats.org/spreadsheetml/2006/main" count="18700" uniqueCount="53">
  <si>
    <t>Name</t>
  </si>
  <si>
    <t>Concatination</t>
  </si>
  <si>
    <t>lower</t>
  </si>
  <si>
    <t>upper</t>
  </si>
  <si>
    <t xml:space="preserve">Prefix </t>
  </si>
  <si>
    <t xml:space="preserve">first name </t>
  </si>
  <si>
    <t>last name</t>
  </si>
  <si>
    <t xml:space="preserve">proper </t>
  </si>
  <si>
    <t>length</t>
  </si>
  <si>
    <t>right</t>
  </si>
  <si>
    <t>left</t>
  </si>
  <si>
    <t>mid</t>
  </si>
  <si>
    <t>Mr. Raj rahane</t>
  </si>
  <si>
    <t>Mr. Rahul shele</t>
  </si>
  <si>
    <t>Mrs. Rani Rahane</t>
  </si>
  <si>
    <t>Mr. Prajwal Gavali</t>
  </si>
  <si>
    <t>Mr. Viru Gavali</t>
  </si>
  <si>
    <t>Mr. Nikhil Gavali</t>
  </si>
  <si>
    <t>Mr. Jay Gavali</t>
  </si>
  <si>
    <t>Mr. Gayatri Hiwale</t>
  </si>
  <si>
    <t>Mr. Akash Hiwale</t>
  </si>
  <si>
    <t>text</t>
  </si>
  <si>
    <t>find (case sensitive)</t>
  </si>
  <si>
    <t>search( non case senitive)</t>
  </si>
  <si>
    <t>substitue</t>
  </si>
  <si>
    <t>replace</t>
  </si>
  <si>
    <t xml:space="preserve"> </t>
  </si>
  <si>
    <t>Education</t>
  </si>
  <si>
    <t>JoiningYear</t>
  </si>
  <si>
    <t>City</t>
  </si>
  <si>
    <t>PaymentTier</t>
  </si>
  <si>
    <t>Age</t>
  </si>
  <si>
    <t>Gender</t>
  </si>
  <si>
    <t>EverBenched</t>
  </si>
  <si>
    <t>Bachelors</t>
  </si>
  <si>
    <t>Bangalore</t>
  </si>
  <si>
    <t>Male</t>
  </si>
  <si>
    <t>No</t>
  </si>
  <si>
    <t>Pune</t>
  </si>
  <si>
    <t>Female</t>
  </si>
  <si>
    <t>New Delhi</t>
  </si>
  <si>
    <t>Masters</t>
  </si>
  <si>
    <t>Yes</t>
  </si>
  <si>
    <t>PHD</t>
  </si>
  <si>
    <t>Experience</t>
  </si>
  <si>
    <t>AND</t>
  </si>
  <si>
    <t>OR</t>
  </si>
  <si>
    <t>if else</t>
  </si>
  <si>
    <t>conditions</t>
  </si>
  <si>
    <t>Experienced?</t>
  </si>
  <si>
    <t>Live in Pune?</t>
  </si>
  <si>
    <t>is bachalor in pune</t>
  </si>
  <si>
    <t>is male or above 30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</si>
</sst>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0" fillId="0" borderId="0" xfId="0" applyNumberFormat="1"/>
    <xf numFmtId="0" fontId="1" fillId="3" borderId="1" xfId="0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A39F271-18C9-4A60-83B9-D2E193DA2668}" autoFormatId="16" applyNumberFormats="0" applyBorderFormats="0" applyFontFormats="0" applyPatternFormats="0" applyAlignmentFormats="0" applyWidthHeightFormats="0">
  <queryTableRefresh nextId="10">
    <queryTableFields count="8">
      <queryTableField id="1" name="Education" tableColumnId="1"/>
      <queryTableField id="2" name="JoiningYear" tableColumnId="2"/>
      <queryTableField id="3" name="City" tableColumnId="3"/>
      <queryTableField id="4" name="PaymentTier" tableColumnId="4"/>
      <queryTableField id="5" name="Age" tableColumnId="5"/>
      <queryTableField id="6" name="Gender" tableColumnId="6"/>
      <queryTableField id="7" name="EverBenched" tableColumnId="7"/>
      <queryTableField id="8" name="ExperienceInCurrentDomain" tableColumnId="8"/>
    </queryTableFields>
    <queryTableDeletedFields count="1">
      <deletedField name="LeaveOrNo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FB5541-C407-4891-8CD9-2194D97A8F30}" name="Employee__2" displayName="Employee__2" ref="D2:K4655" tableType="queryTable" totalsRowShown="0">
  <autoFilter ref="D2:K4655" xr:uid="{EAFB5541-C407-4891-8CD9-2194D97A8F30}"/>
  <tableColumns count="8">
    <tableColumn id="1" xr3:uid="{5D50F38B-6E8C-41C0-88E0-082441A24C52}" uniqueName="1" name="Education" queryTableFieldId="1" dataDxfId="3"/>
    <tableColumn id="2" xr3:uid="{1EC53BBB-D382-48E3-BA7B-4C409904375E}" uniqueName="2" name="JoiningYear" queryTableFieldId="2"/>
    <tableColumn id="3" xr3:uid="{9C28D4E5-2199-4C6F-B609-CB4FC4318BB6}" uniqueName="3" name="City" queryTableFieldId="3" dataDxfId="2"/>
    <tableColumn id="4" xr3:uid="{EFC7F7C3-54E2-4FE2-98C0-C5B31FCE61B0}" uniqueName="4" name="PaymentTier" queryTableFieldId="4"/>
    <tableColumn id="5" xr3:uid="{41C2A57B-3B91-454E-9E3B-C5D13A45FCE2}" uniqueName="5" name="Age" queryTableFieldId="5"/>
    <tableColumn id="6" xr3:uid="{2790B368-05FA-44F4-9536-6178F32792E2}" uniqueName="6" name="Gender" queryTableFieldId="6" dataDxfId="1"/>
    <tableColumn id="7" xr3:uid="{553C207D-7682-4CF4-B5B6-CDCA5F33019B}" uniqueName="7" name="EverBenched" queryTableFieldId="7" dataDxfId="0"/>
    <tableColumn id="8" xr3:uid="{5F9A9847-FBCB-4C4F-9C81-E78D16CDF712}" uniqueName="8" name="Experience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29"/>
  <sheetViews>
    <sheetView tabSelected="1" workbookViewId="0">
      <selection activeCell="C17" sqref="C17"/>
    </sheetView>
  </sheetViews>
  <sheetFormatPr defaultRowHeight="15" x14ac:dyDescent="0.25"/>
  <cols>
    <col min="2" max="2" width="17.5703125" bestFit="1" customWidth="1"/>
    <col min="3" max="3" width="6.7109375" bestFit="1" customWidth="1"/>
    <col min="4" max="4" width="10.42578125" bestFit="1" customWidth="1"/>
    <col min="5" max="5" width="9.5703125" bestFit="1" customWidth="1"/>
    <col min="6" max="6" width="17.5703125" bestFit="1" customWidth="1"/>
    <col min="7" max="7" width="17" bestFit="1" customWidth="1"/>
    <col min="8" max="8" width="20.42578125" bestFit="1" customWidth="1"/>
    <col min="9" max="9" width="17.5703125" bestFit="1" customWidth="1"/>
    <col min="10" max="10" width="6.7109375" bestFit="1" customWidth="1"/>
    <col min="11" max="11" width="4.42578125" bestFit="1" customWidth="1"/>
    <col min="12" max="12" width="5.140625" bestFit="1" customWidth="1"/>
    <col min="13" max="13" width="6.42578125" bestFit="1" customWidth="1"/>
    <col min="15" max="15" width="17.5703125" bestFit="1" customWidth="1"/>
    <col min="16" max="16" width="19" bestFit="1" customWidth="1"/>
    <col min="17" max="17" width="24.28515625" bestFit="1" customWidth="1"/>
    <col min="18" max="18" width="18" bestFit="1" customWidth="1"/>
    <col min="19" max="19" width="17.5703125" bestFit="1" customWidth="1"/>
  </cols>
  <sheetData>
    <row r="1" spans="2:19" ht="15.75" thickBot="1" x14ac:dyDescent="0.3">
      <c r="S1" t="s">
        <v>26</v>
      </c>
    </row>
    <row r="2" spans="2:19" ht="15.75" thickBot="1" x14ac:dyDescent="0.3">
      <c r="B2" s="3" t="s">
        <v>0</v>
      </c>
      <c r="C2" s="4" t="s">
        <v>4</v>
      </c>
      <c r="D2" s="4" t="s">
        <v>5</v>
      </c>
      <c r="E2" s="4" t="s">
        <v>6</v>
      </c>
      <c r="F2" s="4" t="s">
        <v>1</v>
      </c>
      <c r="G2" s="4" t="s">
        <v>2</v>
      </c>
      <c r="H2" s="4" t="s">
        <v>3</v>
      </c>
      <c r="I2" s="4" t="s">
        <v>7</v>
      </c>
      <c r="J2" s="4" t="s">
        <v>8</v>
      </c>
      <c r="K2" s="4" t="s">
        <v>10</v>
      </c>
      <c r="L2" s="4" t="s">
        <v>9</v>
      </c>
      <c r="M2" s="5" t="s">
        <v>11</v>
      </c>
      <c r="O2" s="4" t="s">
        <v>21</v>
      </c>
      <c r="P2" s="4" t="s">
        <v>22</v>
      </c>
      <c r="Q2" s="4" t="s">
        <v>23</v>
      </c>
      <c r="R2" s="4" t="s">
        <v>24</v>
      </c>
      <c r="S2" s="4" t="s">
        <v>25</v>
      </c>
    </row>
    <row r="3" spans="2:19" x14ac:dyDescent="0.25">
      <c r="B3" s="2" t="s">
        <v>12</v>
      </c>
      <c r="C3" s="2" t="str" cm="1">
        <f t="array" ref="C3:E3">_xlfn.TEXTSPLIT(TRIM(B3)," ")</f>
        <v>Mr.</v>
      </c>
      <c r="D3" s="2" t="str">
        <v>Raj</v>
      </c>
      <c r="E3" s="2" t="str">
        <v>rahane</v>
      </c>
      <c r="F3" s="2" t="str">
        <f>CONCATENATE(C3," ",D3," ",E3,)</f>
        <v>Mr. Raj rahane</v>
      </c>
      <c r="G3" s="2" t="str">
        <f>LOWER(F3)</f>
        <v>mr. raj rahane</v>
      </c>
      <c r="H3" s="2" t="str">
        <f>UPPER(G3)</f>
        <v>MR. RAJ RAHANE</v>
      </c>
      <c r="I3" s="2" t="str">
        <f>PROPER(F3)</f>
        <v>Mr. Raj Rahane</v>
      </c>
      <c r="J3" s="2">
        <f>LEN(F3)</f>
        <v>14</v>
      </c>
      <c r="K3" s="2" t="str">
        <f>LEFT(E3,3)</f>
        <v>rah</v>
      </c>
      <c r="L3" s="2" t="str">
        <f>RIGHT(D3,3)</f>
        <v>Raj</v>
      </c>
      <c r="M3" s="2" t="str">
        <f>MID(E3,2,5)</f>
        <v>ahane</v>
      </c>
      <c r="O3" s="2" t="s">
        <v>12</v>
      </c>
      <c r="P3" s="2">
        <f>FIND("R",O3)</f>
        <v>5</v>
      </c>
      <c r="Q3" s="2">
        <f>SEARCH("R",O3)</f>
        <v>2</v>
      </c>
      <c r="R3" s="2" t="str">
        <f>SUBSTITUTE(O3,"r","K",1)</f>
        <v>MK. Raj rahane</v>
      </c>
      <c r="S3" s="2" t="str">
        <f>REPLACE(O3,3,1,":")</f>
        <v>Mr: Raj rahane</v>
      </c>
    </row>
    <row r="4" spans="2:19" x14ac:dyDescent="0.25">
      <c r="B4" s="1" t="s">
        <v>13</v>
      </c>
      <c r="C4" s="1" t="str" cm="1">
        <f t="array" ref="C4:E4">_xlfn.TEXTSPLIT(TRIM(B4)," ")</f>
        <v>Mr.</v>
      </c>
      <c r="D4" s="1" t="str">
        <v>Rahul</v>
      </c>
      <c r="E4" s="1" t="str">
        <v>shele</v>
      </c>
      <c r="F4" s="1" t="str">
        <f t="shared" ref="F4:F29" si="0">CONCATENATE(C4," ",D4," ",E4,)</f>
        <v>Mr. Rahul shele</v>
      </c>
      <c r="G4" s="1" t="str">
        <f t="shared" ref="G4:G29" si="1">LOWER(F4)</f>
        <v>mr. rahul shele</v>
      </c>
      <c r="H4" s="1" t="str">
        <f t="shared" ref="H4:H29" si="2">UPPER(G4)</f>
        <v>MR. RAHUL SHELE</v>
      </c>
      <c r="I4" s="1" t="str">
        <f t="shared" ref="I4:I29" si="3">PROPER(F4)</f>
        <v>Mr. Rahul Shele</v>
      </c>
      <c r="J4" s="1">
        <f t="shared" ref="J4:J29" si="4">LEN(F4)</f>
        <v>15</v>
      </c>
      <c r="K4" s="2" t="str">
        <f t="shared" ref="K4:K29" si="5">LEFT(E4,3)</f>
        <v>she</v>
      </c>
      <c r="L4" s="2" t="str">
        <f t="shared" ref="L4:L29" si="6">RIGHT(D4,3)</f>
        <v>hul</v>
      </c>
      <c r="M4" s="2" t="str">
        <f t="shared" ref="M4:M29" si="7">MID(E4,2,5)</f>
        <v>hele</v>
      </c>
      <c r="O4" s="1" t="s">
        <v>13</v>
      </c>
      <c r="P4" s="2">
        <f>FIND("R",O4)</f>
        <v>5</v>
      </c>
      <c r="Q4" s="2">
        <f t="shared" ref="Q4:Q29" si="8">SEARCH("R",O4)</f>
        <v>2</v>
      </c>
      <c r="R4" s="2" t="str">
        <f t="shared" ref="R4:R29" si="9">SUBSTITUTE(O4,"r","K",1)</f>
        <v>MK. Rahul shele</v>
      </c>
      <c r="S4" s="2" t="str">
        <f>REPLACE(O4,3,1,":")</f>
        <v>Mr: Rahul shele</v>
      </c>
    </row>
    <row r="5" spans="2:19" x14ac:dyDescent="0.25">
      <c r="B5" s="1" t="s">
        <v>14</v>
      </c>
      <c r="C5" s="1" t="str" cm="1">
        <f t="array" ref="C5:E5">_xlfn.TEXTSPLIT(TRIM(B5)," ")</f>
        <v>Mrs.</v>
      </c>
      <c r="D5" s="1" t="str">
        <v>Rani</v>
      </c>
      <c r="E5" s="1" t="str">
        <v>Rahane</v>
      </c>
      <c r="F5" s="1" t="str">
        <f t="shared" si="0"/>
        <v>Mrs. Rani Rahane</v>
      </c>
      <c r="G5" s="1" t="str">
        <f t="shared" si="1"/>
        <v>mrs. rani rahane</v>
      </c>
      <c r="H5" s="1" t="str">
        <f t="shared" si="2"/>
        <v>MRS. RANI RAHANE</v>
      </c>
      <c r="I5" s="1" t="str">
        <f t="shared" si="3"/>
        <v>Mrs. Rani Rahane</v>
      </c>
      <c r="J5" s="1">
        <f t="shared" si="4"/>
        <v>16</v>
      </c>
      <c r="K5" s="2" t="str">
        <f t="shared" si="5"/>
        <v>Rah</v>
      </c>
      <c r="L5" s="2" t="str">
        <f t="shared" si="6"/>
        <v>ani</v>
      </c>
      <c r="M5" s="2" t="str">
        <f t="shared" si="7"/>
        <v>ahane</v>
      </c>
      <c r="O5" s="1" t="s">
        <v>14</v>
      </c>
      <c r="P5" s="2">
        <f t="shared" ref="P5:P29" si="10">FIND("R",O5)</f>
        <v>6</v>
      </c>
      <c r="Q5" s="2">
        <f t="shared" si="8"/>
        <v>2</v>
      </c>
      <c r="R5" s="2" t="str">
        <f t="shared" si="9"/>
        <v>MKs. Rani Rahane</v>
      </c>
      <c r="S5" s="2" t="str">
        <f>REPLACE(O5,3,1,":")</f>
        <v>Mr:. Rani Rahane</v>
      </c>
    </row>
    <row r="6" spans="2:19" x14ac:dyDescent="0.25">
      <c r="B6" s="1" t="s">
        <v>12</v>
      </c>
      <c r="C6" s="1" t="str" cm="1">
        <f t="array" ref="C6:E6">_xlfn.TEXTSPLIT(TRIM(B6)," ")</f>
        <v>Mr.</v>
      </c>
      <c r="D6" s="1" t="str">
        <v>Raj</v>
      </c>
      <c r="E6" s="1" t="str">
        <v>rahane</v>
      </c>
      <c r="F6" s="1" t="str">
        <f t="shared" si="0"/>
        <v>Mr. Raj rahane</v>
      </c>
      <c r="G6" s="1" t="str">
        <f t="shared" si="1"/>
        <v>mr. raj rahane</v>
      </c>
      <c r="H6" s="1" t="str">
        <f t="shared" si="2"/>
        <v>MR. RAJ RAHANE</v>
      </c>
      <c r="I6" s="1" t="str">
        <f t="shared" si="3"/>
        <v>Mr. Raj Rahane</v>
      </c>
      <c r="J6" s="1">
        <f t="shared" si="4"/>
        <v>14</v>
      </c>
      <c r="K6" s="2" t="str">
        <f t="shared" si="5"/>
        <v>rah</v>
      </c>
      <c r="L6" s="2" t="str">
        <f t="shared" si="6"/>
        <v>Raj</v>
      </c>
      <c r="M6" s="2" t="str">
        <f t="shared" si="7"/>
        <v>ahane</v>
      </c>
      <c r="O6" s="1" t="s">
        <v>12</v>
      </c>
      <c r="P6" s="2">
        <f t="shared" si="10"/>
        <v>5</v>
      </c>
      <c r="Q6" s="2">
        <f t="shared" si="8"/>
        <v>2</v>
      </c>
      <c r="R6" s="2" t="str">
        <f t="shared" si="9"/>
        <v>MK. Raj rahane</v>
      </c>
      <c r="S6" s="2" t="str">
        <f>REPLACE(O6,3,1,":")</f>
        <v>Mr: Raj rahane</v>
      </c>
    </row>
    <row r="7" spans="2:19" x14ac:dyDescent="0.25">
      <c r="B7" s="1" t="s">
        <v>13</v>
      </c>
      <c r="C7" s="1" t="str" cm="1">
        <f t="array" ref="C7:E7">_xlfn.TEXTSPLIT(TRIM(B7)," ")</f>
        <v>Mr.</v>
      </c>
      <c r="D7" s="1" t="str">
        <v>Rahul</v>
      </c>
      <c r="E7" s="1" t="str">
        <v>shele</v>
      </c>
      <c r="F7" s="1" t="str">
        <f t="shared" si="0"/>
        <v>Mr. Rahul shele</v>
      </c>
      <c r="G7" s="1" t="str">
        <f t="shared" si="1"/>
        <v>mr. rahul shele</v>
      </c>
      <c r="H7" s="1" t="str">
        <f t="shared" si="2"/>
        <v>MR. RAHUL SHELE</v>
      </c>
      <c r="I7" s="1" t="str">
        <f t="shared" si="3"/>
        <v>Mr. Rahul Shele</v>
      </c>
      <c r="J7" s="1">
        <f t="shared" si="4"/>
        <v>15</v>
      </c>
      <c r="K7" s="2" t="str">
        <f t="shared" si="5"/>
        <v>she</v>
      </c>
      <c r="L7" s="2" t="str">
        <f t="shared" si="6"/>
        <v>hul</v>
      </c>
      <c r="M7" s="2" t="str">
        <f t="shared" si="7"/>
        <v>hele</v>
      </c>
      <c r="O7" s="1" t="s">
        <v>13</v>
      </c>
      <c r="P7" s="2">
        <f t="shared" si="10"/>
        <v>5</v>
      </c>
      <c r="Q7" s="2">
        <f t="shared" si="8"/>
        <v>2</v>
      </c>
      <c r="R7" s="2" t="str">
        <f t="shared" si="9"/>
        <v>MK. Rahul shele</v>
      </c>
      <c r="S7" s="2" t="str">
        <f>REPLACE(O7,3,1,":")</f>
        <v>Mr: Rahul shele</v>
      </c>
    </row>
    <row r="8" spans="2:19" x14ac:dyDescent="0.25">
      <c r="B8" s="1" t="s">
        <v>14</v>
      </c>
      <c r="C8" s="1" t="str" cm="1">
        <f t="array" ref="C8:E8">_xlfn.TEXTSPLIT(TRIM(B8)," ")</f>
        <v>Mrs.</v>
      </c>
      <c r="D8" s="1" t="str">
        <v>Rani</v>
      </c>
      <c r="E8" s="1" t="str">
        <v>Rahane</v>
      </c>
      <c r="F8" s="1" t="str">
        <f t="shared" si="0"/>
        <v>Mrs. Rani Rahane</v>
      </c>
      <c r="G8" s="1" t="str">
        <f t="shared" si="1"/>
        <v>mrs. rani rahane</v>
      </c>
      <c r="H8" s="1" t="str">
        <f t="shared" si="2"/>
        <v>MRS. RANI RAHANE</v>
      </c>
      <c r="I8" s="1" t="str">
        <f t="shared" si="3"/>
        <v>Mrs. Rani Rahane</v>
      </c>
      <c r="J8" s="1">
        <f t="shared" si="4"/>
        <v>16</v>
      </c>
      <c r="K8" s="2" t="str">
        <f t="shared" si="5"/>
        <v>Rah</v>
      </c>
      <c r="L8" s="2" t="str">
        <f t="shared" si="6"/>
        <v>ani</v>
      </c>
      <c r="M8" s="2" t="str">
        <f t="shared" si="7"/>
        <v>ahane</v>
      </c>
      <c r="O8" s="1" t="s">
        <v>14</v>
      </c>
      <c r="P8" s="2">
        <f t="shared" si="10"/>
        <v>6</v>
      </c>
      <c r="Q8" s="2">
        <f t="shared" si="8"/>
        <v>2</v>
      </c>
      <c r="R8" s="2" t="str">
        <f t="shared" si="9"/>
        <v>MKs. Rani Rahane</v>
      </c>
      <c r="S8" s="2" t="str">
        <f>REPLACE(O8,3,1,":")</f>
        <v>Mr:. Rani Rahane</v>
      </c>
    </row>
    <row r="9" spans="2:19" x14ac:dyDescent="0.25">
      <c r="B9" s="1" t="s">
        <v>15</v>
      </c>
      <c r="C9" s="1" t="str" cm="1">
        <f t="array" ref="C9:E9">_xlfn.TEXTSPLIT(TRIM(B9)," ")</f>
        <v>Mr.</v>
      </c>
      <c r="D9" s="1" t="str">
        <v>Prajwal</v>
      </c>
      <c r="E9" s="1" t="str">
        <v>Gavali</v>
      </c>
      <c r="F9" s="1" t="str">
        <f t="shared" si="0"/>
        <v>Mr. Prajwal Gavali</v>
      </c>
      <c r="G9" s="1" t="str">
        <f t="shared" si="1"/>
        <v>mr. prajwal gavali</v>
      </c>
      <c r="H9" s="1" t="str">
        <f t="shared" si="2"/>
        <v>MR. PRAJWAL GAVALI</v>
      </c>
      <c r="I9" s="1" t="str">
        <f t="shared" si="3"/>
        <v>Mr. Prajwal Gavali</v>
      </c>
      <c r="J9" s="1">
        <f t="shared" si="4"/>
        <v>18</v>
      </c>
      <c r="K9" s="2" t="str">
        <f t="shared" si="5"/>
        <v>Gav</v>
      </c>
      <c r="L9" s="2" t="str">
        <f t="shared" si="6"/>
        <v>wal</v>
      </c>
      <c r="M9" s="2" t="str">
        <f t="shared" si="7"/>
        <v>avali</v>
      </c>
      <c r="O9" s="1" t="s">
        <v>15</v>
      </c>
      <c r="P9" s="2" t="e">
        <f t="shared" si="10"/>
        <v>#VALUE!</v>
      </c>
      <c r="Q9" s="2">
        <f t="shared" si="8"/>
        <v>2</v>
      </c>
      <c r="R9" s="2" t="str">
        <f t="shared" si="9"/>
        <v>MK. Prajwal Gavali</v>
      </c>
      <c r="S9" s="2" t="str">
        <f>REPLACE(O9,3,1,":")</f>
        <v>Mr: Prajwal Gavali</v>
      </c>
    </row>
    <row r="10" spans="2:19" x14ac:dyDescent="0.25">
      <c r="B10" s="1" t="s">
        <v>16</v>
      </c>
      <c r="C10" s="1" t="str" cm="1">
        <f t="array" ref="C10:E10">_xlfn.TEXTSPLIT(TRIM(B10)," ")</f>
        <v>Mr.</v>
      </c>
      <c r="D10" s="1" t="str">
        <v>Viru</v>
      </c>
      <c r="E10" s="1" t="str">
        <v>Gavali</v>
      </c>
      <c r="F10" s="1" t="str">
        <f t="shared" si="0"/>
        <v>Mr. Viru Gavali</v>
      </c>
      <c r="G10" s="1" t="str">
        <f t="shared" si="1"/>
        <v>mr. viru gavali</v>
      </c>
      <c r="H10" s="1" t="str">
        <f t="shared" si="2"/>
        <v>MR. VIRU GAVALI</v>
      </c>
      <c r="I10" s="1" t="str">
        <f t="shared" si="3"/>
        <v>Mr. Viru Gavali</v>
      </c>
      <c r="J10" s="1">
        <f t="shared" si="4"/>
        <v>15</v>
      </c>
      <c r="K10" s="2" t="str">
        <f t="shared" si="5"/>
        <v>Gav</v>
      </c>
      <c r="L10" s="2" t="str">
        <f t="shared" si="6"/>
        <v>iru</v>
      </c>
      <c r="M10" s="2" t="str">
        <f t="shared" si="7"/>
        <v>avali</v>
      </c>
      <c r="O10" s="1" t="s">
        <v>16</v>
      </c>
      <c r="P10" s="2" t="e">
        <f t="shared" si="10"/>
        <v>#VALUE!</v>
      </c>
      <c r="Q10" s="2">
        <f t="shared" si="8"/>
        <v>2</v>
      </c>
      <c r="R10" s="2" t="str">
        <f t="shared" si="9"/>
        <v>MK. Viru Gavali</v>
      </c>
      <c r="S10" s="2" t="str">
        <f>REPLACE(O10,3,1,":")</f>
        <v>Mr: Viru Gavali</v>
      </c>
    </row>
    <row r="11" spans="2:19" x14ac:dyDescent="0.25">
      <c r="B11" s="1" t="s">
        <v>17</v>
      </c>
      <c r="C11" s="1" t="str" cm="1">
        <f t="array" ref="C11:E11">_xlfn.TEXTSPLIT(TRIM(B11)," ")</f>
        <v>Mr.</v>
      </c>
      <c r="D11" s="1" t="str">
        <v>Nikhil</v>
      </c>
      <c r="E11" s="1" t="str">
        <v>Gavali</v>
      </c>
      <c r="F11" s="1" t="str">
        <f t="shared" si="0"/>
        <v>Mr. Nikhil Gavali</v>
      </c>
      <c r="G11" s="1" t="str">
        <f t="shared" si="1"/>
        <v>mr. nikhil gavali</v>
      </c>
      <c r="H11" s="1" t="str">
        <f t="shared" si="2"/>
        <v>MR. NIKHIL GAVALI</v>
      </c>
      <c r="I11" s="1" t="str">
        <f t="shared" si="3"/>
        <v>Mr. Nikhil Gavali</v>
      </c>
      <c r="J11" s="1">
        <f t="shared" si="4"/>
        <v>17</v>
      </c>
      <c r="K11" s="2" t="str">
        <f t="shared" si="5"/>
        <v>Gav</v>
      </c>
      <c r="L11" s="2" t="str">
        <f t="shared" si="6"/>
        <v>hil</v>
      </c>
      <c r="M11" s="2" t="str">
        <f t="shared" si="7"/>
        <v>avali</v>
      </c>
      <c r="O11" s="1" t="s">
        <v>17</v>
      </c>
      <c r="P11" s="2" t="e">
        <f t="shared" si="10"/>
        <v>#VALUE!</v>
      </c>
      <c r="Q11" s="2">
        <f t="shared" si="8"/>
        <v>2</v>
      </c>
      <c r="R11" s="2" t="str">
        <f t="shared" si="9"/>
        <v>MK. Nikhil Gavali</v>
      </c>
      <c r="S11" s="2" t="str">
        <f>REPLACE(O11,3,1,":")</f>
        <v>Mr: Nikhil Gavali</v>
      </c>
    </row>
    <row r="12" spans="2:19" x14ac:dyDescent="0.25">
      <c r="B12" s="1" t="s">
        <v>18</v>
      </c>
      <c r="C12" s="1" t="str" cm="1">
        <f t="array" ref="C12:E12">_xlfn.TEXTSPLIT(TRIM(B12)," ")</f>
        <v>Mr.</v>
      </c>
      <c r="D12" s="1" t="str">
        <v>Jay</v>
      </c>
      <c r="E12" s="1" t="str">
        <v>Gavali</v>
      </c>
      <c r="F12" s="1" t="str">
        <f t="shared" si="0"/>
        <v>Mr. Jay Gavali</v>
      </c>
      <c r="G12" s="1" t="str">
        <f t="shared" si="1"/>
        <v>mr. jay gavali</v>
      </c>
      <c r="H12" s="1" t="str">
        <f t="shared" si="2"/>
        <v>MR. JAY GAVALI</v>
      </c>
      <c r="I12" s="1" t="str">
        <f t="shared" si="3"/>
        <v>Mr. Jay Gavali</v>
      </c>
      <c r="J12" s="1">
        <f t="shared" si="4"/>
        <v>14</v>
      </c>
      <c r="K12" s="2" t="str">
        <f t="shared" si="5"/>
        <v>Gav</v>
      </c>
      <c r="L12" s="2" t="str">
        <f t="shared" si="6"/>
        <v>Jay</v>
      </c>
      <c r="M12" s="2" t="str">
        <f t="shared" si="7"/>
        <v>avali</v>
      </c>
      <c r="O12" s="1" t="s">
        <v>18</v>
      </c>
      <c r="P12" s="2" t="e">
        <f t="shared" si="10"/>
        <v>#VALUE!</v>
      </c>
      <c r="Q12" s="2">
        <f t="shared" si="8"/>
        <v>2</v>
      </c>
      <c r="R12" s="2" t="str">
        <f t="shared" si="9"/>
        <v>MK. Jay Gavali</v>
      </c>
      <c r="S12" s="2" t="str">
        <f>REPLACE(O12,3,1,":")</f>
        <v>Mr: Jay Gavali</v>
      </c>
    </row>
    <row r="13" spans="2:19" x14ac:dyDescent="0.25">
      <c r="B13" s="1" t="s">
        <v>19</v>
      </c>
      <c r="C13" s="1" t="str" cm="1">
        <f t="array" ref="C13:E13">_xlfn.TEXTSPLIT(TRIM(B13)," ")</f>
        <v>Mr.</v>
      </c>
      <c r="D13" s="1" t="str">
        <v>Gayatri</v>
      </c>
      <c r="E13" s="1" t="str">
        <v>Hiwale</v>
      </c>
      <c r="F13" s="1" t="str">
        <f t="shared" si="0"/>
        <v>Mr. Gayatri Hiwale</v>
      </c>
      <c r="G13" s="1" t="str">
        <f t="shared" si="1"/>
        <v>mr. gayatri hiwale</v>
      </c>
      <c r="H13" s="1" t="str">
        <f t="shared" si="2"/>
        <v>MR. GAYATRI HIWALE</v>
      </c>
      <c r="I13" s="1" t="str">
        <f t="shared" si="3"/>
        <v>Mr. Gayatri Hiwale</v>
      </c>
      <c r="J13" s="1">
        <f t="shared" si="4"/>
        <v>18</v>
      </c>
      <c r="K13" s="2" t="str">
        <f t="shared" si="5"/>
        <v>Hiw</v>
      </c>
      <c r="L13" s="2" t="str">
        <f t="shared" si="6"/>
        <v>tri</v>
      </c>
      <c r="M13" s="2" t="str">
        <f t="shared" si="7"/>
        <v>iwale</v>
      </c>
      <c r="O13" s="1" t="s">
        <v>19</v>
      </c>
      <c r="P13" s="2" t="e">
        <f t="shared" si="10"/>
        <v>#VALUE!</v>
      </c>
      <c r="Q13" s="2">
        <f t="shared" si="8"/>
        <v>2</v>
      </c>
      <c r="R13" s="2" t="str">
        <f t="shared" si="9"/>
        <v>MK. Gayatri Hiwale</v>
      </c>
      <c r="S13" s="2" t="str">
        <f>REPLACE(O13,3,1,":")</f>
        <v>Mr: Gayatri Hiwale</v>
      </c>
    </row>
    <row r="14" spans="2:19" x14ac:dyDescent="0.25">
      <c r="B14" s="1" t="s">
        <v>20</v>
      </c>
      <c r="C14" s="1" t="str" cm="1">
        <f t="array" ref="C14:E14">_xlfn.TEXTSPLIT(TRIM(B14)," ")</f>
        <v>Mr.</v>
      </c>
      <c r="D14" s="1" t="str">
        <v>Akash</v>
      </c>
      <c r="E14" s="1" t="str">
        <v>Hiwale</v>
      </c>
      <c r="F14" s="1" t="str">
        <f t="shared" si="0"/>
        <v>Mr. Akash Hiwale</v>
      </c>
      <c r="G14" s="1" t="str">
        <f t="shared" si="1"/>
        <v>mr. akash hiwale</v>
      </c>
      <c r="H14" s="1" t="str">
        <f t="shared" si="2"/>
        <v>MR. AKASH HIWALE</v>
      </c>
      <c r="I14" s="1" t="str">
        <f t="shared" si="3"/>
        <v>Mr. Akash Hiwale</v>
      </c>
      <c r="J14" s="1">
        <f t="shared" si="4"/>
        <v>16</v>
      </c>
      <c r="K14" s="2" t="str">
        <f t="shared" si="5"/>
        <v>Hiw</v>
      </c>
      <c r="L14" s="2" t="str">
        <f t="shared" si="6"/>
        <v>ash</v>
      </c>
      <c r="M14" s="2" t="str">
        <f t="shared" si="7"/>
        <v>iwale</v>
      </c>
      <c r="O14" s="1" t="s">
        <v>20</v>
      </c>
      <c r="P14" s="2" t="e">
        <f t="shared" si="10"/>
        <v>#VALUE!</v>
      </c>
      <c r="Q14" s="2">
        <f t="shared" si="8"/>
        <v>2</v>
      </c>
      <c r="R14" s="2" t="str">
        <f t="shared" si="9"/>
        <v>MK. Akash Hiwale</v>
      </c>
      <c r="S14" s="2" t="str">
        <f>REPLACE(O14,3,1,":")</f>
        <v>Mr: Akash Hiwale</v>
      </c>
    </row>
    <row r="15" spans="2:19" x14ac:dyDescent="0.25">
      <c r="B15" s="1" t="s">
        <v>14</v>
      </c>
      <c r="C15" s="1" t="str" cm="1">
        <f t="array" ref="C15:E15">_xlfn.TEXTSPLIT(TRIM(B15)," ")</f>
        <v>Mrs.</v>
      </c>
      <c r="D15" s="1" t="str">
        <v>Rani</v>
      </c>
      <c r="E15" s="1" t="str">
        <v>Rahane</v>
      </c>
      <c r="F15" s="1" t="str">
        <f t="shared" si="0"/>
        <v>Mrs. Rani Rahane</v>
      </c>
      <c r="G15" s="1" t="str">
        <f t="shared" si="1"/>
        <v>mrs. rani rahane</v>
      </c>
      <c r="H15" s="1" t="str">
        <f t="shared" si="2"/>
        <v>MRS. RANI RAHANE</v>
      </c>
      <c r="I15" s="1" t="str">
        <f t="shared" si="3"/>
        <v>Mrs. Rani Rahane</v>
      </c>
      <c r="J15" s="1">
        <f t="shared" si="4"/>
        <v>16</v>
      </c>
      <c r="K15" s="2" t="str">
        <f t="shared" si="5"/>
        <v>Rah</v>
      </c>
      <c r="L15" s="2" t="str">
        <f t="shared" si="6"/>
        <v>ani</v>
      </c>
      <c r="M15" s="2" t="str">
        <f t="shared" si="7"/>
        <v>ahane</v>
      </c>
      <c r="O15" s="1" t="s">
        <v>14</v>
      </c>
      <c r="P15" s="2">
        <f t="shared" si="10"/>
        <v>6</v>
      </c>
      <c r="Q15" s="2">
        <f t="shared" si="8"/>
        <v>2</v>
      </c>
      <c r="R15" s="2" t="str">
        <f t="shared" si="9"/>
        <v>MKs. Rani Rahane</v>
      </c>
      <c r="S15" s="2" t="str">
        <f>REPLACE(O15,3,1,":")</f>
        <v>Mr:. Rani Rahane</v>
      </c>
    </row>
    <row r="16" spans="2:19" x14ac:dyDescent="0.25">
      <c r="B16" s="1" t="s">
        <v>15</v>
      </c>
      <c r="C16" s="1" t="str" cm="1">
        <f t="array" ref="C16:E16">_xlfn.TEXTSPLIT(TRIM(B16)," ")</f>
        <v>Mr.</v>
      </c>
      <c r="D16" s="1" t="str">
        <v>Prajwal</v>
      </c>
      <c r="E16" s="1" t="str">
        <v>Gavali</v>
      </c>
      <c r="F16" s="1" t="str">
        <f t="shared" si="0"/>
        <v>Mr. Prajwal Gavali</v>
      </c>
      <c r="G16" s="1" t="str">
        <f t="shared" si="1"/>
        <v>mr. prajwal gavali</v>
      </c>
      <c r="H16" s="1" t="str">
        <f t="shared" si="2"/>
        <v>MR. PRAJWAL GAVALI</v>
      </c>
      <c r="I16" s="1" t="str">
        <f t="shared" si="3"/>
        <v>Mr. Prajwal Gavali</v>
      </c>
      <c r="J16" s="1">
        <f t="shared" si="4"/>
        <v>18</v>
      </c>
      <c r="K16" s="2" t="str">
        <f t="shared" si="5"/>
        <v>Gav</v>
      </c>
      <c r="L16" s="2" t="str">
        <f t="shared" si="6"/>
        <v>wal</v>
      </c>
      <c r="M16" s="2" t="str">
        <f t="shared" si="7"/>
        <v>avali</v>
      </c>
      <c r="O16" s="1" t="s">
        <v>15</v>
      </c>
      <c r="P16" s="2" t="e">
        <f t="shared" si="10"/>
        <v>#VALUE!</v>
      </c>
      <c r="Q16" s="2">
        <f t="shared" si="8"/>
        <v>2</v>
      </c>
      <c r="R16" s="2" t="str">
        <f t="shared" si="9"/>
        <v>MK. Prajwal Gavali</v>
      </c>
      <c r="S16" s="2" t="str">
        <f>REPLACE(O16,3,1,":")</f>
        <v>Mr: Prajwal Gavali</v>
      </c>
    </row>
    <row r="17" spans="2:19" x14ac:dyDescent="0.25">
      <c r="B17" s="1" t="s">
        <v>16</v>
      </c>
      <c r="C17" s="1" t="str" cm="1">
        <f t="array" ref="C17:E17">_xlfn.TEXTSPLIT(TRIM(B17)," ")</f>
        <v>Mr.</v>
      </c>
      <c r="D17" s="1" t="str">
        <v>Viru</v>
      </c>
      <c r="E17" s="1" t="str">
        <v>Gavali</v>
      </c>
      <c r="F17" s="1" t="str">
        <f t="shared" si="0"/>
        <v>Mr. Viru Gavali</v>
      </c>
      <c r="G17" s="1" t="str">
        <f t="shared" si="1"/>
        <v>mr. viru gavali</v>
      </c>
      <c r="H17" s="1" t="str">
        <f t="shared" si="2"/>
        <v>MR. VIRU GAVALI</v>
      </c>
      <c r="I17" s="1" t="str">
        <f t="shared" si="3"/>
        <v>Mr. Viru Gavali</v>
      </c>
      <c r="J17" s="1">
        <f t="shared" si="4"/>
        <v>15</v>
      </c>
      <c r="K17" s="2" t="str">
        <f t="shared" si="5"/>
        <v>Gav</v>
      </c>
      <c r="L17" s="2" t="str">
        <f t="shared" si="6"/>
        <v>iru</v>
      </c>
      <c r="M17" s="2" t="str">
        <f t="shared" si="7"/>
        <v>avali</v>
      </c>
      <c r="O17" s="1" t="s">
        <v>16</v>
      </c>
      <c r="P17" s="2" t="e">
        <f t="shared" si="10"/>
        <v>#VALUE!</v>
      </c>
      <c r="Q17" s="2">
        <f t="shared" si="8"/>
        <v>2</v>
      </c>
      <c r="R17" s="2" t="str">
        <f t="shared" si="9"/>
        <v>MK. Viru Gavali</v>
      </c>
      <c r="S17" s="2" t="str">
        <f>REPLACE(O17,3,1,":")</f>
        <v>Mr: Viru Gavali</v>
      </c>
    </row>
    <row r="18" spans="2:19" x14ac:dyDescent="0.25">
      <c r="B18" s="1" t="s">
        <v>17</v>
      </c>
      <c r="C18" s="1" t="str" cm="1">
        <f t="array" ref="C18:E18">_xlfn.TEXTSPLIT(TRIM(B18)," ")</f>
        <v>Mr.</v>
      </c>
      <c r="D18" s="1" t="str">
        <v>Nikhil</v>
      </c>
      <c r="E18" s="1" t="str">
        <v>Gavali</v>
      </c>
      <c r="F18" s="1" t="str">
        <f t="shared" si="0"/>
        <v>Mr. Nikhil Gavali</v>
      </c>
      <c r="G18" s="1" t="str">
        <f t="shared" si="1"/>
        <v>mr. nikhil gavali</v>
      </c>
      <c r="H18" s="1" t="str">
        <f t="shared" si="2"/>
        <v>MR. NIKHIL GAVALI</v>
      </c>
      <c r="I18" s="1" t="str">
        <f t="shared" si="3"/>
        <v>Mr. Nikhil Gavali</v>
      </c>
      <c r="J18" s="1">
        <f t="shared" si="4"/>
        <v>17</v>
      </c>
      <c r="K18" s="2" t="str">
        <f t="shared" si="5"/>
        <v>Gav</v>
      </c>
      <c r="L18" s="2" t="str">
        <f t="shared" si="6"/>
        <v>hil</v>
      </c>
      <c r="M18" s="2" t="str">
        <f t="shared" si="7"/>
        <v>avali</v>
      </c>
      <c r="O18" s="1" t="s">
        <v>17</v>
      </c>
      <c r="P18" s="2" t="e">
        <f t="shared" si="10"/>
        <v>#VALUE!</v>
      </c>
      <c r="Q18" s="2">
        <f t="shared" si="8"/>
        <v>2</v>
      </c>
      <c r="R18" s="2" t="str">
        <f t="shared" si="9"/>
        <v>MK. Nikhil Gavali</v>
      </c>
      <c r="S18" s="2" t="str">
        <f>REPLACE(O18,3,1,":")</f>
        <v>Mr: Nikhil Gavali</v>
      </c>
    </row>
    <row r="19" spans="2:19" x14ac:dyDescent="0.25">
      <c r="B19" s="1" t="s">
        <v>18</v>
      </c>
      <c r="C19" s="1" t="str" cm="1">
        <f t="array" ref="C19:E19">_xlfn.TEXTSPLIT(TRIM(B19)," ")</f>
        <v>Mr.</v>
      </c>
      <c r="D19" s="1" t="str">
        <v>Jay</v>
      </c>
      <c r="E19" s="1" t="str">
        <v>Gavali</v>
      </c>
      <c r="F19" s="1" t="str">
        <f t="shared" si="0"/>
        <v>Mr. Jay Gavali</v>
      </c>
      <c r="G19" s="1" t="str">
        <f t="shared" si="1"/>
        <v>mr. jay gavali</v>
      </c>
      <c r="H19" s="1" t="str">
        <f t="shared" si="2"/>
        <v>MR. JAY GAVALI</v>
      </c>
      <c r="I19" s="1" t="str">
        <f t="shared" si="3"/>
        <v>Mr. Jay Gavali</v>
      </c>
      <c r="J19" s="1">
        <f t="shared" si="4"/>
        <v>14</v>
      </c>
      <c r="K19" s="2" t="str">
        <f t="shared" si="5"/>
        <v>Gav</v>
      </c>
      <c r="L19" s="2" t="str">
        <f t="shared" si="6"/>
        <v>Jay</v>
      </c>
      <c r="M19" s="2" t="str">
        <f t="shared" si="7"/>
        <v>avali</v>
      </c>
      <c r="O19" s="1" t="s">
        <v>18</v>
      </c>
      <c r="P19" s="2" t="e">
        <f t="shared" si="10"/>
        <v>#VALUE!</v>
      </c>
      <c r="Q19" s="2">
        <f t="shared" si="8"/>
        <v>2</v>
      </c>
      <c r="R19" s="2" t="str">
        <f t="shared" si="9"/>
        <v>MK. Jay Gavali</v>
      </c>
      <c r="S19" s="2" t="str">
        <f>REPLACE(O19,3,1,":")</f>
        <v>Mr: Jay Gavali</v>
      </c>
    </row>
    <row r="20" spans="2:19" x14ac:dyDescent="0.25">
      <c r="B20" s="1" t="s">
        <v>19</v>
      </c>
      <c r="C20" s="1" t="str" cm="1">
        <f t="array" ref="C20:E20">_xlfn.TEXTSPLIT(TRIM(B20)," ")</f>
        <v>Mr.</v>
      </c>
      <c r="D20" s="1" t="str">
        <v>Gayatri</v>
      </c>
      <c r="E20" s="1" t="str">
        <v>Hiwale</v>
      </c>
      <c r="F20" s="1" t="str">
        <f t="shared" si="0"/>
        <v>Mr. Gayatri Hiwale</v>
      </c>
      <c r="G20" s="1" t="str">
        <f t="shared" si="1"/>
        <v>mr. gayatri hiwale</v>
      </c>
      <c r="H20" s="1" t="str">
        <f t="shared" si="2"/>
        <v>MR. GAYATRI HIWALE</v>
      </c>
      <c r="I20" s="1" t="str">
        <f t="shared" si="3"/>
        <v>Mr. Gayatri Hiwale</v>
      </c>
      <c r="J20" s="1">
        <f t="shared" si="4"/>
        <v>18</v>
      </c>
      <c r="K20" s="2" t="str">
        <f t="shared" si="5"/>
        <v>Hiw</v>
      </c>
      <c r="L20" s="2" t="str">
        <f t="shared" si="6"/>
        <v>tri</v>
      </c>
      <c r="M20" s="2" t="str">
        <f t="shared" si="7"/>
        <v>iwale</v>
      </c>
      <c r="O20" s="1" t="s">
        <v>19</v>
      </c>
      <c r="P20" s="2" t="e">
        <f t="shared" si="10"/>
        <v>#VALUE!</v>
      </c>
      <c r="Q20" s="2">
        <f t="shared" si="8"/>
        <v>2</v>
      </c>
      <c r="R20" s="2" t="str">
        <f t="shared" si="9"/>
        <v>MK. Gayatri Hiwale</v>
      </c>
      <c r="S20" s="2" t="str">
        <f>REPLACE(O20,3,1,":")</f>
        <v>Mr: Gayatri Hiwale</v>
      </c>
    </row>
    <row r="21" spans="2:19" x14ac:dyDescent="0.25">
      <c r="B21" s="1" t="s">
        <v>14</v>
      </c>
      <c r="C21" s="1" t="str" cm="1">
        <f t="array" ref="C21:E21">_xlfn.TEXTSPLIT(TRIM(B21)," ")</f>
        <v>Mrs.</v>
      </c>
      <c r="D21" s="1" t="str">
        <v>Rani</v>
      </c>
      <c r="E21" s="1" t="str">
        <v>Rahane</v>
      </c>
      <c r="F21" s="1" t="str">
        <f t="shared" si="0"/>
        <v>Mrs. Rani Rahane</v>
      </c>
      <c r="G21" s="1" t="str">
        <f t="shared" si="1"/>
        <v>mrs. rani rahane</v>
      </c>
      <c r="H21" s="1" t="str">
        <f t="shared" si="2"/>
        <v>MRS. RANI RAHANE</v>
      </c>
      <c r="I21" s="1" t="str">
        <f t="shared" si="3"/>
        <v>Mrs. Rani Rahane</v>
      </c>
      <c r="J21" s="1">
        <f t="shared" si="4"/>
        <v>16</v>
      </c>
      <c r="K21" s="2" t="str">
        <f t="shared" si="5"/>
        <v>Rah</v>
      </c>
      <c r="L21" s="2" t="str">
        <f t="shared" si="6"/>
        <v>ani</v>
      </c>
      <c r="M21" s="2" t="str">
        <f t="shared" si="7"/>
        <v>ahane</v>
      </c>
      <c r="O21" s="1" t="s">
        <v>14</v>
      </c>
      <c r="P21" s="2">
        <f t="shared" si="10"/>
        <v>6</v>
      </c>
      <c r="Q21" s="2">
        <f t="shared" si="8"/>
        <v>2</v>
      </c>
      <c r="R21" s="2" t="str">
        <f t="shared" si="9"/>
        <v>MKs. Rani Rahane</v>
      </c>
      <c r="S21" s="2" t="str">
        <f>REPLACE(O21,3,1,":")</f>
        <v>Mr:. Rani Rahane</v>
      </c>
    </row>
    <row r="22" spans="2:19" x14ac:dyDescent="0.25">
      <c r="B22" s="1" t="s">
        <v>15</v>
      </c>
      <c r="C22" s="1" t="str" cm="1">
        <f t="array" ref="C22:E22">_xlfn.TEXTSPLIT(TRIM(B22)," ")</f>
        <v>Mr.</v>
      </c>
      <c r="D22" s="1" t="str">
        <v>Prajwal</v>
      </c>
      <c r="E22" s="1" t="str">
        <v>Gavali</v>
      </c>
      <c r="F22" s="1" t="str">
        <f t="shared" si="0"/>
        <v>Mr. Prajwal Gavali</v>
      </c>
      <c r="G22" s="1" t="str">
        <f t="shared" si="1"/>
        <v>mr. prajwal gavali</v>
      </c>
      <c r="H22" s="1" t="str">
        <f t="shared" si="2"/>
        <v>MR. PRAJWAL GAVALI</v>
      </c>
      <c r="I22" s="1" t="str">
        <f t="shared" si="3"/>
        <v>Mr. Prajwal Gavali</v>
      </c>
      <c r="J22" s="1">
        <f t="shared" si="4"/>
        <v>18</v>
      </c>
      <c r="K22" s="2" t="str">
        <f t="shared" si="5"/>
        <v>Gav</v>
      </c>
      <c r="L22" s="2" t="str">
        <f t="shared" si="6"/>
        <v>wal</v>
      </c>
      <c r="M22" s="2" t="str">
        <f t="shared" si="7"/>
        <v>avali</v>
      </c>
      <c r="O22" s="1" t="s">
        <v>15</v>
      </c>
      <c r="P22" s="2" t="e">
        <f t="shared" si="10"/>
        <v>#VALUE!</v>
      </c>
      <c r="Q22" s="2">
        <f t="shared" si="8"/>
        <v>2</v>
      </c>
      <c r="R22" s="2" t="str">
        <f t="shared" si="9"/>
        <v>MK. Prajwal Gavali</v>
      </c>
      <c r="S22" s="2" t="str">
        <f>REPLACE(O22,3,1,":")</f>
        <v>Mr: Prajwal Gavali</v>
      </c>
    </row>
    <row r="23" spans="2:19" x14ac:dyDescent="0.25">
      <c r="B23" s="1" t="s">
        <v>16</v>
      </c>
      <c r="C23" s="1" t="str" cm="1">
        <f t="array" ref="C23:E23">_xlfn.TEXTSPLIT(TRIM(B23)," ")</f>
        <v>Mr.</v>
      </c>
      <c r="D23" s="1" t="str">
        <v>Viru</v>
      </c>
      <c r="E23" s="1" t="str">
        <v>Gavali</v>
      </c>
      <c r="F23" s="1" t="str">
        <f t="shared" si="0"/>
        <v>Mr. Viru Gavali</v>
      </c>
      <c r="G23" s="1" t="str">
        <f t="shared" si="1"/>
        <v>mr. viru gavali</v>
      </c>
      <c r="H23" s="1" t="str">
        <f t="shared" si="2"/>
        <v>MR. VIRU GAVALI</v>
      </c>
      <c r="I23" s="1" t="str">
        <f t="shared" si="3"/>
        <v>Mr. Viru Gavali</v>
      </c>
      <c r="J23" s="1">
        <f t="shared" si="4"/>
        <v>15</v>
      </c>
      <c r="K23" s="2" t="str">
        <f t="shared" si="5"/>
        <v>Gav</v>
      </c>
      <c r="L23" s="2" t="str">
        <f t="shared" si="6"/>
        <v>iru</v>
      </c>
      <c r="M23" s="2" t="str">
        <f t="shared" si="7"/>
        <v>avali</v>
      </c>
      <c r="O23" s="1" t="s">
        <v>16</v>
      </c>
      <c r="P23" s="2" t="e">
        <f t="shared" si="10"/>
        <v>#VALUE!</v>
      </c>
      <c r="Q23" s="2">
        <f t="shared" si="8"/>
        <v>2</v>
      </c>
      <c r="R23" s="2" t="str">
        <f t="shared" si="9"/>
        <v>MK. Viru Gavali</v>
      </c>
      <c r="S23" s="2" t="str">
        <f>REPLACE(O23,3,1,":")</f>
        <v>Mr: Viru Gavali</v>
      </c>
    </row>
    <row r="24" spans="2:19" x14ac:dyDescent="0.25">
      <c r="B24" s="1" t="s">
        <v>14</v>
      </c>
      <c r="C24" s="1" t="str" cm="1">
        <f t="array" ref="C24:E24">_xlfn.TEXTSPLIT(TRIM(B24)," ")</f>
        <v>Mrs.</v>
      </c>
      <c r="D24" s="1" t="str">
        <v>Rani</v>
      </c>
      <c r="E24" s="1" t="str">
        <v>Rahane</v>
      </c>
      <c r="F24" s="1" t="str">
        <f t="shared" si="0"/>
        <v>Mrs. Rani Rahane</v>
      </c>
      <c r="G24" s="1" t="str">
        <f t="shared" si="1"/>
        <v>mrs. rani rahane</v>
      </c>
      <c r="H24" s="1" t="str">
        <f t="shared" si="2"/>
        <v>MRS. RANI RAHANE</v>
      </c>
      <c r="I24" s="1" t="str">
        <f t="shared" si="3"/>
        <v>Mrs. Rani Rahane</v>
      </c>
      <c r="J24" s="1">
        <f t="shared" si="4"/>
        <v>16</v>
      </c>
      <c r="K24" s="2" t="str">
        <f t="shared" si="5"/>
        <v>Rah</v>
      </c>
      <c r="L24" s="2" t="str">
        <f t="shared" si="6"/>
        <v>ani</v>
      </c>
      <c r="M24" s="2" t="str">
        <f t="shared" si="7"/>
        <v>ahane</v>
      </c>
      <c r="O24" s="1" t="s">
        <v>14</v>
      </c>
      <c r="P24" s="2">
        <f t="shared" si="10"/>
        <v>6</v>
      </c>
      <c r="Q24" s="2">
        <f t="shared" si="8"/>
        <v>2</v>
      </c>
      <c r="R24" s="2" t="str">
        <f t="shared" si="9"/>
        <v>MKs. Rani Rahane</v>
      </c>
      <c r="S24" s="2" t="str">
        <f>REPLACE(O24,3,1,":")</f>
        <v>Mr:. Rani Rahane</v>
      </c>
    </row>
    <row r="25" spans="2:19" x14ac:dyDescent="0.25">
      <c r="B25" s="1" t="s">
        <v>15</v>
      </c>
      <c r="C25" s="1" t="str" cm="1">
        <f t="array" ref="C25:E25">_xlfn.TEXTSPLIT(TRIM(B25)," ")</f>
        <v>Mr.</v>
      </c>
      <c r="D25" s="1" t="str">
        <v>Prajwal</v>
      </c>
      <c r="E25" s="1" t="str">
        <v>Gavali</v>
      </c>
      <c r="F25" s="1" t="str">
        <f t="shared" si="0"/>
        <v>Mr. Prajwal Gavali</v>
      </c>
      <c r="G25" s="1" t="str">
        <f t="shared" si="1"/>
        <v>mr. prajwal gavali</v>
      </c>
      <c r="H25" s="1" t="str">
        <f t="shared" si="2"/>
        <v>MR. PRAJWAL GAVALI</v>
      </c>
      <c r="I25" s="1" t="str">
        <f t="shared" si="3"/>
        <v>Mr. Prajwal Gavali</v>
      </c>
      <c r="J25" s="1">
        <f t="shared" si="4"/>
        <v>18</v>
      </c>
      <c r="K25" s="2" t="str">
        <f t="shared" si="5"/>
        <v>Gav</v>
      </c>
      <c r="L25" s="2" t="str">
        <f t="shared" si="6"/>
        <v>wal</v>
      </c>
      <c r="M25" s="2" t="str">
        <f t="shared" si="7"/>
        <v>avali</v>
      </c>
      <c r="O25" s="1" t="s">
        <v>15</v>
      </c>
      <c r="P25" s="2" t="e">
        <f t="shared" si="10"/>
        <v>#VALUE!</v>
      </c>
      <c r="Q25" s="2">
        <f t="shared" si="8"/>
        <v>2</v>
      </c>
      <c r="R25" s="2" t="str">
        <f t="shared" si="9"/>
        <v>MK. Prajwal Gavali</v>
      </c>
      <c r="S25" s="2" t="str">
        <f>REPLACE(O25,3,1,":")</f>
        <v>Mr: Prajwal Gavali</v>
      </c>
    </row>
    <row r="26" spans="2:19" x14ac:dyDescent="0.25">
      <c r="B26" s="1" t="s">
        <v>16</v>
      </c>
      <c r="C26" s="1" t="str" cm="1">
        <f t="array" ref="C26:E26">_xlfn.TEXTSPLIT(TRIM(B26)," ")</f>
        <v>Mr.</v>
      </c>
      <c r="D26" s="1" t="str">
        <v>Viru</v>
      </c>
      <c r="E26" s="1" t="str">
        <v>Gavali</v>
      </c>
      <c r="F26" s="1" t="str">
        <f t="shared" si="0"/>
        <v>Mr. Viru Gavali</v>
      </c>
      <c r="G26" s="1" t="str">
        <f t="shared" si="1"/>
        <v>mr. viru gavali</v>
      </c>
      <c r="H26" s="1" t="str">
        <f t="shared" si="2"/>
        <v>MR. VIRU GAVALI</v>
      </c>
      <c r="I26" s="1" t="str">
        <f t="shared" si="3"/>
        <v>Mr. Viru Gavali</v>
      </c>
      <c r="J26" s="1">
        <f t="shared" si="4"/>
        <v>15</v>
      </c>
      <c r="K26" s="2" t="str">
        <f t="shared" si="5"/>
        <v>Gav</v>
      </c>
      <c r="L26" s="2" t="str">
        <f t="shared" si="6"/>
        <v>iru</v>
      </c>
      <c r="M26" s="2" t="str">
        <f t="shared" si="7"/>
        <v>avali</v>
      </c>
      <c r="O26" s="1" t="s">
        <v>16</v>
      </c>
      <c r="P26" s="2" t="e">
        <f t="shared" si="10"/>
        <v>#VALUE!</v>
      </c>
      <c r="Q26" s="2">
        <f t="shared" si="8"/>
        <v>2</v>
      </c>
      <c r="R26" s="2" t="str">
        <f t="shared" si="9"/>
        <v>MK. Viru Gavali</v>
      </c>
      <c r="S26" s="2" t="str">
        <f>REPLACE(O26,3,1,":")</f>
        <v>Mr: Viru Gavali</v>
      </c>
    </row>
    <row r="27" spans="2:19" x14ac:dyDescent="0.25">
      <c r="B27" s="1" t="s">
        <v>17</v>
      </c>
      <c r="C27" s="1" t="str" cm="1">
        <f t="array" ref="C27:E27">_xlfn.TEXTSPLIT(TRIM(B27)," ")</f>
        <v>Mr.</v>
      </c>
      <c r="D27" s="1" t="str">
        <v>Nikhil</v>
      </c>
      <c r="E27" s="1" t="str">
        <v>Gavali</v>
      </c>
      <c r="F27" s="1" t="str">
        <f t="shared" si="0"/>
        <v>Mr. Nikhil Gavali</v>
      </c>
      <c r="G27" s="1" t="str">
        <f t="shared" si="1"/>
        <v>mr. nikhil gavali</v>
      </c>
      <c r="H27" s="1" t="str">
        <f t="shared" si="2"/>
        <v>MR. NIKHIL GAVALI</v>
      </c>
      <c r="I27" s="1" t="str">
        <f t="shared" si="3"/>
        <v>Mr. Nikhil Gavali</v>
      </c>
      <c r="J27" s="1">
        <f t="shared" si="4"/>
        <v>17</v>
      </c>
      <c r="K27" s="2" t="str">
        <f t="shared" si="5"/>
        <v>Gav</v>
      </c>
      <c r="L27" s="2" t="str">
        <f t="shared" si="6"/>
        <v>hil</v>
      </c>
      <c r="M27" s="2" t="str">
        <f t="shared" si="7"/>
        <v>avali</v>
      </c>
      <c r="O27" s="1" t="s">
        <v>17</v>
      </c>
      <c r="P27" s="2" t="e">
        <f t="shared" si="10"/>
        <v>#VALUE!</v>
      </c>
      <c r="Q27" s="2">
        <f t="shared" si="8"/>
        <v>2</v>
      </c>
      <c r="R27" s="2" t="str">
        <f t="shared" si="9"/>
        <v>MK. Nikhil Gavali</v>
      </c>
      <c r="S27" s="2" t="str">
        <f>REPLACE(O27,3,1,":")</f>
        <v>Mr: Nikhil Gavali</v>
      </c>
    </row>
    <row r="28" spans="2:19" x14ac:dyDescent="0.25">
      <c r="B28" s="1" t="s">
        <v>18</v>
      </c>
      <c r="C28" s="1" t="str" cm="1">
        <f t="array" ref="C28:E28">_xlfn.TEXTSPLIT(TRIM(B28)," ")</f>
        <v>Mr.</v>
      </c>
      <c r="D28" s="1" t="str">
        <v>Jay</v>
      </c>
      <c r="E28" s="1" t="str">
        <v>Gavali</v>
      </c>
      <c r="F28" s="1" t="str">
        <f t="shared" si="0"/>
        <v>Mr. Jay Gavali</v>
      </c>
      <c r="G28" s="1" t="str">
        <f t="shared" si="1"/>
        <v>mr. jay gavali</v>
      </c>
      <c r="H28" s="1" t="str">
        <f t="shared" si="2"/>
        <v>MR. JAY GAVALI</v>
      </c>
      <c r="I28" s="1" t="str">
        <f t="shared" si="3"/>
        <v>Mr. Jay Gavali</v>
      </c>
      <c r="J28" s="1">
        <f t="shared" si="4"/>
        <v>14</v>
      </c>
      <c r="K28" s="2" t="str">
        <f t="shared" si="5"/>
        <v>Gav</v>
      </c>
      <c r="L28" s="2" t="str">
        <f t="shared" si="6"/>
        <v>Jay</v>
      </c>
      <c r="M28" s="2" t="str">
        <f t="shared" si="7"/>
        <v>avali</v>
      </c>
      <c r="O28" s="1" t="s">
        <v>18</v>
      </c>
      <c r="P28" s="2" t="e">
        <f t="shared" si="10"/>
        <v>#VALUE!</v>
      </c>
      <c r="Q28" s="2">
        <f t="shared" si="8"/>
        <v>2</v>
      </c>
      <c r="R28" s="2" t="str">
        <f t="shared" si="9"/>
        <v>MK. Jay Gavali</v>
      </c>
      <c r="S28" s="2" t="str">
        <f>REPLACE(O28,3,1,":")</f>
        <v>Mr: Jay Gavali</v>
      </c>
    </row>
    <row r="29" spans="2:19" x14ac:dyDescent="0.25">
      <c r="B29" s="1" t="s">
        <v>19</v>
      </c>
      <c r="C29" s="1" t="str" cm="1">
        <f t="array" ref="C29:E29">_xlfn.TEXTSPLIT(TRIM(B29)," ")</f>
        <v>Mr.</v>
      </c>
      <c r="D29" s="1" t="str">
        <v>Gayatri</v>
      </c>
      <c r="E29" s="1" t="str">
        <v>Hiwale</v>
      </c>
      <c r="F29" s="1" t="str">
        <f t="shared" si="0"/>
        <v>Mr. Gayatri Hiwale</v>
      </c>
      <c r="G29" s="1" t="str">
        <f t="shared" si="1"/>
        <v>mr. gayatri hiwale</v>
      </c>
      <c r="H29" s="1" t="str">
        <f t="shared" si="2"/>
        <v>MR. GAYATRI HIWALE</v>
      </c>
      <c r="I29" s="1" t="str">
        <f t="shared" si="3"/>
        <v>Mr. Gayatri Hiwale</v>
      </c>
      <c r="J29" s="1">
        <f t="shared" si="4"/>
        <v>18</v>
      </c>
      <c r="K29" s="2" t="str">
        <f t="shared" si="5"/>
        <v>Hiw</v>
      </c>
      <c r="L29" s="2" t="str">
        <f t="shared" si="6"/>
        <v>tri</v>
      </c>
      <c r="M29" s="2" t="str">
        <f t="shared" si="7"/>
        <v>iwale</v>
      </c>
      <c r="O29" s="1" t="s">
        <v>19</v>
      </c>
      <c r="P29" s="2" t="e">
        <f t="shared" si="10"/>
        <v>#VALUE!</v>
      </c>
      <c r="Q29" s="2">
        <f t="shared" si="8"/>
        <v>2</v>
      </c>
      <c r="R29" s="2" t="str">
        <f t="shared" si="9"/>
        <v>MK. Gayatri Hiwale</v>
      </c>
      <c r="S29" s="2" t="str">
        <f>REPLACE(O29,3,1,":")</f>
        <v>Mr: Gayatri Hiwale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1D0F9-A3FB-4A03-86FC-F68D95B6FB0E}">
  <dimension ref="D1:P4655"/>
  <sheetViews>
    <sheetView workbookViewId="0">
      <selection activeCell="M12" sqref="M12"/>
    </sheetView>
  </sheetViews>
  <sheetFormatPr defaultRowHeight="15" x14ac:dyDescent="0.25"/>
  <cols>
    <col min="4" max="4" width="12" bestFit="1" customWidth="1"/>
    <col min="5" max="5" width="13.5703125" bestFit="1" customWidth="1"/>
    <col min="6" max="6" width="10.28515625" bestFit="1" customWidth="1"/>
    <col min="7" max="7" width="17.140625" customWidth="1"/>
    <col min="8" max="8" width="6.7109375" bestFit="1" customWidth="1"/>
    <col min="9" max="9" width="10" bestFit="1" customWidth="1"/>
    <col min="10" max="10" width="14.85546875" bestFit="1" customWidth="1"/>
    <col min="11" max="12" width="12.140625" customWidth="1"/>
    <col min="13" max="13" width="13.140625" bestFit="1" customWidth="1"/>
    <col min="14" max="14" width="12.7109375" bestFit="1" customWidth="1"/>
    <col min="15" max="15" width="17.85546875" bestFit="1" customWidth="1"/>
    <col min="16" max="16" width="23.42578125" bestFit="1" customWidth="1"/>
  </cols>
  <sheetData>
    <row r="1" spans="4:16" x14ac:dyDescent="0.25">
      <c r="M1" s="7" t="s">
        <v>48</v>
      </c>
      <c r="N1" s="7" t="s">
        <v>47</v>
      </c>
      <c r="O1" s="7" t="s">
        <v>45</v>
      </c>
      <c r="P1" s="7" t="s">
        <v>46</v>
      </c>
    </row>
    <row r="2" spans="4:16" x14ac:dyDescent="0.25"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44</v>
      </c>
      <c r="M2" s="8" t="s">
        <v>49</v>
      </c>
      <c r="N2" s="8" t="s">
        <v>50</v>
      </c>
      <c r="O2" s="8" t="s">
        <v>51</v>
      </c>
      <c r="P2" s="8" t="s">
        <v>52</v>
      </c>
    </row>
    <row r="3" spans="4:16" x14ac:dyDescent="0.25">
      <c r="D3" s="6" t="s">
        <v>34</v>
      </c>
      <c r="E3">
        <v>2017</v>
      </c>
      <c r="F3" s="6" t="s">
        <v>35</v>
      </c>
      <c r="G3">
        <v>3</v>
      </c>
      <c r="H3">
        <v>34</v>
      </c>
      <c r="I3" s="6" t="s">
        <v>36</v>
      </c>
      <c r="J3" s="6" t="s">
        <v>37</v>
      </c>
      <c r="K3">
        <v>0</v>
      </c>
      <c r="M3" s="1" t="b">
        <f>Employee__2[[#This Row],[Experience]]&gt;1</f>
        <v>0</v>
      </c>
      <c r="N3" s="1" t="str">
        <f>IF(Employee__2[[#This Row],[City]]="Pune","Yes","No")</f>
        <v>No</v>
      </c>
      <c r="O3" s="1" t="str">
        <f>IF(AND(Employee__2[[#This Row],[Education]]="Bachelors",Employee__2[[#This Row],[City]]="Pune"),"Yes","No")</f>
        <v>No</v>
      </c>
      <c r="P3" s="1" t="str">
        <f>IF(OR(Employee__2[[#This Row],[Age]]&gt;=30,Employee__2[[#This Row],[Gender]]="Male"),"Mached","Not mached")</f>
        <v>Mached</v>
      </c>
    </row>
    <row r="4" spans="4:16" x14ac:dyDescent="0.25">
      <c r="D4" s="6" t="s">
        <v>34</v>
      </c>
      <c r="E4">
        <v>2013</v>
      </c>
      <c r="F4" s="6" t="s">
        <v>38</v>
      </c>
      <c r="G4">
        <v>1</v>
      </c>
      <c r="H4">
        <v>28</v>
      </c>
      <c r="I4" s="6" t="s">
        <v>39</v>
      </c>
      <c r="J4" s="6" t="s">
        <v>37</v>
      </c>
      <c r="K4">
        <v>3</v>
      </c>
      <c r="M4" s="1" t="b">
        <f>Employee__2[[#This Row],[Experience]]&gt;1</f>
        <v>1</v>
      </c>
      <c r="N4" s="1" t="str">
        <f>IF(Employee__2[[#This Row],[City]]="Pune","Yes","No")</f>
        <v>Yes</v>
      </c>
      <c r="O4" s="1" t="str">
        <f>IF(AND(Employee__2[[#This Row],[Education]]="Bachelors",Employee__2[[#This Row],[City]]="Pune"),"Yes","No")</f>
        <v>Yes</v>
      </c>
      <c r="P4" s="1" t="str">
        <f>IF(OR(Employee__2[[#This Row],[Age]]&gt;=30,Employee__2[[#This Row],[Gender]]="Male"),"Mached","Not mached")</f>
        <v>Not mached</v>
      </c>
    </row>
    <row r="5" spans="4:16" x14ac:dyDescent="0.25">
      <c r="D5" s="6" t="s">
        <v>34</v>
      </c>
      <c r="E5">
        <v>2014</v>
      </c>
      <c r="F5" s="6" t="s">
        <v>40</v>
      </c>
      <c r="G5">
        <v>3</v>
      </c>
      <c r="H5">
        <v>38</v>
      </c>
      <c r="I5" s="6" t="s">
        <v>39</v>
      </c>
      <c r="J5" s="6" t="s">
        <v>37</v>
      </c>
      <c r="K5">
        <v>2</v>
      </c>
      <c r="M5" s="1" t="b">
        <f>Employee__2[[#This Row],[Experience]]&gt;1</f>
        <v>1</v>
      </c>
      <c r="N5" s="1" t="str">
        <f>IF(Employee__2[[#This Row],[City]]="Pune","Yes","No")</f>
        <v>No</v>
      </c>
      <c r="O5" s="1" t="str">
        <f>IF(AND(Employee__2[[#This Row],[Education]]="Bachelors",Employee__2[[#This Row],[City]]="Pune"),"Yes","No")</f>
        <v>No</v>
      </c>
      <c r="P5" s="1" t="str">
        <f>IF(OR(Employee__2[[#This Row],[Age]]&gt;=30,Employee__2[[#This Row],[Gender]]="Male"),"Mached","Not mached")</f>
        <v>Mached</v>
      </c>
    </row>
    <row r="6" spans="4:16" x14ac:dyDescent="0.25">
      <c r="D6" s="6" t="s">
        <v>41</v>
      </c>
      <c r="E6">
        <v>2016</v>
      </c>
      <c r="F6" s="6" t="s">
        <v>35</v>
      </c>
      <c r="G6">
        <v>3</v>
      </c>
      <c r="H6">
        <v>27</v>
      </c>
      <c r="I6" s="6" t="s">
        <v>36</v>
      </c>
      <c r="J6" s="6" t="s">
        <v>37</v>
      </c>
      <c r="K6">
        <v>5</v>
      </c>
      <c r="M6" s="1" t="b">
        <f>Employee__2[[#This Row],[Experience]]&gt;1</f>
        <v>1</v>
      </c>
      <c r="N6" s="1" t="str">
        <f>IF(Employee__2[[#This Row],[City]]="Pune","Yes","No")</f>
        <v>No</v>
      </c>
      <c r="O6" s="1" t="str">
        <f>IF(AND(Employee__2[[#This Row],[Education]]="Bachelors",Employee__2[[#This Row],[City]]="Pune"),"Yes","No")</f>
        <v>No</v>
      </c>
      <c r="P6" s="1" t="str">
        <f>IF(OR(Employee__2[[#This Row],[Age]]&gt;=30,Employee__2[[#This Row],[Gender]]="Male"),"Mached","Not mached")</f>
        <v>Mached</v>
      </c>
    </row>
    <row r="7" spans="4:16" x14ac:dyDescent="0.25">
      <c r="D7" s="6" t="s">
        <v>41</v>
      </c>
      <c r="E7">
        <v>2017</v>
      </c>
      <c r="F7" s="6" t="s">
        <v>38</v>
      </c>
      <c r="G7">
        <v>3</v>
      </c>
      <c r="H7">
        <v>24</v>
      </c>
      <c r="I7" s="6" t="s">
        <v>36</v>
      </c>
      <c r="J7" s="6" t="s">
        <v>42</v>
      </c>
      <c r="K7">
        <v>2</v>
      </c>
      <c r="M7" s="1" t="b">
        <f>Employee__2[[#This Row],[Experience]]&gt;1</f>
        <v>1</v>
      </c>
      <c r="N7" s="1" t="str">
        <f>IF(Employee__2[[#This Row],[City]]="Pune","Yes","No")</f>
        <v>Yes</v>
      </c>
      <c r="O7" s="1" t="str">
        <f>IF(AND(Employee__2[[#This Row],[Education]]="Bachelors",Employee__2[[#This Row],[City]]="Pune"),"Yes","No")</f>
        <v>No</v>
      </c>
      <c r="P7" s="1" t="str">
        <f>IF(OR(Employee__2[[#This Row],[Age]]&gt;=30,Employee__2[[#This Row],[Gender]]="Male"),"Mached","Not mached")</f>
        <v>Mached</v>
      </c>
    </row>
    <row r="8" spans="4:16" x14ac:dyDescent="0.25">
      <c r="D8" s="6" t="s">
        <v>34</v>
      </c>
      <c r="E8">
        <v>2016</v>
      </c>
      <c r="F8" s="6" t="s">
        <v>35</v>
      </c>
      <c r="G8">
        <v>3</v>
      </c>
      <c r="H8">
        <v>22</v>
      </c>
      <c r="I8" s="6" t="s">
        <v>36</v>
      </c>
      <c r="J8" s="6" t="s">
        <v>37</v>
      </c>
      <c r="K8">
        <v>0</v>
      </c>
      <c r="M8" s="1" t="b">
        <f>Employee__2[[#This Row],[Experience]]&gt;1</f>
        <v>0</v>
      </c>
      <c r="N8" s="1" t="str">
        <f>IF(Employee__2[[#This Row],[City]]="Pune","Yes","No")</f>
        <v>No</v>
      </c>
      <c r="O8" s="1" t="str">
        <f>IF(AND(Employee__2[[#This Row],[Education]]="Bachelors",Employee__2[[#This Row],[City]]="Pune"),"Yes","No")</f>
        <v>No</v>
      </c>
      <c r="P8" s="1" t="str">
        <f>IF(OR(Employee__2[[#This Row],[Age]]&gt;=30,Employee__2[[#This Row],[Gender]]="Male"),"Mached","Not mached")</f>
        <v>Mached</v>
      </c>
    </row>
    <row r="9" spans="4:16" x14ac:dyDescent="0.25">
      <c r="D9" s="6" t="s">
        <v>34</v>
      </c>
      <c r="E9">
        <v>2015</v>
      </c>
      <c r="F9" s="6" t="s">
        <v>40</v>
      </c>
      <c r="G9">
        <v>3</v>
      </c>
      <c r="H9">
        <v>38</v>
      </c>
      <c r="I9" s="6" t="s">
        <v>36</v>
      </c>
      <c r="J9" s="6" t="s">
        <v>37</v>
      </c>
      <c r="K9">
        <v>0</v>
      </c>
      <c r="M9" s="1" t="b">
        <f>Employee__2[[#This Row],[Experience]]&gt;1</f>
        <v>0</v>
      </c>
      <c r="N9" s="1" t="str">
        <f>IF(Employee__2[[#This Row],[City]]="Pune","Yes","No")</f>
        <v>No</v>
      </c>
      <c r="O9" s="1" t="str">
        <f>IF(AND(Employee__2[[#This Row],[Education]]="Bachelors",Employee__2[[#This Row],[City]]="Pune"),"Yes","No")</f>
        <v>No</v>
      </c>
      <c r="P9" s="1" t="str">
        <f>IF(OR(Employee__2[[#This Row],[Age]]&gt;=30,Employee__2[[#This Row],[Gender]]="Male"),"Mached","Not mached")</f>
        <v>Mached</v>
      </c>
    </row>
    <row r="10" spans="4:16" x14ac:dyDescent="0.25">
      <c r="D10" s="6" t="s">
        <v>34</v>
      </c>
      <c r="E10">
        <v>2016</v>
      </c>
      <c r="F10" s="6" t="s">
        <v>35</v>
      </c>
      <c r="G10">
        <v>3</v>
      </c>
      <c r="H10">
        <v>34</v>
      </c>
      <c r="I10" s="6" t="s">
        <v>39</v>
      </c>
      <c r="J10" s="6" t="s">
        <v>37</v>
      </c>
      <c r="K10">
        <v>2</v>
      </c>
      <c r="M10" s="1" t="b">
        <f>Employee__2[[#This Row],[Experience]]&gt;1</f>
        <v>1</v>
      </c>
      <c r="N10" s="1" t="str">
        <f>IF(Employee__2[[#This Row],[City]]="Pune","Yes","No")</f>
        <v>No</v>
      </c>
      <c r="O10" s="1" t="str">
        <f>IF(AND(Employee__2[[#This Row],[Education]]="Bachelors",Employee__2[[#This Row],[City]]="Pune"),"Yes","No")</f>
        <v>No</v>
      </c>
      <c r="P10" s="1" t="str">
        <f>IF(OR(Employee__2[[#This Row],[Age]]&gt;=30,Employee__2[[#This Row],[Gender]]="Male"),"Mached","Not mached")</f>
        <v>Mached</v>
      </c>
    </row>
    <row r="11" spans="4:16" x14ac:dyDescent="0.25">
      <c r="D11" s="6" t="s">
        <v>34</v>
      </c>
      <c r="E11">
        <v>2016</v>
      </c>
      <c r="F11" s="6" t="s">
        <v>38</v>
      </c>
      <c r="G11">
        <v>3</v>
      </c>
      <c r="H11">
        <v>23</v>
      </c>
      <c r="I11" s="6" t="s">
        <v>36</v>
      </c>
      <c r="J11" s="6" t="s">
        <v>37</v>
      </c>
      <c r="K11">
        <v>1</v>
      </c>
      <c r="M11" s="1" t="b">
        <f>Employee__2[[#This Row],[Experience]]&gt;1</f>
        <v>0</v>
      </c>
      <c r="N11" s="1" t="str">
        <f>IF(Employee__2[[#This Row],[City]]="Pune","Yes","No")</f>
        <v>Yes</v>
      </c>
      <c r="O11" s="1" t="str">
        <f>IF(AND(Employee__2[[#This Row],[Education]]="Bachelors",Employee__2[[#This Row],[City]]="Pune"),"Yes","No")</f>
        <v>Yes</v>
      </c>
      <c r="P11" s="1" t="str">
        <f>IF(OR(Employee__2[[#This Row],[Age]]&gt;=30,Employee__2[[#This Row],[Gender]]="Male"),"Mached","Not mached")</f>
        <v>Mached</v>
      </c>
    </row>
    <row r="12" spans="4:16" x14ac:dyDescent="0.25">
      <c r="D12" s="6" t="s">
        <v>41</v>
      </c>
      <c r="E12">
        <v>2017</v>
      </c>
      <c r="F12" s="6" t="s">
        <v>40</v>
      </c>
      <c r="G12">
        <v>2</v>
      </c>
      <c r="H12">
        <v>37</v>
      </c>
      <c r="I12" s="6" t="s">
        <v>36</v>
      </c>
      <c r="J12" s="6" t="s">
        <v>37</v>
      </c>
      <c r="K12">
        <v>2</v>
      </c>
      <c r="M12" s="1" t="b">
        <f>Employee__2[[#This Row],[Experience]]&gt;1</f>
        <v>1</v>
      </c>
      <c r="N12" s="1" t="str">
        <f>IF(Employee__2[[#This Row],[City]]="Pune","Yes","No")</f>
        <v>No</v>
      </c>
      <c r="O12" s="1" t="str">
        <f>IF(AND(Employee__2[[#This Row],[Education]]="Bachelors",Employee__2[[#This Row],[City]]="Pune"),"Yes","No")</f>
        <v>No</v>
      </c>
      <c r="P12" s="1" t="str">
        <f>IF(OR(Employee__2[[#This Row],[Age]]&gt;=30,Employee__2[[#This Row],[Gender]]="Male"),"Mached","Not mached")</f>
        <v>Mached</v>
      </c>
    </row>
    <row r="13" spans="4:16" x14ac:dyDescent="0.25">
      <c r="D13" s="6" t="s">
        <v>41</v>
      </c>
      <c r="E13">
        <v>2012</v>
      </c>
      <c r="F13" s="6" t="s">
        <v>35</v>
      </c>
      <c r="G13">
        <v>3</v>
      </c>
      <c r="H13">
        <v>27</v>
      </c>
      <c r="I13" s="6" t="s">
        <v>36</v>
      </c>
      <c r="J13" s="6" t="s">
        <v>37</v>
      </c>
      <c r="K13">
        <v>5</v>
      </c>
      <c r="M13" s="1" t="b">
        <f>Employee__2[[#This Row],[Experience]]&gt;1</f>
        <v>1</v>
      </c>
      <c r="N13" s="1" t="str">
        <f>IF(Employee__2[[#This Row],[City]]="Pune","Yes","No")</f>
        <v>No</v>
      </c>
      <c r="O13" s="1" t="str">
        <f>IF(AND(Employee__2[[#This Row],[Education]]="Bachelors",Employee__2[[#This Row],[City]]="Pune"),"Yes","No")</f>
        <v>No</v>
      </c>
      <c r="P13" s="1" t="str">
        <f>IF(OR(Employee__2[[#This Row],[Age]]&gt;=30,Employee__2[[#This Row],[Gender]]="Male"),"Mached","Not mached")</f>
        <v>Mached</v>
      </c>
    </row>
    <row r="14" spans="4:16" x14ac:dyDescent="0.25">
      <c r="D14" s="6" t="s">
        <v>34</v>
      </c>
      <c r="E14">
        <v>2016</v>
      </c>
      <c r="F14" s="6" t="s">
        <v>38</v>
      </c>
      <c r="G14">
        <v>3</v>
      </c>
      <c r="H14">
        <v>34</v>
      </c>
      <c r="I14" s="6" t="s">
        <v>36</v>
      </c>
      <c r="J14" s="6" t="s">
        <v>37</v>
      </c>
      <c r="K14">
        <v>3</v>
      </c>
      <c r="M14" s="1" t="b">
        <f>Employee__2[[#This Row],[Experience]]&gt;1</f>
        <v>1</v>
      </c>
      <c r="N14" s="1" t="str">
        <f>IF(Employee__2[[#This Row],[City]]="Pune","Yes","No")</f>
        <v>Yes</v>
      </c>
      <c r="O14" s="1" t="str">
        <f>IF(AND(Employee__2[[#This Row],[Education]]="Bachelors",Employee__2[[#This Row],[City]]="Pune"),"Yes","No")</f>
        <v>Yes</v>
      </c>
      <c r="P14" s="1" t="str">
        <f>IF(OR(Employee__2[[#This Row],[Age]]&gt;=30,Employee__2[[#This Row],[Gender]]="Male"),"Mached","Not mached")</f>
        <v>Mached</v>
      </c>
    </row>
    <row r="15" spans="4:16" x14ac:dyDescent="0.25">
      <c r="D15" s="6" t="s">
        <v>34</v>
      </c>
      <c r="E15">
        <v>2018</v>
      </c>
      <c r="F15" s="6" t="s">
        <v>38</v>
      </c>
      <c r="G15">
        <v>3</v>
      </c>
      <c r="H15">
        <v>32</v>
      </c>
      <c r="I15" s="6" t="s">
        <v>36</v>
      </c>
      <c r="J15" s="6" t="s">
        <v>42</v>
      </c>
      <c r="K15">
        <v>5</v>
      </c>
      <c r="M15" s="1" t="b">
        <f>Employee__2[[#This Row],[Experience]]&gt;1</f>
        <v>1</v>
      </c>
      <c r="N15" s="1" t="str">
        <f>IF(Employee__2[[#This Row],[City]]="Pune","Yes","No")</f>
        <v>Yes</v>
      </c>
      <c r="O15" s="1" t="str">
        <f>IF(AND(Employee__2[[#This Row],[Education]]="Bachelors",Employee__2[[#This Row],[City]]="Pune"),"Yes","No")</f>
        <v>Yes</v>
      </c>
      <c r="P15" s="1" t="str">
        <f>IF(OR(Employee__2[[#This Row],[Age]]&gt;=30,Employee__2[[#This Row],[Gender]]="Male"),"Mached","Not mached")</f>
        <v>Mached</v>
      </c>
    </row>
    <row r="16" spans="4:16" x14ac:dyDescent="0.25">
      <c r="D16" s="6" t="s">
        <v>34</v>
      </c>
      <c r="E16">
        <v>2016</v>
      </c>
      <c r="F16" s="6" t="s">
        <v>35</v>
      </c>
      <c r="G16">
        <v>3</v>
      </c>
      <c r="H16">
        <v>39</v>
      </c>
      <c r="I16" s="6" t="s">
        <v>36</v>
      </c>
      <c r="J16" s="6" t="s">
        <v>37</v>
      </c>
      <c r="K16">
        <v>2</v>
      </c>
      <c r="M16" s="1" t="b">
        <f>Employee__2[[#This Row],[Experience]]&gt;1</f>
        <v>1</v>
      </c>
      <c r="N16" s="1" t="str">
        <f>IF(Employee__2[[#This Row],[City]]="Pune","Yes","No")</f>
        <v>No</v>
      </c>
      <c r="O16" s="1" t="str">
        <f>IF(AND(Employee__2[[#This Row],[Education]]="Bachelors",Employee__2[[#This Row],[City]]="Pune"),"Yes","No")</f>
        <v>No</v>
      </c>
      <c r="P16" s="1" t="str">
        <f>IF(OR(Employee__2[[#This Row],[Age]]&gt;=30,Employee__2[[#This Row],[Gender]]="Male"),"Mached","Not mached")</f>
        <v>Mached</v>
      </c>
    </row>
    <row r="17" spans="4:16" x14ac:dyDescent="0.25">
      <c r="D17" s="6" t="s">
        <v>34</v>
      </c>
      <c r="E17">
        <v>2012</v>
      </c>
      <c r="F17" s="6" t="s">
        <v>35</v>
      </c>
      <c r="G17">
        <v>3</v>
      </c>
      <c r="H17">
        <v>37</v>
      </c>
      <c r="I17" s="6" t="s">
        <v>36</v>
      </c>
      <c r="J17" s="6" t="s">
        <v>37</v>
      </c>
      <c r="K17">
        <v>4</v>
      </c>
      <c r="M17" s="1" t="b">
        <f>Employee__2[[#This Row],[Experience]]&gt;1</f>
        <v>1</v>
      </c>
      <c r="N17" s="1" t="str">
        <f>IF(Employee__2[[#This Row],[City]]="Pune","Yes","No")</f>
        <v>No</v>
      </c>
      <c r="O17" s="1" t="str">
        <f>IF(AND(Employee__2[[#This Row],[Education]]="Bachelors",Employee__2[[#This Row],[City]]="Pune"),"Yes","No")</f>
        <v>No</v>
      </c>
      <c r="P17" s="1" t="str">
        <f>IF(OR(Employee__2[[#This Row],[Age]]&gt;=30,Employee__2[[#This Row],[Gender]]="Male"),"Mached","Not mached")</f>
        <v>Mached</v>
      </c>
    </row>
    <row r="18" spans="4:16" x14ac:dyDescent="0.25">
      <c r="D18" s="6" t="s">
        <v>34</v>
      </c>
      <c r="E18">
        <v>2017</v>
      </c>
      <c r="F18" s="6" t="s">
        <v>35</v>
      </c>
      <c r="G18">
        <v>1</v>
      </c>
      <c r="H18">
        <v>29</v>
      </c>
      <c r="I18" s="6" t="s">
        <v>36</v>
      </c>
      <c r="J18" s="6" t="s">
        <v>37</v>
      </c>
      <c r="K18">
        <v>3</v>
      </c>
      <c r="M18" s="1" t="b">
        <f>Employee__2[[#This Row],[Experience]]&gt;1</f>
        <v>1</v>
      </c>
      <c r="N18" s="1" t="str">
        <f>IF(Employee__2[[#This Row],[City]]="Pune","Yes","No")</f>
        <v>No</v>
      </c>
      <c r="O18" s="1" t="str">
        <f>IF(AND(Employee__2[[#This Row],[Education]]="Bachelors",Employee__2[[#This Row],[City]]="Pune"),"Yes","No")</f>
        <v>No</v>
      </c>
      <c r="P18" s="1" t="str">
        <f>IF(OR(Employee__2[[#This Row],[Age]]&gt;=30,Employee__2[[#This Row],[Gender]]="Male"),"Mached","Not mached")</f>
        <v>Mached</v>
      </c>
    </row>
    <row r="19" spans="4:16" x14ac:dyDescent="0.25">
      <c r="D19" s="6" t="s">
        <v>34</v>
      </c>
      <c r="E19">
        <v>2014</v>
      </c>
      <c r="F19" s="6" t="s">
        <v>35</v>
      </c>
      <c r="G19">
        <v>3</v>
      </c>
      <c r="H19">
        <v>34</v>
      </c>
      <c r="I19" s="6" t="s">
        <v>39</v>
      </c>
      <c r="J19" s="6" t="s">
        <v>37</v>
      </c>
      <c r="K19">
        <v>2</v>
      </c>
      <c r="M19" s="1" t="b">
        <f>Employee__2[[#This Row],[Experience]]&gt;1</f>
        <v>1</v>
      </c>
      <c r="N19" s="1" t="str">
        <f>IF(Employee__2[[#This Row],[City]]="Pune","Yes","No")</f>
        <v>No</v>
      </c>
      <c r="O19" s="1" t="str">
        <f>IF(AND(Employee__2[[#This Row],[Education]]="Bachelors",Employee__2[[#This Row],[City]]="Pune"),"Yes","No")</f>
        <v>No</v>
      </c>
      <c r="P19" s="1" t="str">
        <f>IF(OR(Employee__2[[#This Row],[Age]]&gt;=30,Employee__2[[#This Row],[Gender]]="Male"),"Mached","Not mached")</f>
        <v>Mached</v>
      </c>
    </row>
    <row r="20" spans="4:16" x14ac:dyDescent="0.25">
      <c r="D20" s="6" t="s">
        <v>34</v>
      </c>
      <c r="E20">
        <v>2014</v>
      </c>
      <c r="F20" s="6" t="s">
        <v>38</v>
      </c>
      <c r="G20">
        <v>3</v>
      </c>
      <c r="H20">
        <v>34</v>
      </c>
      <c r="I20" s="6" t="s">
        <v>36</v>
      </c>
      <c r="J20" s="6" t="s">
        <v>37</v>
      </c>
      <c r="K20">
        <v>4</v>
      </c>
      <c r="M20" s="1" t="b">
        <f>Employee__2[[#This Row],[Experience]]&gt;1</f>
        <v>1</v>
      </c>
      <c r="N20" s="1" t="str">
        <f>IF(Employee__2[[#This Row],[City]]="Pune","Yes","No")</f>
        <v>Yes</v>
      </c>
      <c r="O20" s="1" t="str">
        <f>IF(AND(Employee__2[[#This Row],[Education]]="Bachelors",Employee__2[[#This Row],[City]]="Pune"),"Yes","No")</f>
        <v>Yes</v>
      </c>
      <c r="P20" s="1" t="str">
        <f>IF(OR(Employee__2[[#This Row],[Age]]&gt;=30,Employee__2[[#This Row],[Gender]]="Male"),"Mached","Not mached")</f>
        <v>Mached</v>
      </c>
    </row>
    <row r="21" spans="4:16" x14ac:dyDescent="0.25">
      <c r="D21" s="6" t="s">
        <v>34</v>
      </c>
      <c r="E21">
        <v>2015</v>
      </c>
      <c r="F21" s="6" t="s">
        <v>38</v>
      </c>
      <c r="G21">
        <v>2</v>
      </c>
      <c r="H21">
        <v>30</v>
      </c>
      <c r="I21" s="6" t="s">
        <v>39</v>
      </c>
      <c r="J21" s="6" t="s">
        <v>37</v>
      </c>
      <c r="K21">
        <v>0</v>
      </c>
      <c r="M21" s="1" t="b">
        <f>Employee__2[[#This Row],[Experience]]&gt;1</f>
        <v>0</v>
      </c>
      <c r="N21" s="1" t="str">
        <f>IF(Employee__2[[#This Row],[City]]="Pune","Yes","No")</f>
        <v>Yes</v>
      </c>
      <c r="O21" s="1" t="str">
        <f>IF(AND(Employee__2[[#This Row],[Education]]="Bachelors",Employee__2[[#This Row],[City]]="Pune"),"Yes","No")</f>
        <v>Yes</v>
      </c>
      <c r="P21" s="1" t="str">
        <f>IF(OR(Employee__2[[#This Row],[Age]]&gt;=30,Employee__2[[#This Row],[Gender]]="Male"),"Mached","Not mached")</f>
        <v>Mached</v>
      </c>
    </row>
    <row r="22" spans="4:16" x14ac:dyDescent="0.25">
      <c r="D22" s="6" t="s">
        <v>34</v>
      </c>
      <c r="E22">
        <v>2016</v>
      </c>
      <c r="F22" s="6" t="s">
        <v>40</v>
      </c>
      <c r="G22">
        <v>2</v>
      </c>
      <c r="H22">
        <v>22</v>
      </c>
      <c r="I22" s="6" t="s">
        <v>39</v>
      </c>
      <c r="J22" s="6" t="s">
        <v>37</v>
      </c>
      <c r="K22">
        <v>0</v>
      </c>
      <c r="M22" s="1" t="b">
        <f>Employee__2[[#This Row],[Experience]]&gt;1</f>
        <v>0</v>
      </c>
      <c r="N22" s="1" t="str">
        <f>IF(Employee__2[[#This Row],[City]]="Pune","Yes","No")</f>
        <v>No</v>
      </c>
      <c r="O22" s="1" t="str">
        <f>IF(AND(Employee__2[[#This Row],[Education]]="Bachelors",Employee__2[[#This Row],[City]]="Pune"),"Yes","No")</f>
        <v>No</v>
      </c>
      <c r="P22" s="1" t="str">
        <f>IF(OR(Employee__2[[#This Row],[Age]]&gt;=30,Employee__2[[#This Row],[Gender]]="Male"),"Mached","Not mached")</f>
        <v>Not mached</v>
      </c>
    </row>
    <row r="23" spans="4:16" x14ac:dyDescent="0.25">
      <c r="D23" s="6" t="s">
        <v>34</v>
      </c>
      <c r="E23">
        <v>2012</v>
      </c>
      <c r="F23" s="6" t="s">
        <v>35</v>
      </c>
      <c r="G23">
        <v>3</v>
      </c>
      <c r="H23">
        <v>37</v>
      </c>
      <c r="I23" s="6" t="s">
        <v>36</v>
      </c>
      <c r="J23" s="6" t="s">
        <v>37</v>
      </c>
      <c r="K23">
        <v>0</v>
      </c>
      <c r="M23" s="1" t="b">
        <f>Employee__2[[#This Row],[Experience]]&gt;1</f>
        <v>0</v>
      </c>
      <c r="N23" s="1" t="str">
        <f>IF(Employee__2[[#This Row],[City]]="Pune","Yes","No")</f>
        <v>No</v>
      </c>
      <c r="O23" s="1" t="str">
        <f>IF(AND(Employee__2[[#This Row],[Education]]="Bachelors",Employee__2[[#This Row],[City]]="Pune"),"Yes","No")</f>
        <v>No</v>
      </c>
      <c r="P23" s="1" t="str">
        <f>IF(OR(Employee__2[[#This Row],[Age]]&gt;=30,Employee__2[[#This Row],[Gender]]="Male"),"Mached","Not mached")</f>
        <v>Mached</v>
      </c>
    </row>
    <row r="24" spans="4:16" x14ac:dyDescent="0.25">
      <c r="D24" s="6" t="s">
        <v>41</v>
      </c>
      <c r="E24">
        <v>2017</v>
      </c>
      <c r="F24" s="6" t="s">
        <v>40</v>
      </c>
      <c r="G24">
        <v>2</v>
      </c>
      <c r="H24">
        <v>28</v>
      </c>
      <c r="I24" s="6" t="s">
        <v>36</v>
      </c>
      <c r="J24" s="6" t="s">
        <v>37</v>
      </c>
      <c r="K24">
        <v>4</v>
      </c>
      <c r="M24" s="1" t="b">
        <f>Employee__2[[#This Row],[Experience]]&gt;1</f>
        <v>1</v>
      </c>
      <c r="N24" s="1" t="str">
        <f>IF(Employee__2[[#This Row],[City]]="Pune","Yes","No")</f>
        <v>No</v>
      </c>
      <c r="O24" s="1" t="str">
        <f>IF(AND(Employee__2[[#This Row],[Education]]="Bachelors",Employee__2[[#This Row],[City]]="Pune"),"Yes","No")</f>
        <v>No</v>
      </c>
      <c r="P24" s="1" t="str">
        <f>IF(OR(Employee__2[[#This Row],[Age]]&gt;=30,Employee__2[[#This Row],[Gender]]="Male"),"Mached","Not mached")</f>
        <v>Mached</v>
      </c>
    </row>
    <row r="25" spans="4:16" x14ac:dyDescent="0.25">
      <c r="D25" s="6" t="s">
        <v>34</v>
      </c>
      <c r="E25">
        <v>2017</v>
      </c>
      <c r="F25" s="6" t="s">
        <v>40</v>
      </c>
      <c r="G25">
        <v>2</v>
      </c>
      <c r="H25">
        <v>36</v>
      </c>
      <c r="I25" s="6" t="s">
        <v>36</v>
      </c>
      <c r="J25" s="6" t="s">
        <v>37</v>
      </c>
      <c r="K25">
        <v>3</v>
      </c>
      <c r="M25" s="1" t="b">
        <f>Employee__2[[#This Row],[Experience]]&gt;1</f>
        <v>1</v>
      </c>
      <c r="N25" s="1" t="str">
        <f>IF(Employee__2[[#This Row],[City]]="Pune","Yes","No")</f>
        <v>No</v>
      </c>
      <c r="O25" s="1" t="str">
        <f>IF(AND(Employee__2[[#This Row],[Education]]="Bachelors",Employee__2[[#This Row],[City]]="Pune"),"Yes","No")</f>
        <v>No</v>
      </c>
      <c r="P25" s="1" t="str">
        <f>IF(OR(Employee__2[[#This Row],[Age]]&gt;=30,Employee__2[[#This Row],[Gender]]="Male"),"Mached","Not mached")</f>
        <v>Mached</v>
      </c>
    </row>
    <row r="26" spans="4:16" x14ac:dyDescent="0.25">
      <c r="D26" s="6" t="s">
        <v>34</v>
      </c>
      <c r="E26">
        <v>2015</v>
      </c>
      <c r="F26" s="6" t="s">
        <v>35</v>
      </c>
      <c r="G26">
        <v>3</v>
      </c>
      <c r="H26">
        <v>27</v>
      </c>
      <c r="I26" s="6" t="s">
        <v>36</v>
      </c>
      <c r="J26" s="6" t="s">
        <v>42</v>
      </c>
      <c r="K26">
        <v>5</v>
      </c>
      <c r="M26" s="1" t="b">
        <f>Employee__2[[#This Row],[Experience]]&gt;1</f>
        <v>1</v>
      </c>
      <c r="N26" s="1" t="str">
        <f>IF(Employee__2[[#This Row],[City]]="Pune","Yes","No")</f>
        <v>No</v>
      </c>
      <c r="O26" s="1" t="str">
        <f>IF(AND(Employee__2[[#This Row],[Education]]="Bachelors",Employee__2[[#This Row],[City]]="Pune"),"Yes","No")</f>
        <v>No</v>
      </c>
      <c r="P26" s="1" t="str">
        <f>IF(OR(Employee__2[[#This Row],[Age]]&gt;=30,Employee__2[[#This Row],[Gender]]="Male"),"Mached","Not mached")</f>
        <v>Mached</v>
      </c>
    </row>
    <row r="27" spans="4:16" x14ac:dyDescent="0.25">
      <c r="D27" s="6" t="s">
        <v>34</v>
      </c>
      <c r="E27">
        <v>2017</v>
      </c>
      <c r="F27" s="6" t="s">
        <v>35</v>
      </c>
      <c r="G27">
        <v>3</v>
      </c>
      <c r="H27">
        <v>29</v>
      </c>
      <c r="I27" s="6" t="s">
        <v>36</v>
      </c>
      <c r="J27" s="6" t="s">
        <v>37</v>
      </c>
      <c r="K27">
        <v>4</v>
      </c>
      <c r="M27" s="1" t="b">
        <f>Employee__2[[#This Row],[Experience]]&gt;1</f>
        <v>1</v>
      </c>
      <c r="N27" s="1" t="str">
        <f>IF(Employee__2[[#This Row],[City]]="Pune","Yes","No")</f>
        <v>No</v>
      </c>
      <c r="O27" s="1" t="str">
        <f>IF(AND(Employee__2[[#This Row],[Education]]="Bachelors",Employee__2[[#This Row],[City]]="Pune"),"Yes","No")</f>
        <v>No</v>
      </c>
      <c r="P27" s="1" t="str">
        <f>IF(OR(Employee__2[[#This Row],[Age]]&gt;=30,Employee__2[[#This Row],[Gender]]="Male"),"Mached","Not mached")</f>
        <v>Mached</v>
      </c>
    </row>
    <row r="28" spans="4:16" x14ac:dyDescent="0.25">
      <c r="D28" s="6" t="s">
        <v>34</v>
      </c>
      <c r="E28">
        <v>2013</v>
      </c>
      <c r="F28" s="6" t="s">
        <v>35</v>
      </c>
      <c r="G28">
        <v>3</v>
      </c>
      <c r="H28">
        <v>22</v>
      </c>
      <c r="I28" s="6" t="s">
        <v>39</v>
      </c>
      <c r="J28" s="6" t="s">
        <v>42</v>
      </c>
      <c r="K28">
        <v>0</v>
      </c>
      <c r="M28" s="1" t="b">
        <f>Employee__2[[#This Row],[Experience]]&gt;1</f>
        <v>0</v>
      </c>
      <c r="N28" s="1" t="str">
        <f>IF(Employee__2[[#This Row],[City]]="Pune","Yes","No")</f>
        <v>No</v>
      </c>
      <c r="O28" s="1" t="str">
        <f>IF(AND(Employee__2[[#This Row],[Education]]="Bachelors",Employee__2[[#This Row],[City]]="Pune"),"Yes","No")</f>
        <v>No</v>
      </c>
      <c r="P28" s="1" t="str">
        <f>IF(OR(Employee__2[[#This Row],[Age]]&gt;=30,Employee__2[[#This Row],[Gender]]="Male"),"Mached","Not mached")</f>
        <v>Not mached</v>
      </c>
    </row>
    <row r="29" spans="4:16" x14ac:dyDescent="0.25">
      <c r="D29" s="6" t="s">
        <v>34</v>
      </c>
      <c r="E29">
        <v>2016</v>
      </c>
      <c r="F29" s="6" t="s">
        <v>35</v>
      </c>
      <c r="G29">
        <v>3</v>
      </c>
      <c r="H29">
        <v>37</v>
      </c>
      <c r="I29" s="6" t="s">
        <v>36</v>
      </c>
      <c r="J29" s="6" t="s">
        <v>37</v>
      </c>
      <c r="K29">
        <v>2</v>
      </c>
      <c r="M29" s="1" t="b">
        <f>Employee__2[[#This Row],[Experience]]&gt;1</f>
        <v>1</v>
      </c>
      <c r="N29" s="1" t="str">
        <f>IF(Employee__2[[#This Row],[City]]="Pune","Yes","No")</f>
        <v>No</v>
      </c>
      <c r="O29" s="1" t="str">
        <f>IF(AND(Employee__2[[#This Row],[Education]]="Bachelors",Employee__2[[#This Row],[City]]="Pune"),"Yes","No")</f>
        <v>No</v>
      </c>
      <c r="P29" s="1" t="str">
        <f>IF(OR(Employee__2[[#This Row],[Age]]&gt;=30,Employee__2[[#This Row],[Gender]]="Male"),"Mached","Not mached")</f>
        <v>Mached</v>
      </c>
    </row>
    <row r="30" spans="4:16" x14ac:dyDescent="0.25">
      <c r="D30" s="6" t="s">
        <v>34</v>
      </c>
      <c r="E30">
        <v>2015</v>
      </c>
      <c r="F30" s="6" t="s">
        <v>35</v>
      </c>
      <c r="G30">
        <v>3</v>
      </c>
      <c r="H30">
        <v>23</v>
      </c>
      <c r="I30" s="6" t="s">
        <v>36</v>
      </c>
      <c r="J30" s="6" t="s">
        <v>37</v>
      </c>
      <c r="K30">
        <v>1</v>
      </c>
      <c r="M30" s="1" t="b">
        <f>Employee__2[[#This Row],[Experience]]&gt;1</f>
        <v>0</v>
      </c>
      <c r="N30" s="1" t="str">
        <f>IF(Employee__2[[#This Row],[City]]="Pune","Yes","No")</f>
        <v>No</v>
      </c>
      <c r="O30" s="1" t="str">
        <f>IF(AND(Employee__2[[#This Row],[Education]]="Bachelors",Employee__2[[#This Row],[City]]="Pune"),"Yes","No")</f>
        <v>No</v>
      </c>
      <c r="P30" s="1" t="str">
        <f>IF(OR(Employee__2[[#This Row],[Age]]&gt;=30,Employee__2[[#This Row],[Gender]]="Male"),"Mached","Not mached")</f>
        <v>Mached</v>
      </c>
    </row>
    <row r="31" spans="4:16" x14ac:dyDescent="0.25">
      <c r="D31" s="6" t="s">
        <v>34</v>
      </c>
      <c r="E31">
        <v>2013</v>
      </c>
      <c r="F31" s="6" t="s">
        <v>38</v>
      </c>
      <c r="G31">
        <v>2</v>
      </c>
      <c r="H31">
        <v>31</v>
      </c>
      <c r="I31" s="6" t="s">
        <v>39</v>
      </c>
      <c r="J31" s="6" t="s">
        <v>37</v>
      </c>
      <c r="K31">
        <v>2</v>
      </c>
      <c r="M31" s="1" t="b">
        <f>Employee__2[[#This Row],[Experience]]&gt;1</f>
        <v>1</v>
      </c>
      <c r="N31" s="1" t="str">
        <f>IF(Employee__2[[#This Row],[City]]="Pune","Yes","No")</f>
        <v>Yes</v>
      </c>
      <c r="O31" s="1" t="str">
        <f>IF(AND(Employee__2[[#This Row],[Education]]="Bachelors",Employee__2[[#This Row],[City]]="Pune"),"Yes","No")</f>
        <v>Yes</v>
      </c>
      <c r="P31" s="1" t="str">
        <f>IF(OR(Employee__2[[#This Row],[Age]]&gt;=30,Employee__2[[#This Row],[Gender]]="Male"),"Mached","Not mached")</f>
        <v>Mached</v>
      </c>
    </row>
    <row r="32" spans="4:16" x14ac:dyDescent="0.25">
      <c r="D32" s="6" t="s">
        <v>41</v>
      </c>
      <c r="E32">
        <v>2017</v>
      </c>
      <c r="F32" s="6" t="s">
        <v>40</v>
      </c>
      <c r="G32">
        <v>2</v>
      </c>
      <c r="H32">
        <v>30</v>
      </c>
      <c r="I32" s="6" t="s">
        <v>39</v>
      </c>
      <c r="J32" s="6" t="s">
        <v>37</v>
      </c>
      <c r="K32">
        <v>2</v>
      </c>
      <c r="M32" s="1" t="b">
        <f>Employee__2[[#This Row],[Experience]]&gt;1</f>
        <v>1</v>
      </c>
      <c r="N32" s="1" t="str">
        <f>IF(Employee__2[[#This Row],[City]]="Pune","Yes","No")</f>
        <v>No</v>
      </c>
      <c r="O32" s="1" t="str">
        <f>IF(AND(Employee__2[[#This Row],[Education]]="Bachelors",Employee__2[[#This Row],[City]]="Pune"),"Yes","No")</f>
        <v>No</v>
      </c>
      <c r="P32" s="1" t="str">
        <f>IF(OR(Employee__2[[#This Row],[Age]]&gt;=30,Employee__2[[#This Row],[Gender]]="Male"),"Mached","Not mached")</f>
        <v>Mached</v>
      </c>
    </row>
    <row r="33" spans="4:16" x14ac:dyDescent="0.25">
      <c r="D33" s="6" t="s">
        <v>43</v>
      </c>
      <c r="E33">
        <v>2013</v>
      </c>
      <c r="F33" s="6" t="s">
        <v>40</v>
      </c>
      <c r="G33">
        <v>3</v>
      </c>
      <c r="H33">
        <v>25</v>
      </c>
      <c r="I33" s="6" t="s">
        <v>36</v>
      </c>
      <c r="J33" s="6" t="s">
        <v>37</v>
      </c>
      <c r="K33">
        <v>3</v>
      </c>
      <c r="M33" s="1" t="b">
        <f>Employee__2[[#This Row],[Experience]]&gt;1</f>
        <v>1</v>
      </c>
      <c r="N33" s="1" t="str">
        <f>IF(Employee__2[[#This Row],[City]]="Pune","Yes","No")</f>
        <v>No</v>
      </c>
      <c r="O33" s="1" t="str">
        <f>IF(AND(Employee__2[[#This Row],[Education]]="Bachelors",Employee__2[[#This Row],[City]]="Pune"),"Yes","No")</f>
        <v>No</v>
      </c>
      <c r="P33" s="1" t="str">
        <f>IF(OR(Employee__2[[#This Row],[Age]]&gt;=30,Employee__2[[#This Row],[Gender]]="Male"),"Mached","Not mached")</f>
        <v>Mached</v>
      </c>
    </row>
    <row r="34" spans="4:16" x14ac:dyDescent="0.25">
      <c r="D34" s="6" t="s">
        <v>34</v>
      </c>
      <c r="E34">
        <v>2014</v>
      </c>
      <c r="F34" s="6" t="s">
        <v>35</v>
      </c>
      <c r="G34">
        <v>3</v>
      </c>
      <c r="H34">
        <v>23</v>
      </c>
      <c r="I34" s="6" t="s">
        <v>36</v>
      </c>
      <c r="J34" s="6" t="s">
        <v>37</v>
      </c>
      <c r="K34">
        <v>1</v>
      </c>
      <c r="M34" s="1" t="b">
        <f>Employee__2[[#This Row],[Experience]]&gt;1</f>
        <v>0</v>
      </c>
      <c r="N34" s="1" t="str">
        <f>IF(Employee__2[[#This Row],[City]]="Pune","Yes","No")</f>
        <v>No</v>
      </c>
      <c r="O34" s="1" t="str">
        <f>IF(AND(Employee__2[[#This Row],[Education]]="Bachelors",Employee__2[[#This Row],[City]]="Pune"),"Yes","No")</f>
        <v>No</v>
      </c>
      <c r="P34" s="1" t="str">
        <f>IF(OR(Employee__2[[#This Row],[Age]]&gt;=30,Employee__2[[#This Row],[Gender]]="Male"),"Mached","Not mached")</f>
        <v>Mached</v>
      </c>
    </row>
    <row r="35" spans="4:16" x14ac:dyDescent="0.25">
      <c r="D35" s="6" t="s">
        <v>34</v>
      </c>
      <c r="E35">
        <v>2018</v>
      </c>
      <c r="F35" s="6" t="s">
        <v>35</v>
      </c>
      <c r="G35">
        <v>3</v>
      </c>
      <c r="H35">
        <v>26</v>
      </c>
      <c r="I35" s="6" t="s">
        <v>36</v>
      </c>
      <c r="J35" s="6" t="s">
        <v>37</v>
      </c>
      <c r="K35">
        <v>4</v>
      </c>
      <c r="M35" s="1" t="b">
        <f>Employee__2[[#This Row],[Experience]]&gt;1</f>
        <v>1</v>
      </c>
      <c r="N35" s="1" t="str">
        <f>IF(Employee__2[[#This Row],[City]]="Pune","Yes","No")</f>
        <v>No</v>
      </c>
      <c r="O35" s="1" t="str">
        <f>IF(AND(Employee__2[[#This Row],[Education]]="Bachelors",Employee__2[[#This Row],[City]]="Pune"),"Yes","No")</f>
        <v>No</v>
      </c>
      <c r="P35" s="1" t="str">
        <f>IF(OR(Employee__2[[#This Row],[Age]]&gt;=30,Employee__2[[#This Row],[Gender]]="Male"),"Mached","Not mached")</f>
        <v>Mached</v>
      </c>
    </row>
    <row r="36" spans="4:16" x14ac:dyDescent="0.25">
      <c r="D36" s="6" t="s">
        <v>34</v>
      </c>
      <c r="E36">
        <v>2016</v>
      </c>
      <c r="F36" s="6" t="s">
        <v>35</v>
      </c>
      <c r="G36">
        <v>3</v>
      </c>
      <c r="H36">
        <v>40</v>
      </c>
      <c r="I36" s="6" t="s">
        <v>36</v>
      </c>
      <c r="J36" s="6" t="s">
        <v>37</v>
      </c>
      <c r="K36">
        <v>5</v>
      </c>
      <c r="M36" s="1" t="b">
        <f>Employee__2[[#This Row],[Experience]]&gt;1</f>
        <v>1</v>
      </c>
      <c r="N36" s="1" t="str">
        <f>IF(Employee__2[[#This Row],[City]]="Pune","Yes","No")</f>
        <v>No</v>
      </c>
      <c r="O36" s="1" t="str">
        <f>IF(AND(Employee__2[[#This Row],[Education]]="Bachelors",Employee__2[[#This Row],[City]]="Pune"),"Yes","No")</f>
        <v>No</v>
      </c>
      <c r="P36" s="1" t="str">
        <f>IF(OR(Employee__2[[#This Row],[Age]]&gt;=30,Employee__2[[#This Row],[Gender]]="Male"),"Mached","Not mached")</f>
        <v>Mached</v>
      </c>
    </row>
    <row r="37" spans="4:16" x14ac:dyDescent="0.25">
      <c r="D37" s="6" t="s">
        <v>34</v>
      </c>
      <c r="E37">
        <v>2017</v>
      </c>
      <c r="F37" s="6" t="s">
        <v>38</v>
      </c>
      <c r="G37">
        <v>2</v>
      </c>
      <c r="H37">
        <v>37</v>
      </c>
      <c r="I37" s="6" t="s">
        <v>39</v>
      </c>
      <c r="J37" s="6" t="s">
        <v>37</v>
      </c>
      <c r="K37">
        <v>0</v>
      </c>
      <c r="M37" s="1" t="b">
        <f>Employee__2[[#This Row],[Experience]]&gt;1</f>
        <v>0</v>
      </c>
      <c r="N37" s="1" t="str">
        <f>IF(Employee__2[[#This Row],[City]]="Pune","Yes","No")</f>
        <v>Yes</v>
      </c>
      <c r="O37" s="1" t="str">
        <f>IF(AND(Employee__2[[#This Row],[Education]]="Bachelors",Employee__2[[#This Row],[City]]="Pune"),"Yes","No")</f>
        <v>Yes</v>
      </c>
      <c r="P37" s="1" t="str">
        <f>IF(OR(Employee__2[[#This Row],[Age]]&gt;=30,Employee__2[[#This Row],[Gender]]="Male"),"Mached","Not mached")</f>
        <v>Mached</v>
      </c>
    </row>
    <row r="38" spans="4:16" x14ac:dyDescent="0.25">
      <c r="D38" s="6" t="s">
        <v>34</v>
      </c>
      <c r="E38">
        <v>2014</v>
      </c>
      <c r="F38" s="6" t="s">
        <v>35</v>
      </c>
      <c r="G38">
        <v>1</v>
      </c>
      <c r="H38">
        <v>30</v>
      </c>
      <c r="I38" s="6" t="s">
        <v>39</v>
      </c>
      <c r="J38" s="6" t="s">
        <v>37</v>
      </c>
      <c r="K38">
        <v>3</v>
      </c>
      <c r="M38" s="1" t="b">
        <f>Employee__2[[#This Row],[Experience]]&gt;1</f>
        <v>1</v>
      </c>
      <c r="N38" s="1" t="str">
        <f>IF(Employee__2[[#This Row],[City]]="Pune","Yes","No")</f>
        <v>No</v>
      </c>
      <c r="O38" s="1" t="str">
        <f>IF(AND(Employee__2[[#This Row],[Education]]="Bachelors",Employee__2[[#This Row],[City]]="Pune"),"Yes","No")</f>
        <v>No</v>
      </c>
      <c r="P38" s="1" t="str">
        <f>IF(OR(Employee__2[[#This Row],[Age]]&gt;=30,Employee__2[[#This Row],[Gender]]="Male"),"Mached","Not mached")</f>
        <v>Mached</v>
      </c>
    </row>
    <row r="39" spans="4:16" x14ac:dyDescent="0.25">
      <c r="D39" s="6" t="s">
        <v>34</v>
      </c>
      <c r="E39">
        <v>2012</v>
      </c>
      <c r="F39" s="6" t="s">
        <v>40</v>
      </c>
      <c r="G39">
        <v>3</v>
      </c>
      <c r="H39">
        <v>29</v>
      </c>
      <c r="I39" s="6" t="s">
        <v>36</v>
      </c>
      <c r="J39" s="6" t="s">
        <v>37</v>
      </c>
      <c r="K39">
        <v>3</v>
      </c>
      <c r="M39" s="1" t="b">
        <f>Employee__2[[#This Row],[Experience]]&gt;1</f>
        <v>1</v>
      </c>
      <c r="N39" s="1" t="str">
        <f>IF(Employee__2[[#This Row],[City]]="Pune","Yes","No")</f>
        <v>No</v>
      </c>
      <c r="O39" s="1" t="str">
        <f>IF(AND(Employee__2[[#This Row],[Education]]="Bachelors",Employee__2[[#This Row],[City]]="Pune"),"Yes","No")</f>
        <v>No</v>
      </c>
      <c r="P39" s="1" t="str">
        <f>IF(OR(Employee__2[[#This Row],[Age]]&gt;=30,Employee__2[[#This Row],[Gender]]="Male"),"Mached","Not mached")</f>
        <v>Mached</v>
      </c>
    </row>
    <row r="40" spans="4:16" x14ac:dyDescent="0.25">
      <c r="D40" s="6" t="s">
        <v>34</v>
      </c>
      <c r="E40">
        <v>2018</v>
      </c>
      <c r="F40" s="6" t="s">
        <v>40</v>
      </c>
      <c r="G40">
        <v>2</v>
      </c>
      <c r="H40">
        <v>34</v>
      </c>
      <c r="I40" s="6" t="s">
        <v>39</v>
      </c>
      <c r="J40" s="6" t="s">
        <v>37</v>
      </c>
      <c r="K40">
        <v>0</v>
      </c>
      <c r="M40" s="1" t="b">
        <f>Employee__2[[#This Row],[Experience]]&gt;1</f>
        <v>0</v>
      </c>
      <c r="N40" s="1" t="str">
        <f>IF(Employee__2[[#This Row],[City]]="Pune","Yes","No")</f>
        <v>No</v>
      </c>
      <c r="O40" s="1" t="str">
        <f>IF(AND(Employee__2[[#This Row],[Education]]="Bachelors",Employee__2[[#This Row],[City]]="Pune"),"Yes","No")</f>
        <v>No</v>
      </c>
      <c r="P40" s="1" t="str">
        <f>IF(OR(Employee__2[[#This Row],[Age]]&gt;=30,Employee__2[[#This Row],[Gender]]="Male"),"Mached","Not mached")</f>
        <v>Mached</v>
      </c>
    </row>
    <row r="41" spans="4:16" x14ac:dyDescent="0.25">
      <c r="D41" s="6" t="s">
        <v>34</v>
      </c>
      <c r="E41">
        <v>2017</v>
      </c>
      <c r="F41" s="6" t="s">
        <v>38</v>
      </c>
      <c r="G41">
        <v>2</v>
      </c>
      <c r="H41">
        <v>29</v>
      </c>
      <c r="I41" s="6" t="s">
        <v>39</v>
      </c>
      <c r="J41" s="6" t="s">
        <v>37</v>
      </c>
      <c r="K41">
        <v>2</v>
      </c>
      <c r="M41" s="1" t="b">
        <f>Employee__2[[#This Row],[Experience]]&gt;1</f>
        <v>1</v>
      </c>
      <c r="N41" s="1" t="str">
        <f>IF(Employee__2[[#This Row],[City]]="Pune","Yes","No")</f>
        <v>Yes</v>
      </c>
      <c r="O41" s="1" t="str">
        <f>IF(AND(Employee__2[[#This Row],[Education]]="Bachelors",Employee__2[[#This Row],[City]]="Pune"),"Yes","No")</f>
        <v>Yes</v>
      </c>
      <c r="P41" s="1" t="str">
        <f>IF(OR(Employee__2[[#This Row],[Age]]&gt;=30,Employee__2[[#This Row],[Gender]]="Male"),"Mached","Not mached")</f>
        <v>Not mached</v>
      </c>
    </row>
    <row r="42" spans="4:16" x14ac:dyDescent="0.25">
      <c r="D42" s="6" t="s">
        <v>34</v>
      </c>
      <c r="E42">
        <v>2014</v>
      </c>
      <c r="F42" s="6" t="s">
        <v>38</v>
      </c>
      <c r="G42">
        <v>3</v>
      </c>
      <c r="H42">
        <v>30</v>
      </c>
      <c r="I42" s="6" t="s">
        <v>36</v>
      </c>
      <c r="J42" s="6" t="s">
        <v>42</v>
      </c>
      <c r="K42">
        <v>4</v>
      </c>
      <c r="M42" s="1" t="b">
        <f>Employee__2[[#This Row],[Experience]]&gt;1</f>
        <v>1</v>
      </c>
      <c r="N42" s="1" t="str">
        <f>IF(Employee__2[[#This Row],[City]]="Pune","Yes","No")</f>
        <v>Yes</v>
      </c>
      <c r="O42" s="1" t="str">
        <f>IF(AND(Employee__2[[#This Row],[Education]]="Bachelors",Employee__2[[#This Row],[City]]="Pune"),"Yes","No")</f>
        <v>Yes</v>
      </c>
      <c r="P42" s="1" t="str">
        <f>IF(OR(Employee__2[[#This Row],[Age]]&gt;=30,Employee__2[[#This Row],[Gender]]="Male"),"Mached","Not mached")</f>
        <v>Mached</v>
      </c>
    </row>
    <row r="43" spans="4:16" x14ac:dyDescent="0.25">
      <c r="D43" s="6" t="s">
        <v>34</v>
      </c>
      <c r="E43">
        <v>2015</v>
      </c>
      <c r="F43" s="6" t="s">
        <v>35</v>
      </c>
      <c r="G43">
        <v>3</v>
      </c>
      <c r="H43">
        <v>36</v>
      </c>
      <c r="I43" s="6" t="s">
        <v>36</v>
      </c>
      <c r="J43" s="6" t="s">
        <v>37</v>
      </c>
      <c r="K43">
        <v>1</v>
      </c>
      <c r="M43" s="1" t="b">
        <f>Employee__2[[#This Row],[Experience]]&gt;1</f>
        <v>0</v>
      </c>
      <c r="N43" s="1" t="str">
        <f>IF(Employee__2[[#This Row],[City]]="Pune","Yes","No")</f>
        <v>No</v>
      </c>
      <c r="O43" s="1" t="str">
        <f>IF(AND(Employee__2[[#This Row],[Education]]="Bachelors",Employee__2[[#This Row],[City]]="Pune"),"Yes","No")</f>
        <v>No</v>
      </c>
      <c r="P43" s="1" t="str">
        <f>IF(OR(Employee__2[[#This Row],[Age]]&gt;=30,Employee__2[[#This Row],[Gender]]="Male"),"Mached","Not mached")</f>
        <v>Mached</v>
      </c>
    </row>
    <row r="44" spans="4:16" x14ac:dyDescent="0.25">
      <c r="D44" s="6" t="s">
        <v>41</v>
      </c>
      <c r="E44">
        <v>2017</v>
      </c>
      <c r="F44" s="6" t="s">
        <v>40</v>
      </c>
      <c r="G44">
        <v>2</v>
      </c>
      <c r="H44">
        <v>23</v>
      </c>
      <c r="I44" s="6" t="s">
        <v>36</v>
      </c>
      <c r="J44" s="6" t="s">
        <v>37</v>
      </c>
      <c r="K44">
        <v>1</v>
      </c>
      <c r="M44" s="1" t="b">
        <f>Employee__2[[#This Row],[Experience]]&gt;1</f>
        <v>0</v>
      </c>
      <c r="N44" s="1" t="str">
        <f>IF(Employee__2[[#This Row],[City]]="Pune","Yes","No")</f>
        <v>No</v>
      </c>
      <c r="O44" s="1" t="str">
        <f>IF(AND(Employee__2[[#This Row],[Education]]="Bachelors",Employee__2[[#This Row],[City]]="Pune"),"Yes","No")</f>
        <v>No</v>
      </c>
      <c r="P44" s="1" t="str">
        <f>IF(OR(Employee__2[[#This Row],[Age]]&gt;=30,Employee__2[[#This Row],[Gender]]="Male"),"Mached","Not mached")</f>
        <v>Mached</v>
      </c>
    </row>
    <row r="45" spans="4:16" x14ac:dyDescent="0.25">
      <c r="D45" s="6" t="s">
        <v>34</v>
      </c>
      <c r="E45">
        <v>2013</v>
      </c>
      <c r="F45" s="6" t="s">
        <v>35</v>
      </c>
      <c r="G45">
        <v>3</v>
      </c>
      <c r="H45">
        <v>30</v>
      </c>
      <c r="I45" s="6" t="s">
        <v>36</v>
      </c>
      <c r="J45" s="6" t="s">
        <v>37</v>
      </c>
      <c r="K45">
        <v>3</v>
      </c>
      <c r="M45" s="1" t="b">
        <f>Employee__2[[#This Row],[Experience]]&gt;1</f>
        <v>1</v>
      </c>
      <c r="N45" s="1" t="str">
        <f>IF(Employee__2[[#This Row],[City]]="Pune","Yes","No")</f>
        <v>No</v>
      </c>
      <c r="O45" s="1" t="str">
        <f>IF(AND(Employee__2[[#This Row],[Education]]="Bachelors",Employee__2[[#This Row],[City]]="Pune"),"Yes","No")</f>
        <v>No</v>
      </c>
      <c r="P45" s="1" t="str">
        <f>IF(OR(Employee__2[[#This Row],[Age]]&gt;=30,Employee__2[[#This Row],[Gender]]="Male"),"Mached","Not mached")</f>
        <v>Mached</v>
      </c>
    </row>
    <row r="46" spans="4:16" x14ac:dyDescent="0.25">
      <c r="D46" s="6" t="s">
        <v>34</v>
      </c>
      <c r="E46">
        <v>2014</v>
      </c>
      <c r="F46" s="6" t="s">
        <v>35</v>
      </c>
      <c r="G46">
        <v>3</v>
      </c>
      <c r="H46">
        <v>36</v>
      </c>
      <c r="I46" s="6" t="s">
        <v>36</v>
      </c>
      <c r="J46" s="6" t="s">
        <v>37</v>
      </c>
      <c r="K46">
        <v>0</v>
      </c>
      <c r="M46" s="1" t="b">
        <f>Employee__2[[#This Row],[Experience]]&gt;1</f>
        <v>0</v>
      </c>
      <c r="N46" s="1" t="str">
        <f>IF(Employee__2[[#This Row],[City]]="Pune","Yes","No")</f>
        <v>No</v>
      </c>
      <c r="O46" s="1" t="str">
        <f>IF(AND(Employee__2[[#This Row],[Education]]="Bachelors",Employee__2[[#This Row],[City]]="Pune"),"Yes","No")</f>
        <v>No</v>
      </c>
      <c r="P46" s="1" t="str">
        <f>IF(OR(Employee__2[[#This Row],[Age]]&gt;=30,Employee__2[[#This Row],[Gender]]="Male"),"Mached","Not mached")</f>
        <v>Mached</v>
      </c>
    </row>
    <row r="47" spans="4:16" x14ac:dyDescent="0.25">
      <c r="D47" s="6" t="s">
        <v>34</v>
      </c>
      <c r="E47">
        <v>2015</v>
      </c>
      <c r="F47" s="6" t="s">
        <v>38</v>
      </c>
      <c r="G47">
        <v>3</v>
      </c>
      <c r="H47">
        <v>39</v>
      </c>
      <c r="I47" s="6" t="s">
        <v>36</v>
      </c>
      <c r="J47" s="6" t="s">
        <v>37</v>
      </c>
      <c r="K47">
        <v>4</v>
      </c>
      <c r="M47" s="1" t="b">
        <f>Employee__2[[#This Row],[Experience]]&gt;1</f>
        <v>1</v>
      </c>
      <c r="N47" s="1" t="str">
        <f>IF(Employee__2[[#This Row],[City]]="Pune","Yes","No")</f>
        <v>Yes</v>
      </c>
      <c r="O47" s="1" t="str">
        <f>IF(AND(Employee__2[[#This Row],[Education]]="Bachelors",Employee__2[[#This Row],[City]]="Pune"),"Yes","No")</f>
        <v>Yes</v>
      </c>
      <c r="P47" s="1" t="str">
        <f>IF(OR(Employee__2[[#This Row],[Age]]&gt;=30,Employee__2[[#This Row],[Gender]]="Male"),"Mached","Not mached")</f>
        <v>Mached</v>
      </c>
    </row>
    <row r="48" spans="4:16" x14ac:dyDescent="0.25">
      <c r="D48" s="6" t="s">
        <v>34</v>
      </c>
      <c r="E48">
        <v>2014</v>
      </c>
      <c r="F48" s="6" t="s">
        <v>35</v>
      </c>
      <c r="G48">
        <v>3</v>
      </c>
      <c r="H48">
        <v>23</v>
      </c>
      <c r="I48" s="6" t="s">
        <v>39</v>
      </c>
      <c r="J48" s="6" t="s">
        <v>37</v>
      </c>
      <c r="K48">
        <v>1</v>
      </c>
      <c r="M48" s="1" t="b">
        <f>Employee__2[[#This Row],[Experience]]&gt;1</f>
        <v>0</v>
      </c>
      <c r="N48" s="1" t="str">
        <f>IF(Employee__2[[#This Row],[City]]="Pune","Yes","No")</f>
        <v>No</v>
      </c>
      <c r="O48" s="1" t="str">
        <f>IF(AND(Employee__2[[#This Row],[Education]]="Bachelors",Employee__2[[#This Row],[City]]="Pune"),"Yes","No")</f>
        <v>No</v>
      </c>
      <c r="P48" s="1" t="str">
        <f>IF(OR(Employee__2[[#This Row],[Age]]&gt;=30,Employee__2[[#This Row],[Gender]]="Male"),"Mached","Not mached")</f>
        <v>Not mached</v>
      </c>
    </row>
    <row r="49" spans="4:16" x14ac:dyDescent="0.25">
      <c r="D49" s="6" t="s">
        <v>43</v>
      </c>
      <c r="E49">
        <v>2012</v>
      </c>
      <c r="F49" s="6" t="s">
        <v>40</v>
      </c>
      <c r="G49">
        <v>3</v>
      </c>
      <c r="H49">
        <v>27</v>
      </c>
      <c r="I49" s="6" t="s">
        <v>36</v>
      </c>
      <c r="J49" s="6" t="s">
        <v>37</v>
      </c>
      <c r="K49">
        <v>5</v>
      </c>
      <c r="M49" s="1" t="b">
        <f>Employee__2[[#This Row],[Experience]]&gt;1</f>
        <v>1</v>
      </c>
      <c r="N49" s="1" t="str">
        <f>IF(Employee__2[[#This Row],[City]]="Pune","Yes","No")</f>
        <v>No</v>
      </c>
      <c r="O49" s="1" t="str">
        <f>IF(AND(Employee__2[[#This Row],[Education]]="Bachelors",Employee__2[[#This Row],[City]]="Pune"),"Yes","No")</f>
        <v>No</v>
      </c>
      <c r="P49" s="1" t="str">
        <f>IF(OR(Employee__2[[#This Row],[Age]]&gt;=30,Employee__2[[#This Row],[Gender]]="Male"),"Mached","Not mached")</f>
        <v>Mached</v>
      </c>
    </row>
    <row r="50" spans="4:16" x14ac:dyDescent="0.25">
      <c r="D50" s="6" t="s">
        <v>41</v>
      </c>
      <c r="E50">
        <v>2013</v>
      </c>
      <c r="F50" s="6" t="s">
        <v>40</v>
      </c>
      <c r="G50">
        <v>3</v>
      </c>
      <c r="H50">
        <v>35</v>
      </c>
      <c r="I50" s="6" t="s">
        <v>36</v>
      </c>
      <c r="J50" s="6" t="s">
        <v>37</v>
      </c>
      <c r="K50">
        <v>2</v>
      </c>
      <c r="M50" s="1" t="b">
        <f>Employee__2[[#This Row],[Experience]]&gt;1</f>
        <v>1</v>
      </c>
      <c r="N50" s="1" t="str">
        <f>IF(Employee__2[[#This Row],[City]]="Pune","Yes","No")</f>
        <v>No</v>
      </c>
      <c r="O50" s="1" t="str">
        <f>IF(AND(Employee__2[[#This Row],[Education]]="Bachelors",Employee__2[[#This Row],[City]]="Pune"),"Yes","No")</f>
        <v>No</v>
      </c>
      <c r="P50" s="1" t="str">
        <f>IF(OR(Employee__2[[#This Row],[Age]]&gt;=30,Employee__2[[#This Row],[Gender]]="Male"),"Mached","Not mached")</f>
        <v>Mached</v>
      </c>
    </row>
    <row r="51" spans="4:16" x14ac:dyDescent="0.25">
      <c r="D51" s="6" t="s">
        <v>41</v>
      </c>
      <c r="E51">
        <v>2017</v>
      </c>
      <c r="F51" s="6" t="s">
        <v>40</v>
      </c>
      <c r="G51">
        <v>2</v>
      </c>
      <c r="H51">
        <v>34</v>
      </c>
      <c r="I51" s="6" t="s">
        <v>36</v>
      </c>
      <c r="J51" s="6" t="s">
        <v>37</v>
      </c>
      <c r="K51">
        <v>0</v>
      </c>
      <c r="M51" s="1" t="b">
        <f>Employee__2[[#This Row],[Experience]]&gt;1</f>
        <v>0</v>
      </c>
      <c r="N51" s="1" t="str">
        <f>IF(Employee__2[[#This Row],[City]]="Pune","Yes","No")</f>
        <v>No</v>
      </c>
      <c r="O51" s="1" t="str">
        <f>IF(AND(Employee__2[[#This Row],[Education]]="Bachelors",Employee__2[[#This Row],[City]]="Pune"),"Yes","No")</f>
        <v>No</v>
      </c>
      <c r="P51" s="1" t="str">
        <f>IF(OR(Employee__2[[#This Row],[Age]]&gt;=30,Employee__2[[#This Row],[Gender]]="Male"),"Mached","Not mached")</f>
        <v>Mached</v>
      </c>
    </row>
    <row r="52" spans="4:16" x14ac:dyDescent="0.25">
      <c r="D52" s="6" t="s">
        <v>34</v>
      </c>
      <c r="E52">
        <v>2013</v>
      </c>
      <c r="F52" s="6" t="s">
        <v>35</v>
      </c>
      <c r="G52">
        <v>3</v>
      </c>
      <c r="H52">
        <v>30</v>
      </c>
      <c r="I52" s="6" t="s">
        <v>39</v>
      </c>
      <c r="J52" s="6" t="s">
        <v>37</v>
      </c>
      <c r="K52">
        <v>1</v>
      </c>
      <c r="M52" s="1" t="b">
        <f>Employee__2[[#This Row],[Experience]]&gt;1</f>
        <v>0</v>
      </c>
      <c r="N52" s="1" t="str">
        <f>IF(Employee__2[[#This Row],[City]]="Pune","Yes","No")</f>
        <v>No</v>
      </c>
      <c r="O52" s="1" t="str">
        <f>IF(AND(Employee__2[[#This Row],[Education]]="Bachelors",Employee__2[[#This Row],[City]]="Pune"),"Yes","No")</f>
        <v>No</v>
      </c>
      <c r="P52" s="1" t="str">
        <f>IF(OR(Employee__2[[#This Row],[Age]]&gt;=30,Employee__2[[#This Row],[Gender]]="Male"),"Mached","Not mached")</f>
        <v>Mached</v>
      </c>
    </row>
    <row r="53" spans="4:16" x14ac:dyDescent="0.25">
      <c r="D53" s="6" t="s">
        <v>43</v>
      </c>
      <c r="E53">
        <v>2017</v>
      </c>
      <c r="F53" s="6" t="s">
        <v>40</v>
      </c>
      <c r="G53">
        <v>3</v>
      </c>
      <c r="H53">
        <v>34</v>
      </c>
      <c r="I53" s="6" t="s">
        <v>36</v>
      </c>
      <c r="J53" s="6" t="s">
        <v>37</v>
      </c>
      <c r="K53">
        <v>2</v>
      </c>
      <c r="M53" s="1" t="b">
        <f>Employee__2[[#This Row],[Experience]]&gt;1</f>
        <v>1</v>
      </c>
      <c r="N53" s="1" t="str">
        <f>IF(Employee__2[[#This Row],[City]]="Pune","Yes","No")</f>
        <v>No</v>
      </c>
      <c r="O53" s="1" t="str">
        <f>IF(AND(Employee__2[[#This Row],[Education]]="Bachelors",Employee__2[[#This Row],[City]]="Pune"),"Yes","No")</f>
        <v>No</v>
      </c>
      <c r="P53" s="1" t="str">
        <f>IF(OR(Employee__2[[#This Row],[Age]]&gt;=30,Employee__2[[#This Row],[Gender]]="Male"),"Mached","Not mached")</f>
        <v>Mached</v>
      </c>
    </row>
    <row r="54" spans="4:16" x14ac:dyDescent="0.25">
      <c r="D54" s="6" t="s">
        <v>34</v>
      </c>
      <c r="E54">
        <v>2015</v>
      </c>
      <c r="F54" s="6" t="s">
        <v>38</v>
      </c>
      <c r="G54">
        <v>2</v>
      </c>
      <c r="H54">
        <v>26</v>
      </c>
      <c r="I54" s="6" t="s">
        <v>39</v>
      </c>
      <c r="J54" s="6" t="s">
        <v>37</v>
      </c>
      <c r="K54">
        <v>4</v>
      </c>
      <c r="M54" s="1" t="b">
        <f>Employee__2[[#This Row],[Experience]]&gt;1</f>
        <v>1</v>
      </c>
      <c r="N54" s="1" t="str">
        <f>IF(Employee__2[[#This Row],[City]]="Pune","Yes","No")</f>
        <v>Yes</v>
      </c>
      <c r="O54" s="1" t="str">
        <f>IF(AND(Employee__2[[#This Row],[Education]]="Bachelors",Employee__2[[#This Row],[City]]="Pune"),"Yes","No")</f>
        <v>Yes</v>
      </c>
      <c r="P54" s="1" t="str">
        <f>IF(OR(Employee__2[[#This Row],[Age]]&gt;=30,Employee__2[[#This Row],[Gender]]="Male"),"Mached","Not mached")</f>
        <v>Not mached</v>
      </c>
    </row>
    <row r="55" spans="4:16" x14ac:dyDescent="0.25">
      <c r="D55" s="6" t="s">
        <v>34</v>
      </c>
      <c r="E55">
        <v>2016</v>
      </c>
      <c r="F55" s="6" t="s">
        <v>35</v>
      </c>
      <c r="G55">
        <v>3</v>
      </c>
      <c r="H55">
        <v>34</v>
      </c>
      <c r="I55" s="6" t="s">
        <v>39</v>
      </c>
      <c r="J55" s="6" t="s">
        <v>37</v>
      </c>
      <c r="K55">
        <v>0</v>
      </c>
      <c r="M55" s="1" t="b">
        <f>Employee__2[[#This Row],[Experience]]&gt;1</f>
        <v>0</v>
      </c>
      <c r="N55" s="1" t="str">
        <f>IF(Employee__2[[#This Row],[City]]="Pune","Yes","No")</f>
        <v>No</v>
      </c>
      <c r="O55" s="1" t="str">
        <f>IF(AND(Employee__2[[#This Row],[Education]]="Bachelors",Employee__2[[#This Row],[City]]="Pune"),"Yes","No")</f>
        <v>No</v>
      </c>
      <c r="P55" s="1" t="str">
        <f>IF(OR(Employee__2[[#This Row],[Age]]&gt;=30,Employee__2[[#This Row],[Gender]]="Male"),"Mached","Not mached")</f>
        <v>Mached</v>
      </c>
    </row>
    <row r="56" spans="4:16" x14ac:dyDescent="0.25">
      <c r="D56" s="6" t="s">
        <v>34</v>
      </c>
      <c r="E56">
        <v>2014</v>
      </c>
      <c r="F56" s="6" t="s">
        <v>35</v>
      </c>
      <c r="G56">
        <v>3</v>
      </c>
      <c r="H56">
        <v>31</v>
      </c>
      <c r="I56" s="6" t="s">
        <v>39</v>
      </c>
      <c r="J56" s="6" t="s">
        <v>42</v>
      </c>
      <c r="K56">
        <v>5</v>
      </c>
      <c r="M56" s="1" t="b">
        <f>Employee__2[[#This Row],[Experience]]&gt;1</f>
        <v>1</v>
      </c>
      <c r="N56" s="1" t="str">
        <f>IF(Employee__2[[#This Row],[City]]="Pune","Yes","No")</f>
        <v>No</v>
      </c>
      <c r="O56" s="1" t="str">
        <f>IF(AND(Employee__2[[#This Row],[Education]]="Bachelors",Employee__2[[#This Row],[City]]="Pune"),"Yes","No")</f>
        <v>No</v>
      </c>
      <c r="P56" s="1" t="str">
        <f>IF(OR(Employee__2[[#This Row],[Age]]&gt;=30,Employee__2[[#This Row],[Gender]]="Male"),"Mached","Not mached")</f>
        <v>Mached</v>
      </c>
    </row>
    <row r="57" spans="4:16" x14ac:dyDescent="0.25">
      <c r="D57" s="6" t="s">
        <v>34</v>
      </c>
      <c r="E57">
        <v>2017</v>
      </c>
      <c r="F57" s="6" t="s">
        <v>40</v>
      </c>
      <c r="G57">
        <v>3</v>
      </c>
      <c r="H57">
        <v>31</v>
      </c>
      <c r="I57" s="6" t="s">
        <v>39</v>
      </c>
      <c r="J57" s="6" t="s">
        <v>42</v>
      </c>
      <c r="K57">
        <v>5</v>
      </c>
      <c r="M57" s="1" t="b">
        <f>Employee__2[[#This Row],[Experience]]&gt;1</f>
        <v>1</v>
      </c>
      <c r="N57" s="1" t="str">
        <f>IF(Employee__2[[#This Row],[City]]="Pune","Yes","No")</f>
        <v>No</v>
      </c>
      <c r="O57" s="1" t="str">
        <f>IF(AND(Employee__2[[#This Row],[Education]]="Bachelors",Employee__2[[#This Row],[City]]="Pune"),"Yes","No")</f>
        <v>No</v>
      </c>
      <c r="P57" s="1" t="str">
        <f>IF(OR(Employee__2[[#This Row],[Age]]&gt;=30,Employee__2[[#This Row],[Gender]]="Male"),"Mached","Not mached")</f>
        <v>Mached</v>
      </c>
    </row>
    <row r="58" spans="4:16" x14ac:dyDescent="0.25">
      <c r="D58" s="6" t="s">
        <v>43</v>
      </c>
      <c r="E58">
        <v>2013</v>
      </c>
      <c r="F58" s="6" t="s">
        <v>40</v>
      </c>
      <c r="G58">
        <v>3</v>
      </c>
      <c r="H58">
        <v>28</v>
      </c>
      <c r="I58" s="6" t="s">
        <v>36</v>
      </c>
      <c r="J58" s="6" t="s">
        <v>37</v>
      </c>
      <c r="K58">
        <v>2</v>
      </c>
      <c r="M58" s="1" t="b">
        <f>Employee__2[[#This Row],[Experience]]&gt;1</f>
        <v>1</v>
      </c>
      <c r="N58" s="1" t="str">
        <f>IF(Employee__2[[#This Row],[City]]="Pune","Yes","No")</f>
        <v>No</v>
      </c>
      <c r="O58" s="1" t="str">
        <f>IF(AND(Employee__2[[#This Row],[Education]]="Bachelors",Employee__2[[#This Row],[City]]="Pune"),"Yes","No")</f>
        <v>No</v>
      </c>
      <c r="P58" s="1" t="str">
        <f>IF(OR(Employee__2[[#This Row],[Age]]&gt;=30,Employee__2[[#This Row],[Gender]]="Male"),"Mached","Not mached")</f>
        <v>Mached</v>
      </c>
    </row>
    <row r="59" spans="4:16" x14ac:dyDescent="0.25">
      <c r="D59" s="6" t="s">
        <v>34</v>
      </c>
      <c r="E59">
        <v>2016</v>
      </c>
      <c r="F59" s="6" t="s">
        <v>35</v>
      </c>
      <c r="G59">
        <v>3</v>
      </c>
      <c r="H59">
        <v>38</v>
      </c>
      <c r="I59" s="6" t="s">
        <v>36</v>
      </c>
      <c r="J59" s="6" t="s">
        <v>37</v>
      </c>
      <c r="K59">
        <v>2</v>
      </c>
      <c r="M59" s="1" t="b">
        <f>Employee__2[[#This Row],[Experience]]&gt;1</f>
        <v>1</v>
      </c>
      <c r="N59" s="1" t="str">
        <f>IF(Employee__2[[#This Row],[City]]="Pune","Yes","No")</f>
        <v>No</v>
      </c>
      <c r="O59" s="1" t="str">
        <f>IF(AND(Employee__2[[#This Row],[Education]]="Bachelors",Employee__2[[#This Row],[City]]="Pune"),"Yes","No")</f>
        <v>No</v>
      </c>
      <c r="P59" s="1" t="str">
        <f>IF(OR(Employee__2[[#This Row],[Age]]&gt;=30,Employee__2[[#This Row],[Gender]]="Male"),"Mached","Not mached")</f>
        <v>Mached</v>
      </c>
    </row>
    <row r="60" spans="4:16" x14ac:dyDescent="0.25">
      <c r="D60" s="6" t="s">
        <v>41</v>
      </c>
      <c r="E60">
        <v>2014</v>
      </c>
      <c r="F60" s="6" t="s">
        <v>38</v>
      </c>
      <c r="G60">
        <v>3</v>
      </c>
      <c r="H60">
        <v>39</v>
      </c>
      <c r="I60" s="6" t="s">
        <v>39</v>
      </c>
      <c r="J60" s="6" t="s">
        <v>37</v>
      </c>
      <c r="K60">
        <v>2</v>
      </c>
      <c r="M60" s="1" t="b">
        <f>Employee__2[[#This Row],[Experience]]&gt;1</f>
        <v>1</v>
      </c>
      <c r="N60" s="1" t="str">
        <f>IF(Employee__2[[#This Row],[City]]="Pune","Yes","No")</f>
        <v>Yes</v>
      </c>
      <c r="O60" s="1" t="str">
        <f>IF(AND(Employee__2[[#This Row],[Education]]="Bachelors",Employee__2[[#This Row],[City]]="Pune"),"Yes","No")</f>
        <v>No</v>
      </c>
      <c r="P60" s="1" t="str">
        <f>IF(OR(Employee__2[[#This Row],[Age]]&gt;=30,Employee__2[[#This Row],[Gender]]="Male"),"Mached","Not mached")</f>
        <v>Mached</v>
      </c>
    </row>
    <row r="61" spans="4:16" x14ac:dyDescent="0.25">
      <c r="D61" s="6" t="s">
        <v>34</v>
      </c>
      <c r="E61">
        <v>2013</v>
      </c>
      <c r="F61" s="6" t="s">
        <v>38</v>
      </c>
      <c r="G61">
        <v>3</v>
      </c>
      <c r="H61">
        <v>32</v>
      </c>
      <c r="I61" s="6" t="s">
        <v>36</v>
      </c>
      <c r="J61" s="6" t="s">
        <v>37</v>
      </c>
      <c r="K61">
        <v>4</v>
      </c>
      <c r="M61" s="1" t="b">
        <f>Employee__2[[#This Row],[Experience]]&gt;1</f>
        <v>1</v>
      </c>
      <c r="N61" s="1" t="str">
        <f>IF(Employee__2[[#This Row],[City]]="Pune","Yes","No")</f>
        <v>Yes</v>
      </c>
      <c r="O61" s="1" t="str">
        <f>IF(AND(Employee__2[[#This Row],[Education]]="Bachelors",Employee__2[[#This Row],[City]]="Pune"),"Yes","No")</f>
        <v>Yes</v>
      </c>
      <c r="P61" s="1" t="str">
        <f>IF(OR(Employee__2[[#This Row],[Age]]&gt;=30,Employee__2[[#This Row],[Gender]]="Male"),"Mached","Not mached")</f>
        <v>Mached</v>
      </c>
    </row>
    <row r="62" spans="4:16" x14ac:dyDescent="0.25">
      <c r="D62" s="6" t="s">
        <v>41</v>
      </c>
      <c r="E62">
        <v>2017</v>
      </c>
      <c r="F62" s="6" t="s">
        <v>38</v>
      </c>
      <c r="G62">
        <v>2</v>
      </c>
      <c r="H62">
        <v>36</v>
      </c>
      <c r="I62" s="6" t="s">
        <v>36</v>
      </c>
      <c r="J62" s="6" t="s">
        <v>37</v>
      </c>
      <c r="K62">
        <v>2</v>
      </c>
      <c r="M62" s="1" t="b">
        <f>Employee__2[[#This Row],[Experience]]&gt;1</f>
        <v>1</v>
      </c>
      <c r="N62" s="1" t="str">
        <f>IF(Employee__2[[#This Row],[City]]="Pune","Yes","No")</f>
        <v>Yes</v>
      </c>
      <c r="O62" s="1" t="str">
        <f>IF(AND(Employee__2[[#This Row],[Education]]="Bachelors",Employee__2[[#This Row],[City]]="Pune"),"Yes","No")</f>
        <v>No</v>
      </c>
      <c r="P62" s="1" t="str">
        <f>IF(OR(Employee__2[[#This Row],[Age]]&gt;=30,Employee__2[[#This Row],[Gender]]="Male"),"Mached","Not mached")</f>
        <v>Mached</v>
      </c>
    </row>
    <row r="63" spans="4:16" x14ac:dyDescent="0.25">
      <c r="D63" s="6" t="s">
        <v>41</v>
      </c>
      <c r="E63">
        <v>2013</v>
      </c>
      <c r="F63" s="6" t="s">
        <v>40</v>
      </c>
      <c r="G63">
        <v>3</v>
      </c>
      <c r="H63">
        <v>29</v>
      </c>
      <c r="I63" s="6" t="s">
        <v>36</v>
      </c>
      <c r="J63" s="6" t="s">
        <v>37</v>
      </c>
      <c r="K63">
        <v>3</v>
      </c>
      <c r="M63" s="1" t="b">
        <f>Employee__2[[#This Row],[Experience]]&gt;1</f>
        <v>1</v>
      </c>
      <c r="N63" s="1" t="str">
        <f>IF(Employee__2[[#This Row],[City]]="Pune","Yes","No")</f>
        <v>No</v>
      </c>
      <c r="O63" s="1" t="str">
        <f>IF(AND(Employee__2[[#This Row],[Education]]="Bachelors",Employee__2[[#This Row],[City]]="Pune"),"Yes","No")</f>
        <v>No</v>
      </c>
      <c r="P63" s="1" t="str">
        <f>IF(OR(Employee__2[[#This Row],[Age]]&gt;=30,Employee__2[[#This Row],[Gender]]="Male"),"Mached","Not mached")</f>
        <v>Mached</v>
      </c>
    </row>
    <row r="64" spans="4:16" x14ac:dyDescent="0.25">
      <c r="D64" s="6" t="s">
        <v>34</v>
      </c>
      <c r="E64">
        <v>2015</v>
      </c>
      <c r="F64" s="6" t="s">
        <v>35</v>
      </c>
      <c r="G64">
        <v>3</v>
      </c>
      <c r="H64">
        <v>30</v>
      </c>
      <c r="I64" s="6" t="s">
        <v>36</v>
      </c>
      <c r="J64" s="6" t="s">
        <v>37</v>
      </c>
      <c r="K64">
        <v>5</v>
      </c>
      <c r="M64" s="1" t="b">
        <f>Employee__2[[#This Row],[Experience]]&gt;1</f>
        <v>1</v>
      </c>
      <c r="N64" s="1" t="str">
        <f>IF(Employee__2[[#This Row],[City]]="Pune","Yes","No")</f>
        <v>No</v>
      </c>
      <c r="O64" s="1" t="str">
        <f>IF(AND(Employee__2[[#This Row],[Education]]="Bachelors",Employee__2[[#This Row],[City]]="Pune"),"Yes","No")</f>
        <v>No</v>
      </c>
      <c r="P64" s="1" t="str">
        <f>IF(OR(Employee__2[[#This Row],[Age]]&gt;=30,Employee__2[[#This Row],[Gender]]="Male"),"Mached","Not mached")</f>
        <v>Mached</v>
      </c>
    </row>
    <row r="65" spans="4:16" x14ac:dyDescent="0.25">
      <c r="D65" s="6" t="s">
        <v>43</v>
      </c>
      <c r="E65">
        <v>2013</v>
      </c>
      <c r="F65" s="6" t="s">
        <v>35</v>
      </c>
      <c r="G65">
        <v>2</v>
      </c>
      <c r="H65">
        <v>25</v>
      </c>
      <c r="I65" s="6" t="s">
        <v>36</v>
      </c>
      <c r="J65" s="6" t="s">
        <v>37</v>
      </c>
      <c r="K65">
        <v>3</v>
      </c>
      <c r="M65" s="1" t="b">
        <f>Employee__2[[#This Row],[Experience]]&gt;1</f>
        <v>1</v>
      </c>
      <c r="N65" s="1" t="str">
        <f>IF(Employee__2[[#This Row],[City]]="Pune","Yes","No")</f>
        <v>No</v>
      </c>
      <c r="O65" s="1" t="str">
        <f>IF(AND(Employee__2[[#This Row],[Education]]="Bachelors",Employee__2[[#This Row],[City]]="Pune"),"Yes","No")</f>
        <v>No</v>
      </c>
      <c r="P65" s="1" t="str">
        <f>IF(OR(Employee__2[[#This Row],[Age]]&gt;=30,Employee__2[[#This Row],[Gender]]="Male"),"Mached","Not mached")</f>
        <v>Mached</v>
      </c>
    </row>
    <row r="66" spans="4:16" x14ac:dyDescent="0.25">
      <c r="D66" s="6" t="s">
        <v>34</v>
      </c>
      <c r="E66">
        <v>2014</v>
      </c>
      <c r="F66" s="6" t="s">
        <v>38</v>
      </c>
      <c r="G66">
        <v>1</v>
      </c>
      <c r="H66">
        <v>22</v>
      </c>
      <c r="I66" s="6" t="s">
        <v>39</v>
      </c>
      <c r="J66" s="6" t="s">
        <v>37</v>
      </c>
      <c r="K66">
        <v>0</v>
      </c>
      <c r="M66" s="1" t="b">
        <f>Employee__2[[#This Row],[Experience]]&gt;1</f>
        <v>0</v>
      </c>
      <c r="N66" s="1" t="str">
        <f>IF(Employee__2[[#This Row],[City]]="Pune","Yes","No")</f>
        <v>Yes</v>
      </c>
      <c r="O66" s="1" t="str">
        <f>IF(AND(Employee__2[[#This Row],[Education]]="Bachelors",Employee__2[[#This Row],[City]]="Pune"),"Yes","No")</f>
        <v>Yes</v>
      </c>
      <c r="P66" s="1" t="str">
        <f>IF(OR(Employee__2[[#This Row],[Age]]&gt;=30,Employee__2[[#This Row],[Gender]]="Male"),"Mached","Not mached")</f>
        <v>Not mached</v>
      </c>
    </row>
    <row r="67" spans="4:16" x14ac:dyDescent="0.25">
      <c r="D67" s="6" t="s">
        <v>34</v>
      </c>
      <c r="E67">
        <v>2016</v>
      </c>
      <c r="F67" s="6" t="s">
        <v>35</v>
      </c>
      <c r="G67">
        <v>3</v>
      </c>
      <c r="H67">
        <v>34</v>
      </c>
      <c r="I67" s="6" t="s">
        <v>36</v>
      </c>
      <c r="J67" s="6" t="s">
        <v>37</v>
      </c>
      <c r="K67">
        <v>4</v>
      </c>
      <c r="M67" s="1" t="b">
        <f>Employee__2[[#This Row],[Experience]]&gt;1</f>
        <v>1</v>
      </c>
      <c r="N67" s="1" t="str">
        <f>IF(Employee__2[[#This Row],[City]]="Pune","Yes","No")</f>
        <v>No</v>
      </c>
      <c r="O67" s="1" t="str">
        <f>IF(AND(Employee__2[[#This Row],[Education]]="Bachelors",Employee__2[[#This Row],[City]]="Pune"),"Yes","No")</f>
        <v>No</v>
      </c>
      <c r="P67" s="1" t="str">
        <f>IF(OR(Employee__2[[#This Row],[Age]]&gt;=30,Employee__2[[#This Row],[Gender]]="Male"),"Mached","Not mached")</f>
        <v>Mached</v>
      </c>
    </row>
    <row r="68" spans="4:16" x14ac:dyDescent="0.25">
      <c r="D68" s="6" t="s">
        <v>34</v>
      </c>
      <c r="E68">
        <v>2018</v>
      </c>
      <c r="F68" s="6" t="s">
        <v>35</v>
      </c>
      <c r="G68">
        <v>3</v>
      </c>
      <c r="H68">
        <v>40</v>
      </c>
      <c r="I68" s="6" t="s">
        <v>36</v>
      </c>
      <c r="J68" s="6" t="s">
        <v>37</v>
      </c>
      <c r="K68">
        <v>1</v>
      </c>
      <c r="M68" s="1" t="b">
        <f>Employee__2[[#This Row],[Experience]]&gt;1</f>
        <v>0</v>
      </c>
      <c r="N68" s="1" t="str">
        <f>IF(Employee__2[[#This Row],[City]]="Pune","Yes","No")</f>
        <v>No</v>
      </c>
      <c r="O68" s="1" t="str">
        <f>IF(AND(Employee__2[[#This Row],[Education]]="Bachelors",Employee__2[[#This Row],[City]]="Pune"),"Yes","No")</f>
        <v>No</v>
      </c>
      <c r="P68" s="1" t="str">
        <f>IF(OR(Employee__2[[#This Row],[Age]]&gt;=30,Employee__2[[#This Row],[Gender]]="Male"),"Mached","Not mached")</f>
        <v>Mached</v>
      </c>
    </row>
    <row r="69" spans="4:16" x14ac:dyDescent="0.25">
      <c r="D69" s="6" t="s">
        <v>43</v>
      </c>
      <c r="E69">
        <v>2013</v>
      </c>
      <c r="F69" s="6" t="s">
        <v>35</v>
      </c>
      <c r="G69">
        <v>3</v>
      </c>
      <c r="H69">
        <v>26</v>
      </c>
      <c r="I69" s="6" t="s">
        <v>36</v>
      </c>
      <c r="J69" s="6" t="s">
        <v>37</v>
      </c>
      <c r="K69">
        <v>4</v>
      </c>
      <c r="M69" s="1" t="b">
        <f>Employee__2[[#This Row],[Experience]]&gt;1</f>
        <v>1</v>
      </c>
      <c r="N69" s="1" t="str">
        <f>IF(Employee__2[[#This Row],[City]]="Pune","Yes","No")</f>
        <v>No</v>
      </c>
      <c r="O69" s="1" t="str">
        <f>IF(AND(Employee__2[[#This Row],[Education]]="Bachelors",Employee__2[[#This Row],[City]]="Pune"),"Yes","No")</f>
        <v>No</v>
      </c>
      <c r="P69" s="1" t="str">
        <f>IF(OR(Employee__2[[#This Row],[Age]]&gt;=30,Employee__2[[#This Row],[Gender]]="Male"),"Mached","Not mached")</f>
        <v>Mached</v>
      </c>
    </row>
    <row r="70" spans="4:16" x14ac:dyDescent="0.25">
      <c r="D70" s="6" t="s">
        <v>34</v>
      </c>
      <c r="E70">
        <v>2014</v>
      </c>
      <c r="F70" s="6" t="s">
        <v>40</v>
      </c>
      <c r="G70">
        <v>3</v>
      </c>
      <c r="H70">
        <v>28</v>
      </c>
      <c r="I70" s="6" t="s">
        <v>36</v>
      </c>
      <c r="J70" s="6" t="s">
        <v>37</v>
      </c>
      <c r="K70">
        <v>0</v>
      </c>
      <c r="M70" s="1" t="b">
        <f>Employee__2[[#This Row],[Experience]]&gt;1</f>
        <v>0</v>
      </c>
      <c r="N70" s="1" t="str">
        <f>IF(Employee__2[[#This Row],[City]]="Pune","Yes","No")</f>
        <v>No</v>
      </c>
      <c r="O70" s="1" t="str">
        <f>IF(AND(Employee__2[[#This Row],[Education]]="Bachelors",Employee__2[[#This Row],[City]]="Pune"),"Yes","No")</f>
        <v>No</v>
      </c>
      <c r="P70" s="1" t="str">
        <f>IF(OR(Employee__2[[#This Row],[Age]]&gt;=30,Employee__2[[#This Row],[Gender]]="Male"),"Mached","Not mached")</f>
        <v>Mached</v>
      </c>
    </row>
    <row r="71" spans="4:16" x14ac:dyDescent="0.25">
      <c r="D71" s="6" t="s">
        <v>34</v>
      </c>
      <c r="E71">
        <v>2015</v>
      </c>
      <c r="F71" s="6" t="s">
        <v>35</v>
      </c>
      <c r="G71">
        <v>3</v>
      </c>
      <c r="H71">
        <v>24</v>
      </c>
      <c r="I71" s="6" t="s">
        <v>39</v>
      </c>
      <c r="J71" s="6" t="s">
        <v>37</v>
      </c>
      <c r="K71">
        <v>2</v>
      </c>
      <c r="M71" s="1" t="b">
        <f>Employee__2[[#This Row],[Experience]]&gt;1</f>
        <v>1</v>
      </c>
      <c r="N71" s="1" t="str">
        <f>IF(Employee__2[[#This Row],[City]]="Pune","Yes","No")</f>
        <v>No</v>
      </c>
      <c r="O71" s="1" t="str">
        <f>IF(AND(Employee__2[[#This Row],[Education]]="Bachelors",Employee__2[[#This Row],[City]]="Pune"),"Yes","No")</f>
        <v>No</v>
      </c>
      <c r="P71" s="1" t="str">
        <f>IF(OR(Employee__2[[#This Row],[Age]]&gt;=30,Employee__2[[#This Row],[Gender]]="Male"),"Mached","Not mached")</f>
        <v>Not mached</v>
      </c>
    </row>
    <row r="72" spans="4:16" x14ac:dyDescent="0.25">
      <c r="D72" s="6" t="s">
        <v>41</v>
      </c>
      <c r="E72">
        <v>2017</v>
      </c>
      <c r="F72" s="6" t="s">
        <v>35</v>
      </c>
      <c r="G72">
        <v>3</v>
      </c>
      <c r="H72">
        <v>40</v>
      </c>
      <c r="I72" s="6" t="s">
        <v>39</v>
      </c>
      <c r="J72" s="6" t="s">
        <v>37</v>
      </c>
      <c r="K72">
        <v>2</v>
      </c>
      <c r="M72" s="1" t="b">
        <f>Employee__2[[#This Row],[Experience]]&gt;1</f>
        <v>1</v>
      </c>
      <c r="N72" s="1" t="str">
        <f>IF(Employee__2[[#This Row],[City]]="Pune","Yes","No")</f>
        <v>No</v>
      </c>
      <c r="O72" s="1" t="str">
        <f>IF(AND(Employee__2[[#This Row],[Education]]="Bachelors",Employee__2[[#This Row],[City]]="Pune"),"Yes","No")</f>
        <v>No</v>
      </c>
      <c r="P72" s="1" t="str">
        <f>IF(OR(Employee__2[[#This Row],[Age]]&gt;=30,Employee__2[[#This Row],[Gender]]="Male"),"Mached","Not mached")</f>
        <v>Mached</v>
      </c>
    </row>
    <row r="73" spans="4:16" x14ac:dyDescent="0.25">
      <c r="D73" s="6" t="s">
        <v>34</v>
      </c>
      <c r="E73">
        <v>2018</v>
      </c>
      <c r="F73" s="6" t="s">
        <v>35</v>
      </c>
      <c r="G73">
        <v>3</v>
      </c>
      <c r="H73">
        <v>23</v>
      </c>
      <c r="I73" s="6" t="s">
        <v>39</v>
      </c>
      <c r="J73" s="6" t="s">
        <v>37</v>
      </c>
      <c r="K73">
        <v>1</v>
      </c>
      <c r="M73" s="1" t="b">
        <f>Employee__2[[#This Row],[Experience]]&gt;1</f>
        <v>0</v>
      </c>
      <c r="N73" s="1" t="str">
        <f>IF(Employee__2[[#This Row],[City]]="Pune","Yes","No")</f>
        <v>No</v>
      </c>
      <c r="O73" s="1" t="str">
        <f>IF(AND(Employee__2[[#This Row],[Education]]="Bachelors",Employee__2[[#This Row],[City]]="Pune"),"Yes","No")</f>
        <v>No</v>
      </c>
      <c r="P73" s="1" t="str">
        <f>IF(OR(Employee__2[[#This Row],[Age]]&gt;=30,Employee__2[[#This Row],[Gender]]="Male"),"Mached","Not mached")</f>
        <v>Not mached</v>
      </c>
    </row>
    <row r="74" spans="4:16" x14ac:dyDescent="0.25">
      <c r="D74" s="6" t="s">
        <v>41</v>
      </c>
      <c r="E74">
        <v>2017</v>
      </c>
      <c r="F74" s="6" t="s">
        <v>35</v>
      </c>
      <c r="G74">
        <v>3</v>
      </c>
      <c r="H74">
        <v>31</v>
      </c>
      <c r="I74" s="6" t="s">
        <v>36</v>
      </c>
      <c r="J74" s="6" t="s">
        <v>37</v>
      </c>
      <c r="K74">
        <v>4</v>
      </c>
      <c r="M74" s="1" t="b">
        <f>Employee__2[[#This Row],[Experience]]&gt;1</f>
        <v>1</v>
      </c>
      <c r="N74" s="1" t="str">
        <f>IF(Employee__2[[#This Row],[City]]="Pune","Yes","No")</f>
        <v>No</v>
      </c>
      <c r="O74" s="1" t="str">
        <f>IF(AND(Employee__2[[#This Row],[Education]]="Bachelors",Employee__2[[#This Row],[City]]="Pune"),"Yes","No")</f>
        <v>No</v>
      </c>
      <c r="P74" s="1" t="str">
        <f>IF(OR(Employee__2[[#This Row],[Age]]&gt;=30,Employee__2[[#This Row],[Gender]]="Male"),"Mached","Not mached")</f>
        <v>Mached</v>
      </c>
    </row>
    <row r="75" spans="4:16" x14ac:dyDescent="0.25">
      <c r="D75" s="6" t="s">
        <v>34</v>
      </c>
      <c r="E75">
        <v>2014</v>
      </c>
      <c r="F75" s="6" t="s">
        <v>38</v>
      </c>
      <c r="G75">
        <v>3</v>
      </c>
      <c r="H75">
        <v>25</v>
      </c>
      <c r="I75" s="6" t="s">
        <v>39</v>
      </c>
      <c r="J75" s="6" t="s">
        <v>37</v>
      </c>
      <c r="K75">
        <v>3</v>
      </c>
      <c r="M75" s="1" t="b">
        <f>Employee__2[[#This Row],[Experience]]&gt;1</f>
        <v>1</v>
      </c>
      <c r="N75" s="1" t="str">
        <f>IF(Employee__2[[#This Row],[City]]="Pune","Yes","No")</f>
        <v>Yes</v>
      </c>
      <c r="O75" s="1" t="str">
        <f>IF(AND(Employee__2[[#This Row],[Education]]="Bachelors",Employee__2[[#This Row],[City]]="Pune"),"Yes","No")</f>
        <v>Yes</v>
      </c>
      <c r="P75" s="1" t="str">
        <f>IF(OR(Employee__2[[#This Row],[Age]]&gt;=30,Employee__2[[#This Row],[Gender]]="Male"),"Mached","Not mached")</f>
        <v>Not mached</v>
      </c>
    </row>
    <row r="76" spans="4:16" x14ac:dyDescent="0.25">
      <c r="D76" s="6" t="s">
        <v>34</v>
      </c>
      <c r="E76">
        <v>2014</v>
      </c>
      <c r="F76" s="6" t="s">
        <v>35</v>
      </c>
      <c r="G76">
        <v>1</v>
      </c>
      <c r="H76">
        <v>27</v>
      </c>
      <c r="I76" s="6" t="s">
        <v>36</v>
      </c>
      <c r="J76" s="6" t="s">
        <v>37</v>
      </c>
      <c r="K76">
        <v>5</v>
      </c>
      <c r="M76" s="1" t="b">
        <f>Employee__2[[#This Row],[Experience]]&gt;1</f>
        <v>1</v>
      </c>
      <c r="N76" s="1" t="str">
        <f>IF(Employee__2[[#This Row],[City]]="Pune","Yes","No")</f>
        <v>No</v>
      </c>
      <c r="O76" s="1" t="str">
        <f>IF(AND(Employee__2[[#This Row],[Education]]="Bachelors",Employee__2[[#This Row],[City]]="Pune"),"Yes","No")</f>
        <v>No</v>
      </c>
      <c r="P76" s="1" t="str">
        <f>IF(OR(Employee__2[[#This Row],[Age]]&gt;=30,Employee__2[[#This Row],[Gender]]="Male"),"Mached","Not mached")</f>
        <v>Mached</v>
      </c>
    </row>
    <row r="77" spans="4:16" x14ac:dyDescent="0.25">
      <c r="D77" s="6" t="s">
        <v>41</v>
      </c>
      <c r="E77">
        <v>2017</v>
      </c>
      <c r="F77" s="6" t="s">
        <v>40</v>
      </c>
      <c r="G77">
        <v>2</v>
      </c>
      <c r="H77">
        <v>25</v>
      </c>
      <c r="I77" s="6" t="s">
        <v>39</v>
      </c>
      <c r="J77" s="6" t="s">
        <v>37</v>
      </c>
      <c r="K77">
        <v>3</v>
      </c>
      <c r="M77" s="1" t="b">
        <f>Employee__2[[#This Row],[Experience]]&gt;1</f>
        <v>1</v>
      </c>
      <c r="N77" s="1" t="str">
        <f>IF(Employee__2[[#This Row],[City]]="Pune","Yes","No")</f>
        <v>No</v>
      </c>
      <c r="O77" s="1" t="str">
        <f>IF(AND(Employee__2[[#This Row],[Education]]="Bachelors",Employee__2[[#This Row],[City]]="Pune"),"Yes","No")</f>
        <v>No</v>
      </c>
      <c r="P77" s="1" t="str">
        <f>IF(OR(Employee__2[[#This Row],[Age]]&gt;=30,Employee__2[[#This Row],[Gender]]="Male"),"Mached","Not mached")</f>
        <v>Not mached</v>
      </c>
    </row>
    <row r="78" spans="4:16" x14ac:dyDescent="0.25">
      <c r="D78" s="6" t="s">
        <v>34</v>
      </c>
      <c r="E78">
        <v>2015</v>
      </c>
      <c r="F78" s="6" t="s">
        <v>35</v>
      </c>
      <c r="G78">
        <v>3</v>
      </c>
      <c r="H78">
        <v>40</v>
      </c>
      <c r="I78" s="6" t="s">
        <v>36</v>
      </c>
      <c r="J78" s="6" t="s">
        <v>37</v>
      </c>
      <c r="K78">
        <v>0</v>
      </c>
      <c r="M78" s="1" t="b">
        <f>Employee__2[[#This Row],[Experience]]&gt;1</f>
        <v>0</v>
      </c>
      <c r="N78" s="1" t="str">
        <f>IF(Employee__2[[#This Row],[City]]="Pune","Yes","No")</f>
        <v>No</v>
      </c>
      <c r="O78" s="1" t="str">
        <f>IF(AND(Employee__2[[#This Row],[Education]]="Bachelors",Employee__2[[#This Row],[City]]="Pune"),"Yes","No")</f>
        <v>No</v>
      </c>
      <c r="P78" s="1" t="str">
        <f>IF(OR(Employee__2[[#This Row],[Age]]&gt;=30,Employee__2[[#This Row],[Gender]]="Male"),"Mached","Not mached")</f>
        <v>Mached</v>
      </c>
    </row>
    <row r="79" spans="4:16" x14ac:dyDescent="0.25">
      <c r="D79" s="6" t="s">
        <v>34</v>
      </c>
      <c r="E79">
        <v>2014</v>
      </c>
      <c r="F79" s="6" t="s">
        <v>35</v>
      </c>
      <c r="G79">
        <v>1</v>
      </c>
      <c r="H79">
        <v>23</v>
      </c>
      <c r="I79" s="6" t="s">
        <v>39</v>
      </c>
      <c r="J79" s="6" t="s">
        <v>37</v>
      </c>
      <c r="K79">
        <v>1</v>
      </c>
      <c r="M79" s="1" t="b">
        <f>Employee__2[[#This Row],[Experience]]&gt;1</f>
        <v>0</v>
      </c>
      <c r="N79" s="1" t="str">
        <f>IF(Employee__2[[#This Row],[City]]="Pune","Yes","No")</f>
        <v>No</v>
      </c>
      <c r="O79" s="1" t="str">
        <f>IF(AND(Employee__2[[#This Row],[Education]]="Bachelors",Employee__2[[#This Row],[City]]="Pune"),"Yes","No")</f>
        <v>No</v>
      </c>
      <c r="P79" s="1" t="str">
        <f>IF(OR(Employee__2[[#This Row],[Age]]&gt;=30,Employee__2[[#This Row],[Gender]]="Male"),"Mached","Not mached")</f>
        <v>Not mached</v>
      </c>
    </row>
    <row r="80" spans="4:16" x14ac:dyDescent="0.25">
      <c r="D80" s="6" t="s">
        <v>34</v>
      </c>
      <c r="E80">
        <v>2017</v>
      </c>
      <c r="F80" s="6" t="s">
        <v>35</v>
      </c>
      <c r="G80">
        <v>3</v>
      </c>
      <c r="H80">
        <v>23</v>
      </c>
      <c r="I80" s="6" t="s">
        <v>39</v>
      </c>
      <c r="J80" s="6" t="s">
        <v>37</v>
      </c>
      <c r="K80">
        <v>1</v>
      </c>
      <c r="M80" s="1" t="b">
        <f>Employee__2[[#This Row],[Experience]]&gt;1</f>
        <v>0</v>
      </c>
      <c r="N80" s="1" t="str">
        <f>IF(Employee__2[[#This Row],[City]]="Pune","Yes","No")</f>
        <v>No</v>
      </c>
      <c r="O80" s="1" t="str">
        <f>IF(AND(Employee__2[[#This Row],[Education]]="Bachelors",Employee__2[[#This Row],[City]]="Pune"),"Yes","No")</f>
        <v>No</v>
      </c>
      <c r="P80" s="1" t="str">
        <f>IF(OR(Employee__2[[#This Row],[Age]]&gt;=30,Employee__2[[#This Row],[Gender]]="Male"),"Mached","Not mached")</f>
        <v>Not mached</v>
      </c>
    </row>
    <row r="81" spans="4:16" x14ac:dyDescent="0.25">
      <c r="D81" s="6" t="s">
        <v>34</v>
      </c>
      <c r="E81">
        <v>2012</v>
      </c>
      <c r="F81" s="6" t="s">
        <v>35</v>
      </c>
      <c r="G81">
        <v>3</v>
      </c>
      <c r="H81">
        <v>39</v>
      </c>
      <c r="I81" s="6" t="s">
        <v>36</v>
      </c>
      <c r="J81" s="6" t="s">
        <v>37</v>
      </c>
      <c r="K81">
        <v>1</v>
      </c>
      <c r="M81" s="1" t="b">
        <f>Employee__2[[#This Row],[Experience]]&gt;1</f>
        <v>0</v>
      </c>
      <c r="N81" s="1" t="str">
        <f>IF(Employee__2[[#This Row],[City]]="Pune","Yes","No")</f>
        <v>No</v>
      </c>
      <c r="O81" s="1" t="str">
        <f>IF(AND(Employee__2[[#This Row],[Education]]="Bachelors",Employee__2[[#This Row],[City]]="Pune"),"Yes","No")</f>
        <v>No</v>
      </c>
      <c r="P81" s="1" t="str">
        <f>IF(OR(Employee__2[[#This Row],[Age]]&gt;=30,Employee__2[[#This Row],[Gender]]="Male"),"Mached","Not mached")</f>
        <v>Mached</v>
      </c>
    </row>
    <row r="82" spans="4:16" x14ac:dyDescent="0.25">
      <c r="D82" s="6" t="s">
        <v>43</v>
      </c>
      <c r="E82">
        <v>2015</v>
      </c>
      <c r="F82" s="6" t="s">
        <v>40</v>
      </c>
      <c r="G82">
        <v>1</v>
      </c>
      <c r="H82">
        <v>37</v>
      </c>
      <c r="I82" s="6" t="s">
        <v>36</v>
      </c>
      <c r="J82" s="6" t="s">
        <v>37</v>
      </c>
      <c r="K82">
        <v>1</v>
      </c>
      <c r="M82" s="1" t="b">
        <f>Employee__2[[#This Row],[Experience]]&gt;1</f>
        <v>0</v>
      </c>
      <c r="N82" s="1" t="str">
        <f>IF(Employee__2[[#This Row],[City]]="Pune","Yes","No")</f>
        <v>No</v>
      </c>
      <c r="O82" s="1" t="str">
        <f>IF(AND(Employee__2[[#This Row],[Education]]="Bachelors",Employee__2[[#This Row],[City]]="Pune"),"Yes","No")</f>
        <v>No</v>
      </c>
      <c r="P82" s="1" t="str">
        <f>IF(OR(Employee__2[[#This Row],[Age]]&gt;=30,Employee__2[[#This Row],[Gender]]="Male"),"Mached","Not mached")</f>
        <v>Mached</v>
      </c>
    </row>
    <row r="83" spans="4:16" x14ac:dyDescent="0.25">
      <c r="D83" s="6" t="s">
        <v>34</v>
      </c>
      <c r="E83">
        <v>2017</v>
      </c>
      <c r="F83" s="6" t="s">
        <v>38</v>
      </c>
      <c r="G83">
        <v>3</v>
      </c>
      <c r="H83">
        <v>38</v>
      </c>
      <c r="I83" s="6" t="s">
        <v>36</v>
      </c>
      <c r="J83" s="6" t="s">
        <v>37</v>
      </c>
      <c r="K83">
        <v>2</v>
      </c>
      <c r="M83" s="1" t="b">
        <f>Employee__2[[#This Row],[Experience]]&gt;1</f>
        <v>1</v>
      </c>
      <c r="N83" s="1" t="str">
        <f>IF(Employee__2[[#This Row],[City]]="Pune","Yes","No")</f>
        <v>Yes</v>
      </c>
      <c r="O83" s="1" t="str">
        <f>IF(AND(Employee__2[[#This Row],[Education]]="Bachelors",Employee__2[[#This Row],[City]]="Pune"),"Yes","No")</f>
        <v>Yes</v>
      </c>
      <c r="P83" s="1" t="str">
        <f>IF(OR(Employee__2[[#This Row],[Age]]&gt;=30,Employee__2[[#This Row],[Gender]]="Male"),"Mached","Not mached")</f>
        <v>Mached</v>
      </c>
    </row>
    <row r="84" spans="4:16" x14ac:dyDescent="0.25">
      <c r="D84" s="6" t="s">
        <v>34</v>
      </c>
      <c r="E84">
        <v>2013</v>
      </c>
      <c r="F84" s="6" t="s">
        <v>35</v>
      </c>
      <c r="G84">
        <v>3</v>
      </c>
      <c r="H84">
        <v>31</v>
      </c>
      <c r="I84" s="6" t="s">
        <v>39</v>
      </c>
      <c r="J84" s="6" t="s">
        <v>37</v>
      </c>
      <c r="K84">
        <v>0</v>
      </c>
      <c r="M84" s="1" t="b">
        <f>Employee__2[[#This Row],[Experience]]&gt;1</f>
        <v>0</v>
      </c>
      <c r="N84" s="1" t="str">
        <f>IF(Employee__2[[#This Row],[City]]="Pune","Yes","No")</f>
        <v>No</v>
      </c>
      <c r="O84" s="1" t="str">
        <f>IF(AND(Employee__2[[#This Row],[Education]]="Bachelors",Employee__2[[#This Row],[City]]="Pune"),"Yes","No")</f>
        <v>No</v>
      </c>
      <c r="P84" s="1" t="str">
        <f>IF(OR(Employee__2[[#This Row],[Age]]&gt;=30,Employee__2[[#This Row],[Gender]]="Male"),"Mached","Not mached")</f>
        <v>Mached</v>
      </c>
    </row>
    <row r="85" spans="4:16" x14ac:dyDescent="0.25">
      <c r="D85" s="6" t="s">
        <v>34</v>
      </c>
      <c r="E85">
        <v>2016</v>
      </c>
      <c r="F85" s="6" t="s">
        <v>35</v>
      </c>
      <c r="G85">
        <v>3</v>
      </c>
      <c r="H85">
        <v>38</v>
      </c>
      <c r="I85" s="6" t="s">
        <v>36</v>
      </c>
      <c r="J85" s="6" t="s">
        <v>37</v>
      </c>
      <c r="K85">
        <v>5</v>
      </c>
      <c r="M85" s="1" t="b">
        <f>Employee__2[[#This Row],[Experience]]&gt;1</f>
        <v>1</v>
      </c>
      <c r="N85" s="1" t="str">
        <f>IF(Employee__2[[#This Row],[City]]="Pune","Yes","No")</f>
        <v>No</v>
      </c>
      <c r="O85" s="1" t="str">
        <f>IF(AND(Employee__2[[#This Row],[Education]]="Bachelors",Employee__2[[#This Row],[City]]="Pune"),"Yes","No")</f>
        <v>No</v>
      </c>
      <c r="P85" s="1" t="str">
        <f>IF(OR(Employee__2[[#This Row],[Age]]&gt;=30,Employee__2[[#This Row],[Gender]]="Male"),"Mached","Not mached")</f>
        <v>Mached</v>
      </c>
    </row>
    <row r="86" spans="4:16" x14ac:dyDescent="0.25">
      <c r="D86" s="6" t="s">
        <v>34</v>
      </c>
      <c r="E86">
        <v>2017</v>
      </c>
      <c r="F86" s="6" t="s">
        <v>35</v>
      </c>
      <c r="G86">
        <v>3</v>
      </c>
      <c r="H86">
        <v>25</v>
      </c>
      <c r="I86" s="6" t="s">
        <v>39</v>
      </c>
      <c r="J86" s="6" t="s">
        <v>37</v>
      </c>
      <c r="K86">
        <v>3</v>
      </c>
      <c r="M86" s="1" t="b">
        <f>Employee__2[[#This Row],[Experience]]&gt;1</f>
        <v>1</v>
      </c>
      <c r="N86" s="1" t="str">
        <f>IF(Employee__2[[#This Row],[City]]="Pune","Yes","No")</f>
        <v>No</v>
      </c>
      <c r="O86" s="1" t="str">
        <f>IF(AND(Employee__2[[#This Row],[Education]]="Bachelors",Employee__2[[#This Row],[City]]="Pune"),"Yes","No")</f>
        <v>No</v>
      </c>
      <c r="P86" s="1" t="str">
        <f>IF(OR(Employee__2[[#This Row],[Age]]&gt;=30,Employee__2[[#This Row],[Gender]]="Male"),"Mached","Not mached")</f>
        <v>Not mached</v>
      </c>
    </row>
    <row r="87" spans="4:16" x14ac:dyDescent="0.25">
      <c r="D87" s="6" t="s">
        <v>34</v>
      </c>
      <c r="E87">
        <v>2015</v>
      </c>
      <c r="F87" s="6" t="s">
        <v>35</v>
      </c>
      <c r="G87">
        <v>3</v>
      </c>
      <c r="H87">
        <v>27</v>
      </c>
      <c r="I87" s="6" t="s">
        <v>39</v>
      </c>
      <c r="J87" s="6" t="s">
        <v>42</v>
      </c>
      <c r="K87">
        <v>5</v>
      </c>
      <c r="M87" s="1" t="b">
        <f>Employee__2[[#This Row],[Experience]]&gt;1</f>
        <v>1</v>
      </c>
      <c r="N87" s="1" t="str">
        <f>IF(Employee__2[[#This Row],[City]]="Pune","Yes","No")</f>
        <v>No</v>
      </c>
      <c r="O87" s="1" t="str">
        <f>IF(AND(Employee__2[[#This Row],[Education]]="Bachelors",Employee__2[[#This Row],[City]]="Pune"),"Yes","No")</f>
        <v>No</v>
      </c>
      <c r="P87" s="1" t="str">
        <f>IF(OR(Employee__2[[#This Row],[Age]]&gt;=30,Employee__2[[#This Row],[Gender]]="Male"),"Mached","Not mached")</f>
        <v>Not mached</v>
      </c>
    </row>
    <row r="88" spans="4:16" x14ac:dyDescent="0.25">
      <c r="D88" s="6" t="s">
        <v>34</v>
      </c>
      <c r="E88">
        <v>2016</v>
      </c>
      <c r="F88" s="6" t="s">
        <v>38</v>
      </c>
      <c r="G88">
        <v>2</v>
      </c>
      <c r="H88">
        <v>36</v>
      </c>
      <c r="I88" s="6" t="s">
        <v>36</v>
      </c>
      <c r="J88" s="6" t="s">
        <v>37</v>
      </c>
      <c r="K88">
        <v>0</v>
      </c>
      <c r="M88" s="1" t="b">
        <f>Employee__2[[#This Row],[Experience]]&gt;1</f>
        <v>0</v>
      </c>
      <c r="N88" s="1" t="str">
        <f>IF(Employee__2[[#This Row],[City]]="Pune","Yes","No")</f>
        <v>Yes</v>
      </c>
      <c r="O88" s="1" t="str">
        <f>IF(AND(Employee__2[[#This Row],[Education]]="Bachelors",Employee__2[[#This Row],[City]]="Pune"),"Yes","No")</f>
        <v>Yes</v>
      </c>
      <c r="P88" s="1" t="str">
        <f>IF(OR(Employee__2[[#This Row],[Age]]&gt;=30,Employee__2[[#This Row],[Gender]]="Male"),"Mached","Not mached")</f>
        <v>Mached</v>
      </c>
    </row>
    <row r="89" spans="4:16" x14ac:dyDescent="0.25">
      <c r="D89" s="6" t="s">
        <v>34</v>
      </c>
      <c r="E89">
        <v>2017</v>
      </c>
      <c r="F89" s="6" t="s">
        <v>38</v>
      </c>
      <c r="G89">
        <v>2</v>
      </c>
      <c r="H89">
        <v>27</v>
      </c>
      <c r="I89" s="6" t="s">
        <v>39</v>
      </c>
      <c r="J89" s="6" t="s">
        <v>37</v>
      </c>
      <c r="K89">
        <v>5</v>
      </c>
      <c r="M89" s="1" t="b">
        <f>Employee__2[[#This Row],[Experience]]&gt;1</f>
        <v>1</v>
      </c>
      <c r="N89" s="1" t="str">
        <f>IF(Employee__2[[#This Row],[City]]="Pune","Yes","No")</f>
        <v>Yes</v>
      </c>
      <c r="O89" s="1" t="str">
        <f>IF(AND(Employee__2[[#This Row],[Education]]="Bachelors",Employee__2[[#This Row],[City]]="Pune"),"Yes","No")</f>
        <v>Yes</v>
      </c>
      <c r="P89" s="1" t="str">
        <f>IF(OR(Employee__2[[#This Row],[Age]]&gt;=30,Employee__2[[#This Row],[Gender]]="Male"),"Mached","Not mached")</f>
        <v>Not mached</v>
      </c>
    </row>
    <row r="90" spans="4:16" x14ac:dyDescent="0.25">
      <c r="D90" s="6" t="s">
        <v>41</v>
      </c>
      <c r="E90">
        <v>2015</v>
      </c>
      <c r="F90" s="6" t="s">
        <v>38</v>
      </c>
      <c r="G90">
        <v>2</v>
      </c>
      <c r="H90">
        <v>32</v>
      </c>
      <c r="I90" s="6" t="s">
        <v>39</v>
      </c>
      <c r="J90" s="6" t="s">
        <v>37</v>
      </c>
      <c r="K90">
        <v>4</v>
      </c>
      <c r="M90" s="1" t="b">
        <f>Employee__2[[#This Row],[Experience]]&gt;1</f>
        <v>1</v>
      </c>
      <c r="N90" s="1" t="str">
        <f>IF(Employee__2[[#This Row],[City]]="Pune","Yes","No")</f>
        <v>Yes</v>
      </c>
      <c r="O90" s="1" t="str">
        <f>IF(AND(Employee__2[[#This Row],[Education]]="Bachelors",Employee__2[[#This Row],[City]]="Pune"),"Yes","No")</f>
        <v>No</v>
      </c>
      <c r="P90" s="1" t="str">
        <f>IF(OR(Employee__2[[#This Row],[Age]]&gt;=30,Employee__2[[#This Row],[Gender]]="Male"),"Mached","Not mached")</f>
        <v>Mached</v>
      </c>
    </row>
    <row r="91" spans="4:16" x14ac:dyDescent="0.25">
      <c r="D91" s="6" t="s">
        <v>34</v>
      </c>
      <c r="E91">
        <v>2014</v>
      </c>
      <c r="F91" s="6" t="s">
        <v>35</v>
      </c>
      <c r="G91">
        <v>3</v>
      </c>
      <c r="H91">
        <v>28</v>
      </c>
      <c r="I91" s="6" t="s">
        <v>36</v>
      </c>
      <c r="J91" s="6" t="s">
        <v>37</v>
      </c>
      <c r="K91">
        <v>4</v>
      </c>
      <c r="M91" s="1" t="b">
        <f>Employee__2[[#This Row],[Experience]]&gt;1</f>
        <v>1</v>
      </c>
      <c r="N91" s="1" t="str">
        <f>IF(Employee__2[[#This Row],[City]]="Pune","Yes","No")</f>
        <v>No</v>
      </c>
      <c r="O91" s="1" t="str">
        <f>IF(AND(Employee__2[[#This Row],[Education]]="Bachelors",Employee__2[[#This Row],[City]]="Pune"),"Yes","No")</f>
        <v>No</v>
      </c>
      <c r="P91" s="1" t="str">
        <f>IF(OR(Employee__2[[#This Row],[Age]]&gt;=30,Employee__2[[#This Row],[Gender]]="Male"),"Mached","Not mached")</f>
        <v>Mached</v>
      </c>
    </row>
    <row r="92" spans="4:16" x14ac:dyDescent="0.25">
      <c r="D92" s="6" t="s">
        <v>41</v>
      </c>
      <c r="E92">
        <v>2012</v>
      </c>
      <c r="F92" s="6" t="s">
        <v>40</v>
      </c>
      <c r="G92">
        <v>3</v>
      </c>
      <c r="H92">
        <v>32</v>
      </c>
      <c r="I92" s="6" t="s">
        <v>36</v>
      </c>
      <c r="J92" s="6" t="s">
        <v>37</v>
      </c>
      <c r="K92">
        <v>2</v>
      </c>
      <c r="M92" s="1" t="b">
        <f>Employee__2[[#This Row],[Experience]]&gt;1</f>
        <v>1</v>
      </c>
      <c r="N92" s="1" t="str">
        <f>IF(Employee__2[[#This Row],[City]]="Pune","Yes","No")</f>
        <v>No</v>
      </c>
      <c r="O92" s="1" t="str">
        <f>IF(AND(Employee__2[[#This Row],[Education]]="Bachelors",Employee__2[[#This Row],[City]]="Pune"),"Yes","No")</f>
        <v>No</v>
      </c>
      <c r="P92" s="1" t="str">
        <f>IF(OR(Employee__2[[#This Row],[Age]]&gt;=30,Employee__2[[#This Row],[Gender]]="Male"),"Mached","Not mached")</f>
        <v>Mached</v>
      </c>
    </row>
    <row r="93" spans="4:16" x14ac:dyDescent="0.25">
      <c r="D93" s="6" t="s">
        <v>34</v>
      </c>
      <c r="E93">
        <v>2018</v>
      </c>
      <c r="F93" s="6" t="s">
        <v>35</v>
      </c>
      <c r="G93">
        <v>3</v>
      </c>
      <c r="H93">
        <v>30</v>
      </c>
      <c r="I93" s="6" t="s">
        <v>36</v>
      </c>
      <c r="J93" s="6" t="s">
        <v>37</v>
      </c>
      <c r="K93">
        <v>0</v>
      </c>
      <c r="M93" s="1" t="b">
        <f>Employee__2[[#This Row],[Experience]]&gt;1</f>
        <v>0</v>
      </c>
      <c r="N93" s="1" t="str">
        <f>IF(Employee__2[[#This Row],[City]]="Pune","Yes","No")</f>
        <v>No</v>
      </c>
      <c r="O93" s="1" t="str">
        <f>IF(AND(Employee__2[[#This Row],[Education]]="Bachelors",Employee__2[[#This Row],[City]]="Pune"),"Yes","No")</f>
        <v>No</v>
      </c>
      <c r="P93" s="1" t="str">
        <f>IF(OR(Employee__2[[#This Row],[Age]]&gt;=30,Employee__2[[#This Row],[Gender]]="Male"),"Mached","Not mached")</f>
        <v>Mached</v>
      </c>
    </row>
    <row r="94" spans="4:16" x14ac:dyDescent="0.25">
      <c r="D94" s="6" t="s">
        <v>34</v>
      </c>
      <c r="E94">
        <v>2015</v>
      </c>
      <c r="F94" s="6" t="s">
        <v>40</v>
      </c>
      <c r="G94">
        <v>3</v>
      </c>
      <c r="H94">
        <v>22</v>
      </c>
      <c r="I94" s="6" t="s">
        <v>36</v>
      </c>
      <c r="J94" s="6" t="s">
        <v>37</v>
      </c>
      <c r="K94">
        <v>0</v>
      </c>
      <c r="M94" s="1" t="b">
        <f>Employee__2[[#This Row],[Experience]]&gt;1</f>
        <v>0</v>
      </c>
      <c r="N94" s="1" t="str">
        <f>IF(Employee__2[[#This Row],[City]]="Pune","Yes","No")</f>
        <v>No</v>
      </c>
      <c r="O94" s="1" t="str">
        <f>IF(AND(Employee__2[[#This Row],[Education]]="Bachelors",Employee__2[[#This Row],[City]]="Pune"),"Yes","No")</f>
        <v>No</v>
      </c>
      <c r="P94" s="1" t="str">
        <f>IF(OR(Employee__2[[#This Row],[Age]]&gt;=30,Employee__2[[#This Row],[Gender]]="Male"),"Mached","Not mached")</f>
        <v>Mached</v>
      </c>
    </row>
    <row r="95" spans="4:16" x14ac:dyDescent="0.25">
      <c r="D95" s="6" t="s">
        <v>34</v>
      </c>
      <c r="E95">
        <v>2017</v>
      </c>
      <c r="F95" s="6" t="s">
        <v>40</v>
      </c>
      <c r="G95">
        <v>2</v>
      </c>
      <c r="H95">
        <v>34</v>
      </c>
      <c r="I95" s="6" t="s">
        <v>39</v>
      </c>
      <c r="J95" s="6" t="s">
        <v>37</v>
      </c>
      <c r="K95">
        <v>5</v>
      </c>
      <c r="M95" s="1" t="b">
        <f>Employee__2[[#This Row],[Experience]]&gt;1</f>
        <v>1</v>
      </c>
      <c r="N95" s="1" t="str">
        <f>IF(Employee__2[[#This Row],[City]]="Pune","Yes","No")</f>
        <v>No</v>
      </c>
      <c r="O95" s="1" t="str">
        <f>IF(AND(Employee__2[[#This Row],[Education]]="Bachelors",Employee__2[[#This Row],[City]]="Pune"),"Yes","No")</f>
        <v>No</v>
      </c>
      <c r="P95" s="1" t="str">
        <f>IF(OR(Employee__2[[#This Row],[Age]]&gt;=30,Employee__2[[#This Row],[Gender]]="Male"),"Mached","Not mached")</f>
        <v>Mached</v>
      </c>
    </row>
    <row r="96" spans="4:16" x14ac:dyDescent="0.25">
      <c r="D96" s="6" t="s">
        <v>41</v>
      </c>
      <c r="E96">
        <v>2013</v>
      </c>
      <c r="F96" s="6" t="s">
        <v>40</v>
      </c>
      <c r="G96">
        <v>3</v>
      </c>
      <c r="H96">
        <v>36</v>
      </c>
      <c r="I96" s="6" t="s">
        <v>36</v>
      </c>
      <c r="J96" s="6" t="s">
        <v>37</v>
      </c>
      <c r="K96">
        <v>2</v>
      </c>
      <c r="M96" s="1" t="b">
        <f>Employee__2[[#This Row],[Experience]]&gt;1</f>
        <v>1</v>
      </c>
      <c r="N96" s="1" t="str">
        <f>IF(Employee__2[[#This Row],[City]]="Pune","Yes","No")</f>
        <v>No</v>
      </c>
      <c r="O96" s="1" t="str">
        <f>IF(AND(Employee__2[[#This Row],[Education]]="Bachelors",Employee__2[[#This Row],[City]]="Pune"),"Yes","No")</f>
        <v>No</v>
      </c>
      <c r="P96" s="1" t="str">
        <f>IF(OR(Employee__2[[#This Row],[Age]]&gt;=30,Employee__2[[#This Row],[Gender]]="Male"),"Mached","Not mached")</f>
        <v>Mached</v>
      </c>
    </row>
    <row r="97" spans="4:16" x14ac:dyDescent="0.25">
      <c r="D97" s="6" t="s">
        <v>34</v>
      </c>
      <c r="E97">
        <v>2014</v>
      </c>
      <c r="F97" s="6" t="s">
        <v>35</v>
      </c>
      <c r="G97">
        <v>3</v>
      </c>
      <c r="H97">
        <v>39</v>
      </c>
      <c r="I97" s="6" t="s">
        <v>36</v>
      </c>
      <c r="J97" s="6" t="s">
        <v>37</v>
      </c>
      <c r="K97">
        <v>3</v>
      </c>
      <c r="M97" s="1" t="b">
        <f>Employee__2[[#This Row],[Experience]]&gt;1</f>
        <v>1</v>
      </c>
      <c r="N97" s="1" t="str">
        <f>IF(Employee__2[[#This Row],[City]]="Pune","Yes","No")</f>
        <v>No</v>
      </c>
      <c r="O97" s="1" t="str">
        <f>IF(AND(Employee__2[[#This Row],[Education]]="Bachelors",Employee__2[[#This Row],[City]]="Pune"),"Yes","No")</f>
        <v>No</v>
      </c>
      <c r="P97" s="1" t="str">
        <f>IF(OR(Employee__2[[#This Row],[Age]]&gt;=30,Employee__2[[#This Row],[Gender]]="Male"),"Mached","Not mached")</f>
        <v>Mached</v>
      </c>
    </row>
    <row r="98" spans="4:16" x14ac:dyDescent="0.25">
      <c r="D98" s="6" t="s">
        <v>43</v>
      </c>
      <c r="E98">
        <v>2018</v>
      </c>
      <c r="F98" s="6" t="s">
        <v>35</v>
      </c>
      <c r="G98">
        <v>3</v>
      </c>
      <c r="H98">
        <v>26</v>
      </c>
      <c r="I98" s="6" t="s">
        <v>36</v>
      </c>
      <c r="J98" s="6" t="s">
        <v>37</v>
      </c>
      <c r="K98">
        <v>4</v>
      </c>
      <c r="M98" s="1" t="b">
        <f>Employee__2[[#This Row],[Experience]]&gt;1</f>
        <v>1</v>
      </c>
      <c r="N98" s="1" t="str">
        <f>IF(Employee__2[[#This Row],[City]]="Pune","Yes","No")</f>
        <v>No</v>
      </c>
      <c r="O98" s="1" t="str">
        <f>IF(AND(Employee__2[[#This Row],[Education]]="Bachelors",Employee__2[[#This Row],[City]]="Pune"),"Yes","No")</f>
        <v>No</v>
      </c>
      <c r="P98" s="1" t="str">
        <f>IF(OR(Employee__2[[#This Row],[Age]]&gt;=30,Employee__2[[#This Row],[Gender]]="Male"),"Mached","Not mached")</f>
        <v>Mached</v>
      </c>
    </row>
    <row r="99" spans="4:16" x14ac:dyDescent="0.25">
      <c r="D99" s="6" t="s">
        <v>34</v>
      </c>
      <c r="E99">
        <v>2016</v>
      </c>
      <c r="F99" s="6" t="s">
        <v>35</v>
      </c>
      <c r="G99">
        <v>3</v>
      </c>
      <c r="H99">
        <v>31</v>
      </c>
      <c r="I99" s="6" t="s">
        <v>39</v>
      </c>
      <c r="J99" s="6" t="s">
        <v>37</v>
      </c>
      <c r="K99">
        <v>0</v>
      </c>
      <c r="M99" s="1" t="b">
        <f>Employee__2[[#This Row],[Experience]]&gt;1</f>
        <v>0</v>
      </c>
      <c r="N99" s="1" t="str">
        <f>IF(Employee__2[[#This Row],[City]]="Pune","Yes","No")</f>
        <v>No</v>
      </c>
      <c r="O99" s="1" t="str">
        <f>IF(AND(Employee__2[[#This Row],[Education]]="Bachelors",Employee__2[[#This Row],[City]]="Pune"),"Yes","No")</f>
        <v>No</v>
      </c>
      <c r="P99" s="1" t="str">
        <f>IF(OR(Employee__2[[#This Row],[Age]]&gt;=30,Employee__2[[#This Row],[Gender]]="Male"),"Mached","Not mached")</f>
        <v>Mached</v>
      </c>
    </row>
    <row r="100" spans="4:16" x14ac:dyDescent="0.25">
      <c r="D100" s="6" t="s">
        <v>34</v>
      </c>
      <c r="E100">
        <v>2014</v>
      </c>
      <c r="F100" s="6" t="s">
        <v>35</v>
      </c>
      <c r="G100">
        <v>3</v>
      </c>
      <c r="H100">
        <v>27</v>
      </c>
      <c r="I100" s="6" t="s">
        <v>36</v>
      </c>
      <c r="J100" s="6" t="s">
        <v>37</v>
      </c>
      <c r="K100">
        <v>5</v>
      </c>
      <c r="M100" s="1" t="b">
        <f>Employee__2[[#This Row],[Experience]]&gt;1</f>
        <v>1</v>
      </c>
      <c r="N100" s="1" t="str">
        <f>IF(Employee__2[[#This Row],[City]]="Pune","Yes","No")</f>
        <v>No</v>
      </c>
      <c r="O100" s="1" t="str">
        <f>IF(AND(Employee__2[[#This Row],[Education]]="Bachelors",Employee__2[[#This Row],[City]]="Pune"),"Yes","No")</f>
        <v>No</v>
      </c>
      <c r="P100" s="1" t="str">
        <f>IF(OR(Employee__2[[#This Row],[Age]]&gt;=30,Employee__2[[#This Row],[Gender]]="Male"),"Mached","Not mached")</f>
        <v>Mached</v>
      </c>
    </row>
    <row r="101" spans="4:16" x14ac:dyDescent="0.25">
      <c r="D101" s="6" t="s">
        <v>34</v>
      </c>
      <c r="E101">
        <v>2014</v>
      </c>
      <c r="F101" s="6" t="s">
        <v>35</v>
      </c>
      <c r="G101">
        <v>3</v>
      </c>
      <c r="H101">
        <v>29</v>
      </c>
      <c r="I101" s="6" t="s">
        <v>39</v>
      </c>
      <c r="J101" s="6" t="s">
        <v>37</v>
      </c>
      <c r="K101">
        <v>0</v>
      </c>
      <c r="M101" s="1" t="b">
        <f>Employee__2[[#This Row],[Experience]]&gt;1</f>
        <v>0</v>
      </c>
      <c r="N101" s="1" t="str">
        <f>IF(Employee__2[[#This Row],[City]]="Pune","Yes","No")</f>
        <v>No</v>
      </c>
      <c r="O101" s="1" t="str">
        <f>IF(AND(Employee__2[[#This Row],[Education]]="Bachelors",Employee__2[[#This Row],[City]]="Pune"),"Yes","No")</f>
        <v>No</v>
      </c>
      <c r="P101" s="1" t="str">
        <f>IF(OR(Employee__2[[#This Row],[Age]]&gt;=30,Employee__2[[#This Row],[Gender]]="Male"),"Mached","Not mached")</f>
        <v>Not mached</v>
      </c>
    </row>
    <row r="102" spans="4:16" x14ac:dyDescent="0.25">
      <c r="D102" s="6" t="s">
        <v>34</v>
      </c>
      <c r="E102">
        <v>2015</v>
      </c>
      <c r="F102" s="6" t="s">
        <v>35</v>
      </c>
      <c r="G102">
        <v>3</v>
      </c>
      <c r="H102">
        <v>24</v>
      </c>
      <c r="I102" s="6" t="s">
        <v>39</v>
      </c>
      <c r="J102" s="6" t="s">
        <v>37</v>
      </c>
      <c r="K102">
        <v>2</v>
      </c>
      <c r="M102" s="1" t="b">
        <f>Employee__2[[#This Row],[Experience]]&gt;1</f>
        <v>1</v>
      </c>
      <c r="N102" s="1" t="str">
        <f>IF(Employee__2[[#This Row],[City]]="Pune","Yes","No")</f>
        <v>No</v>
      </c>
      <c r="O102" s="1" t="str">
        <f>IF(AND(Employee__2[[#This Row],[Education]]="Bachelors",Employee__2[[#This Row],[City]]="Pune"),"Yes","No")</f>
        <v>No</v>
      </c>
      <c r="P102" s="1" t="str">
        <f>IF(OR(Employee__2[[#This Row],[Age]]&gt;=30,Employee__2[[#This Row],[Gender]]="Male"),"Mached","Not mached")</f>
        <v>Not mached</v>
      </c>
    </row>
    <row r="103" spans="4:16" x14ac:dyDescent="0.25">
      <c r="D103" s="6" t="s">
        <v>41</v>
      </c>
      <c r="E103">
        <v>2012</v>
      </c>
      <c r="F103" s="6" t="s">
        <v>38</v>
      </c>
      <c r="G103">
        <v>3</v>
      </c>
      <c r="H103">
        <v>25</v>
      </c>
      <c r="I103" s="6" t="s">
        <v>36</v>
      </c>
      <c r="J103" s="6" t="s">
        <v>37</v>
      </c>
      <c r="K103">
        <v>3</v>
      </c>
      <c r="M103" s="1" t="b">
        <f>Employee__2[[#This Row],[Experience]]&gt;1</f>
        <v>1</v>
      </c>
      <c r="N103" s="1" t="str">
        <f>IF(Employee__2[[#This Row],[City]]="Pune","Yes","No")</f>
        <v>Yes</v>
      </c>
      <c r="O103" s="1" t="str">
        <f>IF(AND(Employee__2[[#This Row],[Education]]="Bachelors",Employee__2[[#This Row],[City]]="Pune"),"Yes","No")</f>
        <v>No</v>
      </c>
      <c r="P103" s="1" t="str">
        <f>IF(OR(Employee__2[[#This Row],[Age]]&gt;=30,Employee__2[[#This Row],[Gender]]="Male"),"Mached","Not mached")</f>
        <v>Mached</v>
      </c>
    </row>
    <row r="104" spans="4:16" x14ac:dyDescent="0.25">
      <c r="D104" s="6" t="s">
        <v>34</v>
      </c>
      <c r="E104">
        <v>2013</v>
      </c>
      <c r="F104" s="6" t="s">
        <v>38</v>
      </c>
      <c r="G104">
        <v>3</v>
      </c>
      <c r="H104">
        <v>25</v>
      </c>
      <c r="I104" s="6" t="s">
        <v>36</v>
      </c>
      <c r="J104" s="6" t="s">
        <v>37</v>
      </c>
      <c r="K104">
        <v>3</v>
      </c>
      <c r="M104" s="1" t="b">
        <f>Employee__2[[#This Row],[Experience]]&gt;1</f>
        <v>1</v>
      </c>
      <c r="N104" s="1" t="str">
        <f>IF(Employee__2[[#This Row],[City]]="Pune","Yes","No")</f>
        <v>Yes</v>
      </c>
      <c r="O104" s="1" t="str">
        <f>IF(AND(Employee__2[[#This Row],[Education]]="Bachelors",Employee__2[[#This Row],[City]]="Pune"),"Yes","No")</f>
        <v>Yes</v>
      </c>
      <c r="P104" s="1" t="str">
        <f>IF(OR(Employee__2[[#This Row],[Age]]&gt;=30,Employee__2[[#This Row],[Gender]]="Male"),"Mached","Not mached")</f>
        <v>Mached</v>
      </c>
    </row>
    <row r="105" spans="4:16" x14ac:dyDescent="0.25">
      <c r="D105" s="6" t="s">
        <v>41</v>
      </c>
      <c r="E105">
        <v>2017</v>
      </c>
      <c r="F105" s="6" t="s">
        <v>40</v>
      </c>
      <c r="G105">
        <v>3</v>
      </c>
      <c r="H105">
        <v>26</v>
      </c>
      <c r="I105" s="6" t="s">
        <v>39</v>
      </c>
      <c r="J105" s="6" t="s">
        <v>37</v>
      </c>
      <c r="K105">
        <v>4</v>
      </c>
      <c r="M105" s="1" t="b">
        <f>Employee__2[[#This Row],[Experience]]&gt;1</f>
        <v>1</v>
      </c>
      <c r="N105" s="1" t="str">
        <f>IF(Employee__2[[#This Row],[City]]="Pune","Yes","No")</f>
        <v>No</v>
      </c>
      <c r="O105" s="1" t="str">
        <f>IF(AND(Employee__2[[#This Row],[Education]]="Bachelors",Employee__2[[#This Row],[City]]="Pune"),"Yes","No")</f>
        <v>No</v>
      </c>
      <c r="P105" s="1" t="str">
        <f>IF(OR(Employee__2[[#This Row],[Age]]&gt;=30,Employee__2[[#This Row],[Gender]]="Male"),"Mached","Not mached")</f>
        <v>Not mached</v>
      </c>
    </row>
    <row r="106" spans="4:16" x14ac:dyDescent="0.25">
      <c r="D106" s="6" t="s">
        <v>34</v>
      </c>
      <c r="E106">
        <v>2015</v>
      </c>
      <c r="F106" s="6" t="s">
        <v>38</v>
      </c>
      <c r="G106">
        <v>2</v>
      </c>
      <c r="H106">
        <v>28</v>
      </c>
      <c r="I106" s="6" t="s">
        <v>39</v>
      </c>
      <c r="J106" s="6" t="s">
        <v>42</v>
      </c>
      <c r="K106">
        <v>1</v>
      </c>
      <c r="M106" s="1" t="b">
        <f>Employee__2[[#This Row],[Experience]]&gt;1</f>
        <v>0</v>
      </c>
      <c r="N106" s="1" t="str">
        <f>IF(Employee__2[[#This Row],[City]]="Pune","Yes","No")</f>
        <v>Yes</v>
      </c>
      <c r="O106" s="1" t="str">
        <f>IF(AND(Employee__2[[#This Row],[Education]]="Bachelors",Employee__2[[#This Row],[City]]="Pune"),"Yes","No")</f>
        <v>Yes</v>
      </c>
      <c r="P106" s="1" t="str">
        <f>IF(OR(Employee__2[[#This Row],[Age]]&gt;=30,Employee__2[[#This Row],[Gender]]="Male"),"Mached","Not mached")</f>
        <v>Not mached</v>
      </c>
    </row>
    <row r="107" spans="4:16" x14ac:dyDescent="0.25">
      <c r="D107" s="6" t="s">
        <v>34</v>
      </c>
      <c r="E107">
        <v>2017</v>
      </c>
      <c r="F107" s="6" t="s">
        <v>40</v>
      </c>
      <c r="G107">
        <v>3</v>
      </c>
      <c r="H107">
        <v>28</v>
      </c>
      <c r="I107" s="6" t="s">
        <v>36</v>
      </c>
      <c r="J107" s="6" t="s">
        <v>37</v>
      </c>
      <c r="K107">
        <v>2</v>
      </c>
      <c r="M107" s="1" t="b">
        <f>Employee__2[[#This Row],[Experience]]&gt;1</f>
        <v>1</v>
      </c>
      <c r="N107" s="1" t="str">
        <f>IF(Employee__2[[#This Row],[City]]="Pune","Yes","No")</f>
        <v>No</v>
      </c>
      <c r="O107" s="1" t="str">
        <f>IF(AND(Employee__2[[#This Row],[Education]]="Bachelors",Employee__2[[#This Row],[City]]="Pune"),"Yes","No")</f>
        <v>No</v>
      </c>
      <c r="P107" s="1" t="str">
        <f>IF(OR(Employee__2[[#This Row],[Age]]&gt;=30,Employee__2[[#This Row],[Gender]]="Male"),"Mached","Not mached")</f>
        <v>Mached</v>
      </c>
    </row>
    <row r="108" spans="4:16" x14ac:dyDescent="0.25">
      <c r="D108" s="6" t="s">
        <v>41</v>
      </c>
      <c r="E108">
        <v>2015</v>
      </c>
      <c r="F108" s="6" t="s">
        <v>38</v>
      </c>
      <c r="G108">
        <v>1</v>
      </c>
      <c r="H108">
        <v>28</v>
      </c>
      <c r="I108" s="6" t="s">
        <v>39</v>
      </c>
      <c r="J108" s="6" t="s">
        <v>37</v>
      </c>
      <c r="K108">
        <v>3</v>
      </c>
      <c r="M108" s="1" t="b">
        <f>Employee__2[[#This Row],[Experience]]&gt;1</f>
        <v>1</v>
      </c>
      <c r="N108" s="1" t="str">
        <f>IF(Employee__2[[#This Row],[City]]="Pune","Yes","No")</f>
        <v>Yes</v>
      </c>
      <c r="O108" s="1" t="str">
        <f>IF(AND(Employee__2[[#This Row],[Education]]="Bachelors",Employee__2[[#This Row],[City]]="Pune"),"Yes","No")</f>
        <v>No</v>
      </c>
      <c r="P108" s="1" t="str">
        <f>IF(OR(Employee__2[[#This Row],[Age]]&gt;=30,Employee__2[[#This Row],[Gender]]="Male"),"Mached","Not mached")</f>
        <v>Not mached</v>
      </c>
    </row>
    <row r="109" spans="4:16" x14ac:dyDescent="0.25">
      <c r="D109" s="6" t="s">
        <v>41</v>
      </c>
      <c r="E109">
        <v>2015</v>
      </c>
      <c r="F109" s="6" t="s">
        <v>40</v>
      </c>
      <c r="G109">
        <v>3</v>
      </c>
      <c r="H109">
        <v>25</v>
      </c>
      <c r="I109" s="6" t="s">
        <v>36</v>
      </c>
      <c r="J109" s="6" t="s">
        <v>37</v>
      </c>
      <c r="K109">
        <v>3</v>
      </c>
      <c r="M109" s="1" t="b">
        <f>Employee__2[[#This Row],[Experience]]&gt;1</f>
        <v>1</v>
      </c>
      <c r="N109" s="1" t="str">
        <f>IF(Employee__2[[#This Row],[City]]="Pune","Yes","No")</f>
        <v>No</v>
      </c>
      <c r="O109" s="1" t="str">
        <f>IF(AND(Employee__2[[#This Row],[Education]]="Bachelors",Employee__2[[#This Row],[City]]="Pune"),"Yes","No")</f>
        <v>No</v>
      </c>
      <c r="P109" s="1" t="str">
        <f>IF(OR(Employee__2[[#This Row],[Age]]&gt;=30,Employee__2[[#This Row],[Gender]]="Male"),"Mached","Not mached")</f>
        <v>Mached</v>
      </c>
    </row>
    <row r="110" spans="4:16" x14ac:dyDescent="0.25">
      <c r="D110" s="6" t="s">
        <v>34</v>
      </c>
      <c r="E110">
        <v>2017</v>
      </c>
      <c r="F110" s="6" t="s">
        <v>35</v>
      </c>
      <c r="G110">
        <v>3</v>
      </c>
      <c r="H110">
        <v>28</v>
      </c>
      <c r="I110" s="6" t="s">
        <v>36</v>
      </c>
      <c r="J110" s="6" t="s">
        <v>37</v>
      </c>
      <c r="K110">
        <v>1</v>
      </c>
      <c r="M110" s="1" t="b">
        <f>Employee__2[[#This Row],[Experience]]&gt;1</f>
        <v>0</v>
      </c>
      <c r="N110" s="1" t="str">
        <f>IF(Employee__2[[#This Row],[City]]="Pune","Yes","No")</f>
        <v>No</v>
      </c>
      <c r="O110" s="1" t="str">
        <f>IF(AND(Employee__2[[#This Row],[Education]]="Bachelors",Employee__2[[#This Row],[City]]="Pune"),"Yes","No")</f>
        <v>No</v>
      </c>
      <c r="P110" s="1" t="str">
        <f>IF(OR(Employee__2[[#This Row],[Age]]&gt;=30,Employee__2[[#This Row],[Gender]]="Male"),"Mached","Not mached")</f>
        <v>Mached</v>
      </c>
    </row>
    <row r="111" spans="4:16" x14ac:dyDescent="0.25">
      <c r="D111" s="6" t="s">
        <v>41</v>
      </c>
      <c r="E111">
        <v>2013</v>
      </c>
      <c r="F111" s="6" t="s">
        <v>38</v>
      </c>
      <c r="G111">
        <v>3</v>
      </c>
      <c r="H111">
        <v>25</v>
      </c>
      <c r="I111" s="6" t="s">
        <v>36</v>
      </c>
      <c r="J111" s="6" t="s">
        <v>37</v>
      </c>
      <c r="K111">
        <v>3</v>
      </c>
      <c r="M111" s="1" t="b">
        <f>Employee__2[[#This Row],[Experience]]&gt;1</f>
        <v>1</v>
      </c>
      <c r="N111" s="1" t="str">
        <f>IF(Employee__2[[#This Row],[City]]="Pune","Yes","No")</f>
        <v>Yes</v>
      </c>
      <c r="O111" s="1" t="str">
        <f>IF(AND(Employee__2[[#This Row],[Education]]="Bachelors",Employee__2[[#This Row],[City]]="Pune"),"Yes","No")</f>
        <v>No</v>
      </c>
      <c r="P111" s="1" t="str">
        <f>IF(OR(Employee__2[[#This Row],[Age]]&gt;=30,Employee__2[[#This Row],[Gender]]="Male"),"Mached","Not mached")</f>
        <v>Mached</v>
      </c>
    </row>
    <row r="112" spans="4:16" x14ac:dyDescent="0.25">
      <c r="D112" s="6" t="s">
        <v>34</v>
      </c>
      <c r="E112">
        <v>2015</v>
      </c>
      <c r="F112" s="6" t="s">
        <v>35</v>
      </c>
      <c r="G112">
        <v>2</v>
      </c>
      <c r="H112">
        <v>25</v>
      </c>
      <c r="I112" s="6" t="s">
        <v>39</v>
      </c>
      <c r="J112" s="6" t="s">
        <v>37</v>
      </c>
      <c r="K112">
        <v>3</v>
      </c>
      <c r="M112" s="1" t="b">
        <f>Employee__2[[#This Row],[Experience]]&gt;1</f>
        <v>1</v>
      </c>
      <c r="N112" s="1" t="str">
        <f>IF(Employee__2[[#This Row],[City]]="Pune","Yes","No")</f>
        <v>No</v>
      </c>
      <c r="O112" s="1" t="str">
        <f>IF(AND(Employee__2[[#This Row],[Education]]="Bachelors",Employee__2[[#This Row],[City]]="Pune"),"Yes","No")</f>
        <v>No</v>
      </c>
      <c r="P112" s="1" t="str">
        <f>IF(OR(Employee__2[[#This Row],[Age]]&gt;=30,Employee__2[[#This Row],[Gender]]="Male"),"Mached","Not mached")</f>
        <v>Not mached</v>
      </c>
    </row>
    <row r="113" spans="4:16" x14ac:dyDescent="0.25">
      <c r="D113" s="6" t="s">
        <v>34</v>
      </c>
      <c r="E113">
        <v>2015</v>
      </c>
      <c r="F113" s="6" t="s">
        <v>35</v>
      </c>
      <c r="G113">
        <v>3</v>
      </c>
      <c r="H113">
        <v>27</v>
      </c>
      <c r="I113" s="6" t="s">
        <v>39</v>
      </c>
      <c r="J113" s="6" t="s">
        <v>37</v>
      </c>
      <c r="K113">
        <v>5</v>
      </c>
      <c r="M113" s="1" t="b">
        <f>Employee__2[[#This Row],[Experience]]&gt;1</f>
        <v>1</v>
      </c>
      <c r="N113" s="1" t="str">
        <f>IF(Employee__2[[#This Row],[City]]="Pune","Yes","No")</f>
        <v>No</v>
      </c>
      <c r="O113" s="1" t="str">
        <f>IF(AND(Employee__2[[#This Row],[Education]]="Bachelors",Employee__2[[#This Row],[City]]="Pune"),"Yes","No")</f>
        <v>No</v>
      </c>
      <c r="P113" s="1" t="str">
        <f>IF(OR(Employee__2[[#This Row],[Age]]&gt;=30,Employee__2[[#This Row],[Gender]]="Male"),"Mached","Not mached")</f>
        <v>Not mached</v>
      </c>
    </row>
    <row r="114" spans="4:16" x14ac:dyDescent="0.25">
      <c r="D114" s="6" t="s">
        <v>34</v>
      </c>
      <c r="E114">
        <v>2017</v>
      </c>
      <c r="F114" s="6" t="s">
        <v>38</v>
      </c>
      <c r="G114">
        <v>2</v>
      </c>
      <c r="H114">
        <v>27</v>
      </c>
      <c r="I114" s="6" t="s">
        <v>39</v>
      </c>
      <c r="J114" s="6" t="s">
        <v>37</v>
      </c>
      <c r="K114">
        <v>5</v>
      </c>
      <c r="M114" s="1" t="b">
        <f>Employee__2[[#This Row],[Experience]]&gt;1</f>
        <v>1</v>
      </c>
      <c r="N114" s="1" t="str">
        <f>IF(Employee__2[[#This Row],[City]]="Pune","Yes","No")</f>
        <v>Yes</v>
      </c>
      <c r="O114" s="1" t="str">
        <f>IF(AND(Employee__2[[#This Row],[Education]]="Bachelors",Employee__2[[#This Row],[City]]="Pune"),"Yes","No")</f>
        <v>Yes</v>
      </c>
      <c r="P114" s="1" t="str">
        <f>IF(OR(Employee__2[[#This Row],[Age]]&gt;=30,Employee__2[[#This Row],[Gender]]="Male"),"Mached","Not mached")</f>
        <v>Not mached</v>
      </c>
    </row>
    <row r="115" spans="4:16" x14ac:dyDescent="0.25">
      <c r="D115" s="6" t="s">
        <v>34</v>
      </c>
      <c r="E115">
        <v>2013</v>
      </c>
      <c r="F115" s="6" t="s">
        <v>35</v>
      </c>
      <c r="G115">
        <v>3</v>
      </c>
      <c r="H115">
        <v>27</v>
      </c>
      <c r="I115" s="6" t="s">
        <v>36</v>
      </c>
      <c r="J115" s="6" t="s">
        <v>37</v>
      </c>
      <c r="K115">
        <v>5</v>
      </c>
      <c r="M115" s="1" t="b">
        <f>Employee__2[[#This Row],[Experience]]&gt;1</f>
        <v>1</v>
      </c>
      <c r="N115" s="1" t="str">
        <f>IF(Employee__2[[#This Row],[City]]="Pune","Yes","No")</f>
        <v>No</v>
      </c>
      <c r="O115" s="1" t="str">
        <f>IF(AND(Employee__2[[#This Row],[Education]]="Bachelors",Employee__2[[#This Row],[City]]="Pune"),"Yes","No")</f>
        <v>No</v>
      </c>
      <c r="P115" s="1" t="str">
        <f>IF(OR(Employee__2[[#This Row],[Age]]&gt;=30,Employee__2[[#This Row],[Gender]]="Male"),"Mached","Not mached")</f>
        <v>Mached</v>
      </c>
    </row>
    <row r="116" spans="4:16" x14ac:dyDescent="0.25">
      <c r="D116" s="6" t="s">
        <v>34</v>
      </c>
      <c r="E116">
        <v>2012</v>
      </c>
      <c r="F116" s="6" t="s">
        <v>35</v>
      </c>
      <c r="G116">
        <v>3</v>
      </c>
      <c r="H116">
        <v>25</v>
      </c>
      <c r="I116" s="6" t="s">
        <v>36</v>
      </c>
      <c r="J116" s="6" t="s">
        <v>37</v>
      </c>
      <c r="K116">
        <v>3</v>
      </c>
      <c r="M116" s="1" t="b">
        <f>Employee__2[[#This Row],[Experience]]&gt;1</f>
        <v>1</v>
      </c>
      <c r="N116" s="1" t="str">
        <f>IF(Employee__2[[#This Row],[City]]="Pune","Yes","No")</f>
        <v>No</v>
      </c>
      <c r="O116" s="1" t="str">
        <f>IF(AND(Employee__2[[#This Row],[Education]]="Bachelors",Employee__2[[#This Row],[City]]="Pune"),"Yes","No")</f>
        <v>No</v>
      </c>
      <c r="P116" s="1" t="str">
        <f>IF(OR(Employee__2[[#This Row],[Age]]&gt;=30,Employee__2[[#This Row],[Gender]]="Male"),"Mached","Not mached")</f>
        <v>Mached</v>
      </c>
    </row>
    <row r="117" spans="4:16" x14ac:dyDescent="0.25">
      <c r="D117" s="6" t="s">
        <v>41</v>
      </c>
      <c r="E117">
        <v>2017</v>
      </c>
      <c r="F117" s="6" t="s">
        <v>40</v>
      </c>
      <c r="G117">
        <v>2</v>
      </c>
      <c r="H117">
        <v>28</v>
      </c>
      <c r="I117" s="6" t="s">
        <v>36</v>
      </c>
      <c r="J117" s="6" t="s">
        <v>37</v>
      </c>
      <c r="K117">
        <v>2</v>
      </c>
      <c r="M117" s="1" t="b">
        <f>Employee__2[[#This Row],[Experience]]&gt;1</f>
        <v>1</v>
      </c>
      <c r="N117" s="1" t="str">
        <f>IF(Employee__2[[#This Row],[City]]="Pune","Yes","No")</f>
        <v>No</v>
      </c>
      <c r="O117" s="1" t="str">
        <f>IF(AND(Employee__2[[#This Row],[Education]]="Bachelors",Employee__2[[#This Row],[City]]="Pune"),"Yes","No")</f>
        <v>No</v>
      </c>
      <c r="P117" s="1" t="str">
        <f>IF(OR(Employee__2[[#This Row],[Age]]&gt;=30,Employee__2[[#This Row],[Gender]]="Male"),"Mached","Not mached")</f>
        <v>Mached</v>
      </c>
    </row>
    <row r="118" spans="4:16" x14ac:dyDescent="0.25">
      <c r="D118" s="6" t="s">
        <v>34</v>
      </c>
      <c r="E118">
        <v>2014</v>
      </c>
      <c r="F118" s="6" t="s">
        <v>38</v>
      </c>
      <c r="G118">
        <v>1</v>
      </c>
      <c r="H118">
        <v>26</v>
      </c>
      <c r="I118" s="6" t="s">
        <v>39</v>
      </c>
      <c r="J118" s="6" t="s">
        <v>37</v>
      </c>
      <c r="K118">
        <v>4</v>
      </c>
      <c r="M118" s="1" t="b">
        <f>Employee__2[[#This Row],[Experience]]&gt;1</f>
        <v>1</v>
      </c>
      <c r="N118" s="1" t="str">
        <f>IF(Employee__2[[#This Row],[City]]="Pune","Yes","No")</f>
        <v>Yes</v>
      </c>
      <c r="O118" s="1" t="str">
        <f>IF(AND(Employee__2[[#This Row],[Education]]="Bachelors",Employee__2[[#This Row],[City]]="Pune"),"Yes","No")</f>
        <v>Yes</v>
      </c>
      <c r="P118" s="1" t="str">
        <f>IF(OR(Employee__2[[#This Row],[Age]]&gt;=30,Employee__2[[#This Row],[Gender]]="Male"),"Mached","Not mached")</f>
        <v>Not mached</v>
      </c>
    </row>
    <row r="119" spans="4:16" x14ac:dyDescent="0.25">
      <c r="D119" s="6" t="s">
        <v>34</v>
      </c>
      <c r="E119">
        <v>2015</v>
      </c>
      <c r="F119" s="6" t="s">
        <v>35</v>
      </c>
      <c r="G119">
        <v>3</v>
      </c>
      <c r="H119">
        <v>28</v>
      </c>
      <c r="I119" s="6" t="s">
        <v>36</v>
      </c>
      <c r="J119" s="6" t="s">
        <v>37</v>
      </c>
      <c r="K119">
        <v>2</v>
      </c>
      <c r="M119" s="1" t="b">
        <f>Employee__2[[#This Row],[Experience]]&gt;1</f>
        <v>1</v>
      </c>
      <c r="N119" s="1" t="str">
        <f>IF(Employee__2[[#This Row],[City]]="Pune","Yes","No")</f>
        <v>No</v>
      </c>
      <c r="O119" s="1" t="str">
        <f>IF(AND(Employee__2[[#This Row],[Education]]="Bachelors",Employee__2[[#This Row],[City]]="Pune"),"Yes","No")</f>
        <v>No</v>
      </c>
      <c r="P119" s="1" t="str">
        <f>IF(OR(Employee__2[[#This Row],[Age]]&gt;=30,Employee__2[[#This Row],[Gender]]="Male"),"Mached","Not mached")</f>
        <v>Mached</v>
      </c>
    </row>
    <row r="120" spans="4:16" x14ac:dyDescent="0.25">
      <c r="D120" s="6" t="s">
        <v>41</v>
      </c>
      <c r="E120">
        <v>2013</v>
      </c>
      <c r="F120" s="6" t="s">
        <v>40</v>
      </c>
      <c r="G120">
        <v>3</v>
      </c>
      <c r="H120">
        <v>26</v>
      </c>
      <c r="I120" s="6" t="s">
        <v>36</v>
      </c>
      <c r="J120" s="6" t="s">
        <v>37</v>
      </c>
      <c r="K120">
        <v>4</v>
      </c>
      <c r="M120" s="1" t="b">
        <f>Employee__2[[#This Row],[Experience]]&gt;1</f>
        <v>1</v>
      </c>
      <c r="N120" s="1" t="str">
        <f>IF(Employee__2[[#This Row],[City]]="Pune","Yes","No")</f>
        <v>No</v>
      </c>
      <c r="O120" s="1" t="str">
        <f>IF(AND(Employee__2[[#This Row],[Education]]="Bachelors",Employee__2[[#This Row],[City]]="Pune"),"Yes","No")</f>
        <v>No</v>
      </c>
      <c r="P120" s="1" t="str">
        <f>IF(OR(Employee__2[[#This Row],[Age]]&gt;=30,Employee__2[[#This Row],[Gender]]="Male"),"Mached","Not mached")</f>
        <v>Mached</v>
      </c>
    </row>
    <row r="121" spans="4:16" x14ac:dyDescent="0.25">
      <c r="D121" s="6" t="s">
        <v>34</v>
      </c>
      <c r="E121">
        <v>2017</v>
      </c>
      <c r="F121" s="6" t="s">
        <v>35</v>
      </c>
      <c r="G121">
        <v>3</v>
      </c>
      <c r="H121">
        <v>26</v>
      </c>
      <c r="I121" s="6" t="s">
        <v>39</v>
      </c>
      <c r="J121" s="6" t="s">
        <v>37</v>
      </c>
      <c r="K121">
        <v>4</v>
      </c>
      <c r="M121" s="1" t="b">
        <f>Employee__2[[#This Row],[Experience]]&gt;1</f>
        <v>1</v>
      </c>
      <c r="N121" s="1" t="str">
        <f>IF(Employee__2[[#This Row],[City]]="Pune","Yes","No")</f>
        <v>No</v>
      </c>
      <c r="O121" s="1" t="str">
        <f>IF(AND(Employee__2[[#This Row],[Education]]="Bachelors",Employee__2[[#This Row],[City]]="Pune"),"Yes","No")</f>
        <v>No</v>
      </c>
      <c r="P121" s="1" t="str">
        <f>IF(OR(Employee__2[[#This Row],[Age]]&gt;=30,Employee__2[[#This Row],[Gender]]="Male"),"Mached","Not mached")</f>
        <v>Not mached</v>
      </c>
    </row>
    <row r="122" spans="4:16" x14ac:dyDescent="0.25">
      <c r="D122" s="6" t="s">
        <v>34</v>
      </c>
      <c r="E122">
        <v>2017</v>
      </c>
      <c r="F122" s="6" t="s">
        <v>40</v>
      </c>
      <c r="G122">
        <v>2</v>
      </c>
      <c r="H122">
        <v>25</v>
      </c>
      <c r="I122" s="6" t="s">
        <v>36</v>
      </c>
      <c r="J122" s="6" t="s">
        <v>37</v>
      </c>
      <c r="K122">
        <v>3</v>
      </c>
      <c r="M122" s="1" t="b">
        <f>Employee__2[[#This Row],[Experience]]&gt;1</f>
        <v>1</v>
      </c>
      <c r="N122" s="1" t="str">
        <f>IF(Employee__2[[#This Row],[City]]="Pune","Yes","No")</f>
        <v>No</v>
      </c>
      <c r="O122" s="1" t="str">
        <f>IF(AND(Employee__2[[#This Row],[Education]]="Bachelors",Employee__2[[#This Row],[City]]="Pune"),"Yes","No")</f>
        <v>No</v>
      </c>
      <c r="P122" s="1" t="str">
        <f>IF(OR(Employee__2[[#This Row],[Age]]&gt;=30,Employee__2[[#This Row],[Gender]]="Male"),"Mached","Not mached")</f>
        <v>Mached</v>
      </c>
    </row>
    <row r="123" spans="4:16" x14ac:dyDescent="0.25">
      <c r="D123" s="6" t="s">
        <v>34</v>
      </c>
      <c r="E123">
        <v>2012</v>
      </c>
      <c r="F123" s="6" t="s">
        <v>35</v>
      </c>
      <c r="G123">
        <v>1</v>
      </c>
      <c r="H123">
        <v>28</v>
      </c>
      <c r="I123" s="6" t="s">
        <v>39</v>
      </c>
      <c r="J123" s="6" t="s">
        <v>37</v>
      </c>
      <c r="K123">
        <v>3</v>
      </c>
      <c r="M123" s="1" t="b">
        <f>Employee__2[[#This Row],[Experience]]&gt;1</f>
        <v>1</v>
      </c>
      <c r="N123" s="1" t="str">
        <f>IF(Employee__2[[#This Row],[City]]="Pune","Yes","No")</f>
        <v>No</v>
      </c>
      <c r="O123" s="1" t="str">
        <f>IF(AND(Employee__2[[#This Row],[Education]]="Bachelors",Employee__2[[#This Row],[City]]="Pune"),"Yes","No")</f>
        <v>No</v>
      </c>
      <c r="P123" s="1" t="str">
        <f>IF(OR(Employee__2[[#This Row],[Age]]&gt;=30,Employee__2[[#This Row],[Gender]]="Male"),"Mached","Not mached")</f>
        <v>Not mached</v>
      </c>
    </row>
    <row r="124" spans="4:16" x14ac:dyDescent="0.25">
      <c r="D124" s="6" t="s">
        <v>43</v>
      </c>
      <c r="E124">
        <v>2015</v>
      </c>
      <c r="F124" s="6" t="s">
        <v>40</v>
      </c>
      <c r="G124">
        <v>3</v>
      </c>
      <c r="H124">
        <v>26</v>
      </c>
      <c r="I124" s="6" t="s">
        <v>36</v>
      </c>
      <c r="J124" s="6" t="s">
        <v>37</v>
      </c>
      <c r="K124">
        <v>4</v>
      </c>
      <c r="M124" s="1" t="b">
        <f>Employee__2[[#This Row],[Experience]]&gt;1</f>
        <v>1</v>
      </c>
      <c r="N124" s="1" t="str">
        <f>IF(Employee__2[[#This Row],[City]]="Pune","Yes","No")</f>
        <v>No</v>
      </c>
      <c r="O124" s="1" t="str">
        <f>IF(AND(Employee__2[[#This Row],[Education]]="Bachelors",Employee__2[[#This Row],[City]]="Pune"),"Yes","No")</f>
        <v>No</v>
      </c>
      <c r="P124" s="1" t="str">
        <f>IF(OR(Employee__2[[#This Row],[Age]]&gt;=30,Employee__2[[#This Row],[Gender]]="Male"),"Mached","Not mached")</f>
        <v>Mached</v>
      </c>
    </row>
    <row r="125" spans="4:16" x14ac:dyDescent="0.25">
      <c r="D125" s="6" t="s">
        <v>34</v>
      </c>
      <c r="E125">
        <v>2015</v>
      </c>
      <c r="F125" s="6" t="s">
        <v>40</v>
      </c>
      <c r="G125">
        <v>3</v>
      </c>
      <c r="H125">
        <v>25</v>
      </c>
      <c r="I125" s="6" t="s">
        <v>39</v>
      </c>
      <c r="J125" s="6" t="s">
        <v>37</v>
      </c>
      <c r="K125">
        <v>3</v>
      </c>
      <c r="M125" s="1" t="b">
        <f>Employee__2[[#This Row],[Experience]]&gt;1</f>
        <v>1</v>
      </c>
      <c r="N125" s="1" t="str">
        <f>IF(Employee__2[[#This Row],[City]]="Pune","Yes","No")</f>
        <v>No</v>
      </c>
      <c r="O125" s="1" t="str">
        <f>IF(AND(Employee__2[[#This Row],[Education]]="Bachelors",Employee__2[[#This Row],[City]]="Pune"),"Yes","No")</f>
        <v>No</v>
      </c>
      <c r="P125" s="1" t="str">
        <f>IF(OR(Employee__2[[#This Row],[Age]]&gt;=30,Employee__2[[#This Row],[Gender]]="Male"),"Mached","Not mached")</f>
        <v>Not mached</v>
      </c>
    </row>
    <row r="126" spans="4:16" x14ac:dyDescent="0.25">
      <c r="D126" s="6" t="s">
        <v>34</v>
      </c>
      <c r="E126">
        <v>2012</v>
      </c>
      <c r="F126" s="6" t="s">
        <v>35</v>
      </c>
      <c r="G126">
        <v>3</v>
      </c>
      <c r="H126">
        <v>26</v>
      </c>
      <c r="I126" s="6" t="s">
        <v>36</v>
      </c>
      <c r="J126" s="6" t="s">
        <v>37</v>
      </c>
      <c r="K126">
        <v>4</v>
      </c>
      <c r="M126" s="1" t="b">
        <f>Employee__2[[#This Row],[Experience]]&gt;1</f>
        <v>1</v>
      </c>
      <c r="N126" s="1" t="str">
        <f>IF(Employee__2[[#This Row],[City]]="Pune","Yes","No")</f>
        <v>No</v>
      </c>
      <c r="O126" s="1" t="str">
        <f>IF(AND(Employee__2[[#This Row],[Education]]="Bachelors",Employee__2[[#This Row],[City]]="Pune"),"Yes","No")</f>
        <v>No</v>
      </c>
      <c r="P126" s="1" t="str">
        <f>IF(OR(Employee__2[[#This Row],[Age]]&gt;=30,Employee__2[[#This Row],[Gender]]="Male"),"Mached","Not mached")</f>
        <v>Mached</v>
      </c>
    </row>
    <row r="127" spans="4:16" x14ac:dyDescent="0.25">
      <c r="D127" s="6" t="s">
        <v>34</v>
      </c>
      <c r="E127">
        <v>2014</v>
      </c>
      <c r="F127" s="6" t="s">
        <v>35</v>
      </c>
      <c r="G127">
        <v>3</v>
      </c>
      <c r="H127">
        <v>28</v>
      </c>
      <c r="I127" s="6" t="s">
        <v>39</v>
      </c>
      <c r="J127" s="6" t="s">
        <v>37</v>
      </c>
      <c r="K127">
        <v>3</v>
      </c>
      <c r="M127" s="1" t="b">
        <f>Employee__2[[#This Row],[Experience]]&gt;1</f>
        <v>1</v>
      </c>
      <c r="N127" s="1" t="str">
        <f>IF(Employee__2[[#This Row],[City]]="Pune","Yes","No")</f>
        <v>No</v>
      </c>
      <c r="O127" s="1" t="str">
        <f>IF(AND(Employee__2[[#This Row],[Education]]="Bachelors",Employee__2[[#This Row],[City]]="Pune"),"Yes","No")</f>
        <v>No</v>
      </c>
      <c r="P127" s="1" t="str">
        <f>IF(OR(Employee__2[[#This Row],[Age]]&gt;=30,Employee__2[[#This Row],[Gender]]="Male"),"Mached","Not mached")</f>
        <v>Not mached</v>
      </c>
    </row>
    <row r="128" spans="4:16" x14ac:dyDescent="0.25">
      <c r="D128" s="6" t="s">
        <v>41</v>
      </c>
      <c r="E128">
        <v>2014</v>
      </c>
      <c r="F128" s="6" t="s">
        <v>38</v>
      </c>
      <c r="G128">
        <v>3</v>
      </c>
      <c r="H128">
        <v>24</v>
      </c>
      <c r="I128" s="6" t="s">
        <v>36</v>
      </c>
      <c r="J128" s="6" t="s">
        <v>37</v>
      </c>
      <c r="K128">
        <v>2</v>
      </c>
      <c r="M128" s="1" t="b">
        <f>Employee__2[[#This Row],[Experience]]&gt;1</f>
        <v>1</v>
      </c>
      <c r="N128" s="1" t="str">
        <f>IF(Employee__2[[#This Row],[City]]="Pune","Yes","No")</f>
        <v>Yes</v>
      </c>
      <c r="O128" s="1" t="str">
        <f>IF(AND(Employee__2[[#This Row],[Education]]="Bachelors",Employee__2[[#This Row],[City]]="Pune"),"Yes","No")</f>
        <v>No</v>
      </c>
      <c r="P128" s="1" t="str">
        <f>IF(OR(Employee__2[[#This Row],[Age]]&gt;=30,Employee__2[[#This Row],[Gender]]="Male"),"Mached","Not mached")</f>
        <v>Mached</v>
      </c>
    </row>
    <row r="129" spans="4:16" x14ac:dyDescent="0.25">
      <c r="D129" s="6" t="s">
        <v>34</v>
      </c>
      <c r="E129">
        <v>2013</v>
      </c>
      <c r="F129" s="6" t="s">
        <v>35</v>
      </c>
      <c r="G129">
        <v>3</v>
      </c>
      <c r="H129">
        <v>28</v>
      </c>
      <c r="I129" s="6" t="s">
        <v>36</v>
      </c>
      <c r="J129" s="6" t="s">
        <v>37</v>
      </c>
      <c r="K129">
        <v>1</v>
      </c>
      <c r="M129" s="1" t="b">
        <f>Employee__2[[#This Row],[Experience]]&gt;1</f>
        <v>0</v>
      </c>
      <c r="N129" s="1" t="str">
        <f>IF(Employee__2[[#This Row],[City]]="Pune","Yes","No")</f>
        <v>No</v>
      </c>
      <c r="O129" s="1" t="str">
        <f>IF(AND(Employee__2[[#This Row],[Education]]="Bachelors",Employee__2[[#This Row],[City]]="Pune"),"Yes","No")</f>
        <v>No</v>
      </c>
      <c r="P129" s="1" t="str">
        <f>IF(OR(Employee__2[[#This Row],[Age]]&gt;=30,Employee__2[[#This Row],[Gender]]="Male"),"Mached","Not mached")</f>
        <v>Mached</v>
      </c>
    </row>
    <row r="130" spans="4:16" x14ac:dyDescent="0.25">
      <c r="D130" s="6" t="s">
        <v>34</v>
      </c>
      <c r="E130">
        <v>2015</v>
      </c>
      <c r="F130" s="6" t="s">
        <v>38</v>
      </c>
      <c r="G130">
        <v>3</v>
      </c>
      <c r="H130">
        <v>27</v>
      </c>
      <c r="I130" s="6" t="s">
        <v>36</v>
      </c>
      <c r="J130" s="6" t="s">
        <v>37</v>
      </c>
      <c r="K130">
        <v>5</v>
      </c>
      <c r="M130" s="1" t="b">
        <f>Employee__2[[#This Row],[Experience]]&gt;1</f>
        <v>1</v>
      </c>
      <c r="N130" s="1" t="str">
        <f>IF(Employee__2[[#This Row],[City]]="Pune","Yes","No")</f>
        <v>Yes</v>
      </c>
      <c r="O130" s="1" t="str">
        <f>IF(AND(Employee__2[[#This Row],[Education]]="Bachelors",Employee__2[[#This Row],[City]]="Pune"),"Yes","No")</f>
        <v>Yes</v>
      </c>
      <c r="P130" s="1" t="str">
        <f>IF(OR(Employee__2[[#This Row],[Age]]&gt;=30,Employee__2[[#This Row],[Gender]]="Male"),"Mached","Not mached")</f>
        <v>Mached</v>
      </c>
    </row>
    <row r="131" spans="4:16" x14ac:dyDescent="0.25">
      <c r="D131" s="6" t="s">
        <v>34</v>
      </c>
      <c r="E131">
        <v>2018</v>
      </c>
      <c r="F131" s="6" t="s">
        <v>35</v>
      </c>
      <c r="G131">
        <v>3</v>
      </c>
      <c r="H131">
        <v>25</v>
      </c>
      <c r="I131" s="6" t="s">
        <v>36</v>
      </c>
      <c r="J131" s="6" t="s">
        <v>37</v>
      </c>
      <c r="K131">
        <v>3</v>
      </c>
      <c r="M131" s="1" t="b">
        <f>Employee__2[[#This Row],[Experience]]&gt;1</f>
        <v>1</v>
      </c>
      <c r="N131" s="1" t="str">
        <f>IF(Employee__2[[#This Row],[City]]="Pune","Yes","No")</f>
        <v>No</v>
      </c>
      <c r="O131" s="1" t="str">
        <f>IF(AND(Employee__2[[#This Row],[Education]]="Bachelors",Employee__2[[#This Row],[City]]="Pune"),"Yes","No")</f>
        <v>No</v>
      </c>
      <c r="P131" s="1" t="str">
        <f>IF(OR(Employee__2[[#This Row],[Age]]&gt;=30,Employee__2[[#This Row],[Gender]]="Male"),"Mached","Not mached")</f>
        <v>Mached</v>
      </c>
    </row>
    <row r="132" spans="4:16" x14ac:dyDescent="0.25">
      <c r="D132" s="6" t="s">
        <v>41</v>
      </c>
      <c r="E132">
        <v>2013</v>
      </c>
      <c r="F132" s="6" t="s">
        <v>38</v>
      </c>
      <c r="G132">
        <v>1</v>
      </c>
      <c r="H132">
        <v>24</v>
      </c>
      <c r="I132" s="6" t="s">
        <v>36</v>
      </c>
      <c r="J132" s="6" t="s">
        <v>37</v>
      </c>
      <c r="K132">
        <v>2</v>
      </c>
      <c r="M132" s="1" t="b">
        <f>Employee__2[[#This Row],[Experience]]&gt;1</f>
        <v>1</v>
      </c>
      <c r="N132" s="1" t="str">
        <f>IF(Employee__2[[#This Row],[City]]="Pune","Yes","No")</f>
        <v>Yes</v>
      </c>
      <c r="O132" s="1" t="str">
        <f>IF(AND(Employee__2[[#This Row],[Education]]="Bachelors",Employee__2[[#This Row],[City]]="Pune"),"Yes","No")</f>
        <v>No</v>
      </c>
      <c r="P132" s="1" t="str">
        <f>IF(OR(Employee__2[[#This Row],[Age]]&gt;=30,Employee__2[[#This Row],[Gender]]="Male"),"Mached","Not mached")</f>
        <v>Mached</v>
      </c>
    </row>
    <row r="133" spans="4:16" x14ac:dyDescent="0.25">
      <c r="D133" s="6" t="s">
        <v>34</v>
      </c>
      <c r="E133">
        <v>2017</v>
      </c>
      <c r="F133" s="6" t="s">
        <v>35</v>
      </c>
      <c r="G133">
        <v>3</v>
      </c>
      <c r="H133">
        <v>26</v>
      </c>
      <c r="I133" s="6" t="s">
        <v>39</v>
      </c>
      <c r="J133" s="6" t="s">
        <v>37</v>
      </c>
      <c r="K133">
        <v>4</v>
      </c>
      <c r="M133" s="1" t="b">
        <f>Employee__2[[#This Row],[Experience]]&gt;1</f>
        <v>1</v>
      </c>
      <c r="N133" s="1" t="str">
        <f>IF(Employee__2[[#This Row],[City]]="Pune","Yes","No")</f>
        <v>No</v>
      </c>
      <c r="O133" s="1" t="str">
        <f>IF(AND(Employee__2[[#This Row],[Education]]="Bachelors",Employee__2[[#This Row],[City]]="Pune"),"Yes","No")</f>
        <v>No</v>
      </c>
      <c r="P133" s="1" t="str">
        <f>IF(OR(Employee__2[[#This Row],[Age]]&gt;=30,Employee__2[[#This Row],[Gender]]="Male"),"Mached","Not mached")</f>
        <v>Not mached</v>
      </c>
    </row>
    <row r="134" spans="4:16" x14ac:dyDescent="0.25">
      <c r="D134" s="6" t="s">
        <v>34</v>
      </c>
      <c r="E134">
        <v>2013</v>
      </c>
      <c r="F134" s="6" t="s">
        <v>35</v>
      </c>
      <c r="G134">
        <v>3</v>
      </c>
      <c r="H134">
        <v>28</v>
      </c>
      <c r="I134" s="6" t="s">
        <v>36</v>
      </c>
      <c r="J134" s="6" t="s">
        <v>37</v>
      </c>
      <c r="K134">
        <v>1</v>
      </c>
      <c r="M134" s="1" t="b">
        <f>Employee__2[[#This Row],[Experience]]&gt;1</f>
        <v>0</v>
      </c>
      <c r="N134" s="1" t="str">
        <f>IF(Employee__2[[#This Row],[City]]="Pune","Yes","No")</f>
        <v>No</v>
      </c>
      <c r="O134" s="1" t="str">
        <f>IF(AND(Employee__2[[#This Row],[Education]]="Bachelors",Employee__2[[#This Row],[City]]="Pune"),"Yes","No")</f>
        <v>No</v>
      </c>
      <c r="P134" s="1" t="str">
        <f>IF(OR(Employee__2[[#This Row],[Age]]&gt;=30,Employee__2[[#This Row],[Gender]]="Male"),"Mached","Not mached")</f>
        <v>Mached</v>
      </c>
    </row>
    <row r="135" spans="4:16" x14ac:dyDescent="0.25">
      <c r="D135" s="6" t="s">
        <v>41</v>
      </c>
      <c r="E135">
        <v>2016</v>
      </c>
      <c r="F135" s="6" t="s">
        <v>40</v>
      </c>
      <c r="G135">
        <v>3</v>
      </c>
      <c r="H135">
        <v>27</v>
      </c>
      <c r="I135" s="6" t="s">
        <v>36</v>
      </c>
      <c r="J135" s="6" t="s">
        <v>37</v>
      </c>
      <c r="K135">
        <v>5</v>
      </c>
      <c r="M135" s="1" t="b">
        <f>Employee__2[[#This Row],[Experience]]&gt;1</f>
        <v>1</v>
      </c>
      <c r="N135" s="1" t="str">
        <f>IF(Employee__2[[#This Row],[City]]="Pune","Yes","No")</f>
        <v>No</v>
      </c>
      <c r="O135" s="1" t="str">
        <f>IF(AND(Employee__2[[#This Row],[Education]]="Bachelors",Employee__2[[#This Row],[City]]="Pune"),"Yes","No")</f>
        <v>No</v>
      </c>
      <c r="P135" s="1" t="str">
        <f>IF(OR(Employee__2[[#This Row],[Age]]&gt;=30,Employee__2[[#This Row],[Gender]]="Male"),"Mached","Not mached")</f>
        <v>Mached</v>
      </c>
    </row>
    <row r="136" spans="4:16" x14ac:dyDescent="0.25">
      <c r="D136" s="6" t="s">
        <v>41</v>
      </c>
      <c r="E136">
        <v>2017</v>
      </c>
      <c r="F136" s="6" t="s">
        <v>35</v>
      </c>
      <c r="G136">
        <v>3</v>
      </c>
      <c r="H136">
        <v>26</v>
      </c>
      <c r="I136" s="6" t="s">
        <v>36</v>
      </c>
      <c r="J136" s="6" t="s">
        <v>37</v>
      </c>
      <c r="K136">
        <v>4</v>
      </c>
      <c r="M136" s="1" t="b">
        <f>Employee__2[[#This Row],[Experience]]&gt;1</f>
        <v>1</v>
      </c>
      <c r="N136" s="1" t="str">
        <f>IF(Employee__2[[#This Row],[City]]="Pune","Yes","No")</f>
        <v>No</v>
      </c>
      <c r="O136" s="1" t="str">
        <f>IF(AND(Employee__2[[#This Row],[Education]]="Bachelors",Employee__2[[#This Row],[City]]="Pune"),"Yes","No")</f>
        <v>No</v>
      </c>
      <c r="P136" s="1" t="str">
        <f>IF(OR(Employee__2[[#This Row],[Age]]&gt;=30,Employee__2[[#This Row],[Gender]]="Male"),"Mached","Not mached")</f>
        <v>Mached</v>
      </c>
    </row>
    <row r="137" spans="4:16" x14ac:dyDescent="0.25">
      <c r="D137" s="6" t="s">
        <v>41</v>
      </c>
      <c r="E137">
        <v>2017</v>
      </c>
      <c r="F137" s="6" t="s">
        <v>40</v>
      </c>
      <c r="G137">
        <v>2</v>
      </c>
      <c r="H137">
        <v>24</v>
      </c>
      <c r="I137" s="6" t="s">
        <v>36</v>
      </c>
      <c r="J137" s="6" t="s">
        <v>37</v>
      </c>
      <c r="K137">
        <v>2</v>
      </c>
      <c r="M137" s="1" t="b">
        <f>Employee__2[[#This Row],[Experience]]&gt;1</f>
        <v>1</v>
      </c>
      <c r="N137" s="1" t="str">
        <f>IF(Employee__2[[#This Row],[City]]="Pune","Yes","No")</f>
        <v>No</v>
      </c>
      <c r="O137" s="1" t="str">
        <f>IF(AND(Employee__2[[#This Row],[Education]]="Bachelors",Employee__2[[#This Row],[City]]="Pune"),"Yes","No")</f>
        <v>No</v>
      </c>
      <c r="P137" s="1" t="str">
        <f>IF(OR(Employee__2[[#This Row],[Age]]&gt;=30,Employee__2[[#This Row],[Gender]]="Male"),"Mached","Not mached")</f>
        <v>Mached</v>
      </c>
    </row>
    <row r="138" spans="4:16" x14ac:dyDescent="0.25">
      <c r="D138" s="6" t="s">
        <v>41</v>
      </c>
      <c r="E138">
        <v>2018</v>
      </c>
      <c r="F138" s="6" t="s">
        <v>40</v>
      </c>
      <c r="G138">
        <v>3</v>
      </c>
      <c r="H138">
        <v>26</v>
      </c>
      <c r="I138" s="6" t="s">
        <v>36</v>
      </c>
      <c r="J138" s="6" t="s">
        <v>37</v>
      </c>
      <c r="K138">
        <v>4</v>
      </c>
      <c r="M138" s="1" t="b">
        <f>Employee__2[[#This Row],[Experience]]&gt;1</f>
        <v>1</v>
      </c>
      <c r="N138" s="1" t="str">
        <f>IF(Employee__2[[#This Row],[City]]="Pune","Yes","No")</f>
        <v>No</v>
      </c>
      <c r="O138" s="1" t="str">
        <f>IF(AND(Employee__2[[#This Row],[Education]]="Bachelors",Employee__2[[#This Row],[City]]="Pune"),"Yes","No")</f>
        <v>No</v>
      </c>
      <c r="P138" s="1" t="str">
        <f>IF(OR(Employee__2[[#This Row],[Age]]&gt;=30,Employee__2[[#This Row],[Gender]]="Male"),"Mached","Not mached")</f>
        <v>Mached</v>
      </c>
    </row>
    <row r="139" spans="4:16" x14ac:dyDescent="0.25">
      <c r="D139" s="6" t="s">
        <v>41</v>
      </c>
      <c r="E139">
        <v>2017</v>
      </c>
      <c r="F139" s="6" t="s">
        <v>40</v>
      </c>
      <c r="G139">
        <v>1</v>
      </c>
      <c r="H139">
        <v>25</v>
      </c>
      <c r="I139" s="6" t="s">
        <v>39</v>
      </c>
      <c r="J139" s="6" t="s">
        <v>37</v>
      </c>
      <c r="K139">
        <v>3</v>
      </c>
      <c r="M139" s="1" t="b">
        <f>Employee__2[[#This Row],[Experience]]&gt;1</f>
        <v>1</v>
      </c>
      <c r="N139" s="1" t="str">
        <f>IF(Employee__2[[#This Row],[City]]="Pune","Yes","No")</f>
        <v>No</v>
      </c>
      <c r="O139" s="1" t="str">
        <f>IF(AND(Employee__2[[#This Row],[Education]]="Bachelors",Employee__2[[#This Row],[City]]="Pune"),"Yes","No")</f>
        <v>No</v>
      </c>
      <c r="P139" s="1" t="str">
        <f>IF(OR(Employee__2[[#This Row],[Age]]&gt;=30,Employee__2[[#This Row],[Gender]]="Male"),"Mached","Not mached")</f>
        <v>Not mached</v>
      </c>
    </row>
    <row r="140" spans="4:16" x14ac:dyDescent="0.25">
      <c r="D140" s="6" t="s">
        <v>34</v>
      </c>
      <c r="E140">
        <v>2012</v>
      </c>
      <c r="F140" s="6" t="s">
        <v>38</v>
      </c>
      <c r="G140">
        <v>3</v>
      </c>
      <c r="H140">
        <v>28</v>
      </c>
      <c r="I140" s="6" t="s">
        <v>36</v>
      </c>
      <c r="J140" s="6" t="s">
        <v>37</v>
      </c>
      <c r="K140">
        <v>2</v>
      </c>
      <c r="M140" s="1" t="b">
        <f>Employee__2[[#This Row],[Experience]]&gt;1</f>
        <v>1</v>
      </c>
      <c r="N140" s="1" t="str">
        <f>IF(Employee__2[[#This Row],[City]]="Pune","Yes","No")</f>
        <v>Yes</v>
      </c>
      <c r="O140" s="1" t="str">
        <f>IF(AND(Employee__2[[#This Row],[Education]]="Bachelors",Employee__2[[#This Row],[City]]="Pune"),"Yes","No")</f>
        <v>Yes</v>
      </c>
      <c r="P140" s="1" t="str">
        <f>IF(OR(Employee__2[[#This Row],[Age]]&gt;=30,Employee__2[[#This Row],[Gender]]="Male"),"Mached","Not mached")</f>
        <v>Mached</v>
      </c>
    </row>
    <row r="141" spans="4:16" x14ac:dyDescent="0.25">
      <c r="D141" s="6" t="s">
        <v>34</v>
      </c>
      <c r="E141">
        <v>2017</v>
      </c>
      <c r="F141" s="6" t="s">
        <v>40</v>
      </c>
      <c r="G141">
        <v>3</v>
      </c>
      <c r="H141">
        <v>28</v>
      </c>
      <c r="I141" s="6" t="s">
        <v>36</v>
      </c>
      <c r="J141" s="6" t="s">
        <v>37</v>
      </c>
      <c r="K141">
        <v>2</v>
      </c>
      <c r="M141" s="1" t="b">
        <f>Employee__2[[#This Row],[Experience]]&gt;1</f>
        <v>1</v>
      </c>
      <c r="N141" s="1" t="str">
        <f>IF(Employee__2[[#This Row],[City]]="Pune","Yes","No")</f>
        <v>No</v>
      </c>
      <c r="O141" s="1" t="str">
        <f>IF(AND(Employee__2[[#This Row],[Education]]="Bachelors",Employee__2[[#This Row],[City]]="Pune"),"Yes","No")</f>
        <v>No</v>
      </c>
      <c r="P141" s="1" t="str">
        <f>IF(OR(Employee__2[[#This Row],[Age]]&gt;=30,Employee__2[[#This Row],[Gender]]="Male"),"Mached","Not mached")</f>
        <v>Mached</v>
      </c>
    </row>
    <row r="142" spans="4:16" x14ac:dyDescent="0.25">
      <c r="D142" s="6" t="s">
        <v>34</v>
      </c>
      <c r="E142">
        <v>2013</v>
      </c>
      <c r="F142" s="6" t="s">
        <v>35</v>
      </c>
      <c r="G142">
        <v>3</v>
      </c>
      <c r="H142">
        <v>26</v>
      </c>
      <c r="I142" s="6" t="s">
        <v>36</v>
      </c>
      <c r="J142" s="6" t="s">
        <v>37</v>
      </c>
      <c r="K142">
        <v>4</v>
      </c>
      <c r="M142" s="1" t="b">
        <f>Employee__2[[#This Row],[Experience]]&gt;1</f>
        <v>1</v>
      </c>
      <c r="N142" s="1" t="str">
        <f>IF(Employee__2[[#This Row],[City]]="Pune","Yes","No")</f>
        <v>No</v>
      </c>
      <c r="O142" s="1" t="str">
        <f>IF(AND(Employee__2[[#This Row],[Education]]="Bachelors",Employee__2[[#This Row],[City]]="Pune"),"Yes","No")</f>
        <v>No</v>
      </c>
      <c r="P142" s="1" t="str">
        <f>IF(OR(Employee__2[[#This Row],[Age]]&gt;=30,Employee__2[[#This Row],[Gender]]="Male"),"Mached","Not mached")</f>
        <v>Mached</v>
      </c>
    </row>
    <row r="143" spans="4:16" x14ac:dyDescent="0.25">
      <c r="D143" s="6" t="s">
        <v>41</v>
      </c>
      <c r="E143">
        <v>2013</v>
      </c>
      <c r="F143" s="6" t="s">
        <v>40</v>
      </c>
      <c r="G143">
        <v>3</v>
      </c>
      <c r="H143">
        <v>27</v>
      </c>
      <c r="I143" s="6" t="s">
        <v>36</v>
      </c>
      <c r="J143" s="6" t="s">
        <v>37</v>
      </c>
      <c r="K143">
        <v>5</v>
      </c>
      <c r="M143" s="1" t="b">
        <f>Employee__2[[#This Row],[Experience]]&gt;1</f>
        <v>1</v>
      </c>
      <c r="N143" s="1" t="str">
        <f>IF(Employee__2[[#This Row],[City]]="Pune","Yes","No")</f>
        <v>No</v>
      </c>
      <c r="O143" s="1" t="str">
        <f>IF(AND(Employee__2[[#This Row],[Education]]="Bachelors",Employee__2[[#This Row],[City]]="Pune"),"Yes","No")</f>
        <v>No</v>
      </c>
      <c r="P143" s="1" t="str">
        <f>IF(OR(Employee__2[[#This Row],[Age]]&gt;=30,Employee__2[[#This Row],[Gender]]="Male"),"Mached","Not mached")</f>
        <v>Mached</v>
      </c>
    </row>
    <row r="144" spans="4:16" x14ac:dyDescent="0.25">
      <c r="D144" s="6" t="s">
        <v>34</v>
      </c>
      <c r="E144">
        <v>2017</v>
      </c>
      <c r="F144" s="6" t="s">
        <v>38</v>
      </c>
      <c r="G144">
        <v>2</v>
      </c>
      <c r="H144">
        <v>24</v>
      </c>
      <c r="I144" s="6" t="s">
        <v>39</v>
      </c>
      <c r="J144" s="6" t="s">
        <v>37</v>
      </c>
      <c r="K144">
        <v>2</v>
      </c>
      <c r="M144" s="1" t="b">
        <f>Employee__2[[#This Row],[Experience]]&gt;1</f>
        <v>1</v>
      </c>
      <c r="N144" s="1" t="str">
        <f>IF(Employee__2[[#This Row],[City]]="Pune","Yes","No")</f>
        <v>Yes</v>
      </c>
      <c r="O144" s="1" t="str">
        <f>IF(AND(Employee__2[[#This Row],[Education]]="Bachelors",Employee__2[[#This Row],[City]]="Pune"),"Yes","No")</f>
        <v>Yes</v>
      </c>
      <c r="P144" s="1" t="str">
        <f>IF(OR(Employee__2[[#This Row],[Age]]&gt;=30,Employee__2[[#This Row],[Gender]]="Male"),"Mached","Not mached")</f>
        <v>Not mached</v>
      </c>
    </row>
    <row r="145" spans="4:16" x14ac:dyDescent="0.25">
      <c r="D145" s="6" t="s">
        <v>34</v>
      </c>
      <c r="E145">
        <v>2017</v>
      </c>
      <c r="F145" s="6" t="s">
        <v>40</v>
      </c>
      <c r="G145">
        <v>3</v>
      </c>
      <c r="H145">
        <v>28</v>
      </c>
      <c r="I145" s="6" t="s">
        <v>39</v>
      </c>
      <c r="J145" s="6" t="s">
        <v>37</v>
      </c>
      <c r="K145">
        <v>2</v>
      </c>
      <c r="M145" s="1" t="b">
        <f>Employee__2[[#This Row],[Experience]]&gt;1</f>
        <v>1</v>
      </c>
      <c r="N145" s="1" t="str">
        <f>IF(Employee__2[[#This Row],[City]]="Pune","Yes","No")</f>
        <v>No</v>
      </c>
      <c r="O145" s="1" t="str">
        <f>IF(AND(Employee__2[[#This Row],[Education]]="Bachelors",Employee__2[[#This Row],[City]]="Pune"),"Yes","No")</f>
        <v>No</v>
      </c>
      <c r="P145" s="1" t="str">
        <f>IF(OR(Employee__2[[#This Row],[Age]]&gt;=30,Employee__2[[#This Row],[Gender]]="Male"),"Mached","Not mached")</f>
        <v>Not mached</v>
      </c>
    </row>
    <row r="146" spans="4:16" x14ac:dyDescent="0.25">
      <c r="D146" s="6" t="s">
        <v>34</v>
      </c>
      <c r="E146">
        <v>2016</v>
      </c>
      <c r="F146" s="6" t="s">
        <v>35</v>
      </c>
      <c r="G146">
        <v>3</v>
      </c>
      <c r="H146">
        <v>26</v>
      </c>
      <c r="I146" s="6" t="s">
        <v>36</v>
      </c>
      <c r="J146" s="6" t="s">
        <v>37</v>
      </c>
      <c r="K146">
        <v>4</v>
      </c>
      <c r="M146" s="1" t="b">
        <f>Employee__2[[#This Row],[Experience]]&gt;1</f>
        <v>1</v>
      </c>
      <c r="N146" s="1" t="str">
        <f>IF(Employee__2[[#This Row],[City]]="Pune","Yes","No")</f>
        <v>No</v>
      </c>
      <c r="O146" s="1" t="str">
        <f>IF(AND(Employee__2[[#This Row],[Education]]="Bachelors",Employee__2[[#This Row],[City]]="Pune"),"Yes","No")</f>
        <v>No</v>
      </c>
      <c r="P146" s="1" t="str">
        <f>IF(OR(Employee__2[[#This Row],[Age]]&gt;=30,Employee__2[[#This Row],[Gender]]="Male"),"Mached","Not mached")</f>
        <v>Mached</v>
      </c>
    </row>
    <row r="147" spans="4:16" x14ac:dyDescent="0.25">
      <c r="D147" s="6" t="s">
        <v>34</v>
      </c>
      <c r="E147">
        <v>2013</v>
      </c>
      <c r="F147" s="6" t="s">
        <v>35</v>
      </c>
      <c r="G147">
        <v>3</v>
      </c>
      <c r="H147">
        <v>27</v>
      </c>
      <c r="I147" s="6" t="s">
        <v>39</v>
      </c>
      <c r="J147" s="6" t="s">
        <v>37</v>
      </c>
      <c r="K147">
        <v>5</v>
      </c>
      <c r="M147" s="1" t="b">
        <f>Employee__2[[#This Row],[Experience]]&gt;1</f>
        <v>1</v>
      </c>
      <c r="N147" s="1" t="str">
        <f>IF(Employee__2[[#This Row],[City]]="Pune","Yes","No")</f>
        <v>No</v>
      </c>
      <c r="O147" s="1" t="str">
        <f>IF(AND(Employee__2[[#This Row],[Education]]="Bachelors",Employee__2[[#This Row],[City]]="Pune"),"Yes","No")</f>
        <v>No</v>
      </c>
      <c r="P147" s="1" t="str">
        <f>IF(OR(Employee__2[[#This Row],[Age]]&gt;=30,Employee__2[[#This Row],[Gender]]="Male"),"Mached","Not mached")</f>
        <v>Not mached</v>
      </c>
    </row>
    <row r="148" spans="4:16" x14ac:dyDescent="0.25">
      <c r="D148" s="6" t="s">
        <v>41</v>
      </c>
      <c r="E148">
        <v>2015</v>
      </c>
      <c r="F148" s="6" t="s">
        <v>38</v>
      </c>
      <c r="G148">
        <v>2</v>
      </c>
      <c r="H148">
        <v>28</v>
      </c>
      <c r="I148" s="6" t="s">
        <v>39</v>
      </c>
      <c r="J148" s="6" t="s">
        <v>37</v>
      </c>
      <c r="K148">
        <v>3</v>
      </c>
      <c r="M148" s="1" t="b">
        <f>Employee__2[[#This Row],[Experience]]&gt;1</f>
        <v>1</v>
      </c>
      <c r="N148" s="1" t="str">
        <f>IF(Employee__2[[#This Row],[City]]="Pune","Yes","No")</f>
        <v>Yes</v>
      </c>
      <c r="O148" s="1" t="str">
        <f>IF(AND(Employee__2[[#This Row],[Education]]="Bachelors",Employee__2[[#This Row],[City]]="Pune"),"Yes","No")</f>
        <v>No</v>
      </c>
      <c r="P148" s="1" t="str">
        <f>IF(OR(Employee__2[[#This Row],[Age]]&gt;=30,Employee__2[[#This Row],[Gender]]="Male"),"Mached","Not mached")</f>
        <v>Not mached</v>
      </c>
    </row>
    <row r="149" spans="4:16" x14ac:dyDescent="0.25">
      <c r="D149" s="6" t="s">
        <v>34</v>
      </c>
      <c r="E149">
        <v>2014</v>
      </c>
      <c r="F149" s="6" t="s">
        <v>35</v>
      </c>
      <c r="G149">
        <v>3</v>
      </c>
      <c r="H149">
        <v>25</v>
      </c>
      <c r="I149" s="6" t="s">
        <v>36</v>
      </c>
      <c r="J149" s="6" t="s">
        <v>37</v>
      </c>
      <c r="K149">
        <v>3</v>
      </c>
      <c r="M149" s="1" t="b">
        <f>Employee__2[[#This Row],[Experience]]&gt;1</f>
        <v>1</v>
      </c>
      <c r="N149" s="1" t="str">
        <f>IF(Employee__2[[#This Row],[City]]="Pune","Yes","No")</f>
        <v>No</v>
      </c>
      <c r="O149" s="1" t="str">
        <f>IF(AND(Employee__2[[#This Row],[Education]]="Bachelors",Employee__2[[#This Row],[City]]="Pune"),"Yes","No")</f>
        <v>No</v>
      </c>
      <c r="P149" s="1" t="str">
        <f>IF(OR(Employee__2[[#This Row],[Age]]&gt;=30,Employee__2[[#This Row],[Gender]]="Male"),"Mached","Not mached")</f>
        <v>Mached</v>
      </c>
    </row>
    <row r="150" spans="4:16" x14ac:dyDescent="0.25">
      <c r="D150" s="6" t="s">
        <v>34</v>
      </c>
      <c r="E150">
        <v>2016</v>
      </c>
      <c r="F150" s="6" t="s">
        <v>38</v>
      </c>
      <c r="G150">
        <v>3</v>
      </c>
      <c r="H150">
        <v>28</v>
      </c>
      <c r="I150" s="6" t="s">
        <v>36</v>
      </c>
      <c r="J150" s="6" t="s">
        <v>37</v>
      </c>
      <c r="K150">
        <v>1</v>
      </c>
      <c r="M150" s="1" t="b">
        <f>Employee__2[[#This Row],[Experience]]&gt;1</f>
        <v>0</v>
      </c>
      <c r="N150" s="1" t="str">
        <f>IF(Employee__2[[#This Row],[City]]="Pune","Yes","No")</f>
        <v>Yes</v>
      </c>
      <c r="O150" s="1" t="str">
        <f>IF(AND(Employee__2[[#This Row],[Education]]="Bachelors",Employee__2[[#This Row],[City]]="Pune"),"Yes","No")</f>
        <v>Yes</v>
      </c>
      <c r="P150" s="1" t="str">
        <f>IF(OR(Employee__2[[#This Row],[Age]]&gt;=30,Employee__2[[#This Row],[Gender]]="Male"),"Mached","Not mached")</f>
        <v>Mached</v>
      </c>
    </row>
    <row r="151" spans="4:16" x14ac:dyDescent="0.25">
      <c r="D151" s="6" t="s">
        <v>41</v>
      </c>
      <c r="E151">
        <v>2013</v>
      </c>
      <c r="F151" s="6" t="s">
        <v>35</v>
      </c>
      <c r="G151">
        <v>1</v>
      </c>
      <c r="H151">
        <v>25</v>
      </c>
      <c r="I151" s="6" t="s">
        <v>36</v>
      </c>
      <c r="J151" s="6" t="s">
        <v>37</v>
      </c>
      <c r="K151">
        <v>3</v>
      </c>
      <c r="M151" s="1" t="b">
        <f>Employee__2[[#This Row],[Experience]]&gt;1</f>
        <v>1</v>
      </c>
      <c r="N151" s="1" t="str">
        <f>IF(Employee__2[[#This Row],[City]]="Pune","Yes","No")</f>
        <v>No</v>
      </c>
      <c r="O151" s="1" t="str">
        <f>IF(AND(Employee__2[[#This Row],[Education]]="Bachelors",Employee__2[[#This Row],[City]]="Pune"),"Yes","No")</f>
        <v>No</v>
      </c>
      <c r="P151" s="1" t="str">
        <f>IF(OR(Employee__2[[#This Row],[Age]]&gt;=30,Employee__2[[#This Row],[Gender]]="Male"),"Mached","Not mached")</f>
        <v>Mached</v>
      </c>
    </row>
    <row r="152" spans="4:16" x14ac:dyDescent="0.25">
      <c r="D152" s="6" t="s">
        <v>34</v>
      </c>
      <c r="E152">
        <v>2015</v>
      </c>
      <c r="F152" s="6" t="s">
        <v>38</v>
      </c>
      <c r="G152">
        <v>3</v>
      </c>
      <c r="H152">
        <v>26</v>
      </c>
      <c r="I152" s="6" t="s">
        <v>36</v>
      </c>
      <c r="J152" s="6" t="s">
        <v>37</v>
      </c>
      <c r="K152">
        <v>4</v>
      </c>
      <c r="M152" s="1" t="b">
        <f>Employee__2[[#This Row],[Experience]]&gt;1</f>
        <v>1</v>
      </c>
      <c r="N152" s="1" t="str">
        <f>IF(Employee__2[[#This Row],[City]]="Pune","Yes","No")</f>
        <v>Yes</v>
      </c>
      <c r="O152" s="1" t="str">
        <f>IF(AND(Employee__2[[#This Row],[Education]]="Bachelors",Employee__2[[#This Row],[City]]="Pune"),"Yes","No")</f>
        <v>Yes</v>
      </c>
      <c r="P152" s="1" t="str">
        <f>IF(OR(Employee__2[[#This Row],[Age]]&gt;=30,Employee__2[[#This Row],[Gender]]="Male"),"Mached","Not mached")</f>
        <v>Mached</v>
      </c>
    </row>
    <row r="153" spans="4:16" x14ac:dyDescent="0.25">
      <c r="D153" s="6" t="s">
        <v>34</v>
      </c>
      <c r="E153">
        <v>2018</v>
      </c>
      <c r="F153" s="6" t="s">
        <v>40</v>
      </c>
      <c r="G153">
        <v>3</v>
      </c>
      <c r="H153">
        <v>27</v>
      </c>
      <c r="I153" s="6" t="s">
        <v>39</v>
      </c>
      <c r="J153" s="6" t="s">
        <v>37</v>
      </c>
      <c r="K153">
        <v>5</v>
      </c>
      <c r="M153" s="1" t="b">
        <f>Employee__2[[#This Row],[Experience]]&gt;1</f>
        <v>1</v>
      </c>
      <c r="N153" s="1" t="str">
        <f>IF(Employee__2[[#This Row],[City]]="Pune","Yes","No")</f>
        <v>No</v>
      </c>
      <c r="O153" s="1" t="str">
        <f>IF(AND(Employee__2[[#This Row],[Education]]="Bachelors",Employee__2[[#This Row],[City]]="Pune"),"Yes","No")</f>
        <v>No</v>
      </c>
      <c r="P153" s="1" t="str">
        <f>IF(OR(Employee__2[[#This Row],[Age]]&gt;=30,Employee__2[[#This Row],[Gender]]="Male"),"Mached","Not mached")</f>
        <v>Not mached</v>
      </c>
    </row>
    <row r="154" spans="4:16" x14ac:dyDescent="0.25">
      <c r="D154" s="6" t="s">
        <v>34</v>
      </c>
      <c r="E154">
        <v>2016</v>
      </c>
      <c r="F154" s="6" t="s">
        <v>35</v>
      </c>
      <c r="G154">
        <v>3</v>
      </c>
      <c r="H154">
        <v>24</v>
      </c>
      <c r="I154" s="6" t="s">
        <v>36</v>
      </c>
      <c r="J154" s="6" t="s">
        <v>37</v>
      </c>
      <c r="K154">
        <v>2</v>
      </c>
      <c r="M154" s="1" t="b">
        <f>Employee__2[[#This Row],[Experience]]&gt;1</f>
        <v>1</v>
      </c>
      <c r="N154" s="1" t="str">
        <f>IF(Employee__2[[#This Row],[City]]="Pune","Yes","No")</f>
        <v>No</v>
      </c>
      <c r="O154" s="1" t="str">
        <f>IF(AND(Employee__2[[#This Row],[Education]]="Bachelors",Employee__2[[#This Row],[City]]="Pune"),"Yes","No")</f>
        <v>No</v>
      </c>
      <c r="P154" s="1" t="str">
        <f>IF(OR(Employee__2[[#This Row],[Age]]&gt;=30,Employee__2[[#This Row],[Gender]]="Male"),"Mached","Not mached")</f>
        <v>Mached</v>
      </c>
    </row>
    <row r="155" spans="4:16" x14ac:dyDescent="0.25">
      <c r="D155" s="6" t="s">
        <v>34</v>
      </c>
      <c r="E155">
        <v>2012</v>
      </c>
      <c r="F155" s="6" t="s">
        <v>38</v>
      </c>
      <c r="G155">
        <v>2</v>
      </c>
      <c r="H155">
        <v>24</v>
      </c>
      <c r="I155" s="6" t="s">
        <v>39</v>
      </c>
      <c r="J155" s="6" t="s">
        <v>37</v>
      </c>
      <c r="K155">
        <v>2</v>
      </c>
      <c r="M155" s="1" t="b">
        <f>Employee__2[[#This Row],[Experience]]&gt;1</f>
        <v>1</v>
      </c>
      <c r="N155" s="1" t="str">
        <f>IF(Employee__2[[#This Row],[City]]="Pune","Yes","No")</f>
        <v>Yes</v>
      </c>
      <c r="O155" s="1" t="str">
        <f>IF(AND(Employee__2[[#This Row],[Education]]="Bachelors",Employee__2[[#This Row],[City]]="Pune"),"Yes","No")</f>
        <v>Yes</v>
      </c>
      <c r="P155" s="1" t="str">
        <f>IF(OR(Employee__2[[#This Row],[Age]]&gt;=30,Employee__2[[#This Row],[Gender]]="Male"),"Mached","Not mached")</f>
        <v>Not mached</v>
      </c>
    </row>
    <row r="156" spans="4:16" x14ac:dyDescent="0.25">
      <c r="D156" s="6" t="s">
        <v>34</v>
      </c>
      <c r="E156">
        <v>2014</v>
      </c>
      <c r="F156" s="6" t="s">
        <v>35</v>
      </c>
      <c r="G156">
        <v>3</v>
      </c>
      <c r="H156">
        <v>26</v>
      </c>
      <c r="I156" s="6" t="s">
        <v>36</v>
      </c>
      <c r="J156" s="6" t="s">
        <v>37</v>
      </c>
      <c r="K156">
        <v>4</v>
      </c>
      <c r="M156" s="1" t="b">
        <f>Employee__2[[#This Row],[Experience]]&gt;1</f>
        <v>1</v>
      </c>
      <c r="N156" s="1" t="str">
        <f>IF(Employee__2[[#This Row],[City]]="Pune","Yes","No")</f>
        <v>No</v>
      </c>
      <c r="O156" s="1" t="str">
        <f>IF(AND(Employee__2[[#This Row],[Education]]="Bachelors",Employee__2[[#This Row],[City]]="Pune"),"Yes","No")</f>
        <v>No</v>
      </c>
      <c r="P156" s="1" t="str">
        <f>IF(OR(Employee__2[[#This Row],[Age]]&gt;=30,Employee__2[[#This Row],[Gender]]="Male"),"Mached","Not mached")</f>
        <v>Mached</v>
      </c>
    </row>
    <row r="157" spans="4:16" x14ac:dyDescent="0.25">
      <c r="D157" s="6" t="s">
        <v>34</v>
      </c>
      <c r="E157">
        <v>2016</v>
      </c>
      <c r="F157" s="6" t="s">
        <v>38</v>
      </c>
      <c r="G157">
        <v>2</v>
      </c>
      <c r="H157">
        <v>24</v>
      </c>
      <c r="I157" s="6" t="s">
        <v>39</v>
      </c>
      <c r="J157" s="6" t="s">
        <v>37</v>
      </c>
      <c r="K157">
        <v>2</v>
      </c>
      <c r="M157" s="1" t="b">
        <f>Employee__2[[#This Row],[Experience]]&gt;1</f>
        <v>1</v>
      </c>
      <c r="N157" s="1" t="str">
        <f>IF(Employee__2[[#This Row],[City]]="Pune","Yes","No")</f>
        <v>Yes</v>
      </c>
      <c r="O157" s="1" t="str">
        <f>IF(AND(Employee__2[[#This Row],[Education]]="Bachelors",Employee__2[[#This Row],[City]]="Pune"),"Yes","No")</f>
        <v>Yes</v>
      </c>
      <c r="P157" s="1" t="str">
        <f>IF(OR(Employee__2[[#This Row],[Age]]&gt;=30,Employee__2[[#This Row],[Gender]]="Male"),"Mached","Not mached")</f>
        <v>Not mached</v>
      </c>
    </row>
    <row r="158" spans="4:16" x14ac:dyDescent="0.25">
      <c r="D158" s="6" t="s">
        <v>41</v>
      </c>
      <c r="E158">
        <v>2012</v>
      </c>
      <c r="F158" s="6" t="s">
        <v>40</v>
      </c>
      <c r="G158">
        <v>3</v>
      </c>
      <c r="H158">
        <v>26</v>
      </c>
      <c r="I158" s="6" t="s">
        <v>39</v>
      </c>
      <c r="J158" s="6" t="s">
        <v>37</v>
      </c>
      <c r="K158">
        <v>4</v>
      </c>
      <c r="M158" s="1" t="b">
        <f>Employee__2[[#This Row],[Experience]]&gt;1</f>
        <v>1</v>
      </c>
      <c r="N158" s="1" t="str">
        <f>IF(Employee__2[[#This Row],[City]]="Pune","Yes","No")</f>
        <v>No</v>
      </c>
      <c r="O158" s="1" t="str">
        <f>IF(AND(Employee__2[[#This Row],[Education]]="Bachelors",Employee__2[[#This Row],[City]]="Pune"),"Yes","No")</f>
        <v>No</v>
      </c>
      <c r="P158" s="1" t="str">
        <f>IF(OR(Employee__2[[#This Row],[Age]]&gt;=30,Employee__2[[#This Row],[Gender]]="Male"),"Mached","Not mached")</f>
        <v>Not mached</v>
      </c>
    </row>
    <row r="159" spans="4:16" x14ac:dyDescent="0.25">
      <c r="D159" s="6" t="s">
        <v>34</v>
      </c>
      <c r="E159">
        <v>2013</v>
      </c>
      <c r="F159" s="6" t="s">
        <v>35</v>
      </c>
      <c r="G159">
        <v>3</v>
      </c>
      <c r="H159">
        <v>28</v>
      </c>
      <c r="I159" s="6" t="s">
        <v>39</v>
      </c>
      <c r="J159" s="6" t="s">
        <v>37</v>
      </c>
      <c r="K159">
        <v>3</v>
      </c>
      <c r="M159" s="1" t="b">
        <f>Employee__2[[#This Row],[Experience]]&gt;1</f>
        <v>1</v>
      </c>
      <c r="N159" s="1" t="str">
        <f>IF(Employee__2[[#This Row],[City]]="Pune","Yes","No")</f>
        <v>No</v>
      </c>
      <c r="O159" s="1" t="str">
        <f>IF(AND(Employee__2[[#This Row],[Education]]="Bachelors",Employee__2[[#This Row],[City]]="Pune"),"Yes","No")</f>
        <v>No</v>
      </c>
      <c r="P159" s="1" t="str">
        <f>IF(OR(Employee__2[[#This Row],[Age]]&gt;=30,Employee__2[[#This Row],[Gender]]="Male"),"Mached","Not mached")</f>
        <v>Not mached</v>
      </c>
    </row>
    <row r="160" spans="4:16" x14ac:dyDescent="0.25">
      <c r="D160" s="6" t="s">
        <v>34</v>
      </c>
      <c r="E160">
        <v>2012</v>
      </c>
      <c r="F160" s="6" t="s">
        <v>35</v>
      </c>
      <c r="G160">
        <v>3</v>
      </c>
      <c r="H160">
        <v>24</v>
      </c>
      <c r="I160" s="6" t="s">
        <v>36</v>
      </c>
      <c r="J160" s="6" t="s">
        <v>37</v>
      </c>
      <c r="K160">
        <v>2</v>
      </c>
      <c r="M160" s="1" t="b">
        <f>Employee__2[[#This Row],[Experience]]&gt;1</f>
        <v>1</v>
      </c>
      <c r="N160" s="1" t="str">
        <f>IF(Employee__2[[#This Row],[City]]="Pune","Yes","No")</f>
        <v>No</v>
      </c>
      <c r="O160" s="1" t="str">
        <f>IF(AND(Employee__2[[#This Row],[Education]]="Bachelors",Employee__2[[#This Row],[City]]="Pune"),"Yes","No")</f>
        <v>No</v>
      </c>
      <c r="P160" s="1" t="str">
        <f>IF(OR(Employee__2[[#This Row],[Age]]&gt;=30,Employee__2[[#This Row],[Gender]]="Male"),"Mached","Not mached")</f>
        <v>Mached</v>
      </c>
    </row>
    <row r="161" spans="4:16" x14ac:dyDescent="0.25">
      <c r="D161" s="6" t="s">
        <v>34</v>
      </c>
      <c r="E161">
        <v>2015</v>
      </c>
      <c r="F161" s="6" t="s">
        <v>35</v>
      </c>
      <c r="G161">
        <v>3</v>
      </c>
      <c r="H161">
        <v>25</v>
      </c>
      <c r="I161" s="6" t="s">
        <v>36</v>
      </c>
      <c r="J161" s="6" t="s">
        <v>37</v>
      </c>
      <c r="K161">
        <v>3</v>
      </c>
      <c r="M161" s="1" t="b">
        <f>Employee__2[[#This Row],[Experience]]&gt;1</f>
        <v>1</v>
      </c>
      <c r="N161" s="1" t="str">
        <f>IF(Employee__2[[#This Row],[City]]="Pune","Yes","No")</f>
        <v>No</v>
      </c>
      <c r="O161" s="1" t="str">
        <f>IF(AND(Employee__2[[#This Row],[Education]]="Bachelors",Employee__2[[#This Row],[City]]="Pune"),"Yes","No")</f>
        <v>No</v>
      </c>
      <c r="P161" s="1" t="str">
        <f>IF(OR(Employee__2[[#This Row],[Age]]&gt;=30,Employee__2[[#This Row],[Gender]]="Male"),"Mached","Not mached")</f>
        <v>Mached</v>
      </c>
    </row>
    <row r="162" spans="4:16" x14ac:dyDescent="0.25">
      <c r="D162" s="6" t="s">
        <v>34</v>
      </c>
      <c r="E162">
        <v>2016</v>
      </c>
      <c r="F162" s="6" t="s">
        <v>35</v>
      </c>
      <c r="G162">
        <v>3</v>
      </c>
      <c r="H162">
        <v>28</v>
      </c>
      <c r="I162" s="6" t="s">
        <v>36</v>
      </c>
      <c r="J162" s="6" t="s">
        <v>37</v>
      </c>
      <c r="K162">
        <v>3</v>
      </c>
      <c r="M162" s="1" t="b">
        <f>Employee__2[[#This Row],[Experience]]&gt;1</f>
        <v>1</v>
      </c>
      <c r="N162" s="1" t="str">
        <f>IF(Employee__2[[#This Row],[City]]="Pune","Yes","No")</f>
        <v>No</v>
      </c>
      <c r="O162" s="1" t="str">
        <f>IF(AND(Employee__2[[#This Row],[Education]]="Bachelors",Employee__2[[#This Row],[City]]="Pune"),"Yes","No")</f>
        <v>No</v>
      </c>
      <c r="P162" s="1" t="str">
        <f>IF(OR(Employee__2[[#This Row],[Age]]&gt;=30,Employee__2[[#This Row],[Gender]]="Male"),"Mached","Not mached")</f>
        <v>Mached</v>
      </c>
    </row>
    <row r="163" spans="4:16" x14ac:dyDescent="0.25">
      <c r="D163" s="6" t="s">
        <v>34</v>
      </c>
      <c r="E163">
        <v>2014</v>
      </c>
      <c r="F163" s="6" t="s">
        <v>35</v>
      </c>
      <c r="G163">
        <v>3</v>
      </c>
      <c r="H163">
        <v>28</v>
      </c>
      <c r="I163" s="6" t="s">
        <v>39</v>
      </c>
      <c r="J163" s="6" t="s">
        <v>37</v>
      </c>
      <c r="K163">
        <v>3</v>
      </c>
      <c r="M163" s="1" t="b">
        <f>Employee__2[[#This Row],[Experience]]&gt;1</f>
        <v>1</v>
      </c>
      <c r="N163" s="1" t="str">
        <f>IF(Employee__2[[#This Row],[City]]="Pune","Yes","No")</f>
        <v>No</v>
      </c>
      <c r="O163" s="1" t="str">
        <f>IF(AND(Employee__2[[#This Row],[Education]]="Bachelors",Employee__2[[#This Row],[City]]="Pune"),"Yes","No")</f>
        <v>No</v>
      </c>
      <c r="P163" s="1" t="str">
        <f>IF(OR(Employee__2[[#This Row],[Age]]&gt;=30,Employee__2[[#This Row],[Gender]]="Male"),"Mached","Not mached")</f>
        <v>Not mached</v>
      </c>
    </row>
    <row r="164" spans="4:16" x14ac:dyDescent="0.25">
      <c r="D164" s="6" t="s">
        <v>34</v>
      </c>
      <c r="E164">
        <v>2013</v>
      </c>
      <c r="F164" s="6" t="s">
        <v>35</v>
      </c>
      <c r="G164">
        <v>3</v>
      </c>
      <c r="H164">
        <v>26</v>
      </c>
      <c r="I164" s="6" t="s">
        <v>39</v>
      </c>
      <c r="J164" s="6" t="s">
        <v>37</v>
      </c>
      <c r="K164">
        <v>4</v>
      </c>
      <c r="M164" s="1" t="b">
        <f>Employee__2[[#This Row],[Experience]]&gt;1</f>
        <v>1</v>
      </c>
      <c r="N164" s="1" t="str">
        <f>IF(Employee__2[[#This Row],[City]]="Pune","Yes","No")</f>
        <v>No</v>
      </c>
      <c r="O164" s="1" t="str">
        <f>IF(AND(Employee__2[[#This Row],[Education]]="Bachelors",Employee__2[[#This Row],[City]]="Pune"),"Yes","No")</f>
        <v>No</v>
      </c>
      <c r="P164" s="1" t="str">
        <f>IF(OR(Employee__2[[#This Row],[Age]]&gt;=30,Employee__2[[#This Row],[Gender]]="Male"),"Mached","Not mached")</f>
        <v>Not mached</v>
      </c>
    </row>
    <row r="165" spans="4:16" x14ac:dyDescent="0.25">
      <c r="D165" s="6" t="s">
        <v>41</v>
      </c>
      <c r="E165">
        <v>2017</v>
      </c>
      <c r="F165" s="6" t="s">
        <v>40</v>
      </c>
      <c r="G165">
        <v>3</v>
      </c>
      <c r="H165">
        <v>24</v>
      </c>
      <c r="I165" s="6" t="s">
        <v>39</v>
      </c>
      <c r="J165" s="6" t="s">
        <v>37</v>
      </c>
      <c r="K165">
        <v>2</v>
      </c>
      <c r="M165" s="1" t="b">
        <f>Employee__2[[#This Row],[Experience]]&gt;1</f>
        <v>1</v>
      </c>
      <c r="N165" s="1" t="str">
        <f>IF(Employee__2[[#This Row],[City]]="Pune","Yes","No")</f>
        <v>No</v>
      </c>
      <c r="O165" s="1" t="str">
        <f>IF(AND(Employee__2[[#This Row],[Education]]="Bachelors",Employee__2[[#This Row],[City]]="Pune"),"Yes","No")</f>
        <v>No</v>
      </c>
      <c r="P165" s="1" t="str">
        <f>IF(OR(Employee__2[[#This Row],[Age]]&gt;=30,Employee__2[[#This Row],[Gender]]="Male"),"Mached","Not mached")</f>
        <v>Not mached</v>
      </c>
    </row>
    <row r="166" spans="4:16" x14ac:dyDescent="0.25">
      <c r="D166" s="6" t="s">
        <v>34</v>
      </c>
      <c r="E166">
        <v>2016</v>
      </c>
      <c r="F166" s="6" t="s">
        <v>35</v>
      </c>
      <c r="G166">
        <v>3</v>
      </c>
      <c r="H166">
        <v>25</v>
      </c>
      <c r="I166" s="6" t="s">
        <v>36</v>
      </c>
      <c r="J166" s="6" t="s">
        <v>37</v>
      </c>
      <c r="K166">
        <v>3</v>
      </c>
      <c r="M166" s="1" t="b">
        <f>Employee__2[[#This Row],[Experience]]&gt;1</f>
        <v>1</v>
      </c>
      <c r="N166" s="1" t="str">
        <f>IF(Employee__2[[#This Row],[City]]="Pune","Yes","No")</f>
        <v>No</v>
      </c>
      <c r="O166" s="1" t="str">
        <f>IF(AND(Employee__2[[#This Row],[Education]]="Bachelors",Employee__2[[#This Row],[City]]="Pune"),"Yes","No")</f>
        <v>No</v>
      </c>
      <c r="P166" s="1" t="str">
        <f>IF(OR(Employee__2[[#This Row],[Age]]&gt;=30,Employee__2[[#This Row],[Gender]]="Male"),"Mached","Not mached")</f>
        <v>Mached</v>
      </c>
    </row>
    <row r="167" spans="4:16" x14ac:dyDescent="0.25">
      <c r="D167" s="6" t="s">
        <v>34</v>
      </c>
      <c r="E167">
        <v>2015</v>
      </c>
      <c r="F167" s="6" t="s">
        <v>35</v>
      </c>
      <c r="G167">
        <v>3</v>
      </c>
      <c r="H167">
        <v>25</v>
      </c>
      <c r="I167" s="6" t="s">
        <v>36</v>
      </c>
      <c r="J167" s="6" t="s">
        <v>37</v>
      </c>
      <c r="K167">
        <v>3</v>
      </c>
      <c r="M167" s="1" t="b">
        <f>Employee__2[[#This Row],[Experience]]&gt;1</f>
        <v>1</v>
      </c>
      <c r="N167" s="1" t="str">
        <f>IF(Employee__2[[#This Row],[City]]="Pune","Yes","No")</f>
        <v>No</v>
      </c>
      <c r="O167" s="1" t="str">
        <f>IF(AND(Employee__2[[#This Row],[Education]]="Bachelors",Employee__2[[#This Row],[City]]="Pune"),"Yes","No")</f>
        <v>No</v>
      </c>
      <c r="P167" s="1" t="str">
        <f>IF(OR(Employee__2[[#This Row],[Age]]&gt;=30,Employee__2[[#This Row],[Gender]]="Male"),"Mached","Not mached")</f>
        <v>Mached</v>
      </c>
    </row>
    <row r="168" spans="4:16" x14ac:dyDescent="0.25">
      <c r="D168" s="6" t="s">
        <v>34</v>
      </c>
      <c r="E168">
        <v>2014</v>
      </c>
      <c r="F168" s="6" t="s">
        <v>35</v>
      </c>
      <c r="G168">
        <v>3</v>
      </c>
      <c r="H168">
        <v>27</v>
      </c>
      <c r="I168" s="6" t="s">
        <v>36</v>
      </c>
      <c r="J168" s="6" t="s">
        <v>37</v>
      </c>
      <c r="K168">
        <v>5</v>
      </c>
      <c r="M168" s="1" t="b">
        <f>Employee__2[[#This Row],[Experience]]&gt;1</f>
        <v>1</v>
      </c>
      <c r="N168" s="1" t="str">
        <f>IF(Employee__2[[#This Row],[City]]="Pune","Yes","No")</f>
        <v>No</v>
      </c>
      <c r="O168" s="1" t="str">
        <f>IF(AND(Employee__2[[#This Row],[Education]]="Bachelors",Employee__2[[#This Row],[City]]="Pune"),"Yes","No")</f>
        <v>No</v>
      </c>
      <c r="P168" s="1" t="str">
        <f>IF(OR(Employee__2[[#This Row],[Age]]&gt;=30,Employee__2[[#This Row],[Gender]]="Male"),"Mached","Not mached")</f>
        <v>Mached</v>
      </c>
    </row>
    <row r="169" spans="4:16" x14ac:dyDescent="0.25">
      <c r="D169" s="6" t="s">
        <v>34</v>
      </c>
      <c r="E169">
        <v>2012</v>
      </c>
      <c r="F169" s="6" t="s">
        <v>35</v>
      </c>
      <c r="G169">
        <v>3</v>
      </c>
      <c r="H169">
        <v>24</v>
      </c>
      <c r="I169" s="6" t="s">
        <v>36</v>
      </c>
      <c r="J169" s="6" t="s">
        <v>37</v>
      </c>
      <c r="K169">
        <v>2</v>
      </c>
      <c r="M169" s="1" t="b">
        <f>Employee__2[[#This Row],[Experience]]&gt;1</f>
        <v>1</v>
      </c>
      <c r="N169" s="1" t="str">
        <f>IF(Employee__2[[#This Row],[City]]="Pune","Yes","No")</f>
        <v>No</v>
      </c>
      <c r="O169" s="1" t="str">
        <f>IF(AND(Employee__2[[#This Row],[Education]]="Bachelors",Employee__2[[#This Row],[City]]="Pune"),"Yes","No")</f>
        <v>No</v>
      </c>
      <c r="P169" s="1" t="str">
        <f>IF(OR(Employee__2[[#This Row],[Age]]&gt;=30,Employee__2[[#This Row],[Gender]]="Male"),"Mached","Not mached")</f>
        <v>Mached</v>
      </c>
    </row>
    <row r="170" spans="4:16" x14ac:dyDescent="0.25">
      <c r="D170" s="6" t="s">
        <v>34</v>
      </c>
      <c r="E170">
        <v>2014</v>
      </c>
      <c r="F170" s="6" t="s">
        <v>35</v>
      </c>
      <c r="G170">
        <v>3</v>
      </c>
      <c r="H170">
        <v>25</v>
      </c>
      <c r="I170" s="6" t="s">
        <v>36</v>
      </c>
      <c r="J170" s="6" t="s">
        <v>37</v>
      </c>
      <c r="K170">
        <v>3</v>
      </c>
      <c r="M170" s="1" t="b">
        <f>Employee__2[[#This Row],[Experience]]&gt;1</f>
        <v>1</v>
      </c>
      <c r="N170" s="1" t="str">
        <f>IF(Employee__2[[#This Row],[City]]="Pune","Yes","No")</f>
        <v>No</v>
      </c>
      <c r="O170" s="1" t="str">
        <f>IF(AND(Employee__2[[#This Row],[Education]]="Bachelors",Employee__2[[#This Row],[City]]="Pune"),"Yes","No")</f>
        <v>No</v>
      </c>
      <c r="P170" s="1" t="str">
        <f>IF(OR(Employee__2[[#This Row],[Age]]&gt;=30,Employee__2[[#This Row],[Gender]]="Male"),"Mached","Not mached")</f>
        <v>Mached</v>
      </c>
    </row>
    <row r="171" spans="4:16" x14ac:dyDescent="0.25">
      <c r="D171" s="6" t="s">
        <v>34</v>
      </c>
      <c r="E171">
        <v>2015</v>
      </c>
      <c r="F171" s="6" t="s">
        <v>35</v>
      </c>
      <c r="G171">
        <v>3</v>
      </c>
      <c r="H171">
        <v>28</v>
      </c>
      <c r="I171" s="6" t="s">
        <v>36</v>
      </c>
      <c r="J171" s="6" t="s">
        <v>37</v>
      </c>
      <c r="K171">
        <v>3</v>
      </c>
      <c r="M171" s="1" t="b">
        <f>Employee__2[[#This Row],[Experience]]&gt;1</f>
        <v>1</v>
      </c>
      <c r="N171" s="1" t="str">
        <f>IF(Employee__2[[#This Row],[City]]="Pune","Yes","No")</f>
        <v>No</v>
      </c>
      <c r="O171" s="1" t="str">
        <f>IF(AND(Employee__2[[#This Row],[Education]]="Bachelors",Employee__2[[#This Row],[City]]="Pune"),"Yes","No")</f>
        <v>No</v>
      </c>
      <c r="P171" s="1" t="str">
        <f>IF(OR(Employee__2[[#This Row],[Age]]&gt;=30,Employee__2[[#This Row],[Gender]]="Male"),"Mached","Not mached")</f>
        <v>Mached</v>
      </c>
    </row>
    <row r="172" spans="4:16" x14ac:dyDescent="0.25">
      <c r="D172" s="6" t="s">
        <v>41</v>
      </c>
      <c r="E172">
        <v>2015</v>
      </c>
      <c r="F172" s="6" t="s">
        <v>40</v>
      </c>
      <c r="G172">
        <v>3</v>
      </c>
      <c r="H172">
        <v>26</v>
      </c>
      <c r="I172" s="6" t="s">
        <v>36</v>
      </c>
      <c r="J172" s="6" t="s">
        <v>37</v>
      </c>
      <c r="K172">
        <v>4</v>
      </c>
      <c r="M172" s="1" t="b">
        <f>Employee__2[[#This Row],[Experience]]&gt;1</f>
        <v>1</v>
      </c>
      <c r="N172" s="1" t="str">
        <f>IF(Employee__2[[#This Row],[City]]="Pune","Yes","No")</f>
        <v>No</v>
      </c>
      <c r="O172" s="1" t="str">
        <f>IF(AND(Employee__2[[#This Row],[Education]]="Bachelors",Employee__2[[#This Row],[City]]="Pune"),"Yes","No")</f>
        <v>No</v>
      </c>
      <c r="P172" s="1" t="str">
        <f>IF(OR(Employee__2[[#This Row],[Age]]&gt;=30,Employee__2[[#This Row],[Gender]]="Male"),"Mached","Not mached")</f>
        <v>Mached</v>
      </c>
    </row>
    <row r="173" spans="4:16" x14ac:dyDescent="0.25">
      <c r="D173" s="6" t="s">
        <v>34</v>
      </c>
      <c r="E173">
        <v>2014</v>
      </c>
      <c r="F173" s="6" t="s">
        <v>40</v>
      </c>
      <c r="G173">
        <v>3</v>
      </c>
      <c r="H173">
        <v>28</v>
      </c>
      <c r="I173" s="6" t="s">
        <v>39</v>
      </c>
      <c r="J173" s="6" t="s">
        <v>37</v>
      </c>
      <c r="K173">
        <v>1</v>
      </c>
      <c r="M173" s="1" t="b">
        <f>Employee__2[[#This Row],[Experience]]&gt;1</f>
        <v>0</v>
      </c>
      <c r="N173" s="1" t="str">
        <f>IF(Employee__2[[#This Row],[City]]="Pune","Yes","No")</f>
        <v>No</v>
      </c>
      <c r="O173" s="1" t="str">
        <f>IF(AND(Employee__2[[#This Row],[Education]]="Bachelors",Employee__2[[#This Row],[City]]="Pune"),"Yes","No")</f>
        <v>No</v>
      </c>
      <c r="P173" s="1" t="str">
        <f>IF(OR(Employee__2[[#This Row],[Age]]&gt;=30,Employee__2[[#This Row],[Gender]]="Male"),"Mached","Not mached")</f>
        <v>Not mached</v>
      </c>
    </row>
    <row r="174" spans="4:16" x14ac:dyDescent="0.25">
      <c r="D174" s="6" t="s">
        <v>34</v>
      </c>
      <c r="E174">
        <v>2015</v>
      </c>
      <c r="F174" s="6" t="s">
        <v>38</v>
      </c>
      <c r="G174">
        <v>3</v>
      </c>
      <c r="H174">
        <v>25</v>
      </c>
      <c r="I174" s="6" t="s">
        <v>36</v>
      </c>
      <c r="J174" s="6" t="s">
        <v>37</v>
      </c>
      <c r="K174">
        <v>3</v>
      </c>
      <c r="M174" s="1" t="b">
        <f>Employee__2[[#This Row],[Experience]]&gt;1</f>
        <v>1</v>
      </c>
      <c r="N174" s="1" t="str">
        <f>IF(Employee__2[[#This Row],[City]]="Pune","Yes","No")</f>
        <v>Yes</v>
      </c>
      <c r="O174" s="1" t="str">
        <f>IF(AND(Employee__2[[#This Row],[Education]]="Bachelors",Employee__2[[#This Row],[City]]="Pune"),"Yes","No")</f>
        <v>Yes</v>
      </c>
      <c r="P174" s="1" t="str">
        <f>IF(OR(Employee__2[[#This Row],[Age]]&gt;=30,Employee__2[[#This Row],[Gender]]="Male"),"Mached","Not mached")</f>
        <v>Mached</v>
      </c>
    </row>
    <row r="175" spans="4:16" x14ac:dyDescent="0.25">
      <c r="D175" s="6" t="s">
        <v>41</v>
      </c>
      <c r="E175">
        <v>2015</v>
      </c>
      <c r="F175" s="6" t="s">
        <v>38</v>
      </c>
      <c r="G175">
        <v>2</v>
      </c>
      <c r="H175">
        <v>28</v>
      </c>
      <c r="I175" s="6" t="s">
        <v>39</v>
      </c>
      <c r="J175" s="6" t="s">
        <v>37</v>
      </c>
      <c r="K175">
        <v>2</v>
      </c>
      <c r="M175" s="1" t="b">
        <f>Employee__2[[#This Row],[Experience]]&gt;1</f>
        <v>1</v>
      </c>
      <c r="N175" s="1" t="str">
        <f>IF(Employee__2[[#This Row],[City]]="Pune","Yes","No")</f>
        <v>Yes</v>
      </c>
      <c r="O175" s="1" t="str">
        <f>IF(AND(Employee__2[[#This Row],[Education]]="Bachelors",Employee__2[[#This Row],[City]]="Pune"),"Yes","No")</f>
        <v>No</v>
      </c>
      <c r="P175" s="1" t="str">
        <f>IF(OR(Employee__2[[#This Row],[Age]]&gt;=30,Employee__2[[#This Row],[Gender]]="Male"),"Mached","Not mached")</f>
        <v>Not mached</v>
      </c>
    </row>
    <row r="176" spans="4:16" x14ac:dyDescent="0.25">
      <c r="D176" s="6" t="s">
        <v>34</v>
      </c>
      <c r="E176">
        <v>2014</v>
      </c>
      <c r="F176" s="6" t="s">
        <v>35</v>
      </c>
      <c r="G176">
        <v>3</v>
      </c>
      <c r="H176">
        <v>27</v>
      </c>
      <c r="I176" s="6" t="s">
        <v>39</v>
      </c>
      <c r="J176" s="6" t="s">
        <v>37</v>
      </c>
      <c r="K176">
        <v>5</v>
      </c>
      <c r="M176" s="1" t="b">
        <f>Employee__2[[#This Row],[Experience]]&gt;1</f>
        <v>1</v>
      </c>
      <c r="N176" s="1" t="str">
        <f>IF(Employee__2[[#This Row],[City]]="Pune","Yes","No")</f>
        <v>No</v>
      </c>
      <c r="O176" s="1" t="str">
        <f>IF(AND(Employee__2[[#This Row],[Education]]="Bachelors",Employee__2[[#This Row],[City]]="Pune"),"Yes","No")</f>
        <v>No</v>
      </c>
      <c r="P176" s="1" t="str">
        <f>IF(OR(Employee__2[[#This Row],[Age]]&gt;=30,Employee__2[[#This Row],[Gender]]="Male"),"Mached","Not mached")</f>
        <v>Not mached</v>
      </c>
    </row>
    <row r="177" spans="4:16" x14ac:dyDescent="0.25">
      <c r="D177" s="6" t="s">
        <v>34</v>
      </c>
      <c r="E177">
        <v>2013</v>
      </c>
      <c r="F177" s="6" t="s">
        <v>35</v>
      </c>
      <c r="G177">
        <v>3</v>
      </c>
      <c r="H177">
        <v>26</v>
      </c>
      <c r="I177" s="6" t="s">
        <v>36</v>
      </c>
      <c r="J177" s="6" t="s">
        <v>37</v>
      </c>
      <c r="K177">
        <v>4</v>
      </c>
      <c r="M177" s="1" t="b">
        <f>Employee__2[[#This Row],[Experience]]&gt;1</f>
        <v>1</v>
      </c>
      <c r="N177" s="1" t="str">
        <f>IF(Employee__2[[#This Row],[City]]="Pune","Yes","No")</f>
        <v>No</v>
      </c>
      <c r="O177" s="1" t="str">
        <f>IF(AND(Employee__2[[#This Row],[Education]]="Bachelors",Employee__2[[#This Row],[City]]="Pune"),"Yes","No")</f>
        <v>No</v>
      </c>
      <c r="P177" s="1" t="str">
        <f>IF(OR(Employee__2[[#This Row],[Age]]&gt;=30,Employee__2[[#This Row],[Gender]]="Male"),"Mached","Not mached")</f>
        <v>Mached</v>
      </c>
    </row>
    <row r="178" spans="4:16" x14ac:dyDescent="0.25">
      <c r="D178" s="6" t="s">
        <v>34</v>
      </c>
      <c r="E178">
        <v>2016</v>
      </c>
      <c r="F178" s="6" t="s">
        <v>35</v>
      </c>
      <c r="G178">
        <v>3</v>
      </c>
      <c r="H178">
        <v>26</v>
      </c>
      <c r="I178" s="6" t="s">
        <v>36</v>
      </c>
      <c r="J178" s="6" t="s">
        <v>37</v>
      </c>
      <c r="K178">
        <v>4</v>
      </c>
      <c r="M178" s="1" t="b">
        <f>Employee__2[[#This Row],[Experience]]&gt;1</f>
        <v>1</v>
      </c>
      <c r="N178" s="1" t="str">
        <f>IF(Employee__2[[#This Row],[City]]="Pune","Yes","No")</f>
        <v>No</v>
      </c>
      <c r="O178" s="1" t="str">
        <f>IF(AND(Employee__2[[#This Row],[Education]]="Bachelors",Employee__2[[#This Row],[City]]="Pune"),"Yes","No")</f>
        <v>No</v>
      </c>
      <c r="P178" s="1" t="str">
        <f>IF(OR(Employee__2[[#This Row],[Age]]&gt;=30,Employee__2[[#This Row],[Gender]]="Male"),"Mached","Not mached")</f>
        <v>Mached</v>
      </c>
    </row>
    <row r="179" spans="4:16" x14ac:dyDescent="0.25">
      <c r="D179" s="6" t="s">
        <v>34</v>
      </c>
      <c r="E179">
        <v>2012</v>
      </c>
      <c r="F179" s="6" t="s">
        <v>35</v>
      </c>
      <c r="G179">
        <v>3</v>
      </c>
      <c r="H179">
        <v>25</v>
      </c>
      <c r="I179" s="6" t="s">
        <v>36</v>
      </c>
      <c r="J179" s="6" t="s">
        <v>37</v>
      </c>
      <c r="K179">
        <v>3</v>
      </c>
      <c r="M179" s="1" t="b">
        <f>Employee__2[[#This Row],[Experience]]&gt;1</f>
        <v>1</v>
      </c>
      <c r="N179" s="1" t="str">
        <f>IF(Employee__2[[#This Row],[City]]="Pune","Yes","No")</f>
        <v>No</v>
      </c>
      <c r="O179" s="1" t="str">
        <f>IF(AND(Employee__2[[#This Row],[Education]]="Bachelors",Employee__2[[#This Row],[City]]="Pune"),"Yes","No")</f>
        <v>No</v>
      </c>
      <c r="P179" s="1" t="str">
        <f>IF(OR(Employee__2[[#This Row],[Age]]&gt;=30,Employee__2[[#This Row],[Gender]]="Male"),"Mached","Not mached")</f>
        <v>Mached</v>
      </c>
    </row>
    <row r="180" spans="4:16" x14ac:dyDescent="0.25">
      <c r="D180" s="6" t="s">
        <v>34</v>
      </c>
      <c r="E180">
        <v>2015</v>
      </c>
      <c r="F180" s="6" t="s">
        <v>35</v>
      </c>
      <c r="G180">
        <v>3</v>
      </c>
      <c r="H180">
        <v>25</v>
      </c>
      <c r="I180" s="6" t="s">
        <v>36</v>
      </c>
      <c r="J180" s="6" t="s">
        <v>37</v>
      </c>
      <c r="K180">
        <v>3</v>
      </c>
      <c r="M180" s="1" t="b">
        <f>Employee__2[[#This Row],[Experience]]&gt;1</f>
        <v>1</v>
      </c>
      <c r="N180" s="1" t="str">
        <f>IF(Employee__2[[#This Row],[City]]="Pune","Yes","No")</f>
        <v>No</v>
      </c>
      <c r="O180" s="1" t="str">
        <f>IF(AND(Employee__2[[#This Row],[Education]]="Bachelors",Employee__2[[#This Row],[City]]="Pune"),"Yes","No")</f>
        <v>No</v>
      </c>
      <c r="P180" s="1" t="str">
        <f>IF(OR(Employee__2[[#This Row],[Age]]&gt;=30,Employee__2[[#This Row],[Gender]]="Male"),"Mached","Not mached")</f>
        <v>Mached</v>
      </c>
    </row>
    <row r="181" spans="4:16" x14ac:dyDescent="0.25">
      <c r="D181" s="6" t="s">
        <v>34</v>
      </c>
      <c r="E181">
        <v>2014</v>
      </c>
      <c r="F181" s="6" t="s">
        <v>40</v>
      </c>
      <c r="G181">
        <v>3</v>
      </c>
      <c r="H181">
        <v>24</v>
      </c>
      <c r="I181" s="6" t="s">
        <v>39</v>
      </c>
      <c r="J181" s="6" t="s">
        <v>37</v>
      </c>
      <c r="K181">
        <v>2</v>
      </c>
      <c r="M181" s="1" t="b">
        <f>Employee__2[[#This Row],[Experience]]&gt;1</f>
        <v>1</v>
      </c>
      <c r="N181" s="1" t="str">
        <f>IF(Employee__2[[#This Row],[City]]="Pune","Yes","No")</f>
        <v>No</v>
      </c>
      <c r="O181" s="1" t="str">
        <f>IF(AND(Employee__2[[#This Row],[Education]]="Bachelors",Employee__2[[#This Row],[City]]="Pune"),"Yes","No")</f>
        <v>No</v>
      </c>
      <c r="P181" s="1" t="str">
        <f>IF(OR(Employee__2[[#This Row],[Age]]&gt;=30,Employee__2[[#This Row],[Gender]]="Male"),"Mached","Not mached")</f>
        <v>Not mached</v>
      </c>
    </row>
    <row r="182" spans="4:16" x14ac:dyDescent="0.25">
      <c r="D182" s="6" t="s">
        <v>34</v>
      </c>
      <c r="E182">
        <v>2012</v>
      </c>
      <c r="F182" s="6" t="s">
        <v>35</v>
      </c>
      <c r="G182">
        <v>3</v>
      </c>
      <c r="H182">
        <v>27</v>
      </c>
      <c r="I182" s="6" t="s">
        <v>36</v>
      </c>
      <c r="J182" s="6" t="s">
        <v>37</v>
      </c>
      <c r="K182">
        <v>5</v>
      </c>
      <c r="M182" s="1" t="b">
        <f>Employee__2[[#This Row],[Experience]]&gt;1</f>
        <v>1</v>
      </c>
      <c r="N182" s="1" t="str">
        <f>IF(Employee__2[[#This Row],[City]]="Pune","Yes","No")</f>
        <v>No</v>
      </c>
      <c r="O182" s="1" t="str">
        <f>IF(AND(Employee__2[[#This Row],[Education]]="Bachelors",Employee__2[[#This Row],[City]]="Pune"),"Yes","No")</f>
        <v>No</v>
      </c>
      <c r="P182" s="1" t="str">
        <f>IF(OR(Employee__2[[#This Row],[Age]]&gt;=30,Employee__2[[#This Row],[Gender]]="Male"),"Mached","Not mached")</f>
        <v>Mached</v>
      </c>
    </row>
    <row r="183" spans="4:16" x14ac:dyDescent="0.25">
      <c r="D183" s="6" t="s">
        <v>41</v>
      </c>
      <c r="E183">
        <v>2017</v>
      </c>
      <c r="F183" s="6" t="s">
        <v>40</v>
      </c>
      <c r="G183">
        <v>3</v>
      </c>
      <c r="H183">
        <v>27</v>
      </c>
      <c r="I183" s="6" t="s">
        <v>36</v>
      </c>
      <c r="J183" s="6" t="s">
        <v>37</v>
      </c>
      <c r="K183">
        <v>5</v>
      </c>
      <c r="M183" s="1" t="b">
        <f>Employee__2[[#This Row],[Experience]]&gt;1</f>
        <v>1</v>
      </c>
      <c r="N183" s="1" t="str">
        <f>IF(Employee__2[[#This Row],[City]]="Pune","Yes","No")</f>
        <v>No</v>
      </c>
      <c r="O183" s="1" t="str">
        <f>IF(AND(Employee__2[[#This Row],[Education]]="Bachelors",Employee__2[[#This Row],[City]]="Pune"),"Yes","No")</f>
        <v>No</v>
      </c>
      <c r="P183" s="1" t="str">
        <f>IF(OR(Employee__2[[#This Row],[Age]]&gt;=30,Employee__2[[#This Row],[Gender]]="Male"),"Mached","Not mached")</f>
        <v>Mached</v>
      </c>
    </row>
    <row r="184" spans="4:16" x14ac:dyDescent="0.25">
      <c r="D184" s="6" t="s">
        <v>34</v>
      </c>
      <c r="E184">
        <v>2015</v>
      </c>
      <c r="F184" s="6" t="s">
        <v>38</v>
      </c>
      <c r="G184">
        <v>3</v>
      </c>
      <c r="H184">
        <v>27</v>
      </c>
      <c r="I184" s="6" t="s">
        <v>36</v>
      </c>
      <c r="J184" s="6" t="s">
        <v>37</v>
      </c>
      <c r="K184">
        <v>5</v>
      </c>
      <c r="M184" s="1" t="b">
        <f>Employee__2[[#This Row],[Experience]]&gt;1</f>
        <v>1</v>
      </c>
      <c r="N184" s="1" t="str">
        <f>IF(Employee__2[[#This Row],[City]]="Pune","Yes","No")</f>
        <v>Yes</v>
      </c>
      <c r="O184" s="1" t="str">
        <f>IF(AND(Employee__2[[#This Row],[Education]]="Bachelors",Employee__2[[#This Row],[City]]="Pune"),"Yes","No")</f>
        <v>Yes</v>
      </c>
      <c r="P184" s="1" t="str">
        <f>IF(OR(Employee__2[[#This Row],[Age]]&gt;=30,Employee__2[[#This Row],[Gender]]="Male"),"Mached","Not mached")</f>
        <v>Mached</v>
      </c>
    </row>
    <row r="185" spans="4:16" x14ac:dyDescent="0.25">
      <c r="D185" s="6" t="s">
        <v>34</v>
      </c>
      <c r="E185">
        <v>2018</v>
      </c>
      <c r="F185" s="6" t="s">
        <v>35</v>
      </c>
      <c r="G185">
        <v>3</v>
      </c>
      <c r="H185">
        <v>24</v>
      </c>
      <c r="I185" s="6" t="s">
        <v>36</v>
      </c>
      <c r="J185" s="6" t="s">
        <v>37</v>
      </c>
      <c r="K185">
        <v>2</v>
      </c>
      <c r="M185" s="1" t="b">
        <f>Employee__2[[#This Row],[Experience]]&gt;1</f>
        <v>1</v>
      </c>
      <c r="N185" s="1" t="str">
        <f>IF(Employee__2[[#This Row],[City]]="Pune","Yes","No")</f>
        <v>No</v>
      </c>
      <c r="O185" s="1" t="str">
        <f>IF(AND(Employee__2[[#This Row],[Education]]="Bachelors",Employee__2[[#This Row],[City]]="Pune"),"Yes","No")</f>
        <v>No</v>
      </c>
      <c r="P185" s="1" t="str">
        <f>IF(OR(Employee__2[[#This Row],[Age]]&gt;=30,Employee__2[[#This Row],[Gender]]="Male"),"Mached","Not mached")</f>
        <v>Mached</v>
      </c>
    </row>
    <row r="186" spans="4:16" x14ac:dyDescent="0.25">
      <c r="D186" s="6" t="s">
        <v>41</v>
      </c>
      <c r="E186">
        <v>2017</v>
      </c>
      <c r="F186" s="6" t="s">
        <v>40</v>
      </c>
      <c r="G186">
        <v>3</v>
      </c>
      <c r="H186">
        <v>27</v>
      </c>
      <c r="I186" s="6" t="s">
        <v>36</v>
      </c>
      <c r="J186" s="6" t="s">
        <v>37</v>
      </c>
      <c r="K186">
        <v>5</v>
      </c>
      <c r="M186" s="1" t="b">
        <f>Employee__2[[#This Row],[Experience]]&gt;1</f>
        <v>1</v>
      </c>
      <c r="N186" s="1" t="str">
        <f>IF(Employee__2[[#This Row],[City]]="Pune","Yes","No")</f>
        <v>No</v>
      </c>
      <c r="O186" s="1" t="str">
        <f>IF(AND(Employee__2[[#This Row],[Education]]="Bachelors",Employee__2[[#This Row],[City]]="Pune"),"Yes","No")</f>
        <v>No</v>
      </c>
      <c r="P186" s="1" t="str">
        <f>IF(OR(Employee__2[[#This Row],[Age]]&gt;=30,Employee__2[[#This Row],[Gender]]="Male"),"Mached","Not mached")</f>
        <v>Mached</v>
      </c>
    </row>
    <row r="187" spans="4:16" x14ac:dyDescent="0.25">
      <c r="D187" s="6" t="s">
        <v>41</v>
      </c>
      <c r="E187">
        <v>2017</v>
      </c>
      <c r="F187" s="6" t="s">
        <v>40</v>
      </c>
      <c r="G187">
        <v>2</v>
      </c>
      <c r="H187">
        <v>28</v>
      </c>
      <c r="I187" s="6" t="s">
        <v>39</v>
      </c>
      <c r="J187" s="6" t="s">
        <v>37</v>
      </c>
      <c r="K187">
        <v>1</v>
      </c>
      <c r="M187" s="1" t="b">
        <f>Employee__2[[#This Row],[Experience]]&gt;1</f>
        <v>0</v>
      </c>
      <c r="N187" s="1" t="str">
        <f>IF(Employee__2[[#This Row],[City]]="Pune","Yes","No")</f>
        <v>No</v>
      </c>
      <c r="O187" s="1" t="str">
        <f>IF(AND(Employee__2[[#This Row],[Education]]="Bachelors",Employee__2[[#This Row],[City]]="Pune"),"Yes","No")</f>
        <v>No</v>
      </c>
      <c r="P187" s="1" t="str">
        <f>IF(OR(Employee__2[[#This Row],[Age]]&gt;=30,Employee__2[[#This Row],[Gender]]="Male"),"Mached","Not mached")</f>
        <v>Not mached</v>
      </c>
    </row>
    <row r="188" spans="4:16" x14ac:dyDescent="0.25">
      <c r="D188" s="6" t="s">
        <v>41</v>
      </c>
      <c r="E188">
        <v>2017</v>
      </c>
      <c r="F188" s="6" t="s">
        <v>38</v>
      </c>
      <c r="G188">
        <v>2</v>
      </c>
      <c r="H188">
        <v>24</v>
      </c>
      <c r="I188" s="6" t="s">
        <v>36</v>
      </c>
      <c r="J188" s="6" t="s">
        <v>37</v>
      </c>
      <c r="K188">
        <v>2</v>
      </c>
      <c r="M188" s="1" t="b">
        <f>Employee__2[[#This Row],[Experience]]&gt;1</f>
        <v>1</v>
      </c>
      <c r="N188" s="1" t="str">
        <f>IF(Employee__2[[#This Row],[City]]="Pune","Yes","No")</f>
        <v>Yes</v>
      </c>
      <c r="O188" s="1" t="str">
        <f>IF(AND(Employee__2[[#This Row],[Education]]="Bachelors",Employee__2[[#This Row],[City]]="Pune"),"Yes","No")</f>
        <v>No</v>
      </c>
      <c r="P188" s="1" t="str">
        <f>IF(OR(Employee__2[[#This Row],[Age]]&gt;=30,Employee__2[[#This Row],[Gender]]="Male"),"Mached","Not mached")</f>
        <v>Mached</v>
      </c>
    </row>
    <row r="189" spans="4:16" x14ac:dyDescent="0.25">
      <c r="D189" s="6" t="s">
        <v>41</v>
      </c>
      <c r="E189">
        <v>2016</v>
      </c>
      <c r="F189" s="6" t="s">
        <v>40</v>
      </c>
      <c r="G189">
        <v>3</v>
      </c>
      <c r="H189">
        <v>25</v>
      </c>
      <c r="I189" s="6" t="s">
        <v>39</v>
      </c>
      <c r="J189" s="6" t="s">
        <v>37</v>
      </c>
      <c r="K189">
        <v>3</v>
      </c>
      <c r="M189" s="1" t="b">
        <f>Employee__2[[#This Row],[Experience]]&gt;1</f>
        <v>1</v>
      </c>
      <c r="N189" s="1" t="str">
        <f>IF(Employee__2[[#This Row],[City]]="Pune","Yes","No")</f>
        <v>No</v>
      </c>
      <c r="O189" s="1" t="str">
        <f>IF(AND(Employee__2[[#This Row],[Education]]="Bachelors",Employee__2[[#This Row],[City]]="Pune"),"Yes","No")</f>
        <v>No</v>
      </c>
      <c r="P189" s="1" t="str">
        <f>IF(OR(Employee__2[[#This Row],[Age]]&gt;=30,Employee__2[[#This Row],[Gender]]="Male"),"Mached","Not mached")</f>
        <v>Not mached</v>
      </c>
    </row>
    <row r="190" spans="4:16" x14ac:dyDescent="0.25">
      <c r="D190" s="6" t="s">
        <v>43</v>
      </c>
      <c r="E190">
        <v>2015</v>
      </c>
      <c r="F190" s="6" t="s">
        <v>40</v>
      </c>
      <c r="G190">
        <v>3</v>
      </c>
      <c r="H190">
        <v>28</v>
      </c>
      <c r="I190" s="6" t="s">
        <v>39</v>
      </c>
      <c r="J190" s="6" t="s">
        <v>37</v>
      </c>
      <c r="K190">
        <v>1</v>
      </c>
      <c r="M190" s="1" t="b">
        <f>Employee__2[[#This Row],[Experience]]&gt;1</f>
        <v>0</v>
      </c>
      <c r="N190" s="1" t="str">
        <f>IF(Employee__2[[#This Row],[City]]="Pune","Yes","No")</f>
        <v>No</v>
      </c>
      <c r="O190" s="1" t="str">
        <f>IF(AND(Employee__2[[#This Row],[Education]]="Bachelors",Employee__2[[#This Row],[City]]="Pune"),"Yes","No")</f>
        <v>No</v>
      </c>
      <c r="P190" s="1" t="str">
        <f>IF(OR(Employee__2[[#This Row],[Age]]&gt;=30,Employee__2[[#This Row],[Gender]]="Male"),"Mached","Not mached")</f>
        <v>Not mached</v>
      </c>
    </row>
    <row r="191" spans="4:16" x14ac:dyDescent="0.25">
      <c r="D191" s="6" t="s">
        <v>34</v>
      </c>
      <c r="E191">
        <v>2017</v>
      </c>
      <c r="F191" s="6" t="s">
        <v>40</v>
      </c>
      <c r="G191">
        <v>2</v>
      </c>
      <c r="H191">
        <v>26</v>
      </c>
      <c r="I191" s="6" t="s">
        <v>36</v>
      </c>
      <c r="J191" s="6" t="s">
        <v>37</v>
      </c>
      <c r="K191">
        <v>4</v>
      </c>
      <c r="M191" s="1" t="b">
        <f>Employee__2[[#This Row],[Experience]]&gt;1</f>
        <v>1</v>
      </c>
      <c r="N191" s="1" t="str">
        <f>IF(Employee__2[[#This Row],[City]]="Pune","Yes","No")</f>
        <v>No</v>
      </c>
      <c r="O191" s="1" t="str">
        <f>IF(AND(Employee__2[[#This Row],[Education]]="Bachelors",Employee__2[[#This Row],[City]]="Pune"),"Yes","No")</f>
        <v>No</v>
      </c>
      <c r="P191" s="1" t="str">
        <f>IF(OR(Employee__2[[#This Row],[Age]]&gt;=30,Employee__2[[#This Row],[Gender]]="Male"),"Mached","Not mached")</f>
        <v>Mached</v>
      </c>
    </row>
    <row r="192" spans="4:16" x14ac:dyDescent="0.25">
      <c r="D192" s="6" t="s">
        <v>34</v>
      </c>
      <c r="E192">
        <v>2013</v>
      </c>
      <c r="F192" s="6" t="s">
        <v>35</v>
      </c>
      <c r="G192">
        <v>2</v>
      </c>
      <c r="H192">
        <v>27</v>
      </c>
      <c r="I192" s="6" t="s">
        <v>36</v>
      </c>
      <c r="J192" s="6" t="s">
        <v>37</v>
      </c>
      <c r="K192">
        <v>5</v>
      </c>
      <c r="M192" s="1" t="b">
        <f>Employee__2[[#This Row],[Experience]]&gt;1</f>
        <v>1</v>
      </c>
      <c r="N192" s="1" t="str">
        <f>IF(Employee__2[[#This Row],[City]]="Pune","Yes","No")</f>
        <v>No</v>
      </c>
      <c r="O192" s="1" t="str">
        <f>IF(AND(Employee__2[[#This Row],[Education]]="Bachelors",Employee__2[[#This Row],[City]]="Pune"),"Yes","No")</f>
        <v>No</v>
      </c>
      <c r="P192" s="1" t="str">
        <f>IF(OR(Employee__2[[#This Row],[Age]]&gt;=30,Employee__2[[#This Row],[Gender]]="Male"),"Mached","Not mached")</f>
        <v>Mached</v>
      </c>
    </row>
    <row r="193" spans="4:16" x14ac:dyDescent="0.25">
      <c r="D193" s="6" t="s">
        <v>34</v>
      </c>
      <c r="E193">
        <v>2015</v>
      </c>
      <c r="F193" s="6" t="s">
        <v>35</v>
      </c>
      <c r="G193">
        <v>3</v>
      </c>
      <c r="H193">
        <v>26</v>
      </c>
      <c r="I193" s="6" t="s">
        <v>36</v>
      </c>
      <c r="J193" s="6" t="s">
        <v>37</v>
      </c>
      <c r="K193">
        <v>4</v>
      </c>
      <c r="M193" s="1" t="b">
        <f>Employee__2[[#This Row],[Experience]]&gt;1</f>
        <v>1</v>
      </c>
      <c r="N193" s="1" t="str">
        <f>IF(Employee__2[[#This Row],[City]]="Pune","Yes","No")</f>
        <v>No</v>
      </c>
      <c r="O193" s="1" t="str">
        <f>IF(AND(Employee__2[[#This Row],[Education]]="Bachelors",Employee__2[[#This Row],[City]]="Pune"),"Yes","No")</f>
        <v>No</v>
      </c>
      <c r="P193" s="1" t="str">
        <f>IF(OR(Employee__2[[#This Row],[Age]]&gt;=30,Employee__2[[#This Row],[Gender]]="Male"),"Mached","Not mached")</f>
        <v>Mached</v>
      </c>
    </row>
    <row r="194" spans="4:16" x14ac:dyDescent="0.25">
      <c r="D194" s="6" t="s">
        <v>34</v>
      </c>
      <c r="E194">
        <v>2015</v>
      </c>
      <c r="F194" s="6" t="s">
        <v>35</v>
      </c>
      <c r="G194">
        <v>3</v>
      </c>
      <c r="H194">
        <v>26</v>
      </c>
      <c r="I194" s="6" t="s">
        <v>36</v>
      </c>
      <c r="J194" s="6" t="s">
        <v>37</v>
      </c>
      <c r="K194">
        <v>4</v>
      </c>
      <c r="M194" s="1" t="b">
        <f>Employee__2[[#This Row],[Experience]]&gt;1</f>
        <v>1</v>
      </c>
      <c r="N194" s="1" t="str">
        <f>IF(Employee__2[[#This Row],[City]]="Pune","Yes","No")</f>
        <v>No</v>
      </c>
      <c r="O194" s="1" t="str">
        <f>IF(AND(Employee__2[[#This Row],[Education]]="Bachelors",Employee__2[[#This Row],[City]]="Pune"),"Yes","No")</f>
        <v>No</v>
      </c>
      <c r="P194" s="1" t="str">
        <f>IF(OR(Employee__2[[#This Row],[Age]]&gt;=30,Employee__2[[#This Row],[Gender]]="Male"),"Mached","Not mached")</f>
        <v>Mached</v>
      </c>
    </row>
    <row r="195" spans="4:16" x14ac:dyDescent="0.25">
      <c r="D195" s="6" t="s">
        <v>34</v>
      </c>
      <c r="E195">
        <v>2013</v>
      </c>
      <c r="F195" s="6" t="s">
        <v>35</v>
      </c>
      <c r="G195">
        <v>3</v>
      </c>
      <c r="H195">
        <v>28</v>
      </c>
      <c r="I195" s="6" t="s">
        <v>36</v>
      </c>
      <c r="J195" s="6" t="s">
        <v>37</v>
      </c>
      <c r="K195">
        <v>1</v>
      </c>
      <c r="M195" s="1" t="b">
        <f>Employee__2[[#This Row],[Experience]]&gt;1</f>
        <v>0</v>
      </c>
      <c r="N195" s="1" t="str">
        <f>IF(Employee__2[[#This Row],[City]]="Pune","Yes","No")</f>
        <v>No</v>
      </c>
      <c r="O195" s="1" t="str">
        <f>IF(AND(Employee__2[[#This Row],[Education]]="Bachelors",Employee__2[[#This Row],[City]]="Pune"),"Yes","No")</f>
        <v>No</v>
      </c>
      <c r="P195" s="1" t="str">
        <f>IF(OR(Employee__2[[#This Row],[Age]]&gt;=30,Employee__2[[#This Row],[Gender]]="Male"),"Mached","Not mached")</f>
        <v>Mached</v>
      </c>
    </row>
    <row r="196" spans="4:16" x14ac:dyDescent="0.25">
      <c r="D196" s="6" t="s">
        <v>34</v>
      </c>
      <c r="E196">
        <v>2015</v>
      </c>
      <c r="F196" s="6" t="s">
        <v>35</v>
      </c>
      <c r="G196">
        <v>3</v>
      </c>
      <c r="H196">
        <v>27</v>
      </c>
      <c r="I196" s="6" t="s">
        <v>39</v>
      </c>
      <c r="J196" s="6" t="s">
        <v>37</v>
      </c>
      <c r="K196">
        <v>5</v>
      </c>
      <c r="M196" s="1" t="b">
        <f>Employee__2[[#This Row],[Experience]]&gt;1</f>
        <v>1</v>
      </c>
      <c r="N196" s="1" t="str">
        <f>IF(Employee__2[[#This Row],[City]]="Pune","Yes","No")</f>
        <v>No</v>
      </c>
      <c r="O196" s="1" t="str">
        <f>IF(AND(Employee__2[[#This Row],[Education]]="Bachelors",Employee__2[[#This Row],[City]]="Pune"),"Yes","No")</f>
        <v>No</v>
      </c>
      <c r="P196" s="1" t="str">
        <f>IF(OR(Employee__2[[#This Row],[Age]]&gt;=30,Employee__2[[#This Row],[Gender]]="Male"),"Mached","Not mached")</f>
        <v>Not mached</v>
      </c>
    </row>
    <row r="197" spans="4:16" x14ac:dyDescent="0.25">
      <c r="D197" s="6" t="s">
        <v>34</v>
      </c>
      <c r="E197">
        <v>2013</v>
      </c>
      <c r="F197" s="6" t="s">
        <v>40</v>
      </c>
      <c r="G197">
        <v>3</v>
      </c>
      <c r="H197">
        <v>25</v>
      </c>
      <c r="I197" s="6" t="s">
        <v>39</v>
      </c>
      <c r="J197" s="6" t="s">
        <v>37</v>
      </c>
      <c r="K197">
        <v>3</v>
      </c>
      <c r="M197" s="1" t="b">
        <f>Employee__2[[#This Row],[Experience]]&gt;1</f>
        <v>1</v>
      </c>
      <c r="N197" s="1" t="str">
        <f>IF(Employee__2[[#This Row],[City]]="Pune","Yes","No")</f>
        <v>No</v>
      </c>
      <c r="O197" s="1" t="str">
        <f>IF(AND(Employee__2[[#This Row],[Education]]="Bachelors",Employee__2[[#This Row],[City]]="Pune"),"Yes","No")</f>
        <v>No</v>
      </c>
      <c r="P197" s="1" t="str">
        <f>IF(OR(Employee__2[[#This Row],[Age]]&gt;=30,Employee__2[[#This Row],[Gender]]="Male"),"Mached","Not mached")</f>
        <v>Not mached</v>
      </c>
    </row>
    <row r="198" spans="4:16" x14ac:dyDescent="0.25">
      <c r="D198" s="6" t="s">
        <v>34</v>
      </c>
      <c r="E198">
        <v>2013</v>
      </c>
      <c r="F198" s="6" t="s">
        <v>38</v>
      </c>
      <c r="G198">
        <v>3</v>
      </c>
      <c r="H198">
        <v>28</v>
      </c>
      <c r="I198" s="6" t="s">
        <v>36</v>
      </c>
      <c r="J198" s="6" t="s">
        <v>37</v>
      </c>
      <c r="K198">
        <v>1</v>
      </c>
      <c r="M198" s="1" t="b">
        <f>Employee__2[[#This Row],[Experience]]&gt;1</f>
        <v>0</v>
      </c>
      <c r="N198" s="1" t="str">
        <f>IF(Employee__2[[#This Row],[City]]="Pune","Yes","No")</f>
        <v>Yes</v>
      </c>
      <c r="O198" s="1" t="str">
        <f>IF(AND(Employee__2[[#This Row],[Education]]="Bachelors",Employee__2[[#This Row],[City]]="Pune"),"Yes","No")</f>
        <v>Yes</v>
      </c>
      <c r="P198" s="1" t="str">
        <f>IF(OR(Employee__2[[#This Row],[Age]]&gt;=30,Employee__2[[#This Row],[Gender]]="Male"),"Mached","Not mached")</f>
        <v>Mached</v>
      </c>
    </row>
    <row r="199" spans="4:16" x14ac:dyDescent="0.25">
      <c r="D199" s="6" t="s">
        <v>34</v>
      </c>
      <c r="E199">
        <v>2017</v>
      </c>
      <c r="F199" s="6" t="s">
        <v>38</v>
      </c>
      <c r="G199">
        <v>3</v>
      </c>
      <c r="H199">
        <v>24</v>
      </c>
      <c r="I199" s="6" t="s">
        <v>36</v>
      </c>
      <c r="J199" s="6" t="s">
        <v>37</v>
      </c>
      <c r="K199">
        <v>2</v>
      </c>
      <c r="M199" s="1" t="b">
        <f>Employee__2[[#This Row],[Experience]]&gt;1</f>
        <v>1</v>
      </c>
      <c r="N199" s="1" t="str">
        <f>IF(Employee__2[[#This Row],[City]]="Pune","Yes","No")</f>
        <v>Yes</v>
      </c>
      <c r="O199" s="1" t="str">
        <f>IF(AND(Employee__2[[#This Row],[Education]]="Bachelors",Employee__2[[#This Row],[City]]="Pune"),"Yes","No")</f>
        <v>Yes</v>
      </c>
      <c r="P199" s="1" t="str">
        <f>IF(OR(Employee__2[[#This Row],[Age]]&gt;=30,Employee__2[[#This Row],[Gender]]="Male"),"Mached","Not mached")</f>
        <v>Mached</v>
      </c>
    </row>
    <row r="200" spans="4:16" x14ac:dyDescent="0.25">
      <c r="D200" s="6" t="s">
        <v>34</v>
      </c>
      <c r="E200">
        <v>2013</v>
      </c>
      <c r="F200" s="6" t="s">
        <v>40</v>
      </c>
      <c r="G200">
        <v>3</v>
      </c>
      <c r="H200">
        <v>27</v>
      </c>
      <c r="I200" s="6" t="s">
        <v>39</v>
      </c>
      <c r="J200" s="6" t="s">
        <v>37</v>
      </c>
      <c r="K200">
        <v>5</v>
      </c>
      <c r="M200" s="1" t="b">
        <f>Employee__2[[#This Row],[Experience]]&gt;1</f>
        <v>1</v>
      </c>
      <c r="N200" s="1" t="str">
        <f>IF(Employee__2[[#This Row],[City]]="Pune","Yes","No")</f>
        <v>No</v>
      </c>
      <c r="O200" s="1" t="str">
        <f>IF(AND(Employee__2[[#This Row],[Education]]="Bachelors",Employee__2[[#This Row],[City]]="Pune"),"Yes","No")</f>
        <v>No</v>
      </c>
      <c r="P200" s="1" t="str">
        <f>IF(OR(Employee__2[[#This Row],[Age]]&gt;=30,Employee__2[[#This Row],[Gender]]="Male"),"Mached","Not mached")</f>
        <v>Not mached</v>
      </c>
    </row>
    <row r="201" spans="4:16" x14ac:dyDescent="0.25">
      <c r="D201" s="6" t="s">
        <v>34</v>
      </c>
      <c r="E201">
        <v>2015</v>
      </c>
      <c r="F201" s="6" t="s">
        <v>35</v>
      </c>
      <c r="G201">
        <v>3</v>
      </c>
      <c r="H201">
        <v>28</v>
      </c>
      <c r="I201" s="6" t="s">
        <v>36</v>
      </c>
      <c r="J201" s="6" t="s">
        <v>42</v>
      </c>
      <c r="K201">
        <v>2</v>
      </c>
      <c r="M201" s="1" t="b">
        <f>Employee__2[[#This Row],[Experience]]&gt;1</f>
        <v>1</v>
      </c>
      <c r="N201" s="1" t="str">
        <f>IF(Employee__2[[#This Row],[City]]="Pune","Yes","No")</f>
        <v>No</v>
      </c>
      <c r="O201" s="1" t="str">
        <f>IF(AND(Employee__2[[#This Row],[Education]]="Bachelors",Employee__2[[#This Row],[City]]="Pune"),"Yes","No")</f>
        <v>No</v>
      </c>
      <c r="P201" s="1" t="str">
        <f>IF(OR(Employee__2[[#This Row],[Age]]&gt;=30,Employee__2[[#This Row],[Gender]]="Male"),"Mached","Not mached")</f>
        <v>Mached</v>
      </c>
    </row>
    <row r="202" spans="4:16" x14ac:dyDescent="0.25">
      <c r="D202" s="6" t="s">
        <v>34</v>
      </c>
      <c r="E202">
        <v>2015</v>
      </c>
      <c r="F202" s="6" t="s">
        <v>38</v>
      </c>
      <c r="G202">
        <v>3</v>
      </c>
      <c r="H202">
        <v>28</v>
      </c>
      <c r="I202" s="6" t="s">
        <v>36</v>
      </c>
      <c r="J202" s="6" t="s">
        <v>37</v>
      </c>
      <c r="K202">
        <v>3</v>
      </c>
      <c r="M202" s="1" t="b">
        <f>Employee__2[[#This Row],[Experience]]&gt;1</f>
        <v>1</v>
      </c>
      <c r="N202" s="1" t="str">
        <f>IF(Employee__2[[#This Row],[City]]="Pune","Yes","No")</f>
        <v>Yes</v>
      </c>
      <c r="O202" s="1" t="str">
        <f>IF(AND(Employee__2[[#This Row],[Education]]="Bachelors",Employee__2[[#This Row],[City]]="Pune"),"Yes","No")</f>
        <v>Yes</v>
      </c>
      <c r="P202" s="1" t="str">
        <f>IF(OR(Employee__2[[#This Row],[Age]]&gt;=30,Employee__2[[#This Row],[Gender]]="Male"),"Mached","Not mached")</f>
        <v>Mached</v>
      </c>
    </row>
    <row r="203" spans="4:16" x14ac:dyDescent="0.25">
      <c r="D203" s="6" t="s">
        <v>34</v>
      </c>
      <c r="E203">
        <v>2014</v>
      </c>
      <c r="F203" s="6" t="s">
        <v>38</v>
      </c>
      <c r="G203">
        <v>2</v>
      </c>
      <c r="H203">
        <v>25</v>
      </c>
      <c r="I203" s="6" t="s">
        <v>39</v>
      </c>
      <c r="J203" s="6" t="s">
        <v>37</v>
      </c>
      <c r="K203">
        <v>3</v>
      </c>
      <c r="M203" s="1" t="b">
        <f>Employee__2[[#This Row],[Experience]]&gt;1</f>
        <v>1</v>
      </c>
      <c r="N203" s="1" t="str">
        <f>IF(Employee__2[[#This Row],[City]]="Pune","Yes","No")</f>
        <v>Yes</v>
      </c>
      <c r="O203" s="1" t="str">
        <f>IF(AND(Employee__2[[#This Row],[Education]]="Bachelors",Employee__2[[#This Row],[City]]="Pune"),"Yes","No")</f>
        <v>Yes</v>
      </c>
      <c r="P203" s="1" t="str">
        <f>IF(OR(Employee__2[[#This Row],[Age]]&gt;=30,Employee__2[[#This Row],[Gender]]="Male"),"Mached","Not mached")</f>
        <v>Not mached</v>
      </c>
    </row>
    <row r="204" spans="4:16" x14ac:dyDescent="0.25">
      <c r="D204" s="6" t="s">
        <v>34</v>
      </c>
      <c r="E204">
        <v>2014</v>
      </c>
      <c r="F204" s="6" t="s">
        <v>35</v>
      </c>
      <c r="G204">
        <v>3</v>
      </c>
      <c r="H204">
        <v>25</v>
      </c>
      <c r="I204" s="6" t="s">
        <v>36</v>
      </c>
      <c r="J204" s="6" t="s">
        <v>37</v>
      </c>
      <c r="K204">
        <v>3</v>
      </c>
      <c r="M204" s="1" t="b">
        <f>Employee__2[[#This Row],[Experience]]&gt;1</f>
        <v>1</v>
      </c>
      <c r="N204" s="1" t="str">
        <f>IF(Employee__2[[#This Row],[City]]="Pune","Yes","No")</f>
        <v>No</v>
      </c>
      <c r="O204" s="1" t="str">
        <f>IF(AND(Employee__2[[#This Row],[Education]]="Bachelors",Employee__2[[#This Row],[City]]="Pune"),"Yes","No")</f>
        <v>No</v>
      </c>
      <c r="P204" s="1" t="str">
        <f>IF(OR(Employee__2[[#This Row],[Age]]&gt;=30,Employee__2[[#This Row],[Gender]]="Male"),"Mached","Not mached")</f>
        <v>Mached</v>
      </c>
    </row>
    <row r="205" spans="4:16" x14ac:dyDescent="0.25">
      <c r="D205" s="6" t="s">
        <v>34</v>
      </c>
      <c r="E205">
        <v>2017</v>
      </c>
      <c r="F205" s="6" t="s">
        <v>35</v>
      </c>
      <c r="G205">
        <v>3</v>
      </c>
      <c r="H205">
        <v>27</v>
      </c>
      <c r="I205" s="6" t="s">
        <v>36</v>
      </c>
      <c r="J205" s="6" t="s">
        <v>37</v>
      </c>
      <c r="K205">
        <v>5</v>
      </c>
      <c r="M205" s="1" t="b">
        <f>Employee__2[[#This Row],[Experience]]&gt;1</f>
        <v>1</v>
      </c>
      <c r="N205" s="1" t="str">
        <f>IF(Employee__2[[#This Row],[City]]="Pune","Yes","No")</f>
        <v>No</v>
      </c>
      <c r="O205" s="1" t="str">
        <f>IF(AND(Employee__2[[#This Row],[Education]]="Bachelors",Employee__2[[#This Row],[City]]="Pune"),"Yes","No")</f>
        <v>No</v>
      </c>
      <c r="P205" s="1" t="str">
        <f>IF(OR(Employee__2[[#This Row],[Age]]&gt;=30,Employee__2[[#This Row],[Gender]]="Male"),"Mached","Not mached")</f>
        <v>Mached</v>
      </c>
    </row>
    <row r="206" spans="4:16" x14ac:dyDescent="0.25">
      <c r="D206" s="6" t="s">
        <v>34</v>
      </c>
      <c r="E206">
        <v>2014</v>
      </c>
      <c r="F206" s="6" t="s">
        <v>38</v>
      </c>
      <c r="G206">
        <v>2</v>
      </c>
      <c r="H206">
        <v>26</v>
      </c>
      <c r="I206" s="6" t="s">
        <v>39</v>
      </c>
      <c r="J206" s="6" t="s">
        <v>37</v>
      </c>
      <c r="K206">
        <v>4</v>
      </c>
      <c r="M206" s="1" t="b">
        <f>Employee__2[[#This Row],[Experience]]&gt;1</f>
        <v>1</v>
      </c>
      <c r="N206" s="1" t="str">
        <f>IF(Employee__2[[#This Row],[City]]="Pune","Yes","No")</f>
        <v>Yes</v>
      </c>
      <c r="O206" s="1" t="str">
        <f>IF(AND(Employee__2[[#This Row],[Education]]="Bachelors",Employee__2[[#This Row],[City]]="Pune"),"Yes","No")</f>
        <v>Yes</v>
      </c>
      <c r="P206" s="1" t="str">
        <f>IF(OR(Employee__2[[#This Row],[Age]]&gt;=30,Employee__2[[#This Row],[Gender]]="Male"),"Mached","Not mached")</f>
        <v>Not mached</v>
      </c>
    </row>
    <row r="207" spans="4:16" x14ac:dyDescent="0.25">
      <c r="D207" s="6" t="s">
        <v>43</v>
      </c>
      <c r="E207">
        <v>2013</v>
      </c>
      <c r="F207" s="6" t="s">
        <v>40</v>
      </c>
      <c r="G207">
        <v>3</v>
      </c>
      <c r="H207">
        <v>24</v>
      </c>
      <c r="I207" s="6" t="s">
        <v>36</v>
      </c>
      <c r="J207" s="6" t="s">
        <v>37</v>
      </c>
      <c r="K207">
        <v>2</v>
      </c>
      <c r="M207" s="1" t="b">
        <f>Employee__2[[#This Row],[Experience]]&gt;1</f>
        <v>1</v>
      </c>
      <c r="N207" s="1" t="str">
        <f>IF(Employee__2[[#This Row],[City]]="Pune","Yes","No")</f>
        <v>No</v>
      </c>
      <c r="O207" s="1" t="str">
        <f>IF(AND(Employee__2[[#This Row],[Education]]="Bachelors",Employee__2[[#This Row],[City]]="Pune"),"Yes","No")</f>
        <v>No</v>
      </c>
      <c r="P207" s="1" t="str">
        <f>IF(OR(Employee__2[[#This Row],[Age]]&gt;=30,Employee__2[[#This Row],[Gender]]="Male"),"Mached","Not mached")</f>
        <v>Mached</v>
      </c>
    </row>
    <row r="208" spans="4:16" x14ac:dyDescent="0.25">
      <c r="D208" s="6" t="s">
        <v>34</v>
      </c>
      <c r="E208">
        <v>2015</v>
      </c>
      <c r="F208" s="6" t="s">
        <v>38</v>
      </c>
      <c r="G208">
        <v>2</v>
      </c>
      <c r="H208">
        <v>26</v>
      </c>
      <c r="I208" s="6" t="s">
        <v>39</v>
      </c>
      <c r="J208" s="6" t="s">
        <v>37</v>
      </c>
      <c r="K208">
        <v>4</v>
      </c>
      <c r="M208" s="1" t="b">
        <f>Employee__2[[#This Row],[Experience]]&gt;1</f>
        <v>1</v>
      </c>
      <c r="N208" s="1" t="str">
        <f>IF(Employee__2[[#This Row],[City]]="Pune","Yes","No")</f>
        <v>Yes</v>
      </c>
      <c r="O208" s="1" t="str">
        <f>IF(AND(Employee__2[[#This Row],[Education]]="Bachelors",Employee__2[[#This Row],[City]]="Pune"),"Yes","No")</f>
        <v>Yes</v>
      </c>
      <c r="P208" s="1" t="str">
        <f>IF(OR(Employee__2[[#This Row],[Age]]&gt;=30,Employee__2[[#This Row],[Gender]]="Male"),"Mached","Not mached")</f>
        <v>Not mached</v>
      </c>
    </row>
    <row r="209" spans="4:16" x14ac:dyDescent="0.25">
      <c r="D209" s="6" t="s">
        <v>34</v>
      </c>
      <c r="E209">
        <v>2017</v>
      </c>
      <c r="F209" s="6" t="s">
        <v>35</v>
      </c>
      <c r="G209">
        <v>3</v>
      </c>
      <c r="H209">
        <v>25</v>
      </c>
      <c r="I209" s="6" t="s">
        <v>36</v>
      </c>
      <c r="J209" s="6" t="s">
        <v>37</v>
      </c>
      <c r="K209">
        <v>3</v>
      </c>
      <c r="M209" s="1" t="b">
        <f>Employee__2[[#This Row],[Experience]]&gt;1</f>
        <v>1</v>
      </c>
      <c r="N209" s="1" t="str">
        <f>IF(Employee__2[[#This Row],[City]]="Pune","Yes","No")</f>
        <v>No</v>
      </c>
      <c r="O209" s="1" t="str">
        <f>IF(AND(Employee__2[[#This Row],[Education]]="Bachelors",Employee__2[[#This Row],[City]]="Pune"),"Yes","No")</f>
        <v>No</v>
      </c>
      <c r="P209" s="1" t="str">
        <f>IF(OR(Employee__2[[#This Row],[Age]]&gt;=30,Employee__2[[#This Row],[Gender]]="Male"),"Mached","Not mached")</f>
        <v>Mached</v>
      </c>
    </row>
    <row r="210" spans="4:16" x14ac:dyDescent="0.25">
      <c r="D210" s="6" t="s">
        <v>41</v>
      </c>
      <c r="E210">
        <v>2013</v>
      </c>
      <c r="F210" s="6" t="s">
        <v>38</v>
      </c>
      <c r="G210">
        <v>2</v>
      </c>
      <c r="H210">
        <v>27</v>
      </c>
      <c r="I210" s="6" t="s">
        <v>36</v>
      </c>
      <c r="J210" s="6" t="s">
        <v>37</v>
      </c>
      <c r="K210">
        <v>5</v>
      </c>
      <c r="M210" s="1" t="b">
        <f>Employee__2[[#This Row],[Experience]]&gt;1</f>
        <v>1</v>
      </c>
      <c r="N210" s="1" t="str">
        <f>IF(Employee__2[[#This Row],[City]]="Pune","Yes","No")</f>
        <v>Yes</v>
      </c>
      <c r="O210" s="1" t="str">
        <f>IF(AND(Employee__2[[#This Row],[Education]]="Bachelors",Employee__2[[#This Row],[City]]="Pune"),"Yes","No")</f>
        <v>No</v>
      </c>
      <c r="P210" s="1" t="str">
        <f>IF(OR(Employee__2[[#This Row],[Age]]&gt;=30,Employee__2[[#This Row],[Gender]]="Male"),"Mached","Not mached")</f>
        <v>Mached</v>
      </c>
    </row>
    <row r="211" spans="4:16" x14ac:dyDescent="0.25">
      <c r="D211" s="6" t="s">
        <v>41</v>
      </c>
      <c r="E211">
        <v>2017</v>
      </c>
      <c r="F211" s="6" t="s">
        <v>35</v>
      </c>
      <c r="G211">
        <v>3</v>
      </c>
      <c r="H211">
        <v>28</v>
      </c>
      <c r="I211" s="6" t="s">
        <v>36</v>
      </c>
      <c r="J211" s="6" t="s">
        <v>37</v>
      </c>
      <c r="K211">
        <v>2</v>
      </c>
      <c r="M211" s="1" t="b">
        <f>Employee__2[[#This Row],[Experience]]&gt;1</f>
        <v>1</v>
      </c>
      <c r="N211" s="1" t="str">
        <f>IF(Employee__2[[#This Row],[City]]="Pune","Yes","No")</f>
        <v>No</v>
      </c>
      <c r="O211" s="1" t="str">
        <f>IF(AND(Employee__2[[#This Row],[Education]]="Bachelors",Employee__2[[#This Row],[City]]="Pune"),"Yes","No")</f>
        <v>No</v>
      </c>
      <c r="P211" s="1" t="str">
        <f>IF(OR(Employee__2[[#This Row],[Age]]&gt;=30,Employee__2[[#This Row],[Gender]]="Male"),"Mached","Not mached")</f>
        <v>Mached</v>
      </c>
    </row>
    <row r="212" spans="4:16" x14ac:dyDescent="0.25">
      <c r="D212" s="6" t="s">
        <v>34</v>
      </c>
      <c r="E212">
        <v>2012</v>
      </c>
      <c r="F212" s="6" t="s">
        <v>35</v>
      </c>
      <c r="G212">
        <v>3</v>
      </c>
      <c r="H212">
        <v>25</v>
      </c>
      <c r="I212" s="6" t="s">
        <v>36</v>
      </c>
      <c r="J212" s="6" t="s">
        <v>37</v>
      </c>
      <c r="K212">
        <v>3</v>
      </c>
      <c r="M212" s="1" t="b">
        <f>Employee__2[[#This Row],[Experience]]&gt;1</f>
        <v>1</v>
      </c>
      <c r="N212" s="1" t="str">
        <f>IF(Employee__2[[#This Row],[City]]="Pune","Yes","No")</f>
        <v>No</v>
      </c>
      <c r="O212" s="1" t="str">
        <f>IF(AND(Employee__2[[#This Row],[Education]]="Bachelors",Employee__2[[#This Row],[City]]="Pune"),"Yes","No")</f>
        <v>No</v>
      </c>
      <c r="P212" s="1" t="str">
        <f>IF(OR(Employee__2[[#This Row],[Age]]&gt;=30,Employee__2[[#This Row],[Gender]]="Male"),"Mached","Not mached")</f>
        <v>Mached</v>
      </c>
    </row>
    <row r="213" spans="4:16" x14ac:dyDescent="0.25">
      <c r="D213" s="6" t="s">
        <v>34</v>
      </c>
      <c r="E213">
        <v>2017</v>
      </c>
      <c r="F213" s="6" t="s">
        <v>35</v>
      </c>
      <c r="G213">
        <v>3</v>
      </c>
      <c r="H213">
        <v>27</v>
      </c>
      <c r="I213" s="6" t="s">
        <v>36</v>
      </c>
      <c r="J213" s="6" t="s">
        <v>37</v>
      </c>
      <c r="K213">
        <v>5</v>
      </c>
      <c r="M213" s="1" t="b">
        <f>Employee__2[[#This Row],[Experience]]&gt;1</f>
        <v>1</v>
      </c>
      <c r="N213" s="1" t="str">
        <f>IF(Employee__2[[#This Row],[City]]="Pune","Yes","No")</f>
        <v>No</v>
      </c>
      <c r="O213" s="1" t="str">
        <f>IF(AND(Employee__2[[#This Row],[Education]]="Bachelors",Employee__2[[#This Row],[City]]="Pune"),"Yes","No")</f>
        <v>No</v>
      </c>
      <c r="P213" s="1" t="str">
        <f>IF(OR(Employee__2[[#This Row],[Age]]&gt;=30,Employee__2[[#This Row],[Gender]]="Male"),"Mached","Not mached")</f>
        <v>Mached</v>
      </c>
    </row>
    <row r="214" spans="4:16" x14ac:dyDescent="0.25">
      <c r="D214" s="6" t="s">
        <v>41</v>
      </c>
      <c r="E214">
        <v>2017</v>
      </c>
      <c r="F214" s="6" t="s">
        <v>38</v>
      </c>
      <c r="G214">
        <v>2</v>
      </c>
      <c r="H214">
        <v>27</v>
      </c>
      <c r="I214" s="6" t="s">
        <v>39</v>
      </c>
      <c r="J214" s="6" t="s">
        <v>37</v>
      </c>
      <c r="K214">
        <v>5</v>
      </c>
      <c r="M214" s="1" t="b">
        <f>Employee__2[[#This Row],[Experience]]&gt;1</f>
        <v>1</v>
      </c>
      <c r="N214" s="1" t="str">
        <f>IF(Employee__2[[#This Row],[City]]="Pune","Yes","No")</f>
        <v>Yes</v>
      </c>
      <c r="O214" s="1" t="str">
        <f>IF(AND(Employee__2[[#This Row],[Education]]="Bachelors",Employee__2[[#This Row],[City]]="Pune"),"Yes","No")</f>
        <v>No</v>
      </c>
      <c r="P214" s="1" t="str">
        <f>IF(OR(Employee__2[[#This Row],[Age]]&gt;=30,Employee__2[[#This Row],[Gender]]="Male"),"Mached","Not mached")</f>
        <v>Not mached</v>
      </c>
    </row>
    <row r="215" spans="4:16" x14ac:dyDescent="0.25">
      <c r="D215" s="6" t="s">
        <v>41</v>
      </c>
      <c r="E215">
        <v>2013</v>
      </c>
      <c r="F215" s="6" t="s">
        <v>35</v>
      </c>
      <c r="G215">
        <v>2</v>
      </c>
      <c r="H215">
        <v>28</v>
      </c>
      <c r="I215" s="6" t="s">
        <v>39</v>
      </c>
      <c r="J215" s="6" t="s">
        <v>37</v>
      </c>
      <c r="K215">
        <v>2</v>
      </c>
      <c r="M215" s="1" t="b">
        <f>Employee__2[[#This Row],[Experience]]&gt;1</f>
        <v>1</v>
      </c>
      <c r="N215" s="1" t="str">
        <f>IF(Employee__2[[#This Row],[City]]="Pune","Yes","No")</f>
        <v>No</v>
      </c>
      <c r="O215" s="1" t="str">
        <f>IF(AND(Employee__2[[#This Row],[Education]]="Bachelors",Employee__2[[#This Row],[City]]="Pune"),"Yes","No")</f>
        <v>No</v>
      </c>
      <c r="P215" s="1" t="str">
        <f>IF(OR(Employee__2[[#This Row],[Age]]&gt;=30,Employee__2[[#This Row],[Gender]]="Male"),"Mached","Not mached")</f>
        <v>Not mached</v>
      </c>
    </row>
    <row r="216" spans="4:16" x14ac:dyDescent="0.25">
      <c r="D216" s="6" t="s">
        <v>41</v>
      </c>
      <c r="E216">
        <v>2017</v>
      </c>
      <c r="F216" s="6" t="s">
        <v>38</v>
      </c>
      <c r="G216">
        <v>3</v>
      </c>
      <c r="H216">
        <v>28</v>
      </c>
      <c r="I216" s="6" t="s">
        <v>36</v>
      </c>
      <c r="J216" s="6" t="s">
        <v>37</v>
      </c>
      <c r="K216">
        <v>1</v>
      </c>
      <c r="M216" s="1" t="b">
        <f>Employee__2[[#This Row],[Experience]]&gt;1</f>
        <v>0</v>
      </c>
      <c r="N216" s="1" t="str">
        <f>IF(Employee__2[[#This Row],[City]]="Pune","Yes","No")</f>
        <v>Yes</v>
      </c>
      <c r="O216" s="1" t="str">
        <f>IF(AND(Employee__2[[#This Row],[Education]]="Bachelors",Employee__2[[#This Row],[City]]="Pune"),"Yes","No")</f>
        <v>No</v>
      </c>
      <c r="P216" s="1" t="str">
        <f>IF(OR(Employee__2[[#This Row],[Age]]&gt;=30,Employee__2[[#This Row],[Gender]]="Male"),"Mached","Not mached")</f>
        <v>Mached</v>
      </c>
    </row>
    <row r="217" spans="4:16" x14ac:dyDescent="0.25">
      <c r="D217" s="6" t="s">
        <v>34</v>
      </c>
      <c r="E217">
        <v>2018</v>
      </c>
      <c r="F217" s="6" t="s">
        <v>35</v>
      </c>
      <c r="G217">
        <v>3</v>
      </c>
      <c r="H217">
        <v>27</v>
      </c>
      <c r="I217" s="6" t="s">
        <v>39</v>
      </c>
      <c r="J217" s="6" t="s">
        <v>37</v>
      </c>
      <c r="K217">
        <v>5</v>
      </c>
      <c r="M217" s="1" t="b">
        <f>Employee__2[[#This Row],[Experience]]&gt;1</f>
        <v>1</v>
      </c>
      <c r="N217" s="1" t="str">
        <f>IF(Employee__2[[#This Row],[City]]="Pune","Yes","No")</f>
        <v>No</v>
      </c>
      <c r="O217" s="1" t="str">
        <f>IF(AND(Employee__2[[#This Row],[Education]]="Bachelors",Employee__2[[#This Row],[City]]="Pune"),"Yes","No")</f>
        <v>No</v>
      </c>
      <c r="P217" s="1" t="str">
        <f>IF(OR(Employee__2[[#This Row],[Age]]&gt;=30,Employee__2[[#This Row],[Gender]]="Male"),"Mached","Not mached")</f>
        <v>Not mached</v>
      </c>
    </row>
    <row r="218" spans="4:16" x14ac:dyDescent="0.25">
      <c r="D218" s="6" t="s">
        <v>34</v>
      </c>
      <c r="E218">
        <v>2014</v>
      </c>
      <c r="F218" s="6" t="s">
        <v>40</v>
      </c>
      <c r="G218">
        <v>3</v>
      </c>
      <c r="H218">
        <v>25</v>
      </c>
      <c r="I218" s="6" t="s">
        <v>39</v>
      </c>
      <c r="J218" s="6" t="s">
        <v>37</v>
      </c>
      <c r="K218">
        <v>3</v>
      </c>
      <c r="M218" s="1" t="b">
        <f>Employee__2[[#This Row],[Experience]]&gt;1</f>
        <v>1</v>
      </c>
      <c r="N218" s="1" t="str">
        <f>IF(Employee__2[[#This Row],[City]]="Pune","Yes","No")</f>
        <v>No</v>
      </c>
      <c r="O218" s="1" t="str">
        <f>IF(AND(Employee__2[[#This Row],[Education]]="Bachelors",Employee__2[[#This Row],[City]]="Pune"),"Yes","No")</f>
        <v>No</v>
      </c>
      <c r="P218" s="1" t="str">
        <f>IF(OR(Employee__2[[#This Row],[Age]]&gt;=30,Employee__2[[#This Row],[Gender]]="Male"),"Mached","Not mached")</f>
        <v>Not mached</v>
      </c>
    </row>
    <row r="219" spans="4:16" x14ac:dyDescent="0.25">
      <c r="D219" s="6" t="s">
        <v>41</v>
      </c>
      <c r="E219">
        <v>2017</v>
      </c>
      <c r="F219" s="6" t="s">
        <v>40</v>
      </c>
      <c r="G219">
        <v>3</v>
      </c>
      <c r="H219">
        <v>27</v>
      </c>
      <c r="I219" s="6" t="s">
        <v>36</v>
      </c>
      <c r="J219" s="6" t="s">
        <v>37</v>
      </c>
      <c r="K219">
        <v>5</v>
      </c>
      <c r="M219" s="1" t="b">
        <f>Employee__2[[#This Row],[Experience]]&gt;1</f>
        <v>1</v>
      </c>
      <c r="N219" s="1" t="str">
        <f>IF(Employee__2[[#This Row],[City]]="Pune","Yes","No")</f>
        <v>No</v>
      </c>
      <c r="O219" s="1" t="str">
        <f>IF(AND(Employee__2[[#This Row],[Education]]="Bachelors",Employee__2[[#This Row],[City]]="Pune"),"Yes","No")</f>
        <v>No</v>
      </c>
      <c r="P219" s="1" t="str">
        <f>IF(OR(Employee__2[[#This Row],[Age]]&gt;=30,Employee__2[[#This Row],[Gender]]="Male"),"Mached","Not mached")</f>
        <v>Mached</v>
      </c>
    </row>
    <row r="220" spans="4:16" x14ac:dyDescent="0.25">
      <c r="D220" s="6" t="s">
        <v>41</v>
      </c>
      <c r="E220">
        <v>2013</v>
      </c>
      <c r="F220" s="6" t="s">
        <v>40</v>
      </c>
      <c r="G220">
        <v>3</v>
      </c>
      <c r="H220">
        <v>26</v>
      </c>
      <c r="I220" s="6" t="s">
        <v>36</v>
      </c>
      <c r="J220" s="6" t="s">
        <v>37</v>
      </c>
      <c r="K220">
        <v>4</v>
      </c>
      <c r="M220" s="1" t="b">
        <f>Employee__2[[#This Row],[Experience]]&gt;1</f>
        <v>1</v>
      </c>
      <c r="N220" s="1" t="str">
        <f>IF(Employee__2[[#This Row],[City]]="Pune","Yes","No")</f>
        <v>No</v>
      </c>
      <c r="O220" s="1" t="str">
        <f>IF(AND(Employee__2[[#This Row],[Education]]="Bachelors",Employee__2[[#This Row],[City]]="Pune"),"Yes","No")</f>
        <v>No</v>
      </c>
      <c r="P220" s="1" t="str">
        <f>IF(OR(Employee__2[[#This Row],[Age]]&gt;=30,Employee__2[[#This Row],[Gender]]="Male"),"Mached","Not mached")</f>
        <v>Mached</v>
      </c>
    </row>
    <row r="221" spans="4:16" x14ac:dyDescent="0.25">
      <c r="D221" s="6" t="s">
        <v>34</v>
      </c>
      <c r="E221">
        <v>2013</v>
      </c>
      <c r="F221" s="6" t="s">
        <v>38</v>
      </c>
      <c r="G221">
        <v>2</v>
      </c>
      <c r="H221">
        <v>25</v>
      </c>
      <c r="I221" s="6" t="s">
        <v>39</v>
      </c>
      <c r="J221" s="6" t="s">
        <v>37</v>
      </c>
      <c r="K221">
        <v>3</v>
      </c>
      <c r="M221" s="1" t="b">
        <f>Employee__2[[#This Row],[Experience]]&gt;1</f>
        <v>1</v>
      </c>
      <c r="N221" s="1" t="str">
        <f>IF(Employee__2[[#This Row],[City]]="Pune","Yes","No")</f>
        <v>Yes</v>
      </c>
      <c r="O221" s="1" t="str">
        <f>IF(AND(Employee__2[[#This Row],[Education]]="Bachelors",Employee__2[[#This Row],[City]]="Pune"),"Yes","No")</f>
        <v>Yes</v>
      </c>
      <c r="P221" s="1" t="str">
        <f>IF(OR(Employee__2[[#This Row],[Age]]&gt;=30,Employee__2[[#This Row],[Gender]]="Male"),"Mached","Not mached")</f>
        <v>Not mached</v>
      </c>
    </row>
    <row r="222" spans="4:16" x14ac:dyDescent="0.25">
      <c r="D222" s="6" t="s">
        <v>41</v>
      </c>
      <c r="E222">
        <v>2012</v>
      </c>
      <c r="F222" s="6" t="s">
        <v>40</v>
      </c>
      <c r="G222">
        <v>3</v>
      </c>
      <c r="H222">
        <v>26</v>
      </c>
      <c r="I222" s="6" t="s">
        <v>36</v>
      </c>
      <c r="J222" s="6" t="s">
        <v>37</v>
      </c>
      <c r="K222">
        <v>4</v>
      </c>
      <c r="M222" s="1" t="b">
        <f>Employee__2[[#This Row],[Experience]]&gt;1</f>
        <v>1</v>
      </c>
      <c r="N222" s="1" t="str">
        <f>IF(Employee__2[[#This Row],[City]]="Pune","Yes","No")</f>
        <v>No</v>
      </c>
      <c r="O222" s="1" t="str">
        <f>IF(AND(Employee__2[[#This Row],[Education]]="Bachelors",Employee__2[[#This Row],[City]]="Pune"),"Yes","No")</f>
        <v>No</v>
      </c>
      <c r="P222" s="1" t="str">
        <f>IF(OR(Employee__2[[#This Row],[Age]]&gt;=30,Employee__2[[#This Row],[Gender]]="Male"),"Mached","Not mached")</f>
        <v>Mached</v>
      </c>
    </row>
    <row r="223" spans="4:16" x14ac:dyDescent="0.25">
      <c r="D223" s="6" t="s">
        <v>34</v>
      </c>
      <c r="E223">
        <v>2016</v>
      </c>
      <c r="F223" s="6" t="s">
        <v>35</v>
      </c>
      <c r="G223">
        <v>3</v>
      </c>
      <c r="H223">
        <v>25</v>
      </c>
      <c r="I223" s="6" t="s">
        <v>36</v>
      </c>
      <c r="J223" s="6" t="s">
        <v>37</v>
      </c>
      <c r="K223">
        <v>3</v>
      </c>
      <c r="M223" s="1" t="b">
        <f>Employee__2[[#This Row],[Experience]]&gt;1</f>
        <v>1</v>
      </c>
      <c r="N223" s="1" t="str">
        <f>IF(Employee__2[[#This Row],[City]]="Pune","Yes","No")</f>
        <v>No</v>
      </c>
      <c r="O223" s="1" t="str">
        <f>IF(AND(Employee__2[[#This Row],[Education]]="Bachelors",Employee__2[[#This Row],[City]]="Pune"),"Yes","No")</f>
        <v>No</v>
      </c>
      <c r="P223" s="1" t="str">
        <f>IF(OR(Employee__2[[#This Row],[Age]]&gt;=30,Employee__2[[#This Row],[Gender]]="Male"),"Mached","Not mached")</f>
        <v>Mached</v>
      </c>
    </row>
    <row r="224" spans="4:16" x14ac:dyDescent="0.25">
      <c r="D224" s="6" t="s">
        <v>34</v>
      </c>
      <c r="E224">
        <v>2013</v>
      </c>
      <c r="F224" s="6" t="s">
        <v>38</v>
      </c>
      <c r="G224">
        <v>2</v>
      </c>
      <c r="H224">
        <v>26</v>
      </c>
      <c r="I224" s="6" t="s">
        <v>36</v>
      </c>
      <c r="J224" s="6" t="s">
        <v>37</v>
      </c>
      <c r="K224">
        <v>4</v>
      </c>
      <c r="M224" s="1" t="b">
        <f>Employee__2[[#This Row],[Experience]]&gt;1</f>
        <v>1</v>
      </c>
      <c r="N224" s="1" t="str">
        <f>IF(Employee__2[[#This Row],[City]]="Pune","Yes","No")</f>
        <v>Yes</v>
      </c>
      <c r="O224" s="1" t="str">
        <f>IF(AND(Employee__2[[#This Row],[Education]]="Bachelors",Employee__2[[#This Row],[City]]="Pune"),"Yes","No")</f>
        <v>Yes</v>
      </c>
      <c r="P224" s="1" t="str">
        <f>IF(OR(Employee__2[[#This Row],[Age]]&gt;=30,Employee__2[[#This Row],[Gender]]="Male"),"Mached","Not mached")</f>
        <v>Mached</v>
      </c>
    </row>
    <row r="225" spans="4:16" x14ac:dyDescent="0.25">
      <c r="D225" s="6" t="s">
        <v>34</v>
      </c>
      <c r="E225">
        <v>2018</v>
      </c>
      <c r="F225" s="6" t="s">
        <v>35</v>
      </c>
      <c r="G225">
        <v>3</v>
      </c>
      <c r="H225">
        <v>28</v>
      </c>
      <c r="I225" s="6" t="s">
        <v>39</v>
      </c>
      <c r="J225" s="6" t="s">
        <v>37</v>
      </c>
      <c r="K225">
        <v>2</v>
      </c>
      <c r="M225" s="1" t="b">
        <f>Employee__2[[#This Row],[Experience]]&gt;1</f>
        <v>1</v>
      </c>
      <c r="N225" s="1" t="str">
        <f>IF(Employee__2[[#This Row],[City]]="Pune","Yes","No")</f>
        <v>No</v>
      </c>
      <c r="O225" s="1" t="str">
        <f>IF(AND(Employee__2[[#This Row],[Education]]="Bachelors",Employee__2[[#This Row],[City]]="Pune"),"Yes","No")</f>
        <v>No</v>
      </c>
      <c r="P225" s="1" t="str">
        <f>IF(OR(Employee__2[[#This Row],[Age]]&gt;=30,Employee__2[[#This Row],[Gender]]="Male"),"Mached","Not mached")</f>
        <v>Not mached</v>
      </c>
    </row>
    <row r="226" spans="4:16" x14ac:dyDescent="0.25">
      <c r="D226" s="6" t="s">
        <v>34</v>
      </c>
      <c r="E226">
        <v>2013</v>
      </c>
      <c r="F226" s="6" t="s">
        <v>35</v>
      </c>
      <c r="G226">
        <v>3</v>
      </c>
      <c r="H226">
        <v>27</v>
      </c>
      <c r="I226" s="6" t="s">
        <v>36</v>
      </c>
      <c r="J226" s="6" t="s">
        <v>37</v>
      </c>
      <c r="K226">
        <v>5</v>
      </c>
      <c r="M226" s="1" t="b">
        <f>Employee__2[[#This Row],[Experience]]&gt;1</f>
        <v>1</v>
      </c>
      <c r="N226" s="1" t="str">
        <f>IF(Employee__2[[#This Row],[City]]="Pune","Yes","No")</f>
        <v>No</v>
      </c>
      <c r="O226" s="1" t="str">
        <f>IF(AND(Employee__2[[#This Row],[Education]]="Bachelors",Employee__2[[#This Row],[City]]="Pune"),"Yes","No")</f>
        <v>No</v>
      </c>
      <c r="P226" s="1" t="str">
        <f>IF(OR(Employee__2[[#This Row],[Age]]&gt;=30,Employee__2[[#This Row],[Gender]]="Male"),"Mached","Not mached")</f>
        <v>Mached</v>
      </c>
    </row>
    <row r="227" spans="4:16" x14ac:dyDescent="0.25">
      <c r="D227" s="6" t="s">
        <v>34</v>
      </c>
      <c r="E227">
        <v>2015</v>
      </c>
      <c r="F227" s="6" t="s">
        <v>38</v>
      </c>
      <c r="G227">
        <v>1</v>
      </c>
      <c r="H227">
        <v>24</v>
      </c>
      <c r="I227" s="6" t="s">
        <v>39</v>
      </c>
      <c r="J227" s="6" t="s">
        <v>42</v>
      </c>
      <c r="K227">
        <v>2</v>
      </c>
      <c r="M227" s="1" t="b">
        <f>Employee__2[[#This Row],[Experience]]&gt;1</f>
        <v>1</v>
      </c>
      <c r="N227" s="1" t="str">
        <f>IF(Employee__2[[#This Row],[City]]="Pune","Yes","No")</f>
        <v>Yes</v>
      </c>
      <c r="O227" s="1" t="str">
        <f>IF(AND(Employee__2[[#This Row],[Education]]="Bachelors",Employee__2[[#This Row],[City]]="Pune"),"Yes","No")</f>
        <v>Yes</v>
      </c>
      <c r="P227" s="1" t="str">
        <f>IF(OR(Employee__2[[#This Row],[Age]]&gt;=30,Employee__2[[#This Row],[Gender]]="Male"),"Mached","Not mached")</f>
        <v>Not mached</v>
      </c>
    </row>
    <row r="228" spans="4:16" x14ac:dyDescent="0.25">
      <c r="D228" s="6" t="s">
        <v>34</v>
      </c>
      <c r="E228">
        <v>2013</v>
      </c>
      <c r="F228" s="6" t="s">
        <v>38</v>
      </c>
      <c r="G228">
        <v>3</v>
      </c>
      <c r="H228">
        <v>28</v>
      </c>
      <c r="I228" s="6" t="s">
        <v>36</v>
      </c>
      <c r="J228" s="6" t="s">
        <v>37</v>
      </c>
      <c r="K228">
        <v>2</v>
      </c>
      <c r="M228" s="1" t="b">
        <f>Employee__2[[#This Row],[Experience]]&gt;1</f>
        <v>1</v>
      </c>
      <c r="N228" s="1" t="str">
        <f>IF(Employee__2[[#This Row],[City]]="Pune","Yes","No")</f>
        <v>Yes</v>
      </c>
      <c r="O228" s="1" t="str">
        <f>IF(AND(Employee__2[[#This Row],[Education]]="Bachelors",Employee__2[[#This Row],[City]]="Pune"),"Yes","No")</f>
        <v>Yes</v>
      </c>
      <c r="P228" s="1" t="str">
        <f>IF(OR(Employee__2[[#This Row],[Age]]&gt;=30,Employee__2[[#This Row],[Gender]]="Male"),"Mached","Not mached")</f>
        <v>Mached</v>
      </c>
    </row>
    <row r="229" spans="4:16" x14ac:dyDescent="0.25">
      <c r="D229" s="6" t="s">
        <v>34</v>
      </c>
      <c r="E229">
        <v>2015</v>
      </c>
      <c r="F229" s="6" t="s">
        <v>38</v>
      </c>
      <c r="G229">
        <v>2</v>
      </c>
      <c r="H229">
        <v>27</v>
      </c>
      <c r="I229" s="6" t="s">
        <v>39</v>
      </c>
      <c r="J229" s="6" t="s">
        <v>42</v>
      </c>
      <c r="K229">
        <v>5</v>
      </c>
      <c r="M229" s="1" t="b">
        <f>Employee__2[[#This Row],[Experience]]&gt;1</f>
        <v>1</v>
      </c>
      <c r="N229" s="1" t="str">
        <f>IF(Employee__2[[#This Row],[City]]="Pune","Yes","No")</f>
        <v>Yes</v>
      </c>
      <c r="O229" s="1" t="str">
        <f>IF(AND(Employee__2[[#This Row],[Education]]="Bachelors",Employee__2[[#This Row],[City]]="Pune"),"Yes","No")</f>
        <v>Yes</v>
      </c>
      <c r="P229" s="1" t="str">
        <f>IF(OR(Employee__2[[#This Row],[Age]]&gt;=30,Employee__2[[#This Row],[Gender]]="Male"),"Mached","Not mached")</f>
        <v>Not mached</v>
      </c>
    </row>
    <row r="230" spans="4:16" x14ac:dyDescent="0.25">
      <c r="D230" s="6" t="s">
        <v>34</v>
      </c>
      <c r="E230">
        <v>2018</v>
      </c>
      <c r="F230" s="6" t="s">
        <v>35</v>
      </c>
      <c r="G230">
        <v>3</v>
      </c>
      <c r="H230">
        <v>25</v>
      </c>
      <c r="I230" s="6" t="s">
        <v>36</v>
      </c>
      <c r="J230" s="6" t="s">
        <v>37</v>
      </c>
      <c r="K230">
        <v>3</v>
      </c>
      <c r="M230" s="1" t="b">
        <f>Employee__2[[#This Row],[Experience]]&gt;1</f>
        <v>1</v>
      </c>
      <c r="N230" s="1" t="str">
        <f>IF(Employee__2[[#This Row],[City]]="Pune","Yes","No")</f>
        <v>No</v>
      </c>
      <c r="O230" s="1" t="str">
        <f>IF(AND(Employee__2[[#This Row],[Education]]="Bachelors",Employee__2[[#This Row],[City]]="Pune"),"Yes","No")</f>
        <v>No</v>
      </c>
      <c r="P230" s="1" t="str">
        <f>IF(OR(Employee__2[[#This Row],[Age]]&gt;=30,Employee__2[[#This Row],[Gender]]="Male"),"Mached","Not mached")</f>
        <v>Mached</v>
      </c>
    </row>
    <row r="231" spans="4:16" x14ac:dyDescent="0.25">
      <c r="D231" s="6" t="s">
        <v>34</v>
      </c>
      <c r="E231">
        <v>2014</v>
      </c>
      <c r="F231" s="6" t="s">
        <v>38</v>
      </c>
      <c r="G231">
        <v>2</v>
      </c>
      <c r="H231">
        <v>27</v>
      </c>
      <c r="I231" s="6" t="s">
        <v>39</v>
      </c>
      <c r="J231" s="6" t="s">
        <v>37</v>
      </c>
      <c r="K231">
        <v>5</v>
      </c>
      <c r="M231" s="1" t="b">
        <f>Employee__2[[#This Row],[Experience]]&gt;1</f>
        <v>1</v>
      </c>
      <c r="N231" s="1" t="str">
        <f>IF(Employee__2[[#This Row],[City]]="Pune","Yes","No")</f>
        <v>Yes</v>
      </c>
      <c r="O231" s="1" t="str">
        <f>IF(AND(Employee__2[[#This Row],[Education]]="Bachelors",Employee__2[[#This Row],[City]]="Pune"),"Yes","No")</f>
        <v>Yes</v>
      </c>
      <c r="P231" s="1" t="str">
        <f>IF(OR(Employee__2[[#This Row],[Age]]&gt;=30,Employee__2[[#This Row],[Gender]]="Male"),"Mached","Not mached")</f>
        <v>Not mached</v>
      </c>
    </row>
    <row r="232" spans="4:16" x14ac:dyDescent="0.25">
      <c r="D232" s="6" t="s">
        <v>34</v>
      </c>
      <c r="E232">
        <v>2013</v>
      </c>
      <c r="F232" s="6" t="s">
        <v>38</v>
      </c>
      <c r="G232">
        <v>3</v>
      </c>
      <c r="H232">
        <v>24</v>
      </c>
      <c r="I232" s="6" t="s">
        <v>36</v>
      </c>
      <c r="J232" s="6" t="s">
        <v>37</v>
      </c>
      <c r="K232">
        <v>2</v>
      </c>
      <c r="M232" s="1" t="b">
        <f>Employee__2[[#This Row],[Experience]]&gt;1</f>
        <v>1</v>
      </c>
      <c r="N232" s="1" t="str">
        <f>IF(Employee__2[[#This Row],[City]]="Pune","Yes","No")</f>
        <v>Yes</v>
      </c>
      <c r="O232" s="1" t="str">
        <f>IF(AND(Employee__2[[#This Row],[Education]]="Bachelors",Employee__2[[#This Row],[City]]="Pune"),"Yes","No")</f>
        <v>Yes</v>
      </c>
      <c r="P232" s="1" t="str">
        <f>IF(OR(Employee__2[[#This Row],[Age]]&gt;=30,Employee__2[[#This Row],[Gender]]="Male"),"Mached","Not mached")</f>
        <v>Mached</v>
      </c>
    </row>
    <row r="233" spans="4:16" x14ac:dyDescent="0.25">
      <c r="D233" s="6" t="s">
        <v>34</v>
      </c>
      <c r="E233">
        <v>2014</v>
      </c>
      <c r="F233" s="6" t="s">
        <v>38</v>
      </c>
      <c r="G233">
        <v>3</v>
      </c>
      <c r="H233">
        <v>24</v>
      </c>
      <c r="I233" s="6" t="s">
        <v>36</v>
      </c>
      <c r="J233" s="6" t="s">
        <v>37</v>
      </c>
      <c r="K233">
        <v>2</v>
      </c>
      <c r="M233" s="1" t="b">
        <f>Employee__2[[#This Row],[Experience]]&gt;1</f>
        <v>1</v>
      </c>
      <c r="N233" s="1" t="str">
        <f>IF(Employee__2[[#This Row],[City]]="Pune","Yes","No")</f>
        <v>Yes</v>
      </c>
      <c r="O233" s="1" t="str">
        <f>IF(AND(Employee__2[[#This Row],[Education]]="Bachelors",Employee__2[[#This Row],[City]]="Pune"),"Yes","No")</f>
        <v>Yes</v>
      </c>
      <c r="P233" s="1" t="str">
        <f>IF(OR(Employee__2[[#This Row],[Age]]&gt;=30,Employee__2[[#This Row],[Gender]]="Male"),"Mached","Not mached")</f>
        <v>Mached</v>
      </c>
    </row>
    <row r="234" spans="4:16" x14ac:dyDescent="0.25">
      <c r="D234" s="6" t="s">
        <v>43</v>
      </c>
      <c r="E234">
        <v>2015</v>
      </c>
      <c r="F234" s="6" t="s">
        <v>40</v>
      </c>
      <c r="G234">
        <v>2</v>
      </c>
      <c r="H234">
        <v>25</v>
      </c>
      <c r="I234" s="6" t="s">
        <v>39</v>
      </c>
      <c r="J234" s="6" t="s">
        <v>37</v>
      </c>
      <c r="K234">
        <v>3</v>
      </c>
      <c r="M234" s="1" t="b">
        <f>Employee__2[[#This Row],[Experience]]&gt;1</f>
        <v>1</v>
      </c>
      <c r="N234" s="1" t="str">
        <f>IF(Employee__2[[#This Row],[City]]="Pune","Yes","No")</f>
        <v>No</v>
      </c>
      <c r="O234" s="1" t="str">
        <f>IF(AND(Employee__2[[#This Row],[Education]]="Bachelors",Employee__2[[#This Row],[City]]="Pune"),"Yes","No")</f>
        <v>No</v>
      </c>
      <c r="P234" s="1" t="str">
        <f>IF(OR(Employee__2[[#This Row],[Age]]&gt;=30,Employee__2[[#This Row],[Gender]]="Male"),"Mached","Not mached")</f>
        <v>Not mached</v>
      </c>
    </row>
    <row r="235" spans="4:16" x14ac:dyDescent="0.25">
      <c r="D235" s="6" t="s">
        <v>34</v>
      </c>
      <c r="E235">
        <v>2014</v>
      </c>
      <c r="F235" s="6" t="s">
        <v>35</v>
      </c>
      <c r="G235">
        <v>3</v>
      </c>
      <c r="H235">
        <v>26</v>
      </c>
      <c r="I235" s="6" t="s">
        <v>36</v>
      </c>
      <c r="J235" s="6" t="s">
        <v>42</v>
      </c>
      <c r="K235">
        <v>4</v>
      </c>
      <c r="M235" s="1" t="b">
        <f>Employee__2[[#This Row],[Experience]]&gt;1</f>
        <v>1</v>
      </c>
      <c r="N235" s="1" t="str">
        <f>IF(Employee__2[[#This Row],[City]]="Pune","Yes","No")</f>
        <v>No</v>
      </c>
      <c r="O235" s="1" t="str">
        <f>IF(AND(Employee__2[[#This Row],[Education]]="Bachelors",Employee__2[[#This Row],[City]]="Pune"),"Yes","No")</f>
        <v>No</v>
      </c>
      <c r="P235" s="1" t="str">
        <f>IF(OR(Employee__2[[#This Row],[Age]]&gt;=30,Employee__2[[#This Row],[Gender]]="Male"),"Mached","Not mached")</f>
        <v>Mached</v>
      </c>
    </row>
    <row r="236" spans="4:16" x14ac:dyDescent="0.25">
      <c r="D236" s="6" t="s">
        <v>34</v>
      </c>
      <c r="E236">
        <v>2018</v>
      </c>
      <c r="F236" s="6" t="s">
        <v>35</v>
      </c>
      <c r="G236">
        <v>3</v>
      </c>
      <c r="H236">
        <v>24</v>
      </c>
      <c r="I236" s="6" t="s">
        <v>36</v>
      </c>
      <c r="J236" s="6" t="s">
        <v>37</v>
      </c>
      <c r="K236">
        <v>2</v>
      </c>
      <c r="M236" s="1" t="b">
        <f>Employee__2[[#This Row],[Experience]]&gt;1</f>
        <v>1</v>
      </c>
      <c r="N236" s="1" t="str">
        <f>IF(Employee__2[[#This Row],[City]]="Pune","Yes","No")</f>
        <v>No</v>
      </c>
      <c r="O236" s="1" t="str">
        <f>IF(AND(Employee__2[[#This Row],[Education]]="Bachelors",Employee__2[[#This Row],[City]]="Pune"),"Yes","No")</f>
        <v>No</v>
      </c>
      <c r="P236" s="1" t="str">
        <f>IF(OR(Employee__2[[#This Row],[Age]]&gt;=30,Employee__2[[#This Row],[Gender]]="Male"),"Mached","Not mached")</f>
        <v>Mached</v>
      </c>
    </row>
    <row r="237" spans="4:16" x14ac:dyDescent="0.25">
      <c r="D237" s="6" t="s">
        <v>41</v>
      </c>
      <c r="E237">
        <v>2015</v>
      </c>
      <c r="F237" s="6" t="s">
        <v>38</v>
      </c>
      <c r="G237">
        <v>2</v>
      </c>
      <c r="H237">
        <v>25</v>
      </c>
      <c r="I237" s="6" t="s">
        <v>39</v>
      </c>
      <c r="J237" s="6" t="s">
        <v>37</v>
      </c>
      <c r="K237">
        <v>3</v>
      </c>
      <c r="M237" s="1" t="b">
        <f>Employee__2[[#This Row],[Experience]]&gt;1</f>
        <v>1</v>
      </c>
      <c r="N237" s="1" t="str">
        <f>IF(Employee__2[[#This Row],[City]]="Pune","Yes","No")</f>
        <v>Yes</v>
      </c>
      <c r="O237" s="1" t="str">
        <f>IF(AND(Employee__2[[#This Row],[Education]]="Bachelors",Employee__2[[#This Row],[City]]="Pune"),"Yes","No")</f>
        <v>No</v>
      </c>
      <c r="P237" s="1" t="str">
        <f>IF(OR(Employee__2[[#This Row],[Age]]&gt;=30,Employee__2[[#This Row],[Gender]]="Male"),"Mached","Not mached")</f>
        <v>Not mached</v>
      </c>
    </row>
    <row r="238" spans="4:16" x14ac:dyDescent="0.25">
      <c r="D238" s="6" t="s">
        <v>34</v>
      </c>
      <c r="E238">
        <v>2015</v>
      </c>
      <c r="F238" s="6" t="s">
        <v>35</v>
      </c>
      <c r="G238">
        <v>3</v>
      </c>
      <c r="H238">
        <v>24</v>
      </c>
      <c r="I238" s="6" t="s">
        <v>36</v>
      </c>
      <c r="J238" s="6" t="s">
        <v>37</v>
      </c>
      <c r="K238">
        <v>2</v>
      </c>
      <c r="M238" s="1" t="b">
        <f>Employee__2[[#This Row],[Experience]]&gt;1</f>
        <v>1</v>
      </c>
      <c r="N238" s="1" t="str">
        <f>IF(Employee__2[[#This Row],[City]]="Pune","Yes","No")</f>
        <v>No</v>
      </c>
      <c r="O238" s="1" t="str">
        <f>IF(AND(Employee__2[[#This Row],[Education]]="Bachelors",Employee__2[[#This Row],[City]]="Pune"),"Yes","No")</f>
        <v>No</v>
      </c>
      <c r="P238" s="1" t="str">
        <f>IF(OR(Employee__2[[#This Row],[Age]]&gt;=30,Employee__2[[#This Row],[Gender]]="Male"),"Mached","Not mached")</f>
        <v>Mached</v>
      </c>
    </row>
    <row r="239" spans="4:16" x14ac:dyDescent="0.25">
      <c r="D239" s="6" t="s">
        <v>34</v>
      </c>
      <c r="E239">
        <v>2014</v>
      </c>
      <c r="F239" s="6" t="s">
        <v>40</v>
      </c>
      <c r="G239">
        <v>3</v>
      </c>
      <c r="H239">
        <v>24</v>
      </c>
      <c r="I239" s="6" t="s">
        <v>39</v>
      </c>
      <c r="J239" s="6" t="s">
        <v>37</v>
      </c>
      <c r="K239">
        <v>2</v>
      </c>
      <c r="M239" s="1" t="b">
        <f>Employee__2[[#This Row],[Experience]]&gt;1</f>
        <v>1</v>
      </c>
      <c r="N239" s="1" t="str">
        <f>IF(Employee__2[[#This Row],[City]]="Pune","Yes","No")</f>
        <v>No</v>
      </c>
      <c r="O239" s="1" t="str">
        <f>IF(AND(Employee__2[[#This Row],[Education]]="Bachelors",Employee__2[[#This Row],[City]]="Pune"),"Yes","No")</f>
        <v>No</v>
      </c>
      <c r="P239" s="1" t="str">
        <f>IF(OR(Employee__2[[#This Row],[Age]]&gt;=30,Employee__2[[#This Row],[Gender]]="Male"),"Mached","Not mached")</f>
        <v>Not mached</v>
      </c>
    </row>
    <row r="240" spans="4:16" x14ac:dyDescent="0.25">
      <c r="D240" s="6" t="s">
        <v>41</v>
      </c>
      <c r="E240">
        <v>2017</v>
      </c>
      <c r="F240" s="6" t="s">
        <v>35</v>
      </c>
      <c r="G240">
        <v>2</v>
      </c>
      <c r="H240">
        <v>26</v>
      </c>
      <c r="I240" s="6" t="s">
        <v>39</v>
      </c>
      <c r="J240" s="6" t="s">
        <v>37</v>
      </c>
      <c r="K240">
        <v>4</v>
      </c>
      <c r="M240" s="1" t="b">
        <f>Employee__2[[#This Row],[Experience]]&gt;1</f>
        <v>1</v>
      </c>
      <c r="N240" s="1" t="str">
        <f>IF(Employee__2[[#This Row],[City]]="Pune","Yes","No")</f>
        <v>No</v>
      </c>
      <c r="O240" s="1" t="str">
        <f>IF(AND(Employee__2[[#This Row],[Education]]="Bachelors",Employee__2[[#This Row],[City]]="Pune"),"Yes","No")</f>
        <v>No</v>
      </c>
      <c r="P240" s="1" t="str">
        <f>IF(OR(Employee__2[[#This Row],[Age]]&gt;=30,Employee__2[[#This Row],[Gender]]="Male"),"Mached","Not mached")</f>
        <v>Not mached</v>
      </c>
    </row>
    <row r="241" spans="4:16" x14ac:dyDescent="0.25">
      <c r="D241" s="6" t="s">
        <v>34</v>
      </c>
      <c r="E241">
        <v>2012</v>
      </c>
      <c r="F241" s="6" t="s">
        <v>40</v>
      </c>
      <c r="G241">
        <v>3</v>
      </c>
      <c r="H241">
        <v>28</v>
      </c>
      <c r="I241" s="6" t="s">
        <v>36</v>
      </c>
      <c r="J241" s="6" t="s">
        <v>37</v>
      </c>
      <c r="K241">
        <v>1</v>
      </c>
      <c r="M241" s="1" t="b">
        <f>Employee__2[[#This Row],[Experience]]&gt;1</f>
        <v>0</v>
      </c>
      <c r="N241" s="1" t="str">
        <f>IF(Employee__2[[#This Row],[City]]="Pune","Yes","No")</f>
        <v>No</v>
      </c>
      <c r="O241" s="1" t="str">
        <f>IF(AND(Employee__2[[#This Row],[Education]]="Bachelors",Employee__2[[#This Row],[City]]="Pune"),"Yes","No")</f>
        <v>No</v>
      </c>
      <c r="P241" s="1" t="str">
        <f>IF(OR(Employee__2[[#This Row],[Age]]&gt;=30,Employee__2[[#This Row],[Gender]]="Male"),"Mached","Not mached")</f>
        <v>Mached</v>
      </c>
    </row>
    <row r="242" spans="4:16" x14ac:dyDescent="0.25">
      <c r="D242" s="6" t="s">
        <v>41</v>
      </c>
      <c r="E242">
        <v>2017</v>
      </c>
      <c r="F242" s="6" t="s">
        <v>38</v>
      </c>
      <c r="G242">
        <v>2</v>
      </c>
      <c r="H242">
        <v>26</v>
      </c>
      <c r="I242" s="6" t="s">
        <v>39</v>
      </c>
      <c r="J242" s="6" t="s">
        <v>37</v>
      </c>
      <c r="K242">
        <v>4</v>
      </c>
      <c r="M242" s="1" t="b">
        <f>Employee__2[[#This Row],[Experience]]&gt;1</f>
        <v>1</v>
      </c>
      <c r="N242" s="1" t="str">
        <f>IF(Employee__2[[#This Row],[City]]="Pune","Yes","No")</f>
        <v>Yes</v>
      </c>
      <c r="O242" s="1" t="str">
        <f>IF(AND(Employee__2[[#This Row],[Education]]="Bachelors",Employee__2[[#This Row],[City]]="Pune"),"Yes","No")</f>
        <v>No</v>
      </c>
      <c r="P242" s="1" t="str">
        <f>IF(OR(Employee__2[[#This Row],[Age]]&gt;=30,Employee__2[[#This Row],[Gender]]="Male"),"Mached","Not mached")</f>
        <v>Not mached</v>
      </c>
    </row>
    <row r="243" spans="4:16" x14ac:dyDescent="0.25">
      <c r="D243" s="6" t="s">
        <v>34</v>
      </c>
      <c r="E243">
        <v>2016</v>
      </c>
      <c r="F243" s="6" t="s">
        <v>38</v>
      </c>
      <c r="G243">
        <v>3</v>
      </c>
      <c r="H243">
        <v>25</v>
      </c>
      <c r="I243" s="6" t="s">
        <v>36</v>
      </c>
      <c r="J243" s="6" t="s">
        <v>37</v>
      </c>
      <c r="K243">
        <v>3</v>
      </c>
      <c r="M243" s="1" t="b">
        <f>Employee__2[[#This Row],[Experience]]&gt;1</f>
        <v>1</v>
      </c>
      <c r="N243" s="1" t="str">
        <f>IF(Employee__2[[#This Row],[City]]="Pune","Yes","No")</f>
        <v>Yes</v>
      </c>
      <c r="O243" s="1" t="str">
        <f>IF(AND(Employee__2[[#This Row],[Education]]="Bachelors",Employee__2[[#This Row],[City]]="Pune"),"Yes","No")</f>
        <v>Yes</v>
      </c>
      <c r="P243" s="1" t="str">
        <f>IF(OR(Employee__2[[#This Row],[Age]]&gt;=30,Employee__2[[#This Row],[Gender]]="Male"),"Mached","Not mached")</f>
        <v>Mached</v>
      </c>
    </row>
    <row r="244" spans="4:16" x14ac:dyDescent="0.25">
      <c r="D244" s="6" t="s">
        <v>34</v>
      </c>
      <c r="E244">
        <v>2017</v>
      </c>
      <c r="F244" s="6" t="s">
        <v>40</v>
      </c>
      <c r="G244">
        <v>3</v>
      </c>
      <c r="H244">
        <v>24</v>
      </c>
      <c r="I244" s="6" t="s">
        <v>36</v>
      </c>
      <c r="J244" s="6" t="s">
        <v>37</v>
      </c>
      <c r="K244">
        <v>2</v>
      </c>
      <c r="M244" s="1" t="b">
        <f>Employee__2[[#This Row],[Experience]]&gt;1</f>
        <v>1</v>
      </c>
      <c r="N244" s="1" t="str">
        <f>IF(Employee__2[[#This Row],[City]]="Pune","Yes","No")</f>
        <v>No</v>
      </c>
      <c r="O244" s="1" t="str">
        <f>IF(AND(Employee__2[[#This Row],[Education]]="Bachelors",Employee__2[[#This Row],[City]]="Pune"),"Yes","No")</f>
        <v>No</v>
      </c>
      <c r="P244" s="1" t="str">
        <f>IF(OR(Employee__2[[#This Row],[Age]]&gt;=30,Employee__2[[#This Row],[Gender]]="Male"),"Mached","Not mached")</f>
        <v>Mached</v>
      </c>
    </row>
    <row r="245" spans="4:16" x14ac:dyDescent="0.25">
      <c r="D245" s="6" t="s">
        <v>34</v>
      </c>
      <c r="E245">
        <v>2013</v>
      </c>
      <c r="F245" s="6" t="s">
        <v>38</v>
      </c>
      <c r="G245">
        <v>2</v>
      </c>
      <c r="H245">
        <v>28</v>
      </c>
      <c r="I245" s="6" t="s">
        <v>39</v>
      </c>
      <c r="J245" s="6" t="s">
        <v>37</v>
      </c>
      <c r="K245">
        <v>3</v>
      </c>
      <c r="M245" s="1" t="b">
        <f>Employee__2[[#This Row],[Experience]]&gt;1</f>
        <v>1</v>
      </c>
      <c r="N245" s="1" t="str">
        <f>IF(Employee__2[[#This Row],[City]]="Pune","Yes","No")</f>
        <v>Yes</v>
      </c>
      <c r="O245" s="1" t="str">
        <f>IF(AND(Employee__2[[#This Row],[Education]]="Bachelors",Employee__2[[#This Row],[City]]="Pune"),"Yes","No")</f>
        <v>Yes</v>
      </c>
      <c r="P245" s="1" t="str">
        <f>IF(OR(Employee__2[[#This Row],[Age]]&gt;=30,Employee__2[[#This Row],[Gender]]="Male"),"Mached","Not mached")</f>
        <v>Not mached</v>
      </c>
    </row>
    <row r="246" spans="4:16" x14ac:dyDescent="0.25">
      <c r="D246" s="6" t="s">
        <v>34</v>
      </c>
      <c r="E246">
        <v>2014</v>
      </c>
      <c r="F246" s="6" t="s">
        <v>35</v>
      </c>
      <c r="G246">
        <v>3</v>
      </c>
      <c r="H246">
        <v>25</v>
      </c>
      <c r="I246" s="6" t="s">
        <v>39</v>
      </c>
      <c r="J246" s="6" t="s">
        <v>37</v>
      </c>
      <c r="K246">
        <v>3</v>
      </c>
      <c r="M246" s="1" t="b">
        <f>Employee__2[[#This Row],[Experience]]&gt;1</f>
        <v>1</v>
      </c>
      <c r="N246" s="1" t="str">
        <f>IF(Employee__2[[#This Row],[City]]="Pune","Yes","No")</f>
        <v>No</v>
      </c>
      <c r="O246" s="1" t="str">
        <f>IF(AND(Employee__2[[#This Row],[Education]]="Bachelors",Employee__2[[#This Row],[City]]="Pune"),"Yes","No")</f>
        <v>No</v>
      </c>
      <c r="P246" s="1" t="str">
        <f>IF(OR(Employee__2[[#This Row],[Age]]&gt;=30,Employee__2[[#This Row],[Gender]]="Male"),"Mached","Not mached")</f>
        <v>Not mached</v>
      </c>
    </row>
    <row r="247" spans="4:16" x14ac:dyDescent="0.25">
      <c r="D247" s="6" t="s">
        <v>34</v>
      </c>
      <c r="E247">
        <v>2014</v>
      </c>
      <c r="F247" s="6" t="s">
        <v>35</v>
      </c>
      <c r="G247">
        <v>3</v>
      </c>
      <c r="H247">
        <v>25</v>
      </c>
      <c r="I247" s="6" t="s">
        <v>36</v>
      </c>
      <c r="J247" s="6" t="s">
        <v>37</v>
      </c>
      <c r="K247">
        <v>3</v>
      </c>
      <c r="M247" s="1" t="b">
        <f>Employee__2[[#This Row],[Experience]]&gt;1</f>
        <v>1</v>
      </c>
      <c r="N247" s="1" t="str">
        <f>IF(Employee__2[[#This Row],[City]]="Pune","Yes","No")</f>
        <v>No</v>
      </c>
      <c r="O247" s="1" t="str">
        <f>IF(AND(Employee__2[[#This Row],[Education]]="Bachelors",Employee__2[[#This Row],[City]]="Pune"),"Yes","No")</f>
        <v>No</v>
      </c>
      <c r="P247" s="1" t="str">
        <f>IF(OR(Employee__2[[#This Row],[Age]]&gt;=30,Employee__2[[#This Row],[Gender]]="Male"),"Mached","Not mached")</f>
        <v>Mached</v>
      </c>
    </row>
    <row r="248" spans="4:16" x14ac:dyDescent="0.25">
      <c r="D248" s="6" t="s">
        <v>34</v>
      </c>
      <c r="E248">
        <v>2014</v>
      </c>
      <c r="F248" s="6" t="s">
        <v>38</v>
      </c>
      <c r="G248">
        <v>2</v>
      </c>
      <c r="H248">
        <v>24</v>
      </c>
      <c r="I248" s="6" t="s">
        <v>39</v>
      </c>
      <c r="J248" s="6" t="s">
        <v>37</v>
      </c>
      <c r="K248">
        <v>2</v>
      </c>
      <c r="M248" s="1" t="b">
        <f>Employee__2[[#This Row],[Experience]]&gt;1</f>
        <v>1</v>
      </c>
      <c r="N248" s="1" t="str">
        <f>IF(Employee__2[[#This Row],[City]]="Pune","Yes","No")</f>
        <v>Yes</v>
      </c>
      <c r="O248" s="1" t="str">
        <f>IF(AND(Employee__2[[#This Row],[Education]]="Bachelors",Employee__2[[#This Row],[City]]="Pune"),"Yes","No")</f>
        <v>Yes</v>
      </c>
      <c r="P248" s="1" t="str">
        <f>IF(OR(Employee__2[[#This Row],[Age]]&gt;=30,Employee__2[[#This Row],[Gender]]="Male"),"Mached","Not mached")</f>
        <v>Not mached</v>
      </c>
    </row>
    <row r="249" spans="4:16" x14ac:dyDescent="0.25">
      <c r="D249" s="6" t="s">
        <v>34</v>
      </c>
      <c r="E249">
        <v>2015</v>
      </c>
      <c r="F249" s="6" t="s">
        <v>35</v>
      </c>
      <c r="G249">
        <v>3</v>
      </c>
      <c r="H249">
        <v>28</v>
      </c>
      <c r="I249" s="6" t="s">
        <v>36</v>
      </c>
      <c r="J249" s="6" t="s">
        <v>37</v>
      </c>
      <c r="K249">
        <v>2</v>
      </c>
      <c r="M249" s="1" t="b">
        <f>Employee__2[[#This Row],[Experience]]&gt;1</f>
        <v>1</v>
      </c>
      <c r="N249" s="1" t="str">
        <f>IF(Employee__2[[#This Row],[City]]="Pune","Yes","No")</f>
        <v>No</v>
      </c>
      <c r="O249" s="1" t="str">
        <f>IF(AND(Employee__2[[#This Row],[Education]]="Bachelors",Employee__2[[#This Row],[City]]="Pune"),"Yes","No")</f>
        <v>No</v>
      </c>
      <c r="P249" s="1" t="str">
        <f>IF(OR(Employee__2[[#This Row],[Age]]&gt;=30,Employee__2[[#This Row],[Gender]]="Male"),"Mached","Not mached")</f>
        <v>Mached</v>
      </c>
    </row>
    <row r="250" spans="4:16" x14ac:dyDescent="0.25">
      <c r="D250" s="6" t="s">
        <v>34</v>
      </c>
      <c r="E250">
        <v>2015</v>
      </c>
      <c r="F250" s="6" t="s">
        <v>35</v>
      </c>
      <c r="G250">
        <v>3</v>
      </c>
      <c r="H250">
        <v>27</v>
      </c>
      <c r="I250" s="6" t="s">
        <v>36</v>
      </c>
      <c r="J250" s="6" t="s">
        <v>37</v>
      </c>
      <c r="K250">
        <v>5</v>
      </c>
      <c r="M250" s="1" t="b">
        <f>Employee__2[[#This Row],[Experience]]&gt;1</f>
        <v>1</v>
      </c>
      <c r="N250" s="1" t="str">
        <f>IF(Employee__2[[#This Row],[City]]="Pune","Yes","No")</f>
        <v>No</v>
      </c>
      <c r="O250" s="1" t="str">
        <f>IF(AND(Employee__2[[#This Row],[Education]]="Bachelors",Employee__2[[#This Row],[City]]="Pune"),"Yes","No")</f>
        <v>No</v>
      </c>
      <c r="P250" s="1" t="str">
        <f>IF(OR(Employee__2[[#This Row],[Age]]&gt;=30,Employee__2[[#This Row],[Gender]]="Male"),"Mached","Not mached")</f>
        <v>Mached</v>
      </c>
    </row>
    <row r="251" spans="4:16" x14ac:dyDescent="0.25">
      <c r="D251" s="6" t="s">
        <v>34</v>
      </c>
      <c r="E251">
        <v>2016</v>
      </c>
      <c r="F251" s="6" t="s">
        <v>38</v>
      </c>
      <c r="G251">
        <v>3</v>
      </c>
      <c r="H251">
        <v>26</v>
      </c>
      <c r="I251" s="6" t="s">
        <v>36</v>
      </c>
      <c r="J251" s="6" t="s">
        <v>37</v>
      </c>
      <c r="K251">
        <v>4</v>
      </c>
      <c r="M251" s="1" t="b">
        <f>Employee__2[[#This Row],[Experience]]&gt;1</f>
        <v>1</v>
      </c>
      <c r="N251" s="1" t="str">
        <f>IF(Employee__2[[#This Row],[City]]="Pune","Yes","No")</f>
        <v>Yes</v>
      </c>
      <c r="O251" s="1" t="str">
        <f>IF(AND(Employee__2[[#This Row],[Education]]="Bachelors",Employee__2[[#This Row],[City]]="Pune"),"Yes","No")</f>
        <v>Yes</v>
      </c>
      <c r="P251" s="1" t="str">
        <f>IF(OR(Employee__2[[#This Row],[Age]]&gt;=30,Employee__2[[#This Row],[Gender]]="Male"),"Mached","Not mached")</f>
        <v>Mached</v>
      </c>
    </row>
    <row r="252" spans="4:16" x14ac:dyDescent="0.25">
      <c r="D252" s="6" t="s">
        <v>41</v>
      </c>
      <c r="E252">
        <v>2015</v>
      </c>
      <c r="F252" s="6" t="s">
        <v>40</v>
      </c>
      <c r="G252">
        <v>3</v>
      </c>
      <c r="H252">
        <v>26</v>
      </c>
      <c r="I252" s="6" t="s">
        <v>39</v>
      </c>
      <c r="J252" s="6" t="s">
        <v>37</v>
      </c>
      <c r="K252">
        <v>4</v>
      </c>
      <c r="M252" s="1" t="b">
        <f>Employee__2[[#This Row],[Experience]]&gt;1</f>
        <v>1</v>
      </c>
      <c r="N252" s="1" t="str">
        <f>IF(Employee__2[[#This Row],[City]]="Pune","Yes","No")</f>
        <v>No</v>
      </c>
      <c r="O252" s="1" t="str">
        <f>IF(AND(Employee__2[[#This Row],[Education]]="Bachelors",Employee__2[[#This Row],[City]]="Pune"),"Yes","No")</f>
        <v>No</v>
      </c>
      <c r="P252" s="1" t="str">
        <f>IF(OR(Employee__2[[#This Row],[Age]]&gt;=30,Employee__2[[#This Row],[Gender]]="Male"),"Mached","Not mached")</f>
        <v>Not mached</v>
      </c>
    </row>
    <row r="253" spans="4:16" x14ac:dyDescent="0.25">
      <c r="D253" s="6" t="s">
        <v>34</v>
      </c>
      <c r="E253">
        <v>2016</v>
      </c>
      <c r="F253" s="6" t="s">
        <v>35</v>
      </c>
      <c r="G253">
        <v>1</v>
      </c>
      <c r="H253">
        <v>28</v>
      </c>
      <c r="I253" s="6" t="s">
        <v>39</v>
      </c>
      <c r="J253" s="6" t="s">
        <v>37</v>
      </c>
      <c r="K253">
        <v>2</v>
      </c>
      <c r="M253" s="1" t="b">
        <f>Employee__2[[#This Row],[Experience]]&gt;1</f>
        <v>1</v>
      </c>
      <c r="N253" s="1" t="str">
        <f>IF(Employee__2[[#This Row],[City]]="Pune","Yes","No")</f>
        <v>No</v>
      </c>
      <c r="O253" s="1" t="str">
        <f>IF(AND(Employee__2[[#This Row],[Education]]="Bachelors",Employee__2[[#This Row],[City]]="Pune"),"Yes","No")</f>
        <v>No</v>
      </c>
      <c r="P253" s="1" t="str">
        <f>IF(OR(Employee__2[[#This Row],[Age]]&gt;=30,Employee__2[[#This Row],[Gender]]="Male"),"Mached","Not mached")</f>
        <v>Not mached</v>
      </c>
    </row>
    <row r="254" spans="4:16" x14ac:dyDescent="0.25">
      <c r="D254" s="6" t="s">
        <v>34</v>
      </c>
      <c r="E254">
        <v>2014</v>
      </c>
      <c r="F254" s="6" t="s">
        <v>35</v>
      </c>
      <c r="G254">
        <v>3</v>
      </c>
      <c r="H254">
        <v>25</v>
      </c>
      <c r="I254" s="6" t="s">
        <v>36</v>
      </c>
      <c r="J254" s="6" t="s">
        <v>42</v>
      </c>
      <c r="K254">
        <v>3</v>
      </c>
      <c r="M254" s="1" t="b">
        <f>Employee__2[[#This Row],[Experience]]&gt;1</f>
        <v>1</v>
      </c>
      <c r="N254" s="1" t="str">
        <f>IF(Employee__2[[#This Row],[City]]="Pune","Yes","No")</f>
        <v>No</v>
      </c>
      <c r="O254" s="1" t="str">
        <f>IF(AND(Employee__2[[#This Row],[Education]]="Bachelors",Employee__2[[#This Row],[City]]="Pune"),"Yes","No")</f>
        <v>No</v>
      </c>
      <c r="P254" s="1" t="str">
        <f>IF(OR(Employee__2[[#This Row],[Age]]&gt;=30,Employee__2[[#This Row],[Gender]]="Male"),"Mached","Not mached")</f>
        <v>Mached</v>
      </c>
    </row>
    <row r="255" spans="4:16" x14ac:dyDescent="0.25">
      <c r="D255" s="6" t="s">
        <v>34</v>
      </c>
      <c r="E255">
        <v>2014</v>
      </c>
      <c r="F255" s="6" t="s">
        <v>35</v>
      </c>
      <c r="G255">
        <v>3</v>
      </c>
      <c r="H255">
        <v>27</v>
      </c>
      <c r="I255" s="6" t="s">
        <v>36</v>
      </c>
      <c r="J255" s="6" t="s">
        <v>37</v>
      </c>
      <c r="K255">
        <v>5</v>
      </c>
      <c r="M255" s="1" t="b">
        <f>Employee__2[[#This Row],[Experience]]&gt;1</f>
        <v>1</v>
      </c>
      <c r="N255" s="1" t="str">
        <f>IF(Employee__2[[#This Row],[City]]="Pune","Yes","No")</f>
        <v>No</v>
      </c>
      <c r="O255" s="1" t="str">
        <f>IF(AND(Employee__2[[#This Row],[Education]]="Bachelors",Employee__2[[#This Row],[City]]="Pune"),"Yes","No")</f>
        <v>No</v>
      </c>
      <c r="P255" s="1" t="str">
        <f>IF(OR(Employee__2[[#This Row],[Age]]&gt;=30,Employee__2[[#This Row],[Gender]]="Male"),"Mached","Not mached")</f>
        <v>Mached</v>
      </c>
    </row>
    <row r="256" spans="4:16" x14ac:dyDescent="0.25">
      <c r="D256" s="6" t="s">
        <v>34</v>
      </c>
      <c r="E256">
        <v>2017</v>
      </c>
      <c r="F256" s="6" t="s">
        <v>35</v>
      </c>
      <c r="G256">
        <v>3</v>
      </c>
      <c r="H256">
        <v>28</v>
      </c>
      <c r="I256" s="6" t="s">
        <v>36</v>
      </c>
      <c r="J256" s="6" t="s">
        <v>37</v>
      </c>
      <c r="K256">
        <v>2</v>
      </c>
      <c r="M256" s="1" t="b">
        <f>Employee__2[[#This Row],[Experience]]&gt;1</f>
        <v>1</v>
      </c>
      <c r="N256" s="1" t="str">
        <f>IF(Employee__2[[#This Row],[City]]="Pune","Yes","No")</f>
        <v>No</v>
      </c>
      <c r="O256" s="1" t="str">
        <f>IF(AND(Employee__2[[#This Row],[Education]]="Bachelors",Employee__2[[#This Row],[City]]="Pune"),"Yes","No")</f>
        <v>No</v>
      </c>
      <c r="P256" s="1" t="str">
        <f>IF(OR(Employee__2[[#This Row],[Age]]&gt;=30,Employee__2[[#This Row],[Gender]]="Male"),"Mached","Not mached")</f>
        <v>Mached</v>
      </c>
    </row>
    <row r="257" spans="4:16" x14ac:dyDescent="0.25">
      <c r="D257" s="6" t="s">
        <v>41</v>
      </c>
      <c r="E257">
        <v>2018</v>
      </c>
      <c r="F257" s="6" t="s">
        <v>40</v>
      </c>
      <c r="G257">
        <v>3</v>
      </c>
      <c r="H257">
        <v>24</v>
      </c>
      <c r="I257" s="6" t="s">
        <v>39</v>
      </c>
      <c r="J257" s="6" t="s">
        <v>42</v>
      </c>
      <c r="K257">
        <v>2</v>
      </c>
      <c r="M257" s="1" t="b">
        <f>Employee__2[[#This Row],[Experience]]&gt;1</f>
        <v>1</v>
      </c>
      <c r="N257" s="1" t="str">
        <f>IF(Employee__2[[#This Row],[City]]="Pune","Yes","No")</f>
        <v>No</v>
      </c>
      <c r="O257" s="1" t="str">
        <f>IF(AND(Employee__2[[#This Row],[Education]]="Bachelors",Employee__2[[#This Row],[City]]="Pune"),"Yes","No")</f>
        <v>No</v>
      </c>
      <c r="P257" s="1" t="str">
        <f>IF(OR(Employee__2[[#This Row],[Age]]&gt;=30,Employee__2[[#This Row],[Gender]]="Male"),"Mached","Not mached")</f>
        <v>Not mached</v>
      </c>
    </row>
    <row r="258" spans="4:16" x14ac:dyDescent="0.25">
      <c r="D258" s="6" t="s">
        <v>34</v>
      </c>
      <c r="E258">
        <v>2017</v>
      </c>
      <c r="F258" s="6" t="s">
        <v>38</v>
      </c>
      <c r="G258">
        <v>2</v>
      </c>
      <c r="H258">
        <v>25</v>
      </c>
      <c r="I258" s="6" t="s">
        <v>36</v>
      </c>
      <c r="J258" s="6" t="s">
        <v>37</v>
      </c>
      <c r="K258">
        <v>3</v>
      </c>
      <c r="M258" s="1" t="b">
        <f>Employee__2[[#This Row],[Experience]]&gt;1</f>
        <v>1</v>
      </c>
      <c r="N258" s="1" t="str">
        <f>IF(Employee__2[[#This Row],[City]]="Pune","Yes","No")</f>
        <v>Yes</v>
      </c>
      <c r="O258" s="1" t="str">
        <f>IF(AND(Employee__2[[#This Row],[Education]]="Bachelors",Employee__2[[#This Row],[City]]="Pune"),"Yes","No")</f>
        <v>Yes</v>
      </c>
      <c r="P258" s="1" t="str">
        <f>IF(OR(Employee__2[[#This Row],[Age]]&gt;=30,Employee__2[[#This Row],[Gender]]="Male"),"Mached","Not mached")</f>
        <v>Mached</v>
      </c>
    </row>
    <row r="259" spans="4:16" x14ac:dyDescent="0.25">
      <c r="D259" s="6" t="s">
        <v>34</v>
      </c>
      <c r="E259">
        <v>2018</v>
      </c>
      <c r="F259" s="6" t="s">
        <v>38</v>
      </c>
      <c r="G259">
        <v>2</v>
      </c>
      <c r="H259">
        <v>24</v>
      </c>
      <c r="I259" s="6" t="s">
        <v>39</v>
      </c>
      <c r="J259" s="6" t="s">
        <v>37</v>
      </c>
      <c r="K259">
        <v>2</v>
      </c>
      <c r="M259" s="1" t="b">
        <f>Employee__2[[#This Row],[Experience]]&gt;1</f>
        <v>1</v>
      </c>
      <c r="N259" s="1" t="str">
        <f>IF(Employee__2[[#This Row],[City]]="Pune","Yes","No")</f>
        <v>Yes</v>
      </c>
      <c r="O259" s="1" t="str">
        <f>IF(AND(Employee__2[[#This Row],[Education]]="Bachelors",Employee__2[[#This Row],[City]]="Pune"),"Yes","No")</f>
        <v>Yes</v>
      </c>
      <c r="P259" s="1" t="str">
        <f>IF(OR(Employee__2[[#This Row],[Age]]&gt;=30,Employee__2[[#This Row],[Gender]]="Male"),"Mached","Not mached")</f>
        <v>Not mached</v>
      </c>
    </row>
    <row r="260" spans="4:16" x14ac:dyDescent="0.25">
      <c r="D260" s="6" t="s">
        <v>41</v>
      </c>
      <c r="E260">
        <v>2017</v>
      </c>
      <c r="F260" s="6" t="s">
        <v>40</v>
      </c>
      <c r="G260">
        <v>2</v>
      </c>
      <c r="H260">
        <v>28</v>
      </c>
      <c r="I260" s="6" t="s">
        <v>39</v>
      </c>
      <c r="J260" s="6" t="s">
        <v>37</v>
      </c>
      <c r="K260">
        <v>1</v>
      </c>
      <c r="M260" s="1" t="b">
        <f>Employee__2[[#This Row],[Experience]]&gt;1</f>
        <v>0</v>
      </c>
      <c r="N260" s="1" t="str">
        <f>IF(Employee__2[[#This Row],[City]]="Pune","Yes","No")</f>
        <v>No</v>
      </c>
      <c r="O260" s="1" t="str">
        <f>IF(AND(Employee__2[[#This Row],[Education]]="Bachelors",Employee__2[[#This Row],[City]]="Pune"),"Yes","No")</f>
        <v>No</v>
      </c>
      <c r="P260" s="1" t="str">
        <f>IF(OR(Employee__2[[#This Row],[Age]]&gt;=30,Employee__2[[#This Row],[Gender]]="Male"),"Mached","Not mached")</f>
        <v>Not mached</v>
      </c>
    </row>
    <row r="261" spans="4:16" x14ac:dyDescent="0.25">
      <c r="D261" s="6" t="s">
        <v>34</v>
      </c>
      <c r="E261">
        <v>2013</v>
      </c>
      <c r="F261" s="6" t="s">
        <v>40</v>
      </c>
      <c r="G261">
        <v>1</v>
      </c>
      <c r="H261">
        <v>27</v>
      </c>
      <c r="I261" s="6" t="s">
        <v>39</v>
      </c>
      <c r="J261" s="6" t="s">
        <v>37</v>
      </c>
      <c r="K261">
        <v>5</v>
      </c>
      <c r="M261" s="1" t="b">
        <f>Employee__2[[#This Row],[Experience]]&gt;1</f>
        <v>1</v>
      </c>
      <c r="N261" s="1" t="str">
        <f>IF(Employee__2[[#This Row],[City]]="Pune","Yes","No")</f>
        <v>No</v>
      </c>
      <c r="O261" s="1" t="str">
        <f>IF(AND(Employee__2[[#This Row],[Education]]="Bachelors",Employee__2[[#This Row],[City]]="Pune"),"Yes","No")</f>
        <v>No</v>
      </c>
      <c r="P261" s="1" t="str">
        <f>IF(OR(Employee__2[[#This Row],[Age]]&gt;=30,Employee__2[[#This Row],[Gender]]="Male"),"Mached","Not mached")</f>
        <v>Not mached</v>
      </c>
    </row>
    <row r="262" spans="4:16" x14ac:dyDescent="0.25">
      <c r="D262" s="6" t="s">
        <v>34</v>
      </c>
      <c r="E262">
        <v>2017</v>
      </c>
      <c r="F262" s="6" t="s">
        <v>40</v>
      </c>
      <c r="G262">
        <v>2</v>
      </c>
      <c r="H262">
        <v>27</v>
      </c>
      <c r="I262" s="6" t="s">
        <v>39</v>
      </c>
      <c r="J262" s="6" t="s">
        <v>37</v>
      </c>
      <c r="K262">
        <v>5</v>
      </c>
      <c r="M262" s="1" t="b">
        <f>Employee__2[[#This Row],[Experience]]&gt;1</f>
        <v>1</v>
      </c>
      <c r="N262" s="1" t="str">
        <f>IF(Employee__2[[#This Row],[City]]="Pune","Yes","No")</f>
        <v>No</v>
      </c>
      <c r="O262" s="1" t="str">
        <f>IF(AND(Employee__2[[#This Row],[Education]]="Bachelors",Employee__2[[#This Row],[City]]="Pune"),"Yes","No")</f>
        <v>No</v>
      </c>
      <c r="P262" s="1" t="str">
        <f>IF(OR(Employee__2[[#This Row],[Age]]&gt;=30,Employee__2[[#This Row],[Gender]]="Male"),"Mached","Not mached")</f>
        <v>Not mached</v>
      </c>
    </row>
    <row r="263" spans="4:16" x14ac:dyDescent="0.25">
      <c r="D263" s="6" t="s">
        <v>34</v>
      </c>
      <c r="E263">
        <v>2017</v>
      </c>
      <c r="F263" s="6" t="s">
        <v>35</v>
      </c>
      <c r="G263">
        <v>3</v>
      </c>
      <c r="H263">
        <v>28</v>
      </c>
      <c r="I263" s="6" t="s">
        <v>36</v>
      </c>
      <c r="J263" s="6" t="s">
        <v>37</v>
      </c>
      <c r="K263">
        <v>1</v>
      </c>
      <c r="M263" s="1" t="b">
        <f>Employee__2[[#This Row],[Experience]]&gt;1</f>
        <v>0</v>
      </c>
      <c r="N263" s="1" t="str">
        <f>IF(Employee__2[[#This Row],[City]]="Pune","Yes","No")</f>
        <v>No</v>
      </c>
      <c r="O263" s="1" t="str">
        <f>IF(AND(Employee__2[[#This Row],[Education]]="Bachelors",Employee__2[[#This Row],[City]]="Pune"),"Yes","No")</f>
        <v>No</v>
      </c>
      <c r="P263" s="1" t="str">
        <f>IF(OR(Employee__2[[#This Row],[Age]]&gt;=30,Employee__2[[#This Row],[Gender]]="Male"),"Mached","Not mached")</f>
        <v>Mached</v>
      </c>
    </row>
    <row r="264" spans="4:16" x14ac:dyDescent="0.25">
      <c r="D264" s="6" t="s">
        <v>34</v>
      </c>
      <c r="E264">
        <v>2016</v>
      </c>
      <c r="F264" s="6" t="s">
        <v>38</v>
      </c>
      <c r="G264">
        <v>2</v>
      </c>
      <c r="H264">
        <v>27</v>
      </c>
      <c r="I264" s="6" t="s">
        <v>39</v>
      </c>
      <c r="J264" s="6" t="s">
        <v>37</v>
      </c>
      <c r="K264">
        <v>5</v>
      </c>
      <c r="M264" s="1" t="b">
        <f>Employee__2[[#This Row],[Experience]]&gt;1</f>
        <v>1</v>
      </c>
      <c r="N264" s="1" t="str">
        <f>IF(Employee__2[[#This Row],[City]]="Pune","Yes","No")</f>
        <v>Yes</v>
      </c>
      <c r="O264" s="1" t="str">
        <f>IF(AND(Employee__2[[#This Row],[Education]]="Bachelors",Employee__2[[#This Row],[City]]="Pune"),"Yes","No")</f>
        <v>Yes</v>
      </c>
      <c r="P264" s="1" t="str">
        <f>IF(OR(Employee__2[[#This Row],[Age]]&gt;=30,Employee__2[[#This Row],[Gender]]="Male"),"Mached","Not mached")</f>
        <v>Not mached</v>
      </c>
    </row>
    <row r="265" spans="4:16" x14ac:dyDescent="0.25">
      <c r="D265" s="6" t="s">
        <v>41</v>
      </c>
      <c r="E265">
        <v>2018</v>
      </c>
      <c r="F265" s="6" t="s">
        <v>35</v>
      </c>
      <c r="G265">
        <v>3</v>
      </c>
      <c r="H265">
        <v>24</v>
      </c>
      <c r="I265" s="6" t="s">
        <v>36</v>
      </c>
      <c r="J265" s="6" t="s">
        <v>37</v>
      </c>
      <c r="K265">
        <v>2</v>
      </c>
      <c r="M265" s="1" t="b">
        <f>Employee__2[[#This Row],[Experience]]&gt;1</f>
        <v>1</v>
      </c>
      <c r="N265" s="1" t="str">
        <f>IF(Employee__2[[#This Row],[City]]="Pune","Yes","No")</f>
        <v>No</v>
      </c>
      <c r="O265" s="1" t="str">
        <f>IF(AND(Employee__2[[#This Row],[Education]]="Bachelors",Employee__2[[#This Row],[City]]="Pune"),"Yes","No")</f>
        <v>No</v>
      </c>
      <c r="P265" s="1" t="str">
        <f>IF(OR(Employee__2[[#This Row],[Age]]&gt;=30,Employee__2[[#This Row],[Gender]]="Male"),"Mached","Not mached")</f>
        <v>Mached</v>
      </c>
    </row>
    <row r="266" spans="4:16" x14ac:dyDescent="0.25">
      <c r="D266" s="6" t="s">
        <v>34</v>
      </c>
      <c r="E266">
        <v>2012</v>
      </c>
      <c r="F266" s="6" t="s">
        <v>38</v>
      </c>
      <c r="G266">
        <v>1</v>
      </c>
      <c r="H266">
        <v>26</v>
      </c>
      <c r="I266" s="6" t="s">
        <v>36</v>
      </c>
      <c r="J266" s="6" t="s">
        <v>37</v>
      </c>
      <c r="K266">
        <v>4</v>
      </c>
      <c r="M266" s="1" t="b">
        <f>Employee__2[[#This Row],[Experience]]&gt;1</f>
        <v>1</v>
      </c>
      <c r="N266" s="1" t="str">
        <f>IF(Employee__2[[#This Row],[City]]="Pune","Yes","No")</f>
        <v>Yes</v>
      </c>
      <c r="O266" s="1" t="str">
        <f>IF(AND(Employee__2[[#This Row],[Education]]="Bachelors",Employee__2[[#This Row],[City]]="Pune"),"Yes","No")</f>
        <v>Yes</v>
      </c>
      <c r="P266" s="1" t="str">
        <f>IF(OR(Employee__2[[#This Row],[Age]]&gt;=30,Employee__2[[#This Row],[Gender]]="Male"),"Mached","Not mached")</f>
        <v>Mached</v>
      </c>
    </row>
    <row r="267" spans="4:16" x14ac:dyDescent="0.25">
      <c r="D267" s="6" t="s">
        <v>34</v>
      </c>
      <c r="E267">
        <v>2016</v>
      </c>
      <c r="F267" s="6" t="s">
        <v>35</v>
      </c>
      <c r="G267">
        <v>3</v>
      </c>
      <c r="H267">
        <v>26</v>
      </c>
      <c r="I267" s="6" t="s">
        <v>36</v>
      </c>
      <c r="J267" s="6" t="s">
        <v>37</v>
      </c>
      <c r="K267">
        <v>4</v>
      </c>
      <c r="M267" s="1" t="b">
        <f>Employee__2[[#This Row],[Experience]]&gt;1</f>
        <v>1</v>
      </c>
      <c r="N267" s="1" t="str">
        <f>IF(Employee__2[[#This Row],[City]]="Pune","Yes","No")</f>
        <v>No</v>
      </c>
      <c r="O267" s="1" t="str">
        <f>IF(AND(Employee__2[[#This Row],[Education]]="Bachelors",Employee__2[[#This Row],[City]]="Pune"),"Yes","No")</f>
        <v>No</v>
      </c>
      <c r="P267" s="1" t="str">
        <f>IF(OR(Employee__2[[#This Row],[Age]]&gt;=30,Employee__2[[#This Row],[Gender]]="Male"),"Mached","Not mached")</f>
        <v>Mached</v>
      </c>
    </row>
    <row r="268" spans="4:16" x14ac:dyDescent="0.25">
      <c r="D268" s="6" t="s">
        <v>41</v>
      </c>
      <c r="E268">
        <v>2016</v>
      </c>
      <c r="F268" s="6" t="s">
        <v>40</v>
      </c>
      <c r="G268">
        <v>1</v>
      </c>
      <c r="H268">
        <v>27</v>
      </c>
      <c r="I268" s="6" t="s">
        <v>36</v>
      </c>
      <c r="J268" s="6" t="s">
        <v>37</v>
      </c>
      <c r="K268">
        <v>5</v>
      </c>
      <c r="M268" s="1" t="b">
        <f>Employee__2[[#This Row],[Experience]]&gt;1</f>
        <v>1</v>
      </c>
      <c r="N268" s="1" t="str">
        <f>IF(Employee__2[[#This Row],[City]]="Pune","Yes","No")</f>
        <v>No</v>
      </c>
      <c r="O268" s="1" t="str">
        <f>IF(AND(Employee__2[[#This Row],[Education]]="Bachelors",Employee__2[[#This Row],[City]]="Pune"),"Yes","No")</f>
        <v>No</v>
      </c>
      <c r="P268" s="1" t="str">
        <f>IF(OR(Employee__2[[#This Row],[Age]]&gt;=30,Employee__2[[#This Row],[Gender]]="Male"),"Mached","Not mached")</f>
        <v>Mached</v>
      </c>
    </row>
    <row r="269" spans="4:16" x14ac:dyDescent="0.25">
      <c r="D269" s="6" t="s">
        <v>34</v>
      </c>
      <c r="E269">
        <v>2015</v>
      </c>
      <c r="F269" s="6" t="s">
        <v>40</v>
      </c>
      <c r="G269">
        <v>3</v>
      </c>
      <c r="H269">
        <v>26</v>
      </c>
      <c r="I269" s="6" t="s">
        <v>39</v>
      </c>
      <c r="J269" s="6" t="s">
        <v>37</v>
      </c>
      <c r="K269">
        <v>4</v>
      </c>
      <c r="M269" s="1" t="b">
        <f>Employee__2[[#This Row],[Experience]]&gt;1</f>
        <v>1</v>
      </c>
      <c r="N269" s="1" t="str">
        <f>IF(Employee__2[[#This Row],[City]]="Pune","Yes","No")</f>
        <v>No</v>
      </c>
      <c r="O269" s="1" t="str">
        <f>IF(AND(Employee__2[[#This Row],[Education]]="Bachelors",Employee__2[[#This Row],[City]]="Pune"),"Yes","No")</f>
        <v>No</v>
      </c>
      <c r="P269" s="1" t="str">
        <f>IF(OR(Employee__2[[#This Row],[Age]]&gt;=30,Employee__2[[#This Row],[Gender]]="Male"),"Mached","Not mached")</f>
        <v>Not mached</v>
      </c>
    </row>
    <row r="270" spans="4:16" x14ac:dyDescent="0.25">
      <c r="D270" s="6" t="s">
        <v>34</v>
      </c>
      <c r="E270">
        <v>2012</v>
      </c>
      <c r="F270" s="6" t="s">
        <v>35</v>
      </c>
      <c r="G270">
        <v>3</v>
      </c>
      <c r="H270">
        <v>27</v>
      </c>
      <c r="I270" s="6" t="s">
        <v>36</v>
      </c>
      <c r="J270" s="6" t="s">
        <v>42</v>
      </c>
      <c r="K270">
        <v>5</v>
      </c>
      <c r="M270" s="1" t="b">
        <f>Employee__2[[#This Row],[Experience]]&gt;1</f>
        <v>1</v>
      </c>
      <c r="N270" s="1" t="str">
        <f>IF(Employee__2[[#This Row],[City]]="Pune","Yes","No")</f>
        <v>No</v>
      </c>
      <c r="O270" s="1" t="str">
        <f>IF(AND(Employee__2[[#This Row],[Education]]="Bachelors",Employee__2[[#This Row],[City]]="Pune"),"Yes","No")</f>
        <v>No</v>
      </c>
      <c r="P270" s="1" t="str">
        <f>IF(OR(Employee__2[[#This Row],[Age]]&gt;=30,Employee__2[[#This Row],[Gender]]="Male"),"Mached","Not mached")</f>
        <v>Mached</v>
      </c>
    </row>
    <row r="271" spans="4:16" x14ac:dyDescent="0.25">
      <c r="D271" s="6" t="s">
        <v>34</v>
      </c>
      <c r="E271">
        <v>2013</v>
      </c>
      <c r="F271" s="6" t="s">
        <v>35</v>
      </c>
      <c r="G271">
        <v>3</v>
      </c>
      <c r="H271">
        <v>24</v>
      </c>
      <c r="I271" s="6" t="s">
        <v>36</v>
      </c>
      <c r="J271" s="6" t="s">
        <v>42</v>
      </c>
      <c r="K271">
        <v>2</v>
      </c>
      <c r="M271" s="1" t="b">
        <f>Employee__2[[#This Row],[Experience]]&gt;1</f>
        <v>1</v>
      </c>
      <c r="N271" s="1" t="str">
        <f>IF(Employee__2[[#This Row],[City]]="Pune","Yes","No")</f>
        <v>No</v>
      </c>
      <c r="O271" s="1" t="str">
        <f>IF(AND(Employee__2[[#This Row],[Education]]="Bachelors",Employee__2[[#This Row],[City]]="Pune"),"Yes","No")</f>
        <v>No</v>
      </c>
      <c r="P271" s="1" t="str">
        <f>IF(OR(Employee__2[[#This Row],[Age]]&gt;=30,Employee__2[[#This Row],[Gender]]="Male"),"Mached","Not mached")</f>
        <v>Mached</v>
      </c>
    </row>
    <row r="272" spans="4:16" x14ac:dyDescent="0.25">
      <c r="D272" s="6" t="s">
        <v>34</v>
      </c>
      <c r="E272">
        <v>2018</v>
      </c>
      <c r="F272" s="6" t="s">
        <v>35</v>
      </c>
      <c r="G272">
        <v>3</v>
      </c>
      <c r="H272">
        <v>26</v>
      </c>
      <c r="I272" s="6" t="s">
        <v>39</v>
      </c>
      <c r="J272" s="6" t="s">
        <v>37</v>
      </c>
      <c r="K272">
        <v>4</v>
      </c>
      <c r="M272" s="1" t="b">
        <f>Employee__2[[#This Row],[Experience]]&gt;1</f>
        <v>1</v>
      </c>
      <c r="N272" s="1" t="str">
        <f>IF(Employee__2[[#This Row],[City]]="Pune","Yes","No")</f>
        <v>No</v>
      </c>
      <c r="O272" s="1" t="str">
        <f>IF(AND(Employee__2[[#This Row],[Education]]="Bachelors",Employee__2[[#This Row],[City]]="Pune"),"Yes","No")</f>
        <v>No</v>
      </c>
      <c r="P272" s="1" t="str">
        <f>IF(OR(Employee__2[[#This Row],[Age]]&gt;=30,Employee__2[[#This Row],[Gender]]="Male"),"Mached","Not mached")</f>
        <v>Not mached</v>
      </c>
    </row>
    <row r="273" spans="4:16" x14ac:dyDescent="0.25">
      <c r="D273" s="6" t="s">
        <v>41</v>
      </c>
      <c r="E273">
        <v>2017</v>
      </c>
      <c r="F273" s="6" t="s">
        <v>38</v>
      </c>
      <c r="G273">
        <v>2</v>
      </c>
      <c r="H273">
        <v>26</v>
      </c>
      <c r="I273" s="6" t="s">
        <v>39</v>
      </c>
      <c r="J273" s="6" t="s">
        <v>37</v>
      </c>
      <c r="K273">
        <v>4</v>
      </c>
      <c r="M273" s="1" t="b">
        <f>Employee__2[[#This Row],[Experience]]&gt;1</f>
        <v>1</v>
      </c>
      <c r="N273" s="1" t="str">
        <f>IF(Employee__2[[#This Row],[City]]="Pune","Yes","No")</f>
        <v>Yes</v>
      </c>
      <c r="O273" s="1" t="str">
        <f>IF(AND(Employee__2[[#This Row],[Education]]="Bachelors",Employee__2[[#This Row],[City]]="Pune"),"Yes","No")</f>
        <v>No</v>
      </c>
      <c r="P273" s="1" t="str">
        <f>IF(OR(Employee__2[[#This Row],[Age]]&gt;=30,Employee__2[[#This Row],[Gender]]="Male"),"Mached","Not mached")</f>
        <v>Not mached</v>
      </c>
    </row>
    <row r="274" spans="4:16" x14ac:dyDescent="0.25">
      <c r="D274" s="6" t="s">
        <v>41</v>
      </c>
      <c r="E274">
        <v>2017</v>
      </c>
      <c r="F274" s="6" t="s">
        <v>40</v>
      </c>
      <c r="G274">
        <v>2</v>
      </c>
      <c r="H274">
        <v>28</v>
      </c>
      <c r="I274" s="6" t="s">
        <v>39</v>
      </c>
      <c r="J274" s="6" t="s">
        <v>37</v>
      </c>
      <c r="K274">
        <v>2</v>
      </c>
      <c r="M274" s="1" t="b">
        <f>Employee__2[[#This Row],[Experience]]&gt;1</f>
        <v>1</v>
      </c>
      <c r="N274" s="1" t="str">
        <f>IF(Employee__2[[#This Row],[City]]="Pune","Yes","No")</f>
        <v>No</v>
      </c>
      <c r="O274" s="1" t="str">
        <f>IF(AND(Employee__2[[#This Row],[Education]]="Bachelors",Employee__2[[#This Row],[City]]="Pune"),"Yes","No")</f>
        <v>No</v>
      </c>
      <c r="P274" s="1" t="str">
        <f>IF(OR(Employee__2[[#This Row],[Age]]&gt;=30,Employee__2[[#This Row],[Gender]]="Male"),"Mached","Not mached")</f>
        <v>Not mached</v>
      </c>
    </row>
    <row r="275" spans="4:16" x14ac:dyDescent="0.25">
      <c r="D275" s="6" t="s">
        <v>34</v>
      </c>
      <c r="E275">
        <v>2013</v>
      </c>
      <c r="F275" s="6" t="s">
        <v>38</v>
      </c>
      <c r="G275">
        <v>3</v>
      </c>
      <c r="H275">
        <v>28</v>
      </c>
      <c r="I275" s="6" t="s">
        <v>36</v>
      </c>
      <c r="J275" s="6" t="s">
        <v>37</v>
      </c>
      <c r="K275">
        <v>1</v>
      </c>
      <c r="M275" s="1" t="b">
        <f>Employee__2[[#This Row],[Experience]]&gt;1</f>
        <v>0</v>
      </c>
      <c r="N275" s="1" t="str">
        <f>IF(Employee__2[[#This Row],[City]]="Pune","Yes","No")</f>
        <v>Yes</v>
      </c>
      <c r="O275" s="1" t="str">
        <f>IF(AND(Employee__2[[#This Row],[Education]]="Bachelors",Employee__2[[#This Row],[City]]="Pune"),"Yes","No")</f>
        <v>Yes</v>
      </c>
      <c r="P275" s="1" t="str">
        <f>IF(OR(Employee__2[[#This Row],[Age]]&gt;=30,Employee__2[[#This Row],[Gender]]="Male"),"Mached","Not mached")</f>
        <v>Mached</v>
      </c>
    </row>
    <row r="276" spans="4:16" x14ac:dyDescent="0.25">
      <c r="D276" s="6" t="s">
        <v>41</v>
      </c>
      <c r="E276">
        <v>2013</v>
      </c>
      <c r="F276" s="6" t="s">
        <v>40</v>
      </c>
      <c r="G276">
        <v>3</v>
      </c>
      <c r="H276">
        <v>25</v>
      </c>
      <c r="I276" s="6" t="s">
        <v>36</v>
      </c>
      <c r="J276" s="6" t="s">
        <v>37</v>
      </c>
      <c r="K276">
        <v>3</v>
      </c>
      <c r="M276" s="1" t="b">
        <f>Employee__2[[#This Row],[Experience]]&gt;1</f>
        <v>1</v>
      </c>
      <c r="N276" s="1" t="str">
        <f>IF(Employee__2[[#This Row],[City]]="Pune","Yes","No")</f>
        <v>No</v>
      </c>
      <c r="O276" s="1" t="str">
        <f>IF(AND(Employee__2[[#This Row],[Education]]="Bachelors",Employee__2[[#This Row],[City]]="Pune"),"Yes","No")</f>
        <v>No</v>
      </c>
      <c r="P276" s="1" t="str">
        <f>IF(OR(Employee__2[[#This Row],[Age]]&gt;=30,Employee__2[[#This Row],[Gender]]="Male"),"Mached","Not mached")</f>
        <v>Mached</v>
      </c>
    </row>
    <row r="277" spans="4:16" x14ac:dyDescent="0.25">
      <c r="D277" s="6" t="s">
        <v>34</v>
      </c>
      <c r="E277">
        <v>2018</v>
      </c>
      <c r="F277" s="6" t="s">
        <v>35</v>
      </c>
      <c r="G277">
        <v>3</v>
      </c>
      <c r="H277">
        <v>28</v>
      </c>
      <c r="I277" s="6" t="s">
        <v>39</v>
      </c>
      <c r="J277" s="6" t="s">
        <v>42</v>
      </c>
      <c r="K277">
        <v>1</v>
      </c>
      <c r="M277" s="1" t="b">
        <f>Employee__2[[#This Row],[Experience]]&gt;1</f>
        <v>0</v>
      </c>
      <c r="N277" s="1" t="str">
        <f>IF(Employee__2[[#This Row],[City]]="Pune","Yes","No")</f>
        <v>No</v>
      </c>
      <c r="O277" s="1" t="str">
        <f>IF(AND(Employee__2[[#This Row],[Education]]="Bachelors",Employee__2[[#This Row],[City]]="Pune"),"Yes","No")</f>
        <v>No</v>
      </c>
      <c r="P277" s="1" t="str">
        <f>IF(OR(Employee__2[[#This Row],[Age]]&gt;=30,Employee__2[[#This Row],[Gender]]="Male"),"Mached","Not mached")</f>
        <v>Not mached</v>
      </c>
    </row>
    <row r="278" spans="4:16" x14ac:dyDescent="0.25">
      <c r="D278" s="6" t="s">
        <v>34</v>
      </c>
      <c r="E278">
        <v>2013</v>
      </c>
      <c r="F278" s="6" t="s">
        <v>38</v>
      </c>
      <c r="G278">
        <v>3</v>
      </c>
      <c r="H278">
        <v>27</v>
      </c>
      <c r="I278" s="6" t="s">
        <v>39</v>
      </c>
      <c r="J278" s="6" t="s">
        <v>37</v>
      </c>
      <c r="K278">
        <v>5</v>
      </c>
      <c r="M278" s="1" t="b">
        <f>Employee__2[[#This Row],[Experience]]&gt;1</f>
        <v>1</v>
      </c>
      <c r="N278" s="1" t="str">
        <f>IF(Employee__2[[#This Row],[City]]="Pune","Yes","No")</f>
        <v>Yes</v>
      </c>
      <c r="O278" s="1" t="str">
        <f>IF(AND(Employee__2[[#This Row],[Education]]="Bachelors",Employee__2[[#This Row],[City]]="Pune"),"Yes","No")</f>
        <v>Yes</v>
      </c>
      <c r="P278" s="1" t="str">
        <f>IF(OR(Employee__2[[#This Row],[Age]]&gt;=30,Employee__2[[#This Row],[Gender]]="Male"),"Mached","Not mached")</f>
        <v>Not mached</v>
      </c>
    </row>
    <row r="279" spans="4:16" x14ac:dyDescent="0.25">
      <c r="D279" s="6" t="s">
        <v>34</v>
      </c>
      <c r="E279">
        <v>2012</v>
      </c>
      <c r="F279" s="6" t="s">
        <v>35</v>
      </c>
      <c r="G279">
        <v>3</v>
      </c>
      <c r="H279">
        <v>25</v>
      </c>
      <c r="I279" s="6" t="s">
        <v>36</v>
      </c>
      <c r="J279" s="6" t="s">
        <v>37</v>
      </c>
      <c r="K279">
        <v>3</v>
      </c>
      <c r="M279" s="1" t="b">
        <f>Employee__2[[#This Row],[Experience]]&gt;1</f>
        <v>1</v>
      </c>
      <c r="N279" s="1" t="str">
        <f>IF(Employee__2[[#This Row],[City]]="Pune","Yes","No")</f>
        <v>No</v>
      </c>
      <c r="O279" s="1" t="str">
        <f>IF(AND(Employee__2[[#This Row],[Education]]="Bachelors",Employee__2[[#This Row],[City]]="Pune"),"Yes","No")</f>
        <v>No</v>
      </c>
      <c r="P279" s="1" t="str">
        <f>IF(OR(Employee__2[[#This Row],[Age]]&gt;=30,Employee__2[[#This Row],[Gender]]="Male"),"Mached","Not mached")</f>
        <v>Mached</v>
      </c>
    </row>
    <row r="280" spans="4:16" x14ac:dyDescent="0.25">
      <c r="D280" s="6" t="s">
        <v>34</v>
      </c>
      <c r="E280">
        <v>2014</v>
      </c>
      <c r="F280" s="6" t="s">
        <v>35</v>
      </c>
      <c r="G280">
        <v>3</v>
      </c>
      <c r="H280">
        <v>28</v>
      </c>
      <c r="I280" s="6" t="s">
        <v>36</v>
      </c>
      <c r="J280" s="6" t="s">
        <v>37</v>
      </c>
      <c r="K280">
        <v>1</v>
      </c>
      <c r="M280" s="1" t="b">
        <f>Employee__2[[#This Row],[Experience]]&gt;1</f>
        <v>0</v>
      </c>
      <c r="N280" s="1" t="str">
        <f>IF(Employee__2[[#This Row],[City]]="Pune","Yes","No")</f>
        <v>No</v>
      </c>
      <c r="O280" s="1" t="str">
        <f>IF(AND(Employee__2[[#This Row],[Education]]="Bachelors",Employee__2[[#This Row],[City]]="Pune"),"Yes","No")</f>
        <v>No</v>
      </c>
      <c r="P280" s="1" t="str">
        <f>IF(OR(Employee__2[[#This Row],[Age]]&gt;=30,Employee__2[[#This Row],[Gender]]="Male"),"Mached","Not mached")</f>
        <v>Mached</v>
      </c>
    </row>
    <row r="281" spans="4:16" x14ac:dyDescent="0.25">
      <c r="D281" s="6" t="s">
        <v>34</v>
      </c>
      <c r="E281">
        <v>2017</v>
      </c>
      <c r="F281" s="6" t="s">
        <v>40</v>
      </c>
      <c r="G281">
        <v>3</v>
      </c>
      <c r="H281">
        <v>28</v>
      </c>
      <c r="I281" s="6" t="s">
        <v>39</v>
      </c>
      <c r="J281" s="6" t="s">
        <v>37</v>
      </c>
      <c r="K281">
        <v>3</v>
      </c>
      <c r="M281" s="1" t="b">
        <f>Employee__2[[#This Row],[Experience]]&gt;1</f>
        <v>1</v>
      </c>
      <c r="N281" s="1" t="str">
        <f>IF(Employee__2[[#This Row],[City]]="Pune","Yes","No")</f>
        <v>No</v>
      </c>
      <c r="O281" s="1" t="str">
        <f>IF(AND(Employee__2[[#This Row],[Education]]="Bachelors",Employee__2[[#This Row],[City]]="Pune"),"Yes","No")</f>
        <v>No</v>
      </c>
      <c r="P281" s="1" t="str">
        <f>IF(OR(Employee__2[[#This Row],[Age]]&gt;=30,Employee__2[[#This Row],[Gender]]="Male"),"Mached","Not mached")</f>
        <v>Not mached</v>
      </c>
    </row>
    <row r="282" spans="4:16" x14ac:dyDescent="0.25">
      <c r="D282" s="6" t="s">
        <v>41</v>
      </c>
      <c r="E282">
        <v>2017</v>
      </c>
      <c r="F282" s="6" t="s">
        <v>40</v>
      </c>
      <c r="G282">
        <v>2</v>
      </c>
      <c r="H282">
        <v>28</v>
      </c>
      <c r="I282" s="6" t="s">
        <v>36</v>
      </c>
      <c r="J282" s="6" t="s">
        <v>42</v>
      </c>
      <c r="K282">
        <v>2</v>
      </c>
      <c r="M282" s="1" t="b">
        <f>Employee__2[[#This Row],[Experience]]&gt;1</f>
        <v>1</v>
      </c>
      <c r="N282" s="1" t="str">
        <f>IF(Employee__2[[#This Row],[City]]="Pune","Yes","No")</f>
        <v>No</v>
      </c>
      <c r="O282" s="1" t="str">
        <f>IF(AND(Employee__2[[#This Row],[Education]]="Bachelors",Employee__2[[#This Row],[City]]="Pune"),"Yes","No")</f>
        <v>No</v>
      </c>
      <c r="P282" s="1" t="str">
        <f>IF(OR(Employee__2[[#This Row],[Age]]&gt;=30,Employee__2[[#This Row],[Gender]]="Male"),"Mached","Not mached")</f>
        <v>Mached</v>
      </c>
    </row>
    <row r="283" spans="4:16" x14ac:dyDescent="0.25">
      <c r="D283" s="6" t="s">
        <v>34</v>
      </c>
      <c r="E283">
        <v>2014</v>
      </c>
      <c r="F283" s="6" t="s">
        <v>35</v>
      </c>
      <c r="G283">
        <v>3</v>
      </c>
      <c r="H283">
        <v>25</v>
      </c>
      <c r="I283" s="6" t="s">
        <v>36</v>
      </c>
      <c r="J283" s="6" t="s">
        <v>37</v>
      </c>
      <c r="K283">
        <v>3</v>
      </c>
      <c r="M283" s="1" t="b">
        <f>Employee__2[[#This Row],[Experience]]&gt;1</f>
        <v>1</v>
      </c>
      <c r="N283" s="1" t="str">
        <f>IF(Employee__2[[#This Row],[City]]="Pune","Yes","No")</f>
        <v>No</v>
      </c>
      <c r="O283" s="1" t="str">
        <f>IF(AND(Employee__2[[#This Row],[Education]]="Bachelors",Employee__2[[#This Row],[City]]="Pune"),"Yes","No")</f>
        <v>No</v>
      </c>
      <c r="P283" s="1" t="str">
        <f>IF(OR(Employee__2[[#This Row],[Age]]&gt;=30,Employee__2[[#This Row],[Gender]]="Male"),"Mached","Not mached")</f>
        <v>Mached</v>
      </c>
    </row>
    <row r="284" spans="4:16" x14ac:dyDescent="0.25">
      <c r="D284" s="6" t="s">
        <v>41</v>
      </c>
      <c r="E284">
        <v>2017</v>
      </c>
      <c r="F284" s="6" t="s">
        <v>40</v>
      </c>
      <c r="G284">
        <v>3</v>
      </c>
      <c r="H284">
        <v>26</v>
      </c>
      <c r="I284" s="6" t="s">
        <v>36</v>
      </c>
      <c r="J284" s="6" t="s">
        <v>37</v>
      </c>
      <c r="K284">
        <v>4</v>
      </c>
      <c r="M284" s="1" t="b">
        <f>Employee__2[[#This Row],[Experience]]&gt;1</f>
        <v>1</v>
      </c>
      <c r="N284" s="1" t="str">
        <f>IF(Employee__2[[#This Row],[City]]="Pune","Yes","No")</f>
        <v>No</v>
      </c>
      <c r="O284" s="1" t="str">
        <f>IF(AND(Employee__2[[#This Row],[Education]]="Bachelors",Employee__2[[#This Row],[City]]="Pune"),"Yes","No")</f>
        <v>No</v>
      </c>
      <c r="P284" s="1" t="str">
        <f>IF(OR(Employee__2[[#This Row],[Age]]&gt;=30,Employee__2[[#This Row],[Gender]]="Male"),"Mached","Not mached")</f>
        <v>Mached</v>
      </c>
    </row>
    <row r="285" spans="4:16" x14ac:dyDescent="0.25">
      <c r="D285" s="6" t="s">
        <v>34</v>
      </c>
      <c r="E285">
        <v>2015</v>
      </c>
      <c r="F285" s="6" t="s">
        <v>38</v>
      </c>
      <c r="G285">
        <v>1</v>
      </c>
      <c r="H285">
        <v>25</v>
      </c>
      <c r="I285" s="6" t="s">
        <v>39</v>
      </c>
      <c r="J285" s="6" t="s">
        <v>37</v>
      </c>
      <c r="K285">
        <v>3</v>
      </c>
      <c r="M285" s="1" t="b">
        <f>Employee__2[[#This Row],[Experience]]&gt;1</f>
        <v>1</v>
      </c>
      <c r="N285" s="1" t="str">
        <f>IF(Employee__2[[#This Row],[City]]="Pune","Yes","No")</f>
        <v>Yes</v>
      </c>
      <c r="O285" s="1" t="str">
        <f>IF(AND(Employee__2[[#This Row],[Education]]="Bachelors",Employee__2[[#This Row],[City]]="Pune"),"Yes","No")</f>
        <v>Yes</v>
      </c>
      <c r="P285" s="1" t="str">
        <f>IF(OR(Employee__2[[#This Row],[Age]]&gt;=30,Employee__2[[#This Row],[Gender]]="Male"),"Mached","Not mached")</f>
        <v>Not mached</v>
      </c>
    </row>
    <row r="286" spans="4:16" x14ac:dyDescent="0.25">
      <c r="D286" s="6" t="s">
        <v>41</v>
      </c>
      <c r="E286">
        <v>2013</v>
      </c>
      <c r="F286" s="6" t="s">
        <v>40</v>
      </c>
      <c r="G286">
        <v>3</v>
      </c>
      <c r="H286">
        <v>27</v>
      </c>
      <c r="I286" s="6" t="s">
        <v>36</v>
      </c>
      <c r="J286" s="6" t="s">
        <v>37</v>
      </c>
      <c r="K286">
        <v>5</v>
      </c>
      <c r="M286" s="1" t="b">
        <f>Employee__2[[#This Row],[Experience]]&gt;1</f>
        <v>1</v>
      </c>
      <c r="N286" s="1" t="str">
        <f>IF(Employee__2[[#This Row],[City]]="Pune","Yes","No")</f>
        <v>No</v>
      </c>
      <c r="O286" s="1" t="str">
        <f>IF(AND(Employee__2[[#This Row],[Education]]="Bachelors",Employee__2[[#This Row],[City]]="Pune"),"Yes","No")</f>
        <v>No</v>
      </c>
      <c r="P286" s="1" t="str">
        <f>IF(OR(Employee__2[[#This Row],[Age]]&gt;=30,Employee__2[[#This Row],[Gender]]="Male"),"Mached","Not mached")</f>
        <v>Mached</v>
      </c>
    </row>
    <row r="287" spans="4:16" x14ac:dyDescent="0.25">
      <c r="D287" s="6" t="s">
        <v>43</v>
      </c>
      <c r="E287">
        <v>2014</v>
      </c>
      <c r="F287" s="6" t="s">
        <v>35</v>
      </c>
      <c r="G287">
        <v>3</v>
      </c>
      <c r="H287">
        <v>24</v>
      </c>
      <c r="I287" s="6" t="s">
        <v>39</v>
      </c>
      <c r="J287" s="6" t="s">
        <v>37</v>
      </c>
      <c r="K287">
        <v>2</v>
      </c>
      <c r="M287" s="1" t="b">
        <f>Employee__2[[#This Row],[Experience]]&gt;1</f>
        <v>1</v>
      </c>
      <c r="N287" s="1" t="str">
        <f>IF(Employee__2[[#This Row],[City]]="Pune","Yes","No")</f>
        <v>No</v>
      </c>
      <c r="O287" s="1" t="str">
        <f>IF(AND(Employee__2[[#This Row],[Education]]="Bachelors",Employee__2[[#This Row],[City]]="Pune"),"Yes","No")</f>
        <v>No</v>
      </c>
      <c r="P287" s="1" t="str">
        <f>IF(OR(Employee__2[[#This Row],[Age]]&gt;=30,Employee__2[[#This Row],[Gender]]="Male"),"Mached","Not mached")</f>
        <v>Not mached</v>
      </c>
    </row>
    <row r="288" spans="4:16" x14ac:dyDescent="0.25">
      <c r="D288" s="6" t="s">
        <v>41</v>
      </c>
      <c r="E288">
        <v>2017</v>
      </c>
      <c r="F288" s="6" t="s">
        <v>40</v>
      </c>
      <c r="G288">
        <v>2</v>
      </c>
      <c r="H288">
        <v>27</v>
      </c>
      <c r="I288" s="6" t="s">
        <v>39</v>
      </c>
      <c r="J288" s="6" t="s">
        <v>37</v>
      </c>
      <c r="K288">
        <v>5</v>
      </c>
      <c r="M288" s="1" t="b">
        <f>Employee__2[[#This Row],[Experience]]&gt;1</f>
        <v>1</v>
      </c>
      <c r="N288" s="1" t="str">
        <f>IF(Employee__2[[#This Row],[City]]="Pune","Yes","No")</f>
        <v>No</v>
      </c>
      <c r="O288" s="1" t="str">
        <f>IF(AND(Employee__2[[#This Row],[Education]]="Bachelors",Employee__2[[#This Row],[City]]="Pune"),"Yes","No")</f>
        <v>No</v>
      </c>
      <c r="P288" s="1" t="str">
        <f>IF(OR(Employee__2[[#This Row],[Age]]&gt;=30,Employee__2[[#This Row],[Gender]]="Male"),"Mached","Not mached")</f>
        <v>Not mached</v>
      </c>
    </row>
    <row r="289" spans="4:16" x14ac:dyDescent="0.25">
      <c r="D289" s="6" t="s">
        <v>34</v>
      </c>
      <c r="E289">
        <v>2018</v>
      </c>
      <c r="F289" s="6" t="s">
        <v>35</v>
      </c>
      <c r="G289">
        <v>3</v>
      </c>
      <c r="H289">
        <v>26</v>
      </c>
      <c r="I289" s="6" t="s">
        <v>36</v>
      </c>
      <c r="J289" s="6" t="s">
        <v>37</v>
      </c>
      <c r="K289">
        <v>4</v>
      </c>
      <c r="M289" s="1" t="b">
        <f>Employee__2[[#This Row],[Experience]]&gt;1</f>
        <v>1</v>
      </c>
      <c r="N289" s="1" t="str">
        <f>IF(Employee__2[[#This Row],[City]]="Pune","Yes","No")</f>
        <v>No</v>
      </c>
      <c r="O289" s="1" t="str">
        <f>IF(AND(Employee__2[[#This Row],[Education]]="Bachelors",Employee__2[[#This Row],[City]]="Pune"),"Yes","No")</f>
        <v>No</v>
      </c>
      <c r="P289" s="1" t="str">
        <f>IF(OR(Employee__2[[#This Row],[Age]]&gt;=30,Employee__2[[#This Row],[Gender]]="Male"),"Mached","Not mached")</f>
        <v>Mached</v>
      </c>
    </row>
    <row r="290" spans="4:16" x14ac:dyDescent="0.25">
      <c r="D290" s="6" t="s">
        <v>34</v>
      </c>
      <c r="E290">
        <v>2012</v>
      </c>
      <c r="F290" s="6" t="s">
        <v>35</v>
      </c>
      <c r="G290">
        <v>3</v>
      </c>
      <c r="H290">
        <v>26</v>
      </c>
      <c r="I290" s="6" t="s">
        <v>36</v>
      </c>
      <c r="J290" s="6" t="s">
        <v>37</v>
      </c>
      <c r="K290">
        <v>4</v>
      </c>
      <c r="M290" s="1" t="b">
        <f>Employee__2[[#This Row],[Experience]]&gt;1</f>
        <v>1</v>
      </c>
      <c r="N290" s="1" t="str">
        <f>IF(Employee__2[[#This Row],[City]]="Pune","Yes","No")</f>
        <v>No</v>
      </c>
      <c r="O290" s="1" t="str">
        <f>IF(AND(Employee__2[[#This Row],[Education]]="Bachelors",Employee__2[[#This Row],[City]]="Pune"),"Yes","No")</f>
        <v>No</v>
      </c>
      <c r="P290" s="1" t="str">
        <f>IF(OR(Employee__2[[#This Row],[Age]]&gt;=30,Employee__2[[#This Row],[Gender]]="Male"),"Mached","Not mached")</f>
        <v>Mached</v>
      </c>
    </row>
    <row r="291" spans="4:16" x14ac:dyDescent="0.25">
      <c r="D291" s="6" t="s">
        <v>41</v>
      </c>
      <c r="E291">
        <v>2015</v>
      </c>
      <c r="F291" s="6" t="s">
        <v>38</v>
      </c>
      <c r="G291">
        <v>3</v>
      </c>
      <c r="H291">
        <v>27</v>
      </c>
      <c r="I291" s="6" t="s">
        <v>39</v>
      </c>
      <c r="J291" s="6" t="s">
        <v>37</v>
      </c>
      <c r="K291">
        <v>5</v>
      </c>
      <c r="M291" s="1" t="b">
        <f>Employee__2[[#This Row],[Experience]]&gt;1</f>
        <v>1</v>
      </c>
      <c r="N291" s="1" t="str">
        <f>IF(Employee__2[[#This Row],[City]]="Pune","Yes","No")</f>
        <v>Yes</v>
      </c>
      <c r="O291" s="1" t="str">
        <f>IF(AND(Employee__2[[#This Row],[Education]]="Bachelors",Employee__2[[#This Row],[City]]="Pune"),"Yes","No")</f>
        <v>No</v>
      </c>
      <c r="P291" s="1" t="str">
        <f>IF(OR(Employee__2[[#This Row],[Age]]&gt;=30,Employee__2[[#This Row],[Gender]]="Male"),"Mached","Not mached")</f>
        <v>Not mached</v>
      </c>
    </row>
    <row r="292" spans="4:16" x14ac:dyDescent="0.25">
      <c r="D292" s="6" t="s">
        <v>34</v>
      </c>
      <c r="E292">
        <v>2018</v>
      </c>
      <c r="F292" s="6" t="s">
        <v>35</v>
      </c>
      <c r="G292">
        <v>3</v>
      </c>
      <c r="H292">
        <v>26</v>
      </c>
      <c r="I292" s="6" t="s">
        <v>36</v>
      </c>
      <c r="J292" s="6" t="s">
        <v>37</v>
      </c>
      <c r="K292">
        <v>4</v>
      </c>
      <c r="M292" s="1" t="b">
        <f>Employee__2[[#This Row],[Experience]]&gt;1</f>
        <v>1</v>
      </c>
      <c r="N292" s="1" t="str">
        <f>IF(Employee__2[[#This Row],[City]]="Pune","Yes","No")</f>
        <v>No</v>
      </c>
      <c r="O292" s="1" t="str">
        <f>IF(AND(Employee__2[[#This Row],[Education]]="Bachelors",Employee__2[[#This Row],[City]]="Pune"),"Yes","No")</f>
        <v>No</v>
      </c>
      <c r="P292" s="1" t="str">
        <f>IF(OR(Employee__2[[#This Row],[Age]]&gt;=30,Employee__2[[#This Row],[Gender]]="Male"),"Mached","Not mached")</f>
        <v>Mached</v>
      </c>
    </row>
    <row r="293" spans="4:16" x14ac:dyDescent="0.25">
      <c r="D293" s="6" t="s">
        <v>34</v>
      </c>
      <c r="E293">
        <v>2016</v>
      </c>
      <c r="F293" s="6" t="s">
        <v>35</v>
      </c>
      <c r="G293">
        <v>3</v>
      </c>
      <c r="H293">
        <v>24</v>
      </c>
      <c r="I293" s="6" t="s">
        <v>36</v>
      </c>
      <c r="J293" s="6" t="s">
        <v>37</v>
      </c>
      <c r="K293">
        <v>2</v>
      </c>
      <c r="M293" s="1" t="b">
        <f>Employee__2[[#This Row],[Experience]]&gt;1</f>
        <v>1</v>
      </c>
      <c r="N293" s="1" t="str">
        <f>IF(Employee__2[[#This Row],[City]]="Pune","Yes","No")</f>
        <v>No</v>
      </c>
      <c r="O293" s="1" t="str">
        <f>IF(AND(Employee__2[[#This Row],[Education]]="Bachelors",Employee__2[[#This Row],[City]]="Pune"),"Yes","No")</f>
        <v>No</v>
      </c>
      <c r="P293" s="1" t="str">
        <f>IF(OR(Employee__2[[#This Row],[Age]]&gt;=30,Employee__2[[#This Row],[Gender]]="Male"),"Mached","Not mached")</f>
        <v>Mached</v>
      </c>
    </row>
    <row r="294" spans="4:16" x14ac:dyDescent="0.25">
      <c r="D294" s="6" t="s">
        <v>41</v>
      </c>
      <c r="E294">
        <v>2017</v>
      </c>
      <c r="F294" s="6" t="s">
        <v>40</v>
      </c>
      <c r="G294">
        <v>2</v>
      </c>
      <c r="H294">
        <v>25</v>
      </c>
      <c r="I294" s="6" t="s">
        <v>39</v>
      </c>
      <c r="J294" s="6" t="s">
        <v>37</v>
      </c>
      <c r="K294">
        <v>3</v>
      </c>
      <c r="M294" s="1" t="b">
        <f>Employee__2[[#This Row],[Experience]]&gt;1</f>
        <v>1</v>
      </c>
      <c r="N294" s="1" t="str">
        <f>IF(Employee__2[[#This Row],[City]]="Pune","Yes","No")</f>
        <v>No</v>
      </c>
      <c r="O294" s="1" t="str">
        <f>IF(AND(Employee__2[[#This Row],[Education]]="Bachelors",Employee__2[[#This Row],[City]]="Pune"),"Yes","No")</f>
        <v>No</v>
      </c>
      <c r="P294" s="1" t="str">
        <f>IF(OR(Employee__2[[#This Row],[Age]]&gt;=30,Employee__2[[#This Row],[Gender]]="Male"),"Mached","Not mached")</f>
        <v>Not mached</v>
      </c>
    </row>
    <row r="295" spans="4:16" x14ac:dyDescent="0.25">
      <c r="D295" s="6" t="s">
        <v>34</v>
      </c>
      <c r="E295">
        <v>2017</v>
      </c>
      <c r="F295" s="6" t="s">
        <v>40</v>
      </c>
      <c r="G295">
        <v>2</v>
      </c>
      <c r="H295">
        <v>28</v>
      </c>
      <c r="I295" s="6" t="s">
        <v>36</v>
      </c>
      <c r="J295" s="6" t="s">
        <v>37</v>
      </c>
      <c r="K295">
        <v>1</v>
      </c>
      <c r="M295" s="1" t="b">
        <f>Employee__2[[#This Row],[Experience]]&gt;1</f>
        <v>0</v>
      </c>
      <c r="N295" s="1" t="str">
        <f>IF(Employee__2[[#This Row],[City]]="Pune","Yes","No")</f>
        <v>No</v>
      </c>
      <c r="O295" s="1" t="str">
        <f>IF(AND(Employee__2[[#This Row],[Education]]="Bachelors",Employee__2[[#This Row],[City]]="Pune"),"Yes","No")</f>
        <v>No</v>
      </c>
      <c r="P295" s="1" t="str">
        <f>IF(OR(Employee__2[[#This Row],[Age]]&gt;=30,Employee__2[[#This Row],[Gender]]="Male"),"Mached","Not mached")</f>
        <v>Mached</v>
      </c>
    </row>
    <row r="296" spans="4:16" x14ac:dyDescent="0.25">
      <c r="D296" s="6" t="s">
        <v>34</v>
      </c>
      <c r="E296">
        <v>2012</v>
      </c>
      <c r="F296" s="6" t="s">
        <v>40</v>
      </c>
      <c r="G296">
        <v>3</v>
      </c>
      <c r="H296">
        <v>27</v>
      </c>
      <c r="I296" s="6" t="s">
        <v>39</v>
      </c>
      <c r="J296" s="6" t="s">
        <v>37</v>
      </c>
      <c r="K296">
        <v>5</v>
      </c>
      <c r="M296" s="1" t="b">
        <f>Employee__2[[#This Row],[Experience]]&gt;1</f>
        <v>1</v>
      </c>
      <c r="N296" s="1" t="str">
        <f>IF(Employee__2[[#This Row],[City]]="Pune","Yes","No")</f>
        <v>No</v>
      </c>
      <c r="O296" s="1" t="str">
        <f>IF(AND(Employee__2[[#This Row],[Education]]="Bachelors",Employee__2[[#This Row],[City]]="Pune"),"Yes","No")</f>
        <v>No</v>
      </c>
      <c r="P296" s="1" t="str">
        <f>IF(OR(Employee__2[[#This Row],[Age]]&gt;=30,Employee__2[[#This Row],[Gender]]="Male"),"Mached","Not mached")</f>
        <v>Not mached</v>
      </c>
    </row>
    <row r="297" spans="4:16" x14ac:dyDescent="0.25">
      <c r="D297" s="6" t="s">
        <v>41</v>
      </c>
      <c r="E297">
        <v>2013</v>
      </c>
      <c r="F297" s="6" t="s">
        <v>40</v>
      </c>
      <c r="G297">
        <v>3</v>
      </c>
      <c r="H297">
        <v>26</v>
      </c>
      <c r="I297" s="6" t="s">
        <v>36</v>
      </c>
      <c r="J297" s="6" t="s">
        <v>37</v>
      </c>
      <c r="K297">
        <v>4</v>
      </c>
      <c r="M297" s="1" t="b">
        <f>Employee__2[[#This Row],[Experience]]&gt;1</f>
        <v>1</v>
      </c>
      <c r="N297" s="1" t="str">
        <f>IF(Employee__2[[#This Row],[City]]="Pune","Yes","No")</f>
        <v>No</v>
      </c>
      <c r="O297" s="1" t="str">
        <f>IF(AND(Employee__2[[#This Row],[Education]]="Bachelors",Employee__2[[#This Row],[City]]="Pune"),"Yes","No")</f>
        <v>No</v>
      </c>
      <c r="P297" s="1" t="str">
        <f>IF(OR(Employee__2[[#This Row],[Age]]&gt;=30,Employee__2[[#This Row],[Gender]]="Male"),"Mached","Not mached")</f>
        <v>Mached</v>
      </c>
    </row>
    <row r="298" spans="4:16" x14ac:dyDescent="0.25">
      <c r="D298" s="6" t="s">
        <v>34</v>
      </c>
      <c r="E298">
        <v>2015</v>
      </c>
      <c r="F298" s="6" t="s">
        <v>35</v>
      </c>
      <c r="G298">
        <v>3</v>
      </c>
      <c r="H298">
        <v>26</v>
      </c>
      <c r="I298" s="6" t="s">
        <v>39</v>
      </c>
      <c r="J298" s="6" t="s">
        <v>42</v>
      </c>
      <c r="K298">
        <v>4</v>
      </c>
      <c r="M298" s="1" t="b">
        <f>Employee__2[[#This Row],[Experience]]&gt;1</f>
        <v>1</v>
      </c>
      <c r="N298" s="1" t="str">
        <f>IF(Employee__2[[#This Row],[City]]="Pune","Yes","No")</f>
        <v>No</v>
      </c>
      <c r="O298" s="1" t="str">
        <f>IF(AND(Employee__2[[#This Row],[Education]]="Bachelors",Employee__2[[#This Row],[City]]="Pune"),"Yes","No")</f>
        <v>No</v>
      </c>
      <c r="P298" s="1" t="str">
        <f>IF(OR(Employee__2[[#This Row],[Age]]&gt;=30,Employee__2[[#This Row],[Gender]]="Male"),"Mached","Not mached")</f>
        <v>Not mached</v>
      </c>
    </row>
    <row r="299" spans="4:16" x14ac:dyDescent="0.25">
      <c r="D299" s="6" t="s">
        <v>34</v>
      </c>
      <c r="E299">
        <v>2014</v>
      </c>
      <c r="F299" s="6" t="s">
        <v>38</v>
      </c>
      <c r="G299">
        <v>3</v>
      </c>
      <c r="H299">
        <v>28</v>
      </c>
      <c r="I299" s="6" t="s">
        <v>36</v>
      </c>
      <c r="J299" s="6" t="s">
        <v>37</v>
      </c>
      <c r="K299">
        <v>2</v>
      </c>
      <c r="M299" s="1" t="b">
        <f>Employee__2[[#This Row],[Experience]]&gt;1</f>
        <v>1</v>
      </c>
      <c r="N299" s="1" t="str">
        <f>IF(Employee__2[[#This Row],[City]]="Pune","Yes","No")</f>
        <v>Yes</v>
      </c>
      <c r="O299" s="1" t="str">
        <f>IF(AND(Employee__2[[#This Row],[Education]]="Bachelors",Employee__2[[#This Row],[City]]="Pune"),"Yes","No")</f>
        <v>Yes</v>
      </c>
      <c r="P299" s="1" t="str">
        <f>IF(OR(Employee__2[[#This Row],[Age]]&gt;=30,Employee__2[[#This Row],[Gender]]="Male"),"Mached","Not mached")</f>
        <v>Mached</v>
      </c>
    </row>
    <row r="300" spans="4:16" x14ac:dyDescent="0.25">
      <c r="D300" s="6" t="s">
        <v>34</v>
      </c>
      <c r="E300">
        <v>2016</v>
      </c>
      <c r="F300" s="6" t="s">
        <v>35</v>
      </c>
      <c r="G300">
        <v>3</v>
      </c>
      <c r="H300">
        <v>24</v>
      </c>
      <c r="I300" s="6" t="s">
        <v>39</v>
      </c>
      <c r="J300" s="6" t="s">
        <v>37</v>
      </c>
      <c r="K300">
        <v>2</v>
      </c>
      <c r="M300" s="1" t="b">
        <f>Employee__2[[#This Row],[Experience]]&gt;1</f>
        <v>1</v>
      </c>
      <c r="N300" s="1" t="str">
        <f>IF(Employee__2[[#This Row],[City]]="Pune","Yes","No")</f>
        <v>No</v>
      </c>
      <c r="O300" s="1" t="str">
        <f>IF(AND(Employee__2[[#This Row],[Education]]="Bachelors",Employee__2[[#This Row],[City]]="Pune"),"Yes","No")</f>
        <v>No</v>
      </c>
      <c r="P300" s="1" t="str">
        <f>IF(OR(Employee__2[[#This Row],[Age]]&gt;=30,Employee__2[[#This Row],[Gender]]="Male"),"Mached","Not mached")</f>
        <v>Not mached</v>
      </c>
    </row>
    <row r="301" spans="4:16" x14ac:dyDescent="0.25">
      <c r="D301" s="6" t="s">
        <v>34</v>
      </c>
      <c r="E301">
        <v>2012</v>
      </c>
      <c r="F301" s="6" t="s">
        <v>35</v>
      </c>
      <c r="G301">
        <v>3</v>
      </c>
      <c r="H301">
        <v>28</v>
      </c>
      <c r="I301" s="6" t="s">
        <v>36</v>
      </c>
      <c r="J301" s="6" t="s">
        <v>37</v>
      </c>
      <c r="K301">
        <v>3</v>
      </c>
      <c r="M301" s="1" t="b">
        <f>Employee__2[[#This Row],[Experience]]&gt;1</f>
        <v>1</v>
      </c>
      <c r="N301" s="1" t="str">
        <f>IF(Employee__2[[#This Row],[City]]="Pune","Yes","No")</f>
        <v>No</v>
      </c>
      <c r="O301" s="1" t="str">
        <f>IF(AND(Employee__2[[#This Row],[Education]]="Bachelors",Employee__2[[#This Row],[City]]="Pune"),"Yes","No")</f>
        <v>No</v>
      </c>
      <c r="P301" s="1" t="str">
        <f>IF(OR(Employee__2[[#This Row],[Age]]&gt;=30,Employee__2[[#This Row],[Gender]]="Male"),"Mached","Not mached")</f>
        <v>Mached</v>
      </c>
    </row>
    <row r="302" spans="4:16" x14ac:dyDescent="0.25">
      <c r="D302" s="6" t="s">
        <v>34</v>
      </c>
      <c r="E302">
        <v>2012</v>
      </c>
      <c r="F302" s="6" t="s">
        <v>35</v>
      </c>
      <c r="G302">
        <v>3</v>
      </c>
      <c r="H302">
        <v>27</v>
      </c>
      <c r="I302" s="6" t="s">
        <v>36</v>
      </c>
      <c r="J302" s="6" t="s">
        <v>37</v>
      </c>
      <c r="K302">
        <v>5</v>
      </c>
      <c r="M302" s="1" t="b">
        <f>Employee__2[[#This Row],[Experience]]&gt;1</f>
        <v>1</v>
      </c>
      <c r="N302" s="1" t="str">
        <f>IF(Employee__2[[#This Row],[City]]="Pune","Yes","No")</f>
        <v>No</v>
      </c>
      <c r="O302" s="1" t="str">
        <f>IF(AND(Employee__2[[#This Row],[Education]]="Bachelors",Employee__2[[#This Row],[City]]="Pune"),"Yes","No")</f>
        <v>No</v>
      </c>
      <c r="P302" s="1" t="str">
        <f>IF(OR(Employee__2[[#This Row],[Age]]&gt;=30,Employee__2[[#This Row],[Gender]]="Male"),"Mached","Not mached")</f>
        <v>Mached</v>
      </c>
    </row>
    <row r="303" spans="4:16" x14ac:dyDescent="0.25">
      <c r="D303" s="6" t="s">
        <v>34</v>
      </c>
      <c r="E303">
        <v>2013</v>
      </c>
      <c r="F303" s="6" t="s">
        <v>35</v>
      </c>
      <c r="G303">
        <v>3</v>
      </c>
      <c r="H303">
        <v>26</v>
      </c>
      <c r="I303" s="6" t="s">
        <v>36</v>
      </c>
      <c r="J303" s="6" t="s">
        <v>37</v>
      </c>
      <c r="K303">
        <v>4</v>
      </c>
      <c r="M303" s="1" t="b">
        <f>Employee__2[[#This Row],[Experience]]&gt;1</f>
        <v>1</v>
      </c>
      <c r="N303" s="1" t="str">
        <f>IF(Employee__2[[#This Row],[City]]="Pune","Yes","No")</f>
        <v>No</v>
      </c>
      <c r="O303" s="1" t="str">
        <f>IF(AND(Employee__2[[#This Row],[Education]]="Bachelors",Employee__2[[#This Row],[City]]="Pune"),"Yes","No")</f>
        <v>No</v>
      </c>
      <c r="P303" s="1" t="str">
        <f>IF(OR(Employee__2[[#This Row],[Age]]&gt;=30,Employee__2[[#This Row],[Gender]]="Male"),"Mached","Not mached")</f>
        <v>Mached</v>
      </c>
    </row>
    <row r="304" spans="4:16" x14ac:dyDescent="0.25">
      <c r="D304" s="6" t="s">
        <v>34</v>
      </c>
      <c r="E304">
        <v>2014</v>
      </c>
      <c r="F304" s="6" t="s">
        <v>40</v>
      </c>
      <c r="G304">
        <v>3</v>
      </c>
      <c r="H304">
        <v>28</v>
      </c>
      <c r="I304" s="6" t="s">
        <v>39</v>
      </c>
      <c r="J304" s="6" t="s">
        <v>37</v>
      </c>
      <c r="K304">
        <v>1</v>
      </c>
      <c r="M304" s="1" t="b">
        <f>Employee__2[[#This Row],[Experience]]&gt;1</f>
        <v>0</v>
      </c>
      <c r="N304" s="1" t="str">
        <f>IF(Employee__2[[#This Row],[City]]="Pune","Yes","No")</f>
        <v>No</v>
      </c>
      <c r="O304" s="1" t="str">
        <f>IF(AND(Employee__2[[#This Row],[Education]]="Bachelors",Employee__2[[#This Row],[City]]="Pune"),"Yes","No")</f>
        <v>No</v>
      </c>
      <c r="P304" s="1" t="str">
        <f>IF(OR(Employee__2[[#This Row],[Age]]&gt;=30,Employee__2[[#This Row],[Gender]]="Male"),"Mached","Not mached")</f>
        <v>Not mached</v>
      </c>
    </row>
    <row r="305" spans="4:16" x14ac:dyDescent="0.25">
      <c r="D305" s="6" t="s">
        <v>34</v>
      </c>
      <c r="E305">
        <v>2014</v>
      </c>
      <c r="F305" s="6" t="s">
        <v>40</v>
      </c>
      <c r="G305">
        <v>3</v>
      </c>
      <c r="H305">
        <v>27</v>
      </c>
      <c r="I305" s="6" t="s">
        <v>39</v>
      </c>
      <c r="J305" s="6" t="s">
        <v>42</v>
      </c>
      <c r="K305">
        <v>5</v>
      </c>
      <c r="M305" s="1" t="b">
        <f>Employee__2[[#This Row],[Experience]]&gt;1</f>
        <v>1</v>
      </c>
      <c r="N305" s="1" t="str">
        <f>IF(Employee__2[[#This Row],[City]]="Pune","Yes","No")</f>
        <v>No</v>
      </c>
      <c r="O305" s="1" t="str">
        <f>IF(AND(Employee__2[[#This Row],[Education]]="Bachelors",Employee__2[[#This Row],[City]]="Pune"),"Yes","No")</f>
        <v>No</v>
      </c>
      <c r="P305" s="1" t="str">
        <f>IF(OR(Employee__2[[#This Row],[Age]]&gt;=30,Employee__2[[#This Row],[Gender]]="Male"),"Mached","Not mached")</f>
        <v>Not mached</v>
      </c>
    </row>
    <row r="306" spans="4:16" x14ac:dyDescent="0.25">
      <c r="D306" s="6" t="s">
        <v>34</v>
      </c>
      <c r="E306">
        <v>2015</v>
      </c>
      <c r="F306" s="6" t="s">
        <v>38</v>
      </c>
      <c r="G306">
        <v>3</v>
      </c>
      <c r="H306">
        <v>26</v>
      </c>
      <c r="I306" s="6" t="s">
        <v>39</v>
      </c>
      <c r="J306" s="6" t="s">
        <v>42</v>
      </c>
      <c r="K306">
        <v>4</v>
      </c>
      <c r="M306" s="1" t="b">
        <f>Employee__2[[#This Row],[Experience]]&gt;1</f>
        <v>1</v>
      </c>
      <c r="N306" s="1" t="str">
        <f>IF(Employee__2[[#This Row],[City]]="Pune","Yes","No")</f>
        <v>Yes</v>
      </c>
      <c r="O306" s="1" t="str">
        <f>IF(AND(Employee__2[[#This Row],[Education]]="Bachelors",Employee__2[[#This Row],[City]]="Pune"),"Yes","No")</f>
        <v>Yes</v>
      </c>
      <c r="P306" s="1" t="str">
        <f>IF(OR(Employee__2[[#This Row],[Age]]&gt;=30,Employee__2[[#This Row],[Gender]]="Male"),"Mached","Not mached")</f>
        <v>Not mached</v>
      </c>
    </row>
    <row r="307" spans="4:16" x14ac:dyDescent="0.25">
      <c r="D307" s="6" t="s">
        <v>41</v>
      </c>
      <c r="E307">
        <v>2014</v>
      </c>
      <c r="F307" s="6" t="s">
        <v>40</v>
      </c>
      <c r="G307">
        <v>3</v>
      </c>
      <c r="H307">
        <v>26</v>
      </c>
      <c r="I307" s="6" t="s">
        <v>36</v>
      </c>
      <c r="J307" s="6" t="s">
        <v>37</v>
      </c>
      <c r="K307">
        <v>4</v>
      </c>
      <c r="M307" s="1" t="b">
        <f>Employee__2[[#This Row],[Experience]]&gt;1</f>
        <v>1</v>
      </c>
      <c r="N307" s="1" t="str">
        <f>IF(Employee__2[[#This Row],[City]]="Pune","Yes","No")</f>
        <v>No</v>
      </c>
      <c r="O307" s="1" t="str">
        <f>IF(AND(Employee__2[[#This Row],[Education]]="Bachelors",Employee__2[[#This Row],[City]]="Pune"),"Yes","No")</f>
        <v>No</v>
      </c>
      <c r="P307" s="1" t="str">
        <f>IF(OR(Employee__2[[#This Row],[Age]]&gt;=30,Employee__2[[#This Row],[Gender]]="Male"),"Mached","Not mached")</f>
        <v>Mached</v>
      </c>
    </row>
    <row r="308" spans="4:16" x14ac:dyDescent="0.25">
      <c r="D308" s="6" t="s">
        <v>43</v>
      </c>
      <c r="E308">
        <v>2015</v>
      </c>
      <c r="F308" s="6" t="s">
        <v>40</v>
      </c>
      <c r="G308">
        <v>3</v>
      </c>
      <c r="H308">
        <v>25</v>
      </c>
      <c r="I308" s="6" t="s">
        <v>39</v>
      </c>
      <c r="J308" s="6" t="s">
        <v>37</v>
      </c>
      <c r="K308">
        <v>3</v>
      </c>
      <c r="M308" s="1" t="b">
        <f>Employee__2[[#This Row],[Experience]]&gt;1</f>
        <v>1</v>
      </c>
      <c r="N308" s="1" t="str">
        <f>IF(Employee__2[[#This Row],[City]]="Pune","Yes","No")</f>
        <v>No</v>
      </c>
      <c r="O308" s="1" t="str">
        <f>IF(AND(Employee__2[[#This Row],[Education]]="Bachelors",Employee__2[[#This Row],[City]]="Pune"),"Yes","No")</f>
        <v>No</v>
      </c>
      <c r="P308" s="1" t="str">
        <f>IF(OR(Employee__2[[#This Row],[Age]]&gt;=30,Employee__2[[#This Row],[Gender]]="Male"),"Mached","Not mached")</f>
        <v>Not mached</v>
      </c>
    </row>
    <row r="309" spans="4:16" x14ac:dyDescent="0.25">
      <c r="D309" s="6" t="s">
        <v>41</v>
      </c>
      <c r="E309">
        <v>2015</v>
      </c>
      <c r="F309" s="6" t="s">
        <v>40</v>
      </c>
      <c r="G309">
        <v>3</v>
      </c>
      <c r="H309">
        <v>25</v>
      </c>
      <c r="I309" s="6" t="s">
        <v>36</v>
      </c>
      <c r="J309" s="6" t="s">
        <v>37</v>
      </c>
      <c r="K309">
        <v>3</v>
      </c>
      <c r="M309" s="1" t="b">
        <f>Employee__2[[#This Row],[Experience]]&gt;1</f>
        <v>1</v>
      </c>
      <c r="N309" s="1" t="str">
        <f>IF(Employee__2[[#This Row],[City]]="Pune","Yes","No")</f>
        <v>No</v>
      </c>
      <c r="O309" s="1" t="str">
        <f>IF(AND(Employee__2[[#This Row],[Education]]="Bachelors",Employee__2[[#This Row],[City]]="Pune"),"Yes","No")</f>
        <v>No</v>
      </c>
      <c r="P309" s="1" t="str">
        <f>IF(OR(Employee__2[[#This Row],[Age]]&gt;=30,Employee__2[[#This Row],[Gender]]="Male"),"Mached","Not mached")</f>
        <v>Mached</v>
      </c>
    </row>
    <row r="310" spans="4:16" x14ac:dyDescent="0.25">
      <c r="D310" s="6" t="s">
        <v>34</v>
      </c>
      <c r="E310">
        <v>2012</v>
      </c>
      <c r="F310" s="6" t="s">
        <v>38</v>
      </c>
      <c r="G310">
        <v>3</v>
      </c>
      <c r="H310">
        <v>27</v>
      </c>
      <c r="I310" s="6" t="s">
        <v>36</v>
      </c>
      <c r="J310" s="6" t="s">
        <v>37</v>
      </c>
      <c r="K310">
        <v>5</v>
      </c>
      <c r="M310" s="1" t="b">
        <f>Employee__2[[#This Row],[Experience]]&gt;1</f>
        <v>1</v>
      </c>
      <c r="N310" s="1" t="str">
        <f>IF(Employee__2[[#This Row],[City]]="Pune","Yes","No")</f>
        <v>Yes</v>
      </c>
      <c r="O310" s="1" t="str">
        <f>IF(AND(Employee__2[[#This Row],[Education]]="Bachelors",Employee__2[[#This Row],[City]]="Pune"),"Yes","No")</f>
        <v>Yes</v>
      </c>
      <c r="P310" s="1" t="str">
        <f>IF(OR(Employee__2[[#This Row],[Age]]&gt;=30,Employee__2[[#This Row],[Gender]]="Male"),"Mached","Not mached")</f>
        <v>Mached</v>
      </c>
    </row>
    <row r="311" spans="4:16" x14ac:dyDescent="0.25">
      <c r="D311" s="6" t="s">
        <v>41</v>
      </c>
      <c r="E311">
        <v>2017</v>
      </c>
      <c r="F311" s="6" t="s">
        <v>40</v>
      </c>
      <c r="G311">
        <v>2</v>
      </c>
      <c r="H311">
        <v>24</v>
      </c>
      <c r="I311" s="6" t="s">
        <v>39</v>
      </c>
      <c r="J311" s="6" t="s">
        <v>37</v>
      </c>
      <c r="K311">
        <v>2</v>
      </c>
      <c r="M311" s="1" t="b">
        <f>Employee__2[[#This Row],[Experience]]&gt;1</f>
        <v>1</v>
      </c>
      <c r="N311" s="1" t="str">
        <f>IF(Employee__2[[#This Row],[City]]="Pune","Yes","No")</f>
        <v>No</v>
      </c>
      <c r="O311" s="1" t="str">
        <f>IF(AND(Employee__2[[#This Row],[Education]]="Bachelors",Employee__2[[#This Row],[City]]="Pune"),"Yes","No")</f>
        <v>No</v>
      </c>
      <c r="P311" s="1" t="str">
        <f>IF(OR(Employee__2[[#This Row],[Age]]&gt;=30,Employee__2[[#This Row],[Gender]]="Male"),"Mached","Not mached")</f>
        <v>Not mached</v>
      </c>
    </row>
    <row r="312" spans="4:16" x14ac:dyDescent="0.25">
      <c r="D312" s="6" t="s">
        <v>34</v>
      </c>
      <c r="E312">
        <v>2016</v>
      </c>
      <c r="F312" s="6" t="s">
        <v>35</v>
      </c>
      <c r="G312">
        <v>3</v>
      </c>
      <c r="H312">
        <v>24</v>
      </c>
      <c r="I312" s="6" t="s">
        <v>36</v>
      </c>
      <c r="J312" s="6" t="s">
        <v>37</v>
      </c>
      <c r="K312">
        <v>2</v>
      </c>
      <c r="M312" s="1" t="b">
        <f>Employee__2[[#This Row],[Experience]]&gt;1</f>
        <v>1</v>
      </c>
      <c r="N312" s="1" t="str">
        <f>IF(Employee__2[[#This Row],[City]]="Pune","Yes","No")</f>
        <v>No</v>
      </c>
      <c r="O312" s="1" t="str">
        <f>IF(AND(Employee__2[[#This Row],[Education]]="Bachelors",Employee__2[[#This Row],[City]]="Pune"),"Yes","No")</f>
        <v>No</v>
      </c>
      <c r="P312" s="1" t="str">
        <f>IF(OR(Employee__2[[#This Row],[Age]]&gt;=30,Employee__2[[#This Row],[Gender]]="Male"),"Mached","Not mached")</f>
        <v>Mached</v>
      </c>
    </row>
    <row r="313" spans="4:16" x14ac:dyDescent="0.25">
      <c r="D313" s="6" t="s">
        <v>41</v>
      </c>
      <c r="E313">
        <v>2015</v>
      </c>
      <c r="F313" s="6" t="s">
        <v>38</v>
      </c>
      <c r="G313">
        <v>3</v>
      </c>
      <c r="H313">
        <v>28</v>
      </c>
      <c r="I313" s="6" t="s">
        <v>39</v>
      </c>
      <c r="J313" s="6" t="s">
        <v>37</v>
      </c>
      <c r="K313">
        <v>2</v>
      </c>
      <c r="M313" s="1" t="b">
        <f>Employee__2[[#This Row],[Experience]]&gt;1</f>
        <v>1</v>
      </c>
      <c r="N313" s="1" t="str">
        <f>IF(Employee__2[[#This Row],[City]]="Pune","Yes","No")</f>
        <v>Yes</v>
      </c>
      <c r="O313" s="1" t="str">
        <f>IF(AND(Employee__2[[#This Row],[Education]]="Bachelors",Employee__2[[#This Row],[City]]="Pune"),"Yes","No")</f>
        <v>No</v>
      </c>
      <c r="P313" s="1" t="str">
        <f>IF(OR(Employee__2[[#This Row],[Age]]&gt;=30,Employee__2[[#This Row],[Gender]]="Male"),"Mached","Not mached")</f>
        <v>Not mached</v>
      </c>
    </row>
    <row r="314" spans="4:16" x14ac:dyDescent="0.25">
      <c r="D314" s="6" t="s">
        <v>34</v>
      </c>
      <c r="E314">
        <v>2017</v>
      </c>
      <c r="F314" s="6" t="s">
        <v>35</v>
      </c>
      <c r="G314">
        <v>3</v>
      </c>
      <c r="H314">
        <v>24</v>
      </c>
      <c r="I314" s="6" t="s">
        <v>39</v>
      </c>
      <c r="J314" s="6" t="s">
        <v>37</v>
      </c>
      <c r="K314">
        <v>2</v>
      </c>
      <c r="M314" s="1" t="b">
        <f>Employee__2[[#This Row],[Experience]]&gt;1</f>
        <v>1</v>
      </c>
      <c r="N314" s="1" t="str">
        <f>IF(Employee__2[[#This Row],[City]]="Pune","Yes","No")</f>
        <v>No</v>
      </c>
      <c r="O314" s="1" t="str">
        <f>IF(AND(Employee__2[[#This Row],[Education]]="Bachelors",Employee__2[[#This Row],[City]]="Pune"),"Yes","No")</f>
        <v>No</v>
      </c>
      <c r="P314" s="1" t="str">
        <f>IF(OR(Employee__2[[#This Row],[Age]]&gt;=30,Employee__2[[#This Row],[Gender]]="Male"),"Mached","Not mached")</f>
        <v>Not mached</v>
      </c>
    </row>
    <row r="315" spans="4:16" x14ac:dyDescent="0.25">
      <c r="D315" s="6" t="s">
        <v>34</v>
      </c>
      <c r="E315">
        <v>2017</v>
      </c>
      <c r="F315" s="6" t="s">
        <v>38</v>
      </c>
      <c r="G315">
        <v>3</v>
      </c>
      <c r="H315">
        <v>25</v>
      </c>
      <c r="I315" s="6" t="s">
        <v>36</v>
      </c>
      <c r="J315" s="6" t="s">
        <v>37</v>
      </c>
      <c r="K315">
        <v>3</v>
      </c>
      <c r="M315" s="1" t="b">
        <f>Employee__2[[#This Row],[Experience]]&gt;1</f>
        <v>1</v>
      </c>
      <c r="N315" s="1" t="str">
        <f>IF(Employee__2[[#This Row],[City]]="Pune","Yes","No")</f>
        <v>Yes</v>
      </c>
      <c r="O315" s="1" t="str">
        <f>IF(AND(Employee__2[[#This Row],[Education]]="Bachelors",Employee__2[[#This Row],[City]]="Pune"),"Yes","No")</f>
        <v>Yes</v>
      </c>
      <c r="P315" s="1" t="str">
        <f>IF(OR(Employee__2[[#This Row],[Age]]&gt;=30,Employee__2[[#This Row],[Gender]]="Male"),"Mached","Not mached")</f>
        <v>Mached</v>
      </c>
    </row>
    <row r="316" spans="4:16" x14ac:dyDescent="0.25">
      <c r="D316" s="6" t="s">
        <v>34</v>
      </c>
      <c r="E316">
        <v>2017</v>
      </c>
      <c r="F316" s="6" t="s">
        <v>35</v>
      </c>
      <c r="G316">
        <v>1</v>
      </c>
      <c r="H316">
        <v>25</v>
      </c>
      <c r="I316" s="6" t="s">
        <v>36</v>
      </c>
      <c r="J316" s="6" t="s">
        <v>37</v>
      </c>
      <c r="K316">
        <v>3</v>
      </c>
      <c r="M316" s="1" t="b">
        <f>Employee__2[[#This Row],[Experience]]&gt;1</f>
        <v>1</v>
      </c>
      <c r="N316" s="1" t="str">
        <f>IF(Employee__2[[#This Row],[City]]="Pune","Yes","No")</f>
        <v>No</v>
      </c>
      <c r="O316" s="1" t="str">
        <f>IF(AND(Employee__2[[#This Row],[Education]]="Bachelors",Employee__2[[#This Row],[City]]="Pune"),"Yes","No")</f>
        <v>No</v>
      </c>
      <c r="P316" s="1" t="str">
        <f>IF(OR(Employee__2[[#This Row],[Age]]&gt;=30,Employee__2[[#This Row],[Gender]]="Male"),"Mached","Not mached")</f>
        <v>Mached</v>
      </c>
    </row>
    <row r="317" spans="4:16" x14ac:dyDescent="0.25">
      <c r="D317" s="6" t="s">
        <v>41</v>
      </c>
      <c r="E317">
        <v>2015</v>
      </c>
      <c r="F317" s="6" t="s">
        <v>38</v>
      </c>
      <c r="G317">
        <v>3</v>
      </c>
      <c r="H317">
        <v>28</v>
      </c>
      <c r="I317" s="6" t="s">
        <v>39</v>
      </c>
      <c r="J317" s="6" t="s">
        <v>37</v>
      </c>
      <c r="K317">
        <v>2</v>
      </c>
      <c r="M317" s="1" t="b">
        <f>Employee__2[[#This Row],[Experience]]&gt;1</f>
        <v>1</v>
      </c>
      <c r="N317" s="1" t="str">
        <f>IF(Employee__2[[#This Row],[City]]="Pune","Yes","No")</f>
        <v>Yes</v>
      </c>
      <c r="O317" s="1" t="str">
        <f>IF(AND(Employee__2[[#This Row],[Education]]="Bachelors",Employee__2[[#This Row],[City]]="Pune"),"Yes","No")</f>
        <v>No</v>
      </c>
      <c r="P317" s="1" t="str">
        <f>IF(OR(Employee__2[[#This Row],[Age]]&gt;=30,Employee__2[[#This Row],[Gender]]="Male"),"Mached","Not mached")</f>
        <v>Not mached</v>
      </c>
    </row>
    <row r="318" spans="4:16" x14ac:dyDescent="0.25">
      <c r="D318" s="6" t="s">
        <v>34</v>
      </c>
      <c r="E318">
        <v>2017</v>
      </c>
      <c r="F318" s="6" t="s">
        <v>38</v>
      </c>
      <c r="G318">
        <v>3</v>
      </c>
      <c r="H318">
        <v>26</v>
      </c>
      <c r="I318" s="6" t="s">
        <v>36</v>
      </c>
      <c r="J318" s="6" t="s">
        <v>37</v>
      </c>
      <c r="K318">
        <v>4</v>
      </c>
      <c r="M318" s="1" t="b">
        <f>Employee__2[[#This Row],[Experience]]&gt;1</f>
        <v>1</v>
      </c>
      <c r="N318" s="1" t="str">
        <f>IF(Employee__2[[#This Row],[City]]="Pune","Yes","No")</f>
        <v>Yes</v>
      </c>
      <c r="O318" s="1" t="str">
        <f>IF(AND(Employee__2[[#This Row],[Education]]="Bachelors",Employee__2[[#This Row],[City]]="Pune"),"Yes","No")</f>
        <v>Yes</v>
      </c>
      <c r="P318" s="1" t="str">
        <f>IF(OR(Employee__2[[#This Row],[Age]]&gt;=30,Employee__2[[#This Row],[Gender]]="Male"),"Mached","Not mached")</f>
        <v>Mached</v>
      </c>
    </row>
    <row r="319" spans="4:16" x14ac:dyDescent="0.25">
      <c r="D319" s="6" t="s">
        <v>34</v>
      </c>
      <c r="E319">
        <v>2014</v>
      </c>
      <c r="F319" s="6" t="s">
        <v>38</v>
      </c>
      <c r="G319">
        <v>3</v>
      </c>
      <c r="H319">
        <v>24</v>
      </c>
      <c r="I319" s="6" t="s">
        <v>36</v>
      </c>
      <c r="J319" s="6" t="s">
        <v>37</v>
      </c>
      <c r="K319">
        <v>2</v>
      </c>
      <c r="M319" s="1" t="b">
        <f>Employee__2[[#This Row],[Experience]]&gt;1</f>
        <v>1</v>
      </c>
      <c r="N319" s="1" t="str">
        <f>IF(Employee__2[[#This Row],[City]]="Pune","Yes","No")</f>
        <v>Yes</v>
      </c>
      <c r="O319" s="1" t="str">
        <f>IF(AND(Employee__2[[#This Row],[Education]]="Bachelors",Employee__2[[#This Row],[City]]="Pune"),"Yes","No")</f>
        <v>Yes</v>
      </c>
      <c r="P319" s="1" t="str">
        <f>IF(OR(Employee__2[[#This Row],[Age]]&gt;=30,Employee__2[[#This Row],[Gender]]="Male"),"Mached","Not mached")</f>
        <v>Mached</v>
      </c>
    </row>
    <row r="320" spans="4:16" x14ac:dyDescent="0.25">
      <c r="D320" s="6" t="s">
        <v>34</v>
      </c>
      <c r="E320">
        <v>2014</v>
      </c>
      <c r="F320" s="6" t="s">
        <v>38</v>
      </c>
      <c r="G320">
        <v>3</v>
      </c>
      <c r="H320">
        <v>25</v>
      </c>
      <c r="I320" s="6" t="s">
        <v>39</v>
      </c>
      <c r="J320" s="6" t="s">
        <v>37</v>
      </c>
      <c r="K320">
        <v>3</v>
      </c>
      <c r="M320" s="1" t="b">
        <f>Employee__2[[#This Row],[Experience]]&gt;1</f>
        <v>1</v>
      </c>
      <c r="N320" s="1" t="str">
        <f>IF(Employee__2[[#This Row],[City]]="Pune","Yes","No")</f>
        <v>Yes</v>
      </c>
      <c r="O320" s="1" t="str">
        <f>IF(AND(Employee__2[[#This Row],[Education]]="Bachelors",Employee__2[[#This Row],[City]]="Pune"),"Yes","No")</f>
        <v>Yes</v>
      </c>
      <c r="P320" s="1" t="str">
        <f>IF(OR(Employee__2[[#This Row],[Age]]&gt;=30,Employee__2[[#This Row],[Gender]]="Male"),"Mached","Not mached")</f>
        <v>Not mached</v>
      </c>
    </row>
    <row r="321" spans="4:16" x14ac:dyDescent="0.25">
      <c r="D321" s="6" t="s">
        <v>34</v>
      </c>
      <c r="E321">
        <v>2018</v>
      </c>
      <c r="F321" s="6" t="s">
        <v>38</v>
      </c>
      <c r="G321">
        <v>3</v>
      </c>
      <c r="H321">
        <v>26</v>
      </c>
      <c r="I321" s="6" t="s">
        <v>39</v>
      </c>
      <c r="J321" s="6" t="s">
        <v>37</v>
      </c>
      <c r="K321">
        <v>4</v>
      </c>
      <c r="M321" s="1" t="b">
        <f>Employee__2[[#This Row],[Experience]]&gt;1</f>
        <v>1</v>
      </c>
      <c r="N321" s="1" t="str">
        <f>IF(Employee__2[[#This Row],[City]]="Pune","Yes","No")</f>
        <v>Yes</v>
      </c>
      <c r="O321" s="1" t="str">
        <f>IF(AND(Employee__2[[#This Row],[Education]]="Bachelors",Employee__2[[#This Row],[City]]="Pune"),"Yes","No")</f>
        <v>Yes</v>
      </c>
      <c r="P321" s="1" t="str">
        <f>IF(OR(Employee__2[[#This Row],[Age]]&gt;=30,Employee__2[[#This Row],[Gender]]="Male"),"Mached","Not mached")</f>
        <v>Not mached</v>
      </c>
    </row>
    <row r="322" spans="4:16" x14ac:dyDescent="0.25">
      <c r="D322" s="6" t="s">
        <v>34</v>
      </c>
      <c r="E322">
        <v>2016</v>
      </c>
      <c r="F322" s="6" t="s">
        <v>35</v>
      </c>
      <c r="G322">
        <v>3</v>
      </c>
      <c r="H322">
        <v>27</v>
      </c>
      <c r="I322" s="6" t="s">
        <v>36</v>
      </c>
      <c r="J322" s="6" t="s">
        <v>37</v>
      </c>
      <c r="K322">
        <v>5</v>
      </c>
      <c r="M322" s="1" t="b">
        <f>Employee__2[[#This Row],[Experience]]&gt;1</f>
        <v>1</v>
      </c>
      <c r="N322" s="1" t="str">
        <f>IF(Employee__2[[#This Row],[City]]="Pune","Yes","No")</f>
        <v>No</v>
      </c>
      <c r="O322" s="1" t="str">
        <f>IF(AND(Employee__2[[#This Row],[Education]]="Bachelors",Employee__2[[#This Row],[City]]="Pune"),"Yes","No")</f>
        <v>No</v>
      </c>
      <c r="P322" s="1" t="str">
        <f>IF(OR(Employee__2[[#This Row],[Age]]&gt;=30,Employee__2[[#This Row],[Gender]]="Male"),"Mached","Not mached")</f>
        <v>Mached</v>
      </c>
    </row>
    <row r="323" spans="4:16" x14ac:dyDescent="0.25">
      <c r="D323" s="6" t="s">
        <v>34</v>
      </c>
      <c r="E323">
        <v>2017</v>
      </c>
      <c r="F323" s="6" t="s">
        <v>35</v>
      </c>
      <c r="G323">
        <v>3</v>
      </c>
      <c r="H323">
        <v>28</v>
      </c>
      <c r="I323" s="6" t="s">
        <v>39</v>
      </c>
      <c r="J323" s="6" t="s">
        <v>37</v>
      </c>
      <c r="K323">
        <v>2</v>
      </c>
      <c r="M323" s="1" t="b">
        <f>Employee__2[[#This Row],[Experience]]&gt;1</f>
        <v>1</v>
      </c>
      <c r="N323" s="1" t="str">
        <f>IF(Employee__2[[#This Row],[City]]="Pune","Yes","No")</f>
        <v>No</v>
      </c>
      <c r="O323" s="1" t="str">
        <f>IF(AND(Employee__2[[#This Row],[Education]]="Bachelors",Employee__2[[#This Row],[City]]="Pune"),"Yes","No")</f>
        <v>No</v>
      </c>
      <c r="P323" s="1" t="str">
        <f>IF(OR(Employee__2[[#This Row],[Age]]&gt;=30,Employee__2[[#This Row],[Gender]]="Male"),"Mached","Not mached")</f>
        <v>Not mached</v>
      </c>
    </row>
    <row r="324" spans="4:16" x14ac:dyDescent="0.25">
      <c r="D324" s="6" t="s">
        <v>34</v>
      </c>
      <c r="E324">
        <v>2012</v>
      </c>
      <c r="F324" s="6" t="s">
        <v>38</v>
      </c>
      <c r="G324">
        <v>3</v>
      </c>
      <c r="H324">
        <v>28</v>
      </c>
      <c r="I324" s="6" t="s">
        <v>36</v>
      </c>
      <c r="J324" s="6" t="s">
        <v>37</v>
      </c>
      <c r="K324">
        <v>2</v>
      </c>
      <c r="M324" s="1" t="b">
        <f>Employee__2[[#This Row],[Experience]]&gt;1</f>
        <v>1</v>
      </c>
      <c r="N324" s="1" t="str">
        <f>IF(Employee__2[[#This Row],[City]]="Pune","Yes","No")</f>
        <v>Yes</v>
      </c>
      <c r="O324" s="1" t="str">
        <f>IF(AND(Employee__2[[#This Row],[Education]]="Bachelors",Employee__2[[#This Row],[City]]="Pune"),"Yes","No")</f>
        <v>Yes</v>
      </c>
      <c r="P324" s="1" t="str">
        <f>IF(OR(Employee__2[[#This Row],[Age]]&gt;=30,Employee__2[[#This Row],[Gender]]="Male"),"Mached","Not mached")</f>
        <v>Mached</v>
      </c>
    </row>
    <row r="325" spans="4:16" x14ac:dyDescent="0.25">
      <c r="D325" s="6" t="s">
        <v>41</v>
      </c>
      <c r="E325">
        <v>2012</v>
      </c>
      <c r="F325" s="6" t="s">
        <v>40</v>
      </c>
      <c r="G325">
        <v>3</v>
      </c>
      <c r="H325">
        <v>24</v>
      </c>
      <c r="I325" s="6" t="s">
        <v>39</v>
      </c>
      <c r="J325" s="6" t="s">
        <v>37</v>
      </c>
      <c r="K325">
        <v>2</v>
      </c>
      <c r="M325" s="1" t="b">
        <f>Employee__2[[#This Row],[Experience]]&gt;1</f>
        <v>1</v>
      </c>
      <c r="N325" s="1" t="str">
        <f>IF(Employee__2[[#This Row],[City]]="Pune","Yes","No")</f>
        <v>No</v>
      </c>
      <c r="O325" s="1" t="str">
        <f>IF(AND(Employee__2[[#This Row],[Education]]="Bachelors",Employee__2[[#This Row],[City]]="Pune"),"Yes","No")</f>
        <v>No</v>
      </c>
      <c r="P325" s="1" t="str">
        <f>IF(OR(Employee__2[[#This Row],[Age]]&gt;=30,Employee__2[[#This Row],[Gender]]="Male"),"Mached","Not mached")</f>
        <v>Not mached</v>
      </c>
    </row>
    <row r="326" spans="4:16" x14ac:dyDescent="0.25">
      <c r="D326" s="6" t="s">
        <v>34</v>
      </c>
      <c r="E326">
        <v>2013</v>
      </c>
      <c r="F326" s="6" t="s">
        <v>35</v>
      </c>
      <c r="G326">
        <v>3</v>
      </c>
      <c r="H326">
        <v>26</v>
      </c>
      <c r="I326" s="6" t="s">
        <v>36</v>
      </c>
      <c r="J326" s="6" t="s">
        <v>37</v>
      </c>
      <c r="K326">
        <v>4</v>
      </c>
      <c r="M326" s="1" t="b">
        <f>Employee__2[[#This Row],[Experience]]&gt;1</f>
        <v>1</v>
      </c>
      <c r="N326" s="1" t="str">
        <f>IF(Employee__2[[#This Row],[City]]="Pune","Yes","No")</f>
        <v>No</v>
      </c>
      <c r="O326" s="1" t="str">
        <f>IF(AND(Employee__2[[#This Row],[Education]]="Bachelors",Employee__2[[#This Row],[City]]="Pune"),"Yes","No")</f>
        <v>No</v>
      </c>
      <c r="P326" s="1" t="str">
        <f>IF(OR(Employee__2[[#This Row],[Age]]&gt;=30,Employee__2[[#This Row],[Gender]]="Male"),"Mached","Not mached")</f>
        <v>Mached</v>
      </c>
    </row>
    <row r="327" spans="4:16" x14ac:dyDescent="0.25">
      <c r="D327" s="6" t="s">
        <v>34</v>
      </c>
      <c r="E327">
        <v>2015</v>
      </c>
      <c r="F327" s="6" t="s">
        <v>40</v>
      </c>
      <c r="G327">
        <v>3</v>
      </c>
      <c r="H327">
        <v>26</v>
      </c>
      <c r="I327" s="6" t="s">
        <v>39</v>
      </c>
      <c r="J327" s="6" t="s">
        <v>42</v>
      </c>
      <c r="K327">
        <v>4</v>
      </c>
      <c r="M327" s="1" t="b">
        <f>Employee__2[[#This Row],[Experience]]&gt;1</f>
        <v>1</v>
      </c>
      <c r="N327" s="1" t="str">
        <f>IF(Employee__2[[#This Row],[City]]="Pune","Yes","No")</f>
        <v>No</v>
      </c>
      <c r="O327" s="1" t="str">
        <f>IF(AND(Employee__2[[#This Row],[Education]]="Bachelors",Employee__2[[#This Row],[City]]="Pune"),"Yes","No")</f>
        <v>No</v>
      </c>
      <c r="P327" s="1" t="str">
        <f>IF(OR(Employee__2[[#This Row],[Age]]&gt;=30,Employee__2[[#This Row],[Gender]]="Male"),"Mached","Not mached")</f>
        <v>Not mached</v>
      </c>
    </row>
    <row r="328" spans="4:16" x14ac:dyDescent="0.25">
      <c r="D328" s="6" t="s">
        <v>34</v>
      </c>
      <c r="E328">
        <v>2017</v>
      </c>
      <c r="F328" s="6" t="s">
        <v>35</v>
      </c>
      <c r="G328">
        <v>3</v>
      </c>
      <c r="H328">
        <v>28</v>
      </c>
      <c r="I328" s="6" t="s">
        <v>36</v>
      </c>
      <c r="J328" s="6" t="s">
        <v>37</v>
      </c>
      <c r="K328">
        <v>1</v>
      </c>
      <c r="M328" s="1" t="b">
        <f>Employee__2[[#This Row],[Experience]]&gt;1</f>
        <v>0</v>
      </c>
      <c r="N328" s="1" t="str">
        <f>IF(Employee__2[[#This Row],[City]]="Pune","Yes","No")</f>
        <v>No</v>
      </c>
      <c r="O328" s="1" t="str">
        <f>IF(AND(Employee__2[[#This Row],[Education]]="Bachelors",Employee__2[[#This Row],[City]]="Pune"),"Yes","No")</f>
        <v>No</v>
      </c>
      <c r="P328" s="1" t="str">
        <f>IF(OR(Employee__2[[#This Row],[Age]]&gt;=30,Employee__2[[#This Row],[Gender]]="Male"),"Mached","Not mached")</f>
        <v>Mached</v>
      </c>
    </row>
    <row r="329" spans="4:16" x14ac:dyDescent="0.25">
      <c r="D329" s="6" t="s">
        <v>34</v>
      </c>
      <c r="E329">
        <v>2018</v>
      </c>
      <c r="F329" s="6" t="s">
        <v>38</v>
      </c>
      <c r="G329">
        <v>3</v>
      </c>
      <c r="H329">
        <v>25</v>
      </c>
      <c r="I329" s="6" t="s">
        <v>36</v>
      </c>
      <c r="J329" s="6" t="s">
        <v>42</v>
      </c>
      <c r="K329">
        <v>3</v>
      </c>
      <c r="M329" s="1" t="b">
        <f>Employee__2[[#This Row],[Experience]]&gt;1</f>
        <v>1</v>
      </c>
      <c r="N329" s="1" t="str">
        <f>IF(Employee__2[[#This Row],[City]]="Pune","Yes","No")</f>
        <v>Yes</v>
      </c>
      <c r="O329" s="1" t="str">
        <f>IF(AND(Employee__2[[#This Row],[Education]]="Bachelors",Employee__2[[#This Row],[City]]="Pune"),"Yes","No")</f>
        <v>Yes</v>
      </c>
      <c r="P329" s="1" t="str">
        <f>IF(OR(Employee__2[[#This Row],[Age]]&gt;=30,Employee__2[[#This Row],[Gender]]="Male"),"Mached","Not mached")</f>
        <v>Mached</v>
      </c>
    </row>
    <row r="330" spans="4:16" x14ac:dyDescent="0.25">
      <c r="D330" s="6" t="s">
        <v>41</v>
      </c>
      <c r="E330">
        <v>2017</v>
      </c>
      <c r="F330" s="6" t="s">
        <v>40</v>
      </c>
      <c r="G330">
        <v>3</v>
      </c>
      <c r="H330">
        <v>24</v>
      </c>
      <c r="I330" s="6" t="s">
        <v>36</v>
      </c>
      <c r="J330" s="6" t="s">
        <v>37</v>
      </c>
      <c r="K330">
        <v>2</v>
      </c>
      <c r="M330" s="1" t="b">
        <f>Employee__2[[#This Row],[Experience]]&gt;1</f>
        <v>1</v>
      </c>
      <c r="N330" s="1" t="str">
        <f>IF(Employee__2[[#This Row],[City]]="Pune","Yes","No")</f>
        <v>No</v>
      </c>
      <c r="O330" s="1" t="str">
        <f>IF(AND(Employee__2[[#This Row],[Education]]="Bachelors",Employee__2[[#This Row],[City]]="Pune"),"Yes","No")</f>
        <v>No</v>
      </c>
      <c r="P330" s="1" t="str">
        <f>IF(OR(Employee__2[[#This Row],[Age]]&gt;=30,Employee__2[[#This Row],[Gender]]="Male"),"Mached","Not mached")</f>
        <v>Mached</v>
      </c>
    </row>
    <row r="331" spans="4:16" x14ac:dyDescent="0.25">
      <c r="D331" s="6" t="s">
        <v>34</v>
      </c>
      <c r="E331">
        <v>2013</v>
      </c>
      <c r="F331" s="6" t="s">
        <v>35</v>
      </c>
      <c r="G331">
        <v>3</v>
      </c>
      <c r="H331">
        <v>28</v>
      </c>
      <c r="I331" s="6" t="s">
        <v>36</v>
      </c>
      <c r="J331" s="6" t="s">
        <v>37</v>
      </c>
      <c r="K331">
        <v>2</v>
      </c>
      <c r="M331" s="1" t="b">
        <f>Employee__2[[#This Row],[Experience]]&gt;1</f>
        <v>1</v>
      </c>
      <c r="N331" s="1" t="str">
        <f>IF(Employee__2[[#This Row],[City]]="Pune","Yes","No")</f>
        <v>No</v>
      </c>
      <c r="O331" s="1" t="str">
        <f>IF(AND(Employee__2[[#This Row],[Education]]="Bachelors",Employee__2[[#This Row],[City]]="Pune"),"Yes","No")</f>
        <v>No</v>
      </c>
      <c r="P331" s="1" t="str">
        <f>IF(OR(Employee__2[[#This Row],[Age]]&gt;=30,Employee__2[[#This Row],[Gender]]="Male"),"Mached","Not mached")</f>
        <v>Mached</v>
      </c>
    </row>
    <row r="332" spans="4:16" x14ac:dyDescent="0.25">
      <c r="D332" s="6" t="s">
        <v>34</v>
      </c>
      <c r="E332">
        <v>2017</v>
      </c>
      <c r="F332" s="6" t="s">
        <v>35</v>
      </c>
      <c r="G332">
        <v>3</v>
      </c>
      <c r="H332">
        <v>24</v>
      </c>
      <c r="I332" s="6" t="s">
        <v>36</v>
      </c>
      <c r="J332" s="6" t="s">
        <v>37</v>
      </c>
      <c r="K332">
        <v>2</v>
      </c>
      <c r="M332" s="1" t="b">
        <f>Employee__2[[#This Row],[Experience]]&gt;1</f>
        <v>1</v>
      </c>
      <c r="N332" s="1" t="str">
        <f>IF(Employee__2[[#This Row],[City]]="Pune","Yes","No")</f>
        <v>No</v>
      </c>
      <c r="O332" s="1" t="str">
        <f>IF(AND(Employee__2[[#This Row],[Education]]="Bachelors",Employee__2[[#This Row],[City]]="Pune"),"Yes","No")</f>
        <v>No</v>
      </c>
      <c r="P332" s="1" t="str">
        <f>IF(OR(Employee__2[[#This Row],[Age]]&gt;=30,Employee__2[[#This Row],[Gender]]="Male"),"Mached","Not mached")</f>
        <v>Mached</v>
      </c>
    </row>
    <row r="333" spans="4:16" x14ac:dyDescent="0.25">
      <c r="D333" s="6" t="s">
        <v>41</v>
      </c>
      <c r="E333">
        <v>2017</v>
      </c>
      <c r="F333" s="6" t="s">
        <v>40</v>
      </c>
      <c r="G333">
        <v>2</v>
      </c>
      <c r="H333">
        <v>25</v>
      </c>
      <c r="I333" s="6" t="s">
        <v>39</v>
      </c>
      <c r="J333" s="6" t="s">
        <v>37</v>
      </c>
      <c r="K333">
        <v>3</v>
      </c>
      <c r="M333" s="1" t="b">
        <f>Employee__2[[#This Row],[Experience]]&gt;1</f>
        <v>1</v>
      </c>
      <c r="N333" s="1" t="str">
        <f>IF(Employee__2[[#This Row],[City]]="Pune","Yes","No")</f>
        <v>No</v>
      </c>
      <c r="O333" s="1" t="str">
        <f>IF(AND(Employee__2[[#This Row],[Education]]="Bachelors",Employee__2[[#This Row],[City]]="Pune"),"Yes","No")</f>
        <v>No</v>
      </c>
      <c r="P333" s="1" t="str">
        <f>IF(OR(Employee__2[[#This Row],[Age]]&gt;=30,Employee__2[[#This Row],[Gender]]="Male"),"Mached","Not mached")</f>
        <v>Not mached</v>
      </c>
    </row>
    <row r="334" spans="4:16" x14ac:dyDescent="0.25">
      <c r="D334" s="6" t="s">
        <v>34</v>
      </c>
      <c r="E334">
        <v>2013</v>
      </c>
      <c r="F334" s="6" t="s">
        <v>38</v>
      </c>
      <c r="G334">
        <v>2</v>
      </c>
      <c r="H334">
        <v>28</v>
      </c>
      <c r="I334" s="6" t="s">
        <v>39</v>
      </c>
      <c r="J334" s="6" t="s">
        <v>37</v>
      </c>
      <c r="K334">
        <v>1</v>
      </c>
      <c r="M334" s="1" t="b">
        <f>Employee__2[[#This Row],[Experience]]&gt;1</f>
        <v>0</v>
      </c>
      <c r="N334" s="1" t="str">
        <f>IF(Employee__2[[#This Row],[City]]="Pune","Yes","No")</f>
        <v>Yes</v>
      </c>
      <c r="O334" s="1" t="str">
        <f>IF(AND(Employee__2[[#This Row],[Education]]="Bachelors",Employee__2[[#This Row],[City]]="Pune"),"Yes","No")</f>
        <v>Yes</v>
      </c>
      <c r="P334" s="1" t="str">
        <f>IF(OR(Employee__2[[#This Row],[Age]]&gt;=30,Employee__2[[#This Row],[Gender]]="Male"),"Mached","Not mached")</f>
        <v>Not mached</v>
      </c>
    </row>
    <row r="335" spans="4:16" x14ac:dyDescent="0.25">
      <c r="D335" s="6" t="s">
        <v>34</v>
      </c>
      <c r="E335">
        <v>2015</v>
      </c>
      <c r="F335" s="6" t="s">
        <v>35</v>
      </c>
      <c r="G335">
        <v>3</v>
      </c>
      <c r="H335">
        <v>24</v>
      </c>
      <c r="I335" s="6" t="s">
        <v>39</v>
      </c>
      <c r="J335" s="6" t="s">
        <v>37</v>
      </c>
      <c r="K335">
        <v>2</v>
      </c>
      <c r="M335" s="1" t="b">
        <f>Employee__2[[#This Row],[Experience]]&gt;1</f>
        <v>1</v>
      </c>
      <c r="N335" s="1" t="str">
        <f>IF(Employee__2[[#This Row],[City]]="Pune","Yes","No")</f>
        <v>No</v>
      </c>
      <c r="O335" s="1" t="str">
        <f>IF(AND(Employee__2[[#This Row],[Education]]="Bachelors",Employee__2[[#This Row],[City]]="Pune"),"Yes","No")</f>
        <v>No</v>
      </c>
      <c r="P335" s="1" t="str">
        <f>IF(OR(Employee__2[[#This Row],[Age]]&gt;=30,Employee__2[[#This Row],[Gender]]="Male"),"Mached","Not mached")</f>
        <v>Not mached</v>
      </c>
    </row>
    <row r="336" spans="4:16" x14ac:dyDescent="0.25">
      <c r="D336" s="6" t="s">
        <v>34</v>
      </c>
      <c r="E336">
        <v>2016</v>
      </c>
      <c r="F336" s="6" t="s">
        <v>38</v>
      </c>
      <c r="G336">
        <v>3</v>
      </c>
      <c r="H336">
        <v>26</v>
      </c>
      <c r="I336" s="6" t="s">
        <v>36</v>
      </c>
      <c r="J336" s="6" t="s">
        <v>37</v>
      </c>
      <c r="K336">
        <v>4</v>
      </c>
      <c r="M336" s="1" t="b">
        <f>Employee__2[[#This Row],[Experience]]&gt;1</f>
        <v>1</v>
      </c>
      <c r="N336" s="1" t="str">
        <f>IF(Employee__2[[#This Row],[City]]="Pune","Yes","No")</f>
        <v>Yes</v>
      </c>
      <c r="O336" s="1" t="str">
        <f>IF(AND(Employee__2[[#This Row],[Education]]="Bachelors",Employee__2[[#This Row],[City]]="Pune"),"Yes","No")</f>
        <v>Yes</v>
      </c>
      <c r="P336" s="1" t="str">
        <f>IF(OR(Employee__2[[#This Row],[Age]]&gt;=30,Employee__2[[#This Row],[Gender]]="Male"),"Mached","Not mached")</f>
        <v>Mached</v>
      </c>
    </row>
    <row r="337" spans="4:16" x14ac:dyDescent="0.25">
      <c r="D337" s="6" t="s">
        <v>34</v>
      </c>
      <c r="E337">
        <v>2015</v>
      </c>
      <c r="F337" s="6" t="s">
        <v>40</v>
      </c>
      <c r="G337">
        <v>2</v>
      </c>
      <c r="H337">
        <v>27</v>
      </c>
      <c r="I337" s="6" t="s">
        <v>39</v>
      </c>
      <c r="J337" s="6" t="s">
        <v>37</v>
      </c>
      <c r="K337">
        <v>5</v>
      </c>
      <c r="M337" s="1" t="b">
        <f>Employee__2[[#This Row],[Experience]]&gt;1</f>
        <v>1</v>
      </c>
      <c r="N337" s="1" t="str">
        <f>IF(Employee__2[[#This Row],[City]]="Pune","Yes","No")</f>
        <v>No</v>
      </c>
      <c r="O337" s="1" t="str">
        <f>IF(AND(Employee__2[[#This Row],[Education]]="Bachelors",Employee__2[[#This Row],[City]]="Pune"),"Yes","No")</f>
        <v>No</v>
      </c>
      <c r="P337" s="1" t="str">
        <f>IF(OR(Employee__2[[#This Row],[Age]]&gt;=30,Employee__2[[#This Row],[Gender]]="Male"),"Mached","Not mached")</f>
        <v>Not mached</v>
      </c>
    </row>
    <row r="338" spans="4:16" x14ac:dyDescent="0.25">
      <c r="D338" s="6" t="s">
        <v>34</v>
      </c>
      <c r="E338">
        <v>2018</v>
      </c>
      <c r="F338" s="6" t="s">
        <v>35</v>
      </c>
      <c r="G338">
        <v>3</v>
      </c>
      <c r="H338">
        <v>24</v>
      </c>
      <c r="I338" s="6" t="s">
        <v>39</v>
      </c>
      <c r="J338" s="6" t="s">
        <v>37</v>
      </c>
      <c r="K338">
        <v>2</v>
      </c>
      <c r="M338" s="1" t="b">
        <f>Employee__2[[#This Row],[Experience]]&gt;1</f>
        <v>1</v>
      </c>
      <c r="N338" s="1" t="str">
        <f>IF(Employee__2[[#This Row],[City]]="Pune","Yes","No")</f>
        <v>No</v>
      </c>
      <c r="O338" s="1" t="str">
        <f>IF(AND(Employee__2[[#This Row],[Education]]="Bachelors",Employee__2[[#This Row],[City]]="Pune"),"Yes","No")</f>
        <v>No</v>
      </c>
      <c r="P338" s="1" t="str">
        <f>IF(OR(Employee__2[[#This Row],[Age]]&gt;=30,Employee__2[[#This Row],[Gender]]="Male"),"Mached","Not mached")</f>
        <v>Not mached</v>
      </c>
    </row>
    <row r="339" spans="4:16" x14ac:dyDescent="0.25">
      <c r="D339" s="6" t="s">
        <v>34</v>
      </c>
      <c r="E339">
        <v>2013</v>
      </c>
      <c r="F339" s="6" t="s">
        <v>35</v>
      </c>
      <c r="G339">
        <v>3</v>
      </c>
      <c r="H339">
        <v>27</v>
      </c>
      <c r="I339" s="6" t="s">
        <v>39</v>
      </c>
      <c r="J339" s="6" t="s">
        <v>37</v>
      </c>
      <c r="K339">
        <v>5</v>
      </c>
      <c r="M339" s="1" t="b">
        <f>Employee__2[[#This Row],[Experience]]&gt;1</f>
        <v>1</v>
      </c>
      <c r="N339" s="1" t="str">
        <f>IF(Employee__2[[#This Row],[City]]="Pune","Yes","No")</f>
        <v>No</v>
      </c>
      <c r="O339" s="1" t="str">
        <f>IF(AND(Employee__2[[#This Row],[Education]]="Bachelors",Employee__2[[#This Row],[City]]="Pune"),"Yes","No")</f>
        <v>No</v>
      </c>
      <c r="P339" s="1" t="str">
        <f>IF(OR(Employee__2[[#This Row],[Age]]&gt;=30,Employee__2[[#This Row],[Gender]]="Male"),"Mached","Not mached")</f>
        <v>Not mached</v>
      </c>
    </row>
    <row r="340" spans="4:16" x14ac:dyDescent="0.25">
      <c r="D340" s="6" t="s">
        <v>34</v>
      </c>
      <c r="E340">
        <v>2013</v>
      </c>
      <c r="F340" s="6" t="s">
        <v>35</v>
      </c>
      <c r="G340">
        <v>3</v>
      </c>
      <c r="H340">
        <v>24</v>
      </c>
      <c r="I340" s="6" t="s">
        <v>36</v>
      </c>
      <c r="J340" s="6" t="s">
        <v>42</v>
      </c>
      <c r="K340">
        <v>2</v>
      </c>
      <c r="M340" s="1" t="b">
        <f>Employee__2[[#This Row],[Experience]]&gt;1</f>
        <v>1</v>
      </c>
      <c r="N340" s="1" t="str">
        <f>IF(Employee__2[[#This Row],[City]]="Pune","Yes","No")</f>
        <v>No</v>
      </c>
      <c r="O340" s="1" t="str">
        <f>IF(AND(Employee__2[[#This Row],[Education]]="Bachelors",Employee__2[[#This Row],[City]]="Pune"),"Yes","No")</f>
        <v>No</v>
      </c>
      <c r="P340" s="1" t="str">
        <f>IF(OR(Employee__2[[#This Row],[Age]]&gt;=30,Employee__2[[#This Row],[Gender]]="Male"),"Mached","Not mached")</f>
        <v>Mached</v>
      </c>
    </row>
    <row r="341" spans="4:16" x14ac:dyDescent="0.25">
      <c r="D341" s="6" t="s">
        <v>34</v>
      </c>
      <c r="E341">
        <v>2013</v>
      </c>
      <c r="F341" s="6" t="s">
        <v>35</v>
      </c>
      <c r="G341">
        <v>3</v>
      </c>
      <c r="H341">
        <v>24</v>
      </c>
      <c r="I341" s="6" t="s">
        <v>39</v>
      </c>
      <c r="J341" s="6" t="s">
        <v>37</v>
      </c>
      <c r="K341">
        <v>2</v>
      </c>
      <c r="M341" s="1" t="b">
        <f>Employee__2[[#This Row],[Experience]]&gt;1</f>
        <v>1</v>
      </c>
      <c r="N341" s="1" t="str">
        <f>IF(Employee__2[[#This Row],[City]]="Pune","Yes","No")</f>
        <v>No</v>
      </c>
      <c r="O341" s="1" t="str">
        <f>IF(AND(Employee__2[[#This Row],[Education]]="Bachelors",Employee__2[[#This Row],[City]]="Pune"),"Yes","No")</f>
        <v>No</v>
      </c>
      <c r="P341" s="1" t="str">
        <f>IF(OR(Employee__2[[#This Row],[Age]]&gt;=30,Employee__2[[#This Row],[Gender]]="Male"),"Mached","Not mached")</f>
        <v>Not mached</v>
      </c>
    </row>
    <row r="342" spans="4:16" x14ac:dyDescent="0.25">
      <c r="D342" s="6" t="s">
        <v>34</v>
      </c>
      <c r="E342">
        <v>2013</v>
      </c>
      <c r="F342" s="6" t="s">
        <v>35</v>
      </c>
      <c r="G342">
        <v>3</v>
      </c>
      <c r="H342">
        <v>27</v>
      </c>
      <c r="I342" s="6" t="s">
        <v>36</v>
      </c>
      <c r="J342" s="6" t="s">
        <v>37</v>
      </c>
      <c r="K342">
        <v>5</v>
      </c>
      <c r="M342" s="1" t="b">
        <f>Employee__2[[#This Row],[Experience]]&gt;1</f>
        <v>1</v>
      </c>
      <c r="N342" s="1" t="str">
        <f>IF(Employee__2[[#This Row],[City]]="Pune","Yes","No")</f>
        <v>No</v>
      </c>
      <c r="O342" s="1" t="str">
        <f>IF(AND(Employee__2[[#This Row],[Education]]="Bachelors",Employee__2[[#This Row],[City]]="Pune"),"Yes","No")</f>
        <v>No</v>
      </c>
      <c r="P342" s="1" t="str">
        <f>IF(OR(Employee__2[[#This Row],[Age]]&gt;=30,Employee__2[[#This Row],[Gender]]="Male"),"Mached","Not mached")</f>
        <v>Mached</v>
      </c>
    </row>
    <row r="343" spans="4:16" x14ac:dyDescent="0.25">
      <c r="D343" s="6" t="s">
        <v>34</v>
      </c>
      <c r="E343">
        <v>2017</v>
      </c>
      <c r="F343" s="6" t="s">
        <v>35</v>
      </c>
      <c r="G343">
        <v>3</v>
      </c>
      <c r="H343">
        <v>26</v>
      </c>
      <c r="I343" s="6" t="s">
        <v>39</v>
      </c>
      <c r="J343" s="6" t="s">
        <v>37</v>
      </c>
      <c r="K343">
        <v>4</v>
      </c>
      <c r="M343" s="1" t="b">
        <f>Employee__2[[#This Row],[Experience]]&gt;1</f>
        <v>1</v>
      </c>
      <c r="N343" s="1" t="str">
        <f>IF(Employee__2[[#This Row],[City]]="Pune","Yes","No")</f>
        <v>No</v>
      </c>
      <c r="O343" s="1" t="str">
        <f>IF(AND(Employee__2[[#This Row],[Education]]="Bachelors",Employee__2[[#This Row],[City]]="Pune"),"Yes","No")</f>
        <v>No</v>
      </c>
      <c r="P343" s="1" t="str">
        <f>IF(OR(Employee__2[[#This Row],[Age]]&gt;=30,Employee__2[[#This Row],[Gender]]="Male"),"Mached","Not mached")</f>
        <v>Not mached</v>
      </c>
    </row>
    <row r="344" spans="4:16" x14ac:dyDescent="0.25">
      <c r="D344" s="6" t="s">
        <v>34</v>
      </c>
      <c r="E344">
        <v>2015</v>
      </c>
      <c r="F344" s="6" t="s">
        <v>35</v>
      </c>
      <c r="G344">
        <v>3</v>
      </c>
      <c r="H344">
        <v>24</v>
      </c>
      <c r="I344" s="6" t="s">
        <v>39</v>
      </c>
      <c r="J344" s="6" t="s">
        <v>37</v>
      </c>
      <c r="K344">
        <v>2</v>
      </c>
      <c r="M344" s="1" t="b">
        <f>Employee__2[[#This Row],[Experience]]&gt;1</f>
        <v>1</v>
      </c>
      <c r="N344" s="1" t="str">
        <f>IF(Employee__2[[#This Row],[City]]="Pune","Yes","No")</f>
        <v>No</v>
      </c>
      <c r="O344" s="1" t="str">
        <f>IF(AND(Employee__2[[#This Row],[Education]]="Bachelors",Employee__2[[#This Row],[City]]="Pune"),"Yes","No")</f>
        <v>No</v>
      </c>
      <c r="P344" s="1" t="str">
        <f>IF(OR(Employee__2[[#This Row],[Age]]&gt;=30,Employee__2[[#This Row],[Gender]]="Male"),"Mached","Not mached")</f>
        <v>Not mached</v>
      </c>
    </row>
    <row r="345" spans="4:16" x14ac:dyDescent="0.25">
      <c r="D345" s="6" t="s">
        <v>34</v>
      </c>
      <c r="E345">
        <v>2012</v>
      </c>
      <c r="F345" s="6" t="s">
        <v>38</v>
      </c>
      <c r="G345">
        <v>3</v>
      </c>
      <c r="H345">
        <v>24</v>
      </c>
      <c r="I345" s="6" t="s">
        <v>39</v>
      </c>
      <c r="J345" s="6" t="s">
        <v>37</v>
      </c>
      <c r="K345">
        <v>2</v>
      </c>
      <c r="M345" s="1" t="b">
        <f>Employee__2[[#This Row],[Experience]]&gt;1</f>
        <v>1</v>
      </c>
      <c r="N345" s="1" t="str">
        <f>IF(Employee__2[[#This Row],[City]]="Pune","Yes","No")</f>
        <v>Yes</v>
      </c>
      <c r="O345" s="1" t="str">
        <f>IF(AND(Employee__2[[#This Row],[Education]]="Bachelors",Employee__2[[#This Row],[City]]="Pune"),"Yes","No")</f>
        <v>Yes</v>
      </c>
      <c r="P345" s="1" t="str">
        <f>IF(OR(Employee__2[[#This Row],[Age]]&gt;=30,Employee__2[[#This Row],[Gender]]="Male"),"Mached","Not mached")</f>
        <v>Not mached</v>
      </c>
    </row>
    <row r="346" spans="4:16" x14ac:dyDescent="0.25">
      <c r="D346" s="6" t="s">
        <v>34</v>
      </c>
      <c r="E346">
        <v>2016</v>
      </c>
      <c r="F346" s="6" t="s">
        <v>35</v>
      </c>
      <c r="G346">
        <v>3</v>
      </c>
      <c r="H346">
        <v>24</v>
      </c>
      <c r="I346" s="6" t="s">
        <v>36</v>
      </c>
      <c r="J346" s="6" t="s">
        <v>42</v>
      </c>
      <c r="K346">
        <v>2</v>
      </c>
      <c r="M346" s="1" t="b">
        <f>Employee__2[[#This Row],[Experience]]&gt;1</f>
        <v>1</v>
      </c>
      <c r="N346" s="1" t="str">
        <f>IF(Employee__2[[#This Row],[City]]="Pune","Yes","No")</f>
        <v>No</v>
      </c>
      <c r="O346" s="1" t="str">
        <f>IF(AND(Employee__2[[#This Row],[Education]]="Bachelors",Employee__2[[#This Row],[City]]="Pune"),"Yes","No")</f>
        <v>No</v>
      </c>
      <c r="P346" s="1" t="str">
        <f>IF(OR(Employee__2[[#This Row],[Age]]&gt;=30,Employee__2[[#This Row],[Gender]]="Male"),"Mached","Not mached")</f>
        <v>Mached</v>
      </c>
    </row>
    <row r="347" spans="4:16" x14ac:dyDescent="0.25">
      <c r="D347" s="6" t="s">
        <v>34</v>
      </c>
      <c r="E347">
        <v>2012</v>
      </c>
      <c r="F347" s="6" t="s">
        <v>35</v>
      </c>
      <c r="G347">
        <v>3</v>
      </c>
      <c r="H347">
        <v>28</v>
      </c>
      <c r="I347" s="6" t="s">
        <v>36</v>
      </c>
      <c r="J347" s="6" t="s">
        <v>37</v>
      </c>
      <c r="K347">
        <v>3</v>
      </c>
      <c r="M347" s="1" t="b">
        <f>Employee__2[[#This Row],[Experience]]&gt;1</f>
        <v>1</v>
      </c>
      <c r="N347" s="1" t="str">
        <f>IF(Employee__2[[#This Row],[City]]="Pune","Yes","No")</f>
        <v>No</v>
      </c>
      <c r="O347" s="1" t="str">
        <f>IF(AND(Employee__2[[#This Row],[Education]]="Bachelors",Employee__2[[#This Row],[City]]="Pune"),"Yes","No")</f>
        <v>No</v>
      </c>
      <c r="P347" s="1" t="str">
        <f>IF(OR(Employee__2[[#This Row],[Age]]&gt;=30,Employee__2[[#This Row],[Gender]]="Male"),"Mached","Not mached")</f>
        <v>Mached</v>
      </c>
    </row>
    <row r="348" spans="4:16" x14ac:dyDescent="0.25">
      <c r="D348" s="6" t="s">
        <v>34</v>
      </c>
      <c r="E348">
        <v>2017</v>
      </c>
      <c r="F348" s="6" t="s">
        <v>40</v>
      </c>
      <c r="G348">
        <v>2</v>
      </c>
      <c r="H348">
        <v>27</v>
      </c>
      <c r="I348" s="6" t="s">
        <v>36</v>
      </c>
      <c r="J348" s="6" t="s">
        <v>37</v>
      </c>
      <c r="K348">
        <v>5</v>
      </c>
      <c r="M348" s="1" t="b">
        <f>Employee__2[[#This Row],[Experience]]&gt;1</f>
        <v>1</v>
      </c>
      <c r="N348" s="1" t="str">
        <f>IF(Employee__2[[#This Row],[City]]="Pune","Yes","No")</f>
        <v>No</v>
      </c>
      <c r="O348" s="1" t="str">
        <f>IF(AND(Employee__2[[#This Row],[Education]]="Bachelors",Employee__2[[#This Row],[City]]="Pune"),"Yes","No")</f>
        <v>No</v>
      </c>
      <c r="P348" s="1" t="str">
        <f>IF(OR(Employee__2[[#This Row],[Age]]&gt;=30,Employee__2[[#This Row],[Gender]]="Male"),"Mached","Not mached")</f>
        <v>Mached</v>
      </c>
    </row>
    <row r="349" spans="4:16" x14ac:dyDescent="0.25">
      <c r="D349" s="6" t="s">
        <v>34</v>
      </c>
      <c r="E349">
        <v>2012</v>
      </c>
      <c r="F349" s="6" t="s">
        <v>38</v>
      </c>
      <c r="G349">
        <v>2</v>
      </c>
      <c r="H349">
        <v>27</v>
      </c>
      <c r="I349" s="6" t="s">
        <v>39</v>
      </c>
      <c r="J349" s="6" t="s">
        <v>37</v>
      </c>
      <c r="K349">
        <v>5</v>
      </c>
      <c r="M349" s="1" t="b">
        <f>Employee__2[[#This Row],[Experience]]&gt;1</f>
        <v>1</v>
      </c>
      <c r="N349" s="1" t="str">
        <f>IF(Employee__2[[#This Row],[City]]="Pune","Yes","No")</f>
        <v>Yes</v>
      </c>
      <c r="O349" s="1" t="str">
        <f>IF(AND(Employee__2[[#This Row],[Education]]="Bachelors",Employee__2[[#This Row],[City]]="Pune"),"Yes","No")</f>
        <v>Yes</v>
      </c>
      <c r="P349" s="1" t="str">
        <f>IF(OR(Employee__2[[#This Row],[Age]]&gt;=30,Employee__2[[#This Row],[Gender]]="Male"),"Mached","Not mached")</f>
        <v>Not mached</v>
      </c>
    </row>
    <row r="350" spans="4:16" x14ac:dyDescent="0.25">
      <c r="D350" s="6" t="s">
        <v>41</v>
      </c>
      <c r="E350">
        <v>2017</v>
      </c>
      <c r="F350" s="6" t="s">
        <v>38</v>
      </c>
      <c r="G350">
        <v>2</v>
      </c>
      <c r="H350">
        <v>27</v>
      </c>
      <c r="I350" s="6" t="s">
        <v>36</v>
      </c>
      <c r="J350" s="6" t="s">
        <v>37</v>
      </c>
      <c r="K350">
        <v>5</v>
      </c>
      <c r="M350" s="1" t="b">
        <f>Employee__2[[#This Row],[Experience]]&gt;1</f>
        <v>1</v>
      </c>
      <c r="N350" s="1" t="str">
        <f>IF(Employee__2[[#This Row],[City]]="Pune","Yes","No")</f>
        <v>Yes</v>
      </c>
      <c r="O350" s="1" t="str">
        <f>IF(AND(Employee__2[[#This Row],[Education]]="Bachelors",Employee__2[[#This Row],[City]]="Pune"),"Yes","No")</f>
        <v>No</v>
      </c>
      <c r="P350" s="1" t="str">
        <f>IF(OR(Employee__2[[#This Row],[Age]]&gt;=30,Employee__2[[#This Row],[Gender]]="Male"),"Mached","Not mached")</f>
        <v>Mached</v>
      </c>
    </row>
    <row r="351" spans="4:16" x14ac:dyDescent="0.25">
      <c r="D351" s="6" t="s">
        <v>34</v>
      </c>
      <c r="E351">
        <v>2017</v>
      </c>
      <c r="F351" s="6" t="s">
        <v>38</v>
      </c>
      <c r="G351">
        <v>2</v>
      </c>
      <c r="H351">
        <v>24</v>
      </c>
      <c r="I351" s="6" t="s">
        <v>36</v>
      </c>
      <c r="J351" s="6" t="s">
        <v>37</v>
      </c>
      <c r="K351">
        <v>2</v>
      </c>
      <c r="M351" s="1" t="b">
        <f>Employee__2[[#This Row],[Experience]]&gt;1</f>
        <v>1</v>
      </c>
      <c r="N351" s="1" t="str">
        <f>IF(Employee__2[[#This Row],[City]]="Pune","Yes","No")</f>
        <v>Yes</v>
      </c>
      <c r="O351" s="1" t="str">
        <f>IF(AND(Employee__2[[#This Row],[Education]]="Bachelors",Employee__2[[#This Row],[City]]="Pune"),"Yes","No")</f>
        <v>Yes</v>
      </c>
      <c r="P351" s="1" t="str">
        <f>IF(OR(Employee__2[[#This Row],[Age]]&gt;=30,Employee__2[[#This Row],[Gender]]="Male"),"Mached","Not mached")</f>
        <v>Mached</v>
      </c>
    </row>
    <row r="352" spans="4:16" x14ac:dyDescent="0.25">
      <c r="D352" s="6" t="s">
        <v>34</v>
      </c>
      <c r="E352">
        <v>2016</v>
      </c>
      <c r="F352" s="6" t="s">
        <v>38</v>
      </c>
      <c r="G352">
        <v>1</v>
      </c>
      <c r="H352">
        <v>26</v>
      </c>
      <c r="I352" s="6" t="s">
        <v>39</v>
      </c>
      <c r="J352" s="6" t="s">
        <v>37</v>
      </c>
      <c r="K352">
        <v>4</v>
      </c>
      <c r="M352" s="1" t="b">
        <f>Employee__2[[#This Row],[Experience]]&gt;1</f>
        <v>1</v>
      </c>
      <c r="N352" s="1" t="str">
        <f>IF(Employee__2[[#This Row],[City]]="Pune","Yes","No")</f>
        <v>Yes</v>
      </c>
      <c r="O352" s="1" t="str">
        <f>IF(AND(Employee__2[[#This Row],[Education]]="Bachelors",Employee__2[[#This Row],[City]]="Pune"),"Yes","No")</f>
        <v>Yes</v>
      </c>
      <c r="P352" s="1" t="str">
        <f>IF(OR(Employee__2[[#This Row],[Age]]&gt;=30,Employee__2[[#This Row],[Gender]]="Male"),"Mached","Not mached")</f>
        <v>Not mached</v>
      </c>
    </row>
    <row r="353" spans="4:16" x14ac:dyDescent="0.25">
      <c r="D353" s="6" t="s">
        <v>34</v>
      </c>
      <c r="E353">
        <v>2015</v>
      </c>
      <c r="F353" s="6" t="s">
        <v>38</v>
      </c>
      <c r="G353">
        <v>3</v>
      </c>
      <c r="H353">
        <v>26</v>
      </c>
      <c r="I353" s="6" t="s">
        <v>39</v>
      </c>
      <c r="J353" s="6" t="s">
        <v>37</v>
      </c>
      <c r="K353">
        <v>4</v>
      </c>
      <c r="M353" s="1" t="b">
        <f>Employee__2[[#This Row],[Experience]]&gt;1</f>
        <v>1</v>
      </c>
      <c r="N353" s="1" t="str">
        <f>IF(Employee__2[[#This Row],[City]]="Pune","Yes","No")</f>
        <v>Yes</v>
      </c>
      <c r="O353" s="1" t="str">
        <f>IF(AND(Employee__2[[#This Row],[Education]]="Bachelors",Employee__2[[#This Row],[City]]="Pune"),"Yes","No")</f>
        <v>Yes</v>
      </c>
      <c r="P353" s="1" t="str">
        <f>IF(OR(Employee__2[[#This Row],[Age]]&gt;=30,Employee__2[[#This Row],[Gender]]="Male"),"Mached","Not mached")</f>
        <v>Not mached</v>
      </c>
    </row>
    <row r="354" spans="4:16" x14ac:dyDescent="0.25">
      <c r="D354" s="6" t="s">
        <v>34</v>
      </c>
      <c r="E354">
        <v>2016</v>
      </c>
      <c r="F354" s="6" t="s">
        <v>35</v>
      </c>
      <c r="G354">
        <v>3</v>
      </c>
      <c r="H354">
        <v>25</v>
      </c>
      <c r="I354" s="6" t="s">
        <v>36</v>
      </c>
      <c r="J354" s="6" t="s">
        <v>37</v>
      </c>
      <c r="K354">
        <v>3</v>
      </c>
      <c r="M354" s="1" t="b">
        <f>Employee__2[[#This Row],[Experience]]&gt;1</f>
        <v>1</v>
      </c>
      <c r="N354" s="1" t="str">
        <f>IF(Employee__2[[#This Row],[City]]="Pune","Yes","No")</f>
        <v>No</v>
      </c>
      <c r="O354" s="1" t="str">
        <f>IF(AND(Employee__2[[#This Row],[Education]]="Bachelors",Employee__2[[#This Row],[City]]="Pune"),"Yes","No")</f>
        <v>No</v>
      </c>
      <c r="P354" s="1" t="str">
        <f>IF(OR(Employee__2[[#This Row],[Age]]&gt;=30,Employee__2[[#This Row],[Gender]]="Male"),"Mached","Not mached")</f>
        <v>Mached</v>
      </c>
    </row>
    <row r="355" spans="4:16" x14ac:dyDescent="0.25">
      <c r="D355" s="6" t="s">
        <v>34</v>
      </c>
      <c r="E355">
        <v>2012</v>
      </c>
      <c r="F355" s="6" t="s">
        <v>38</v>
      </c>
      <c r="G355">
        <v>3</v>
      </c>
      <c r="H355">
        <v>26</v>
      </c>
      <c r="I355" s="6" t="s">
        <v>36</v>
      </c>
      <c r="J355" s="6" t="s">
        <v>37</v>
      </c>
      <c r="K355">
        <v>4</v>
      </c>
      <c r="M355" s="1" t="b">
        <f>Employee__2[[#This Row],[Experience]]&gt;1</f>
        <v>1</v>
      </c>
      <c r="N355" s="1" t="str">
        <f>IF(Employee__2[[#This Row],[City]]="Pune","Yes","No")</f>
        <v>Yes</v>
      </c>
      <c r="O355" s="1" t="str">
        <f>IF(AND(Employee__2[[#This Row],[Education]]="Bachelors",Employee__2[[#This Row],[City]]="Pune"),"Yes","No")</f>
        <v>Yes</v>
      </c>
      <c r="P355" s="1" t="str">
        <f>IF(OR(Employee__2[[#This Row],[Age]]&gt;=30,Employee__2[[#This Row],[Gender]]="Male"),"Mached","Not mached")</f>
        <v>Mached</v>
      </c>
    </row>
    <row r="356" spans="4:16" x14ac:dyDescent="0.25">
      <c r="D356" s="6" t="s">
        <v>34</v>
      </c>
      <c r="E356">
        <v>2017</v>
      </c>
      <c r="F356" s="6" t="s">
        <v>35</v>
      </c>
      <c r="G356">
        <v>3</v>
      </c>
      <c r="H356">
        <v>28</v>
      </c>
      <c r="I356" s="6" t="s">
        <v>36</v>
      </c>
      <c r="J356" s="6" t="s">
        <v>37</v>
      </c>
      <c r="K356">
        <v>2</v>
      </c>
      <c r="M356" s="1" t="b">
        <f>Employee__2[[#This Row],[Experience]]&gt;1</f>
        <v>1</v>
      </c>
      <c r="N356" s="1" t="str">
        <f>IF(Employee__2[[#This Row],[City]]="Pune","Yes","No")</f>
        <v>No</v>
      </c>
      <c r="O356" s="1" t="str">
        <f>IF(AND(Employee__2[[#This Row],[Education]]="Bachelors",Employee__2[[#This Row],[City]]="Pune"),"Yes","No")</f>
        <v>No</v>
      </c>
      <c r="P356" s="1" t="str">
        <f>IF(OR(Employee__2[[#This Row],[Age]]&gt;=30,Employee__2[[#This Row],[Gender]]="Male"),"Mached","Not mached")</f>
        <v>Mached</v>
      </c>
    </row>
    <row r="357" spans="4:16" x14ac:dyDescent="0.25">
      <c r="D357" s="6" t="s">
        <v>34</v>
      </c>
      <c r="E357">
        <v>2012</v>
      </c>
      <c r="F357" s="6" t="s">
        <v>35</v>
      </c>
      <c r="G357">
        <v>3</v>
      </c>
      <c r="H357">
        <v>25</v>
      </c>
      <c r="I357" s="6" t="s">
        <v>36</v>
      </c>
      <c r="J357" s="6" t="s">
        <v>37</v>
      </c>
      <c r="K357">
        <v>3</v>
      </c>
      <c r="M357" s="1" t="b">
        <f>Employee__2[[#This Row],[Experience]]&gt;1</f>
        <v>1</v>
      </c>
      <c r="N357" s="1" t="str">
        <f>IF(Employee__2[[#This Row],[City]]="Pune","Yes","No")</f>
        <v>No</v>
      </c>
      <c r="O357" s="1" t="str">
        <f>IF(AND(Employee__2[[#This Row],[Education]]="Bachelors",Employee__2[[#This Row],[City]]="Pune"),"Yes","No")</f>
        <v>No</v>
      </c>
      <c r="P357" s="1" t="str">
        <f>IF(OR(Employee__2[[#This Row],[Age]]&gt;=30,Employee__2[[#This Row],[Gender]]="Male"),"Mached","Not mached")</f>
        <v>Mached</v>
      </c>
    </row>
    <row r="358" spans="4:16" x14ac:dyDescent="0.25">
      <c r="D358" s="6" t="s">
        <v>34</v>
      </c>
      <c r="E358">
        <v>2017</v>
      </c>
      <c r="F358" s="6" t="s">
        <v>35</v>
      </c>
      <c r="G358">
        <v>3</v>
      </c>
      <c r="H358">
        <v>25</v>
      </c>
      <c r="I358" s="6" t="s">
        <v>39</v>
      </c>
      <c r="J358" s="6" t="s">
        <v>42</v>
      </c>
      <c r="K358">
        <v>3</v>
      </c>
      <c r="M358" s="1" t="b">
        <f>Employee__2[[#This Row],[Experience]]&gt;1</f>
        <v>1</v>
      </c>
      <c r="N358" s="1" t="str">
        <f>IF(Employee__2[[#This Row],[City]]="Pune","Yes","No")</f>
        <v>No</v>
      </c>
      <c r="O358" s="1" t="str">
        <f>IF(AND(Employee__2[[#This Row],[Education]]="Bachelors",Employee__2[[#This Row],[City]]="Pune"),"Yes","No")</f>
        <v>No</v>
      </c>
      <c r="P358" s="1" t="str">
        <f>IF(OR(Employee__2[[#This Row],[Age]]&gt;=30,Employee__2[[#This Row],[Gender]]="Male"),"Mached","Not mached")</f>
        <v>Not mached</v>
      </c>
    </row>
    <row r="359" spans="4:16" x14ac:dyDescent="0.25">
      <c r="D359" s="6" t="s">
        <v>41</v>
      </c>
      <c r="E359">
        <v>2017</v>
      </c>
      <c r="F359" s="6" t="s">
        <v>38</v>
      </c>
      <c r="G359">
        <v>2</v>
      </c>
      <c r="H359">
        <v>26</v>
      </c>
      <c r="I359" s="6" t="s">
        <v>36</v>
      </c>
      <c r="J359" s="6" t="s">
        <v>37</v>
      </c>
      <c r="K359">
        <v>4</v>
      </c>
      <c r="M359" s="1" t="b">
        <f>Employee__2[[#This Row],[Experience]]&gt;1</f>
        <v>1</v>
      </c>
      <c r="N359" s="1" t="str">
        <f>IF(Employee__2[[#This Row],[City]]="Pune","Yes","No")</f>
        <v>Yes</v>
      </c>
      <c r="O359" s="1" t="str">
        <f>IF(AND(Employee__2[[#This Row],[Education]]="Bachelors",Employee__2[[#This Row],[City]]="Pune"),"Yes","No")</f>
        <v>No</v>
      </c>
      <c r="P359" s="1" t="str">
        <f>IF(OR(Employee__2[[#This Row],[Age]]&gt;=30,Employee__2[[#This Row],[Gender]]="Male"),"Mached","Not mached")</f>
        <v>Mached</v>
      </c>
    </row>
    <row r="360" spans="4:16" x14ac:dyDescent="0.25">
      <c r="D360" s="6" t="s">
        <v>41</v>
      </c>
      <c r="E360">
        <v>2017</v>
      </c>
      <c r="F360" s="6" t="s">
        <v>38</v>
      </c>
      <c r="G360">
        <v>3</v>
      </c>
      <c r="H360">
        <v>28</v>
      </c>
      <c r="I360" s="6" t="s">
        <v>36</v>
      </c>
      <c r="J360" s="6" t="s">
        <v>37</v>
      </c>
      <c r="K360">
        <v>1</v>
      </c>
      <c r="M360" s="1" t="b">
        <f>Employee__2[[#This Row],[Experience]]&gt;1</f>
        <v>0</v>
      </c>
      <c r="N360" s="1" t="str">
        <f>IF(Employee__2[[#This Row],[City]]="Pune","Yes","No")</f>
        <v>Yes</v>
      </c>
      <c r="O360" s="1" t="str">
        <f>IF(AND(Employee__2[[#This Row],[Education]]="Bachelors",Employee__2[[#This Row],[City]]="Pune"),"Yes","No")</f>
        <v>No</v>
      </c>
      <c r="P360" s="1" t="str">
        <f>IF(OR(Employee__2[[#This Row],[Age]]&gt;=30,Employee__2[[#This Row],[Gender]]="Male"),"Mached","Not mached")</f>
        <v>Mached</v>
      </c>
    </row>
    <row r="361" spans="4:16" x14ac:dyDescent="0.25">
      <c r="D361" s="6" t="s">
        <v>41</v>
      </c>
      <c r="E361">
        <v>2015</v>
      </c>
      <c r="F361" s="6" t="s">
        <v>38</v>
      </c>
      <c r="G361">
        <v>2</v>
      </c>
      <c r="H361">
        <v>25</v>
      </c>
      <c r="I361" s="6" t="s">
        <v>39</v>
      </c>
      <c r="J361" s="6" t="s">
        <v>37</v>
      </c>
      <c r="K361">
        <v>3</v>
      </c>
      <c r="M361" s="1" t="b">
        <f>Employee__2[[#This Row],[Experience]]&gt;1</f>
        <v>1</v>
      </c>
      <c r="N361" s="1" t="str">
        <f>IF(Employee__2[[#This Row],[City]]="Pune","Yes","No")</f>
        <v>Yes</v>
      </c>
      <c r="O361" s="1" t="str">
        <f>IF(AND(Employee__2[[#This Row],[Education]]="Bachelors",Employee__2[[#This Row],[City]]="Pune"),"Yes","No")</f>
        <v>No</v>
      </c>
      <c r="P361" s="1" t="str">
        <f>IF(OR(Employee__2[[#This Row],[Age]]&gt;=30,Employee__2[[#This Row],[Gender]]="Male"),"Mached","Not mached")</f>
        <v>Not mached</v>
      </c>
    </row>
    <row r="362" spans="4:16" x14ac:dyDescent="0.25">
      <c r="D362" s="6" t="s">
        <v>34</v>
      </c>
      <c r="E362">
        <v>2017</v>
      </c>
      <c r="F362" s="6" t="s">
        <v>40</v>
      </c>
      <c r="G362">
        <v>2</v>
      </c>
      <c r="H362">
        <v>26</v>
      </c>
      <c r="I362" s="6" t="s">
        <v>39</v>
      </c>
      <c r="J362" s="6" t="s">
        <v>37</v>
      </c>
      <c r="K362">
        <v>4</v>
      </c>
      <c r="M362" s="1" t="b">
        <f>Employee__2[[#This Row],[Experience]]&gt;1</f>
        <v>1</v>
      </c>
      <c r="N362" s="1" t="str">
        <f>IF(Employee__2[[#This Row],[City]]="Pune","Yes","No")</f>
        <v>No</v>
      </c>
      <c r="O362" s="1" t="str">
        <f>IF(AND(Employee__2[[#This Row],[Education]]="Bachelors",Employee__2[[#This Row],[City]]="Pune"),"Yes","No")</f>
        <v>No</v>
      </c>
      <c r="P362" s="1" t="str">
        <f>IF(OR(Employee__2[[#This Row],[Age]]&gt;=30,Employee__2[[#This Row],[Gender]]="Male"),"Mached","Not mached")</f>
        <v>Not mached</v>
      </c>
    </row>
    <row r="363" spans="4:16" x14ac:dyDescent="0.25">
      <c r="D363" s="6" t="s">
        <v>34</v>
      </c>
      <c r="E363">
        <v>2017</v>
      </c>
      <c r="F363" s="6" t="s">
        <v>40</v>
      </c>
      <c r="G363">
        <v>2</v>
      </c>
      <c r="H363">
        <v>26</v>
      </c>
      <c r="I363" s="6" t="s">
        <v>36</v>
      </c>
      <c r="J363" s="6" t="s">
        <v>37</v>
      </c>
      <c r="K363">
        <v>4</v>
      </c>
      <c r="M363" s="1" t="b">
        <f>Employee__2[[#This Row],[Experience]]&gt;1</f>
        <v>1</v>
      </c>
      <c r="N363" s="1" t="str">
        <f>IF(Employee__2[[#This Row],[City]]="Pune","Yes","No")</f>
        <v>No</v>
      </c>
      <c r="O363" s="1" t="str">
        <f>IF(AND(Employee__2[[#This Row],[Education]]="Bachelors",Employee__2[[#This Row],[City]]="Pune"),"Yes","No")</f>
        <v>No</v>
      </c>
      <c r="P363" s="1" t="str">
        <f>IF(OR(Employee__2[[#This Row],[Age]]&gt;=30,Employee__2[[#This Row],[Gender]]="Male"),"Mached","Not mached")</f>
        <v>Mached</v>
      </c>
    </row>
    <row r="364" spans="4:16" x14ac:dyDescent="0.25">
      <c r="D364" s="6" t="s">
        <v>34</v>
      </c>
      <c r="E364">
        <v>2016</v>
      </c>
      <c r="F364" s="6" t="s">
        <v>35</v>
      </c>
      <c r="G364">
        <v>3</v>
      </c>
      <c r="H364">
        <v>27</v>
      </c>
      <c r="I364" s="6" t="s">
        <v>36</v>
      </c>
      <c r="J364" s="6" t="s">
        <v>37</v>
      </c>
      <c r="K364">
        <v>5</v>
      </c>
      <c r="M364" s="1" t="b">
        <f>Employee__2[[#This Row],[Experience]]&gt;1</f>
        <v>1</v>
      </c>
      <c r="N364" s="1" t="str">
        <f>IF(Employee__2[[#This Row],[City]]="Pune","Yes","No")</f>
        <v>No</v>
      </c>
      <c r="O364" s="1" t="str">
        <f>IF(AND(Employee__2[[#This Row],[Education]]="Bachelors",Employee__2[[#This Row],[City]]="Pune"),"Yes","No")</f>
        <v>No</v>
      </c>
      <c r="P364" s="1" t="str">
        <f>IF(OR(Employee__2[[#This Row],[Age]]&gt;=30,Employee__2[[#This Row],[Gender]]="Male"),"Mached","Not mached")</f>
        <v>Mached</v>
      </c>
    </row>
    <row r="365" spans="4:16" x14ac:dyDescent="0.25">
      <c r="D365" s="6" t="s">
        <v>34</v>
      </c>
      <c r="E365">
        <v>2017</v>
      </c>
      <c r="F365" s="6" t="s">
        <v>40</v>
      </c>
      <c r="G365">
        <v>3</v>
      </c>
      <c r="H365">
        <v>27</v>
      </c>
      <c r="I365" s="6" t="s">
        <v>39</v>
      </c>
      <c r="J365" s="6" t="s">
        <v>37</v>
      </c>
      <c r="K365">
        <v>5</v>
      </c>
      <c r="M365" s="1" t="b">
        <f>Employee__2[[#This Row],[Experience]]&gt;1</f>
        <v>1</v>
      </c>
      <c r="N365" s="1" t="str">
        <f>IF(Employee__2[[#This Row],[City]]="Pune","Yes","No")</f>
        <v>No</v>
      </c>
      <c r="O365" s="1" t="str">
        <f>IF(AND(Employee__2[[#This Row],[Education]]="Bachelors",Employee__2[[#This Row],[City]]="Pune"),"Yes","No")</f>
        <v>No</v>
      </c>
      <c r="P365" s="1" t="str">
        <f>IF(OR(Employee__2[[#This Row],[Age]]&gt;=30,Employee__2[[#This Row],[Gender]]="Male"),"Mached","Not mached")</f>
        <v>Not mached</v>
      </c>
    </row>
    <row r="366" spans="4:16" x14ac:dyDescent="0.25">
      <c r="D366" s="6" t="s">
        <v>34</v>
      </c>
      <c r="E366">
        <v>2015</v>
      </c>
      <c r="F366" s="6" t="s">
        <v>40</v>
      </c>
      <c r="G366">
        <v>3</v>
      </c>
      <c r="H366">
        <v>24</v>
      </c>
      <c r="I366" s="6" t="s">
        <v>39</v>
      </c>
      <c r="J366" s="6" t="s">
        <v>37</v>
      </c>
      <c r="K366">
        <v>2</v>
      </c>
      <c r="M366" s="1" t="b">
        <f>Employee__2[[#This Row],[Experience]]&gt;1</f>
        <v>1</v>
      </c>
      <c r="N366" s="1" t="str">
        <f>IF(Employee__2[[#This Row],[City]]="Pune","Yes","No")</f>
        <v>No</v>
      </c>
      <c r="O366" s="1" t="str">
        <f>IF(AND(Employee__2[[#This Row],[Education]]="Bachelors",Employee__2[[#This Row],[City]]="Pune"),"Yes","No")</f>
        <v>No</v>
      </c>
      <c r="P366" s="1" t="str">
        <f>IF(OR(Employee__2[[#This Row],[Age]]&gt;=30,Employee__2[[#This Row],[Gender]]="Male"),"Mached","Not mached")</f>
        <v>Not mached</v>
      </c>
    </row>
    <row r="367" spans="4:16" x14ac:dyDescent="0.25">
      <c r="D367" s="6" t="s">
        <v>41</v>
      </c>
      <c r="E367">
        <v>2017</v>
      </c>
      <c r="F367" s="6" t="s">
        <v>35</v>
      </c>
      <c r="G367">
        <v>1</v>
      </c>
      <c r="H367">
        <v>26</v>
      </c>
      <c r="I367" s="6" t="s">
        <v>39</v>
      </c>
      <c r="J367" s="6" t="s">
        <v>37</v>
      </c>
      <c r="K367">
        <v>4</v>
      </c>
      <c r="M367" s="1" t="b">
        <f>Employee__2[[#This Row],[Experience]]&gt;1</f>
        <v>1</v>
      </c>
      <c r="N367" s="1" t="str">
        <f>IF(Employee__2[[#This Row],[City]]="Pune","Yes","No")</f>
        <v>No</v>
      </c>
      <c r="O367" s="1" t="str">
        <f>IF(AND(Employee__2[[#This Row],[Education]]="Bachelors",Employee__2[[#This Row],[City]]="Pune"),"Yes","No")</f>
        <v>No</v>
      </c>
      <c r="P367" s="1" t="str">
        <f>IF(OR(Employee__2[[#This Row],[Age]]&gt;=30,Employee__2[[#This Row],[Gender]]="Male"),"Mached","Not mached")</f>
        <v>Not mached</v>
      </c>
    </row>
    <row r="368" spans="4:16" x14ac:dyDescent="0.25">
      <c r="D368" s="6" t="s">
        <v>34</v>
      </c>
      <c r="E368">
        <v>2017</v>
      </c>
      <c r="F368" s="6" t="s">
        <v>40</v>
      </c>
      <c r="G368">
        <v>1</v>
      </c>
      <c r="H368">
        <v>28</v>
      </c>
      <c r="I368" s="6" t="s">
        <v>39</v>
      </c>
      <c r="J368" s="6" t="s">
        <v>37</v>
      </c>
      <c r="K368">
        <v>2</v>
      </c>
      <c r="M368" s="1" t="b">
        <f>Employee__2[[#This Row],[Experience]]&gt;1</f>
        <v>1</v>
      </c>
      <c r="N368" s="1" t="str">
        <f>IF(Employee__2[[#This Row],[City]]="Pune","Yes","No")</f>
        <v>No</v>
      </c>
      <c r="O368" s="1" t="str">
        <f>IF(AND(Employee__2[[#This Row],[Education]]="Bachelors",Employee__2[[#This Row],[City]]="Pune"),"Yes","No")</f>
        <v>No</v>
      </c>
      <c r="P368" s="1" t="str">
        <f>IF(OR(Employee__2[[#This Row],[Age]]&gt;=30,Employee__2[[#This Row],[Gender]]="Male"),"Mached","Not mached")</f>
        <v>Not mached</v>
      </c>
    </row>
    <row r="369" spans="4:16" x14ac:dyDescent="0.25">
      <c r="D369" s="6" t="s">
        <v>34</v>
      </c>
      <c r="E369">
        <v>2015</v>
      </c>
      <c r="F369" s="6" t="s">
        <v>35</v>
      </c>
      <c r="G369">
        <v>3</v>
      </c>
      <c r="H369">
        <v>24</v>
      </c>
      <c r="I369" s="6" t="s">
        <v>36</v>
      </c>
      <c r="J369" s="6" t="s">
        <v>37</v>
      </c>
      <c r="K369">
        <v>2</v>
      </c>
      <c r="M369" s="1" t="b">
        <f>Employee__2[[#This Row],[Experience]]&gt;1</f>
        <v>1</v>
      </c>
      <c r="N369" s="1" t="str">
        <f>IF(Employee__2[[#This Row],[City]]="Pune","Yes","No")</f>
        <v>No</v>
      </c>
      <c r="O369" s="1" t="str">
        <f>IF(AND(Employee__2[[#This Row],[Education]]="Bachelors",Employee__2[[#This Row],[City]]="Pune"),"Yes","No")</f>
        <v>No</v>
      </c>
      <c r="P369" s="1" t="str">
        <f>IF(OR(Employee__2[[#This Row],[Age]]&gt;=30,Employee__2[[#This Row],[Gender]]="Male"),"Mached","Not mached")</f>
        <v>Mached</v>
      </c>
    </row>
    <row r="370" spans="4:16" x14ac:dyDescent="0.25">
      <c r="D370" s="6" t="s">
        <v>41</v>
      </c>
      <c r="E370">
        <v>2015</v>
      </c>
      <c r="F370" s="6" t="s">
        <v>38</v>
      </c>
      <c r="G370">
        <v>2</v>
      </c>
      <c r="H370">
        <v>25</v>
      </c>
      <c r="I370" s="6" t="s">
        <v>39</v>
      </c>
      <c r="J370" s="6" t="s">
        <v>37</v>
      </c>
      <c r="K370">
        <v>3</v>
      </c>
      <c r="M370" s="1" t="b">
        <f>Employee__2[[#This Row],[Experience]]&gt;1</f>
        <v>1</v>
      </c>
      <c r="N370" s="1" t="str">
        <f>IF(Employee__2[[#This Row],[City]]="Pune","Yes","No")</f>
        <v>Yes</v>
      </c>
      <c r="O370" s="1" t="str">
        <f>IF(AND(Employee__2[[#This Row],[Education]]="Bachelors",Employee__2[[#This Row],[City]]="Pune"),"Yes","No")</f>
        <v>No</v>
      </c>
      <c r="P370" s="1" t="str">
        <f>IF(OR(Employee__2[[#This Row],[Age]]&gt;=30,Employee__2[[#This Row],[Gender]]="Male"),"Mached","Not mached")</f>
        <v>Not mached</v>
      </c>
    </row>
    <row r="371" spans="4:16" x14ac:dyDescent="0.25">
      <c r="D371" s="6" t="s">
        <v>34</v>
      </c>
      <c r="E371">
        <v>2014</v>
      </c>
      <c r="F371" s="6" t="s">
        <v>35</v>
      </c>
      <c r="G371">
        <v>3</v>
      </c>
      <c r="H371">
        <v>25</v>
      </c>
      <c r="I371" s="6" t="s">
        <v>39</v>
      </c>
      <c r="J371" s="6" t="s">
        <v>37</v>
      </c>
      <c r="K371">
        <v>3</v>
      </c>
      <c r="M371" s="1" t="b">
        <f>Employee__2[[#This Row],[Experience]]&gt;1</f>
        <v>1</v>
      </c>
      <c r="N371" s="1" t="str">
        <f>IF(Employee__2[[#This Row],[City]]="Pune","Yes","No")</f>
        <v>No</v>
      </c>
      <c r="O371" s="1" t="str">
        <f>IF(AND(Employee__2[[#This Row],[Education]]="Bachelors",Employee__2[[#This Row],[City]]="Pune"),"Yes","No")</f>
        <v>No</v>
      </c>
      <c r="P371" s="1" t="str">
        <f>IF(OR(Employee__2[[#This Row],[Age]]&gt;=30,Employee__2[[#This Row],[Gender]]="Male"),"Mached","Not mached")</f>
        <v>Not mached</v>
      </c>
    </row>
    <row r="372" spans="4:16" x14ac:dyDescent="0.25">
      <c r="D372" s="6" t="s">
        <v>34</v>
      </c>
      <c r="E372">
        <v>2014</v>
      </c>
      <c r="F372" s="6" t="s">
        <v>35</v>
      </c>
      <c r="G372">
        <v>3</v>
      </c>
      <c r="H372">
        <v>28</v>
      </c>
      <c r="I372" s="6" t="s">
        <v>36</v>
      </c>
      <c r="J372" s="6" t="s">
        <v>37</v>
      </c>
      <c r="K372">
        <v>2</v>
      </c>
      <c r="M372" s="1" t="b">
        <f>Employee__2[[#This Row],[Experience]]&gt;1</f>
        <v>1</v>
      </c>
      <c r="N372" s="1" t="str">
        <f>IF(Employee__2[[#This Row],[City]]="Pune","Yes","No")</f>
        <v>No</v>
      </c>
      <c r="O372" s="1" t="str">
        <f>IF(AND(Employee__2[[#This Row],[Education]]="Bachelors",Employee__2[[#This Row],[City]]="Pune"),"Yes","No")</f>
        <v>No</v>
      </c>
      <c r="P372" s="1" t="str">
        <f>IF(OR(Employee__2[[#This Row],[Age]]&gt;=30,Employee__2[[#This Row],[Gender]]="Male"),"Mached","Not mached")</f>
        <v>Mached</v>
      </c>
    </row>
    <row r="373" spans="4:16" x14ac:dyDescent="0.25">
      <c r="D373" s="6" t="s">
        <v>34</v>
      </c>
      <c r="E373">
        <v>2017</v>
      </c>
      <c r="F373" s="6" t="s">
        <v>35</v>
      </c>
      <c r="G373">
        <v>3</v>
      </c>
      <c r="H373">
        <v>28</v>
      </c>
      <c r="I373" s="6" t="s">
        <v>36</v>
      </c>
      <c r="J373" s="6" t="s">
        <v>37</v>
      </c>
      <c r="K373">
        <v>3</v>
      </c>
      <c r="M373" s="1" t="b">
        <f>Employee__2[[#This Row],[Experience]]&gt;1</f>
        <v>1</v>
      </c>
      <c r="N373" s="1" t="str">
        <f>IF(Employee__2[[#This Row],[City]]="Pune","Yes","No")</f>
        <v>No</v>
      </c>
      <c r="O373" s="1" t="str">
        <f>IF(AND(Employee__2[[#This Row],[Education]]="Bachelors",Employee__2[[#This Row],[City]]="Pune"),"Yes","No")</f>
        <v>No</v>
      </c>
      <c r="P373" s="1" t="str">
        <f>IF(OR(Employee__2[[#This Row],[Age]]&gt;=30,Employee__2[[#This Row],[Gender]]="Male"),"Mached","Not mached")</f>
        <v>Mached</v>
      </c>
    </row>
    <row r="374" spans="4:16" x14ac:dyDescent="0.25">
      <c r="D374" s="6" t="s">
        <v>41</v>
      </c>
      <c r="E374">
        <v>2015</v>
      </c>
      <c r="F374" s="6" t="s">
        <v>40</v>
      </c>
      <c r="G374">
        <v>1</v>
      </c>
      <c r="H374">
        <v>27</v>
      </c>
      <c r="I374" s="6" t="s">
        <v>36</v>
      </c>
      <c r="J374" s="6" t="s">
        <v>37</v>
      </c>
      <c r="K374">
        <v>5</v>
      </c>
      <c r="M374" s="1" t="b">
        <f>Employee__2[[#This Row],[Experience]]&gt;1</f>
        <v>1</v>
      </c>
      <c r="N374" s="1" t="str">
        <f>IF(Employee__2[[#This Row],[City]]="Pune","Yes","No")</f>
        <v>No</v>
      </c>
      <c r="O374" s="1" t="str">
        <f>IF(AND(Employee__2[[#This Row],[Education]]="Bachelors",Employee__2[[#This Row],[City]]="Pune"),"Yes","No")</f>
        <v>No</v>
      </c>
      <c r="P374" s="1" t="str">
        <f>IF(OR(Employee__2[[#This Row],[Age]]&gt;=30,Employee__2[[#This Row],[Gender]]="Male"),"Mached","Not mached")</f>
        <v>Mached</v>
      </c>
    </row>
    <row r="375" spans="4:16" x14ac:dyDescent="0.25">
      <c r="D375" s="6" t="s">
        <v>34</v>
      </c>
      <c r="E375">
        <v>2014</v>
      </c>
      <c r="F375" s="6" t="s">
        <v>38</v>
      </c>
      <c r="G375">
        <v>1</v>
      </c>
      <c r="H375">
        <v>26</v>
      </c>
      <c r="I375" s="6" t="s">
        <v>39</v>
      </c>
      <c r="J375" s="6" t="s">
        <v>37</v>
      </c>
      <c r="K375">
        <v>4</v>
      </c>
      <c r="M375" s="1" t="b">
        <f>Employee__2[[#This Row],[Experience]]&gt;1</f>
        <v>1</v>
      </c>
      <c r="N375" s="1" t="str">
        <f>IF(Employee__2[[#This Row],[City]]="Pune","Yes","No")</f>
        <v>Yes</v>
      </c>
      <c r="O375" s="1" t="str">
        <f>IF(AND(Employee__2[[#This Row],[Education]]="Bachelors",Employee__2[[#This Row],[City]]="Pune"),"Yes","No")</f>
        <v>Yes</v>
      </c>
      <c r="P375" s="1" t="str">
        <f>IF(OR(Employee__2[[#This Row],[Age]]&gt;=30,Employee__2[[#This Row],[Gender]]="Male"),"Mached","Not mached")</f>
        <v>Not mached</v>
      </c>
    </row>
    <row r="376" spans="4:16" x14ac:dyDescent="0.25">
      <c r="D376" s="6" t="s">
        <v>41</v>
      </c>
      <c r="E376">
        <v>2018</v>
      </c>
      <c r="F376" s="6" t="s">
        <v>35</v>
      </c>
      <c r="G376">
        <v>3</v>
      </c>
      <c r="H376">
        <v>25</v>
      </c>
      <c r="I376" s="6" t="s">
        <v>36</v>
      </c>
      <c r="J376" s="6" t="s">
        <v>42</v>
      </c>
      <c r="K376">
        <v>3</v>
      </c>
      <c r="M376" s="1" t="b">
        <f>Employee__2[[#This Row],[Experience]]&gt;1</f>
        <v>1</v>
      </c>
      <c r="N376" s="1" t="str">
        <f>IF(Employee__2[[#This Row],[City]]="Pune","Yes","No")</f>
        <v>No</v>
      </c>
      <c r="O376" s="1" t="str">
        <f>IF(AND(Employee__2[[#This Row],[Education]]="Bachelors",Employee__2[[#This Row],[City]]="Pune"),"Yes","No")</f>
        <v>No</v>
      </c>
      <c r="P376" s="1" t="str">
        <f>IF(OR(Employee__2[[#This Row],[Age]]&gt;=30,Employee__2[[#This Row],[Gender]]="Male"),"Mached","Not mached")</f>
        <v>Mached</v>
      </c>
    </row>
    <row r="377" spans="4:16" x14ac:dyDescent="0.25">
      <c r="D377" s="6" t="s">
        <v>34</v>
      </c>
      <c r="E377">
        <v>2016</v>
      </c>
      <c r="F377" s="6" t="s">
        <v>35</v>
      </c>
      <c r="G377">
        <v>3</v>
      </c>
      <c r="H377">
        <v>28</v>
      </c>
      <c r="I377" s="6" t="s">
        <v>39</v>
      </c>
      <c r="J377" s="6" t="s">
        <v>37</v>
      </c>
      <c r="K377">
        <v>3</v>
      </c>
      <c r="M377" s="1" t="b">
        <f>Employee__2[[#This Row],[Experience]]&gt;1</f>
        <v>1</v>
      </c>
      <c r="N377" s="1" t="str">
        <f>IF(Employee__2[[#This Row],[City]]="Pune","Yes","No")</f>
        <v>No</v>
      </c>
      <c r="O377" s="1" t="str">
        <f>IF(AND(Employee__2[[#This Row],[Education]]="Bachelors",Employee__2[[#This Row],[City]]="Pune"),"Yes","No")</f>
        <v>No</v>
      </c>
      <c r="P377" s="1" t="str">
        <f>IF(OR(Employee__2[[#This Row],[Age]]&gt;=30,Employee__2[[#This Row],[Gender]]="Male"),"Mached","Not mached")</f>
        <v>Not mached</v>
      </c>
    </row>
    <row r="378" spans="4:16" x14ac:dyDescent="0.25">
      <c r="D378" s="6" t="s">
        <v>34</v>
      </c>
      <c r="E378">
        <v>2018</v>
      </c>
      <c r="F378" s="6" t="s">
        <v>40</v>
      </c>
      <c r="G378">
        <v>3</v>
      </c>
      <c r="H378">
        <v>26</v>
      </c>
      <c r="I378" s="6" t="s">
        <v>39</v>
      </c>
      <c r="J378" s="6" t="s">
        <v>42</v>
      </c>
      <c r="K378">
        <v>4</v>
      </c>
      <c r="M378" s="1" t="b">
        <f>Employee__2[[#This Row],[Experience]]&gt;1</f>
        <v>1</v>
      </c>
      <c r="N378" s="1" t="str">
        <f>IF(Employee__2[[#This Row],[City]]="Pune","Yes","No")</f>
        <v>No</v>
      </c>
      <c r="O378" s="1" t="str">
        <f>IF(AND(Employee__2[[#This Row],[Education]]="Bachelors",Employee__2[[#This Row],[City]]="Pune"),"Yes","No")</f>
        <v>No</v>
      </c>
      <c r="P378" s="1" t="str">
        <f>IF(OR(Employee__2[[#This Row],[Age]]&gt;=30,Employee__2[[#This Row],[Gender]]="Male"),"Mached","Not mached")</f>
        <v>Not mached</v>
      </c>
    </row>
    <row r="379" spans="4:16" x14ac:dyDescent="0.25">
      <c r="D379" s="6" t="s">
        <v>34</v>
      </c>
      <c r="E379">
        <v>2015</v>
      </c>
      <c r="F379" s="6" t="s">
        <v>38</v>
      </c>
      <c r="G379">
        <v>2</v>
      </c>
      <c r="H379">
        <v>24</v>
      </c>
      <c r="I379" s="6" t="s">
        <v>39</v>
      </c>
      <c r="J379" s="6" t="s">
        <v>37</v>
      </c>
      <c r="K379">
        <v>2</v>
      </c>
      <c r="M379" s="1" t="b">
        <f>Employee__2[[#This Row],[Experience]]&gt;1</f>
        <v>1</v>
      </c>
      <c r="N379" s="1" t="str">
        <f>IF(Employee__2[[#This Row],[City]]="Pune","Yes","No")</f>
        <v>Yes</v>
      </c>
      <c r="O379" s="1" t="str">
        <f>IF(AND(Employee__2[[#This Row],[Education]]="Bachelors",Employee__2[[#This Row],[City]]="Pune"),"Yes","No")</f>
        <v>Yes</v>
      </c>
      <c r="P379" s="1" t="str">
        <f>IF(OR(Employee__2[[#This Row],[Age]]&gt;=30,Employee__2[[#This Row],[Gender]]="Male"),"Mached","Not mached")</f>
        <v>Not mached</v>
      </c>
    </row>
    <row r="380" spans="4:16" x14ac:dyDescent="0.25">
      <c r="D380" s="6" t="s">
        <v>34</v>
      </c>
      <c r="E380">
        <v>2017</v>
      </c>
      <c r="F380" s="6" t="s">
        <v>35</v>
      </c>
      <c r="G380">
        <v>3</v>
      </c>
      <c r="H380">
        <v>27</v>
      </c>
      <c r="I380" s="6" t="s">
        <v>36</v>
      </c>
      <c r="J380" s="6" t="s">
        <v>42</v>
      </c>
      <c r="K380">
        <v>5</v>
      </c>
      <c r="M380" s="1" t="b">
        <f>Employee__2[[#This Row],[Experience]]&gt;1</f>
        <v>1</v>
      </c>
      <c r="N380" s="1" t="str">
        <f>IF(Employee__2[[#This Row],[City]]="Pune","Yes","No")</f>
        <v>No</v>
      </c>
      <c r="O380" s="1" t="str">
        <f>IF(AND(Employee__2[[#This Row],[Education]]="Bachelors",Employee__2[[#This Row],[City]]="Pune"),"Yes","No")</f>
        <v>No</v>
      </c>
      <c r="P380" s="1" t="str">
        <f>IF(OR(Employee__2[[#This Row],[Age]]&gt;=30,Employee__2[[#This Row],[Gender]]="Male"),"Mached","Not mached")</f>
        <v>Mached</v>
      </c>
    </row>
    <row r="381" spans="4:16" x14ac:dyDescent="0.25">
      <c r="D381" s="6" t="s">
        <v>34</v>
      </c>
      <c r="E381">
        <v>2014</v>
      </c>
      <c r="F381" s="6" t="s">
        <v>35</v>
      </c>
      <c r="G381">
        <v>3</v>
      </c>
      <c r="H381">
        <v>26</v>
      </c>
      <c r="I381" s="6" t="s">
        <v>36</v>
      </c>
      <c r="J381" s="6" t="s">
        <v>37</v>
      </c>
      <c r="K381">
        <v>4</v>
      </c>
      <c r="M381" s="1" t="b">
        <f>Employee__2[[#This Row],[Experience]]&gt;1</f>
        <v>1</v>
      </c>
      <c r="N381" s="1" t="str">
        <f>IF(Employee__2[[#This Row],[City]]="Pune","Yes","No")</f>
        <v>No</v>
      </c>
      <c r="O381" s="1" t="str">
        <f>IF(AND(Employee__2[[#This Row],[Education]]="Bachelors",Employee__2[[#This Row],[City]]="Pune"),"Yes","No")</f>
        <v>No</v>
      </c>
      <c r="P381" s="1" t="str">
        <f>IF(OR(Employee__2[[#This Row],[Age]]&gt;=30,Employee__2[[#This Row],[Gender]]="Male"),"Mached","Not mached")</f>
        <v>Mached</v>
      </c>
    </row>
    <row r="382" spans="4:16" x14ac:dyDescent="0.25">
      <c r="D382" s="6" t="s">
        <v>34</v>
      </c>
      <c r="E382">
        <v>2014</v>
      </c>
      <c r="F382" s="6" t="s">
        <v>35</v>
      </c>
      <c r="G382">
        <v>3</v>
      </c>
      <c r="H382">
        <v>24</v>
      </c>
      <c r="I382" s="6" t="s">
        <v>36</v>
      </c>
      <c r="J382" s="6" t="s">
        <v>37</v>
      </c>
      <c r="K382">
        <v>2</v>
      </c>
      <c r="M382" s="1" t="b">
        <f>Employee__2[[#This Row],[Experience]]&gt;1</f>
        <v>1</v>
      </c>
      <c r="N382" s="1" t="str">
        <f>IF(Employee__2[[#This Row],[City]]="Pune","Yes","No")</f>
        <v>No</v>
      </c>
      <c r="O382" s="1" t="str">
        <f>IF(AND(Employee__2[[#This Row],[Education]]="Bachelors",Employee__2[[#This Row],[City]]="Pune"),"Yes","No")</f>
        <v>No</v>
      </c>
      <c r="P382" s="1" t="str">
        <f>IF(OR(Employee__2[[#This Row],[Age]]&gt;=30,Employee__2[[#This Row],[Gender]]="Male"),"Mached","Not mached")</f>
        <v>Mached</v>
      </c>
    </row>
    <row r="383" spans="4:16" x14ac:dyDescent="0.25">
      <c r="D383" s="6" t="s">
        <v>34</v>
      </c>
      <c r="E383">
        <v>2016</v>
      </c>
      <c r="F383" s="6" t="s">
        <v>35</v>
      </c>
      <c r="G383">
        <v>3</v>
      </c>
      <c r="H383">
        <v>28</v>
      </c>
      <c r="I383" s="6" t="s">
        <v>36</v>
      </c>
      <c r="J383" s="6" t="s">
        <v>37</v>
      </c>
      <c r="K383">
        <v>2</v>
      </c>
      <c r="M383" s="1" t="b">
        <f>Employee__2[[#This Row],[Experience]]&gt;1</f>
        <v>1</v>
      </c>
      <c r="N383" s="1" t="str">
        <f>IF(Employee__2[[#This Row],[City]]="Pune","Yes","No")</f>
        <v>No</v>
      </c>
      <c r="O383" s="1" t="str">
        <f>IF(AND(Employee__2[[#This Row],[Education]]="Bachelors",Employee__2[[#This Row],[City]]="Pune"),"Yes","No")</f>
        <v>No</v>
      </c>
      <c r="P383" s="1" t="str">
        <f>IF(OR(Employee__2[[#This Row],[Age]]&gt;=30,Employee__2[[#This Row],[Gender]]="Male"),"Mached","Not mached")</f>
        <v>Mached</v>
      </c>
    </row>
    <row r="384" spans="4:16" x14ac:dyDescent="0.25">
      <c r="D384" s="6" t="s">
        <v>34</v>
      </c>
      <c r="E384">
        <v>2015</v>
      </c>
      <c r="F384" s="6" t="s">
        <v>38</v>
      </c>
      <c r="G384">
        <v>2</v>
      </c>
      <c r="H384">
        <v>25</v>
      </c>
      <c r="I384" s="6" t="s">
        <v>39</v>
      </c>
      <c r="J384" s="6" t="s">
        <v>37</v>
      </c>
      <c r="K384">
        <v>3</v>
      </c>
      <c r="M384" s="1" t="b">
        <f>Employee__2[[#This Row],[Experience]]&gt;1</f>
        <v>1</v>
      </c>
      <c r="N384" s="1" t="str">
        <f>IF(Employee__2[[#This Row],[City]]="Pune","Yes","No")</f>
        <v>Yes</v>
      </c>
      <c r="O384" s="1" t="str">
        <f>IF(AND(Employee__2[[#This Row],[Education]]="Bachelors",Employee__2[[#This Row],[City]]="Pune"),"Yes","No")</f>
        <v>Yes</v>
      </c>
      <c r="P384" s="1" t="str">
        <f>IF(OR(Employee__2[[#This Row],[Age]]&gt;=30,Employee__2[[#This Row],[Gender]]="Male"),"Mached","Not mached")</f>
        <v>Not mached</v>
      </c>
    </row>
    <row r="385" spans="4:16" x14ac:dyDescent="0.25">
      <c r="D385" s="6" t="s">
        <v>34</v>
      </c>
      <c r="E385">
        <v>2013</v>
      </c>
      <c r="F385" s="6" t="s">
        <v>38</v>
      </c>
      <c r="G385">
        <v>3</v>
      </c>
      <c r="H385">
        <v>27</v>
      </c>
      <c r="I385" s="6" t="s">
        <v>36</v>
      </c>
      <c r="J385" s="6" t="s">
        <v>37</v>
      </c>
      <c r="K385">
        <v>5</v>
      </c>
      <c r="M385" s="1" t="b">
        <f>Employee__2[[#This Row],[Experience]]&gt;1</f>
        <v>1</v>
      </c>
      <c r="N385" s="1" t="str">
        <f>IF(Employee__2[[#This Row],[City]]="Pune","Yes","No")</f>
        <v>Yes</v>
      </c>
      <c r="O385" s="1" t="str">
        <f>IF(AND(Employee__2[[#This Row],[Education]]="Bachelors",Employee__2[[#This Row],[City]]="Pune"),"Yes","No")</f>
        <v>Yes</v>
      </c>
      <c r="P385" s="1" t="str">
        <f>IF(OR(Employee__2[[#This Row],[Age]]&gt;=30,Employee__2[[#This Row],[Gender]]="Male"),"Mached","Not mached")</f>
        <v>Mached</v>
      </c>
    </row>
    <row r="386" spans="4:16" x14ac:dyDescent="0.25">
      <c r="D386" s="6" t="s">
        <v>34</v>
      </c>
      <c r="E386">
        <v>2015</v>
      </c>
      <c r="F386" s="6" t="s">
        <v>35</v>
      </c>
      <c r="G386">
        <v>3</v>
      </c>
      <c r="H386">
        <v>28</v>
      </c>
      <c r="I386" s="6" t="s">
        <v>36</v>
      </c>
      <c r="J386" s="6" t="s">
        <v>37</v>
      </c>
      <c r="K386">
        <v>3</v>
      </c>
      <c r="M386" s="1" t="b">
        <f>Employee__2[[#This Row],[Experience]]&gt;1</f>
        <v>1</v>
      </c>
      <c r="N386" s="1" t="str">
        <f>IF(Employee__2[[#This Row],[City]]="Pune","Yes","No")</f>
        <v>No</v>
      </c>
      <c r="O386" s="1" t="str">
        <f>IF(AND(Employee__2[[#This Row],[Education]]="Bachelors",Employee__2[[#This Row],[City]]="Pune"),"Yes","No")</f>
        <v>No</v>
      </c>
      <c r="P386" s="1" t="str">
        <f>IF(OR(Employee__2[[#This Row],[Age]]&gt;=30,Employee__2[[#This Row],[Gender]]="Male"),"Mached","Not mached")</f>
        <v>Mached</v>
      </c>
    </row>
    <row r="387" spans="4:16" x14ac:dyDescent="0.25">
      <c r="D387" s="6" t="s">
        <v>34</v>
      </c>
      <c r="E387">
        <v>2014</v>
      </c>
      <c r="F387" s="6" t="s">
        <v>35</v>
      </c>
      <c r="G387">
        <v>3</v>
      </c>
      <c r="H387">
        <v>26</v>
      </c>
      <c r="I387" s="6" t="s">
        <v>36</v>
      </c>
      <c r="J387" s="6" t="s">
        <v>37</v>
      </c>
      <c r="K387">
        <v>4</v>
      </c>
      <c r="M387" s="1" t="b">
        <f>Employee__2[[#This Row],[Experience]]&gt;1</f>
        <v>1</v>
      </c>
      <c r="N387" s="1" t="str">
        <f>IF(Employee__2[[#This Row],[City]]="Pune","Yes","No")</f>
        <v>No</v>
      </c>
      <c r="O387" s="1" t="str">
        <f>IF(AND(Employee__2[[#This Row],[Education]]="Bachelors",Employee__2[[#This Row],[City]]="Pune"),"Yes","No")</f>
        <v>No</v>
      </c>
      <c r="P387" s="1" t="str">
        <f>IF(OR(Employee__2[[#This Row],[Age]]&gt;=30,Employee__2[[#This Row],[Gender]]="Male"),"Mached","Not mached")</f>
        <v>Mached</v>
      </c>
    </row>
    <row r="388" spans="4:16" x14ac:dyDescent="0.25">
      <c r="D388" s="6" t="s">
        <v>34</v>
      </c>
      <c r="E388">
        <v>2012</v>
      </c>
      <c r="F388" s="6" t="s">
        <v>35</v>
      </c>
      <c r="G388">
        <v>3</v>
      </c>
      <c r="H388">
        <v>24</v>
      </c>
      <c r="I388" s="6" t="s">
        <v>36</v>
      </c>
      <c r="J388" s="6" t="s">
        <v>37</v>
      </c>
      <c r="K388">
        <v>2</v>
      </c>
      <c r="M388" s="1" t="b">
        <f>Employee__2[[#This Row],[Experience]]&gt;1</f>
        <v>1</v>
      </c>
      <c r="N388" s="1" t="str">
        <f>IF(Employee__2[[#This Row],[City]]="Pune","Yes","No")</f>
        <v>No</v>
      </c>
      <c r="O388" s="1" t="str">
        <f>IF(AND(Employee__2[[#This Row],[Education]]="Bachelors",Employee__2[[#This Row],[City]]="Pune"),"Yes","No")</f>
        <v>No</v>
      </c>
      <c r="P388" s="1" t="str">
        <f>IF(OR(Employee__2[[#This Row],[Age]]&gt;=30,Employee__2[[#This Row],[Gender]]="Male"),"Mached","Not mached")</f>
        <v>Mached</v>
      </c>
    </row>
    <row r="389" spans="4:16" x14ac:dyDescent="0.25">
      <c r="D389" s="6" t="s">
        <v>34</v>
      </c>
      <c r="E389">
        <v>2013</v>
      </c>
      <c r="F389" s="6" t="s">
        <v>35</v>
      </c>
      <c r="G389">
        <v>3</v>
      </c>
      <c r="H389">
        <v>27</v>
      </c>
      <c r="I389" s="6" t="s">
        <v>36</v>
      </c>
      <c r="J389" s="6" t="s">
        <v>37</v>
      </c>
      <c r="K389">
        <v>5</v>
      </c>
      <c r="M389" s="1" t="b">
        <f>Employee__2[[#This Row],[Experience]]&gt;1</f>
        <v>1</v>
      </c>
      <c r="N389" s="1" t="str">
        <f>IF(Employee__2[[#This Row],[City]]="Pune","Yes","No")</f>
        <v>No</v>
      </c>
      <c r="O389" s="1" t="str">
        <f>IF(AND(Employee__2[[#This Row],[Education]]="Bachelors",Employee__2[[#This Row],[City]]="Pune"),"Yes","No")</f>
        <v>No</v>
      </c>
      <c r="P389" s="1" t="str">
        <f>IF(OR(Employee__2[[#This Row],[Age]]&gt;=30,Employee__2[[#This Row],[Gender]]="Male"),"Mached","Not mached")</f>
        <v>Mached</v>
      </c>
    </row>
    <row r="390" spans="4:16" x14ac:dyDescent="0.25">
      <c r="D390" s="6" t="s">
        <v>34</v>
      </c>
      <c r="E390">
        <v>2015</v>
      </c>
      <c r="F390" s="6" t="s">
        <v>35</v>
      </c>
      <c r="G390">
        <v>3</v>
      </c>
      <c r="H390">
        <v>26</v>
      </c>
      <c r="I390" s="6" t="s">
        <v>39</v>
      </c>
      <c r="J390" s="6" t="s">
        <v>42</v>
      </c>
      <c r="K390">
        <v>4</v>
      </c>
      <c r="M390" s="1" t="b">
        <f>Employee__2[[#This Row],[Experience]]&gt;1</f>
        <v>1</v>
      </c>
      <c r="N390" s="1" t="str">
        <f>IF(Employee__2[[#This Row],[City]]="Pune","Yes","No")</f>
        <v>No</v>
      </c>
      <c r="O390" s="1" t="str">
        <f>IF(AND(Employee__2[[#This Row],[Education]]="Bachelors",Employee__2[[#This Row],[City]]="Pune"),"Yes","No")</f>
        <v>No</v>
      </c>
      <c r="P390" s="1" t="str">
        <f>IF(OR(Employee__2[[#This Row],[Age]]&gt;=30,Employee__2[[#This Row],[Gender]]="Male"),"Mached","Not mached")</f>
        <v>Not mached</v>
      </c>
    </row>
    <row r="391" spans="4:16" x14ac:dyDescent="0.25">
      <c r="D391" s="6" t="s">
        <v>34</v>
      </c>
      <c r="E391">
        <v>2015</v>
      </c>
      <c r="F391" s="6" t="s">
        <v>38</v>
      </c>
      <c r="G391">
        <v>3</v>
      </c>
      <c r="H391">
        <v>28</v>
      </c>
      <c r="I391" s="6" t="s">
        <v>36</v>
      </c>
      <c r="J391" s="6" t="s">
        <v>37</v>
      </c>
      <c r="K391">
        <v>2</v>
      </c>
      <c r="M391" s="1" t="b">
        <f>Employee__2[[#This Row],[Experience]]&gt;1</f>
        <v>1</v>
      </c>
      <c r="N391" s="1" t="str">
        <f>IF(Employee__2[[#This Row],[City]]="Pune","Yes","No")</f>
        <v>Yes</v>
      </c>
      <c r="O391" s="1" t="str">
        <f>IF(AND(Employee__2[[#This Row],[Education]]="Bachelors",Employee__2[[#This Row],[City]]="Pune"),"Yes","No")</f>
        <v>Yes</v>
      </c>
      <c r="P391" s="1" t="str">
        <f>IF(OR(Employee__2[[#This Row],[Age]]&gt;=30,Employee__2[[#This Row],[Gender]]="Male"),"Mached","Not mached")</f>
        <v>Mached</v>
      </c>
    </row>
    <row r="392" spans="4:16" x14ac:dyDescent="0.25">
      <c r="D392" s="6" t="s">
        <v>34</v>
      </c>
      <c r="E392">
        <v>2014</v>
      </c>
      <c r="F392" s="6" t="s">
        <v>40</v>
      </c>
      <c r="G392">
        <v>2</v>
      </c>
      <c r="H392">
        <v>24</v>
      </c>
      <c r="I392" s="6" t="s">
        <v>39</v>
      </c>
      <c r="J392" s="6" t="s">
        <v>37</v>
      </c>
      <c r="K392">
        <v>2</v>
      </c>
      <c r="M392" s="1" t="b">
        <f>Employee__2[[#This Row],[Experience]]&gt;1</f>
        <v>1</v>
      </c>
      <c r="N392" s="1" t="str">
        <f>IF(Employee__2[[#This Row],[City]]="Pune","Yes","No")</f>
        <v>No</v>
      </c>
      <c r="O392" s="1" t="str">
        <f>IF(AND(Employee__2[[#This Row],[Education]]="Bachelors",Employee__2[[#This Row],[City]]="Pune"),"Yes","No")</f>
        <v>No</v>
      </c>
      <c r="P392" s="1" t="str">
        <f>IF(OR(Employee__2[[#This Row],[Age]]&gt;=30,Employee__2[[#This Row],[Gender]]="Male"),"Mached","Not mached")</f>
        <v>Not mached</v>
      </c>
    </row>
    <row r="393" spans="4:16" x14ac:dyDescent="0.25">
      <c r="D393" s="6" t="s">
        <v>34</v>
      </c>
      <c r="E393">
        <v>2013</v>
      </c>
      <c r="F393" s="6" t="s">
        <v>35</v>
      </c>
      <c r="G393">
        <v>3</v>
      </c>
      <c r="H393">
        <v>24</v>
      </c>
      <c r="I393" s="6" t="s">
        <v>36</v>
      </c>
      <c r="J393" s="6" t="s">
        <v>37</v>
      </c>
      <c r="K393">
        <v>2</v>
      </c>
      <c r="M393" s="1" t="b">
        <f>Employee__2[[#This Row],[Experience]]&gt;1</f>
        <v>1</v>
      </c>
      <c r="N393" s="1" t="str">
        <f>IF(Employee__2[[#This Row],[City]]="Pune","Yes","No")</f>
        <v>No</v>
      </c>
      <c r="O393" s="1" t="str">
        <f>IF(AND(Employee__2[[#This Row],[Education]]="Bachelors",Employee__2[[#This Row],[City]]="Pune"),"Yes","No")</f>
        <v>No</v>
      </c>
      <c r="P393" s="1" t="str">
        <f>IF(OR(Employee__2[[#This Row],[Age]]&gt;=30,Employee__2[[#This Row],[Gender]]="Male"),"Mached","Not mached")</f>
        <v>Mached</v>
      </c>
    </row>
    <row r="394" spans="4:16" x14ac:dyDescent="0.25">
      <c r="D394" s="6" t="s">
        <v>34</v>
      </c>
      <c r="E394">
        <v>2018</v>
      </c>
      <c r="F394" s="6" t="s">
        <v>35</v>
      </c>
      <c r="G394">
        <v>3</v>
      </c>
      <c r="H394">
        <v>28</v>
      </c>
      <c r="I394" s="6" t="s">
        <v>36</v>
      </c>
      <c r="J394" s="6" t="s">
        <v>42</v>
      </c>
      <c r="K394">
        <v>3</v>
      </c>
      <c r="M394" s="1" t="b">
        <f>Employee__2[[#This Row],[Experience]]&gt;1</f>
        <v>1</v>
      </c>
      <c r="N394" s="1" t="str">
        <f>IF(Employee__2[[#This Row],[City]]="Pune","Yes","No")</f>
        <v>No</v>
      </c>
      <c r="O394" s="1" t="str">
        <f>IF(AND(Employee__2[[#This Row],[Education]]="Bachelors",Employee__2[[#This Row],[City]]="Pune"),"Yes","No")</f>
        <v>No</v>
      </c>
      <c r="P394" s="1" t="str">
        <f>IF(OR(Employee__2[[#This Row],[Age]]&gt;=30,Employee__2[[#This Row],[Gender]]="Male"),"Mached","Not mached")</f>
        <v>Mached</v>
      </c>
    </row>
    <row r="395" spans="4:16" x14ac:dyDescent="0.25">
      <c r="D395" s="6" t="s">
        <v>34</v>
      </c>
      <c r="E395">
        <v>2015</v>
      </c>
      <c r="F395" s="6" t="s">
        <v>38</v>
      </c>
      <c r="G395">
        <v>3</v>
      </c>
      <c r="H395">
        <v>27</v>
      </c>
      <c r="I395" s="6" t="s">
        <v>36</v>
      </c>
      <c r="J395" s="6" t="s">
        <v>37</v>
      </c>
      <c r="K395">
        <v>5</v>
      </c>
      <c r="M395" s="1" t="b">
        <f>Employee__2[[#This Row],[Experience]]&gt;1</f>
        <v>1</v>
      </c>
      <c r="N395" s="1" t="str">
        <f>IF(Employee__2[[#This Row],[City]]="Pune","Yes","No")</f>
        <v>Yes</v>
      </c>
      <c r="O395" s="1" t="str">
        <f>IF(AND(Employee__2[[#This Row],[Education]]="Bachelors",Employee__2[[#This Row],[City]]="Pune"),"Yes","No")</f>
        <v>Yes</v>
      </c>
      <c r="P395" s="1" t="str">
        <f>IF(OR(Employee__2[[#This Row],[Age]]&gt;=30,Employee__2[[#This Row],[Gender]]="Male"),"Mached","Not mached")</f>
        <v>Mached</v>
      </c>
    </row>
    <row r="396" spans="4:16" x14ac:dyDescent="0.25">
      <c r="D396" s="6" t="s">
        <v>34</v>
      </c>
      <c r="E396">
        <v>2014</v>
      </c>
      <c r="F396" s="6" t="s">
        <v>38</v>
      </c>
      <c r="G396">
        <v>2</v>
      </c>
      <c r="H396">
        <v>26</v>
      </c>
      <c r="I396" s="6" t="s">
        <v>36</v>
      </c>
      <c r="J396" s="6" t="s">
        <v>37</v>
      </c>
      <c r="K396">
        <v>4</v>
      </c>
      <c r="M396" s="1" t="b">
        <f>Employee__2[[#This Row],[Experience]]&gt;1</f>
        <v>1</v>
      </c>
      <c r="N396" s="1" t="str">
        <f>IF(Employee__2[[#This Row],[City]]="Pune","Yes","No")</f>
        <v>Yes</v>
      </c>
      <c r="O396" s="1" t="str">
        <f>IF(AND(Employee__2[[#This Row],[Education]]="Bachelors",Employee__2[[#This Row],[City]]="Pune"),"Yes","No")</f>
        <v>Yes</v>
      </c>
      <c r="P396" s="1" t="str">
        <f>IF(OR(Employee__2[[#This Row],[Age]]&gt;=30,Employee__2[[#This Row],[Gender]]="Male"),"Mached","Not mached")</f>
        <v>Mached</v>
      </c>
    </row>
    <row r="397" spans="4:16" x14ac:dyDescent="0.25">
      <c r="D397" s="6" t="s">
        <v>34</v>
      </c>
      <c r="E397">
        <v>2016</v>
      </c>
      <c r="F397" s="6" t="s">
        <v>35</v>
      </c>
      <c r="G397">
        <v>3</v>
      </c>
      <c r="H397">
        <v>25</v>
      </c>
      <c r="I397" s="6" t="s">
        <v>36</v>
      </c>
      <c r="J397" s="6" t="s">
        <v>37</v>
      </c>
      <c r="K397">
        <v>3</v>
      </c>
      <c r="M397" s="1" t="b">
        <f>Employee__2[[#This Row],[Experience]]&gt;1</f>
        <v>1</v>
      </c>
      <c r="N397" s="1" t="str">
        <f>IF(Employee__2[[#This Row],[City]]="Pune","Yes","No")</f>
        <v>No</v>
      </c>
      <c r="O397" s="1" t="str">
        <f>IF(AND(Employee__2[[#This Row],[Education]]="Bachelors",Employee__2[[#This Row],[City]]="Pune"),"Yes","No")</f>
        <v>No</v>
      </c>
      <c r="P397" s="1" t="str">
        <f>IF(OR(Employee__2[[#This Row],[Age]]&gt;=30,Employee__2[[#This Row],[Gender]]="Male"),"Mached","Not mached")</f>
        <v>Mached</v>
      </c>
    </row>
    <row r="398" spans="4:16" x14ac:dyDescent="0.25">
      <c r="D398" s="6" t="s">
        <v>43</v>
      </c>
      <c r="E398">
        <v>2013</v>
      </c>
      <c r="F398" s="6" t="s">
        <v>35</v>
      </c>
      <c r="G398">
        <v>3</v>
      </c>
      <c r="H398">
        <v>25</v>
      </c>
      <c r="I398" s="6" t="s">
        <v>36</v>
      </c>
      <c r="J398" s="6" t="s">
        <v>37</v>
      </c>
      <c r="K398">
        <v>3</v>
      </c>
      <c r="M398" s="1" t="b">
        <f>Employee__2[[#This Row],[Experience]]&gt;1</f>
        <v>1</v>
      </c>
      <c r="N398" s="1" t="str">
        <f>IF(Employee__2[[#This Row],[City]]="Pune","Yes","No")</f>
        <v>No</v>
      </c>
      <c r="O398" s="1" t="str">
        <f>IF(AND(Employee__2[[#This Row],[Education]]="Bachelors",Employee__2[[#This Row],[City]]="Pune"),"Yes","No")</f>
        <v>No</v>
      </c>
      <c r="P398" s="1" t="str">
        <f>IF(OR(Employee__2[[#This Row],[Age]]&gt;=30,Employee__2[[#This Row],[Gender]]="Male"),"Mached","Not mached")</f>
        <v>Mached</v>
      </c>
    </row>
    <row r="399" spans="4:16" x14ac:dyDescent="0.25">
      <c r="D399" s="6" t="s">
        <v>34</v>
      </c>
      <c r="E399">
        <v>2014</v>
      </c>
      <c r="F399" s="6" t="s">
        <v>35</v>
      </c>
      <c r="G399">
        <v>3</v>
      </c>
      <c r="H399">
        <v>25</v>
      </c>
      <c r="I399" s="6" t="s">
        <v>36</v>
      </c>
      <c r="J399" s="6" t="s">
        <v>37</v>
      </c>
      <c r="K399">
        <v>3</v>
      </c>
      <c r="M399" s="1" t="b">
        <f>Employee__2[[#This Row],[Experience]]&gt;1</f>
        <v>1</v>
      </c>
      <c r="N399" s="1" t="str">
        <f>IF(Employee__2[[#This Row],[City]]="Pune","Yes","No")</f>
        <v>No</v>
      </c>
      <c r="O399" s="1" t="str">
        <f>IF(AND(Employee__2[[#This Row],[Education]]="Bachelors",Employee__2[[#This Row],[City]]="Pune"),"Yes","No")</f>
        <v>No</v>
      </c>
      <c r="P399" s="1" t="str">
        <f>IF(OR(Employee__2[[#This Row],[Age]]&gt;=30,Employee__2[[#This Row],[Gender]]="Male"),"Mached","Not mached")</f>
        <v>Mached</v>
      </c>
    </row>
    <row r="400" spans="4:16" x14ac:dyDescent="0.25">
      <c r="D400" s="6" t="s">
        <v>34</v>
      </c>
      <c r="E400">
        <v>2017</v>
      </c>
      <c r="F400" s="6" t="s">
        <v>40</v>
      </c>
      <c r="G400">
        <v>2</v>
      </c>
      <c r="H400">
        <v>28</v>
      </c>
      <c r="I400" s="6" t="s">
        <v>39</v>
      </c>
      <c r="J400" s="6" t="s">
        <v>37</v>
      </c>
      <c r="K400">
        <v>1</v>
      </c>
      <c r="M400" s="1" t="b">
        <f>Employee__2[[#This Row],[Experience]]&gt;1</f>
        <v>0</v>
      </c>
      <c r="N400" s="1" t="str">
        <f>IF(Employee__2[[#This Row],[City]]="Pune","Yes","No")</f>
        <v>No</v>
      </c>
      <c r="O400" s="1" t="str">
        <f>IF(AND(Employee__2[[#This Row],[Education]]="Bachelors",Employee__2[[#This Row],[City]]="Pune"),"Yes","No")</f>
        <v>No</v>
      </c>
      <c r="P400" s="1" t="str">
        <f>IF(OR(Employee__2[[#This Row],[Age]]&gt;=30,Employee__2[[#This Row],[Gender]]="Male"),"Mached","Not mached")</f>
        <v>Not mached</v>
      </c>
    </row>
    <row r="401" spans="4:16" x14ac:dyDescent="0.25">
      <c r="D401" s="6" t="s">
        <v>34</v>
      </c>
      <c r="E401">
        <v>2015</v>
      </c>
      <c r="F401" s="6" t="s">
        <v>38</v>
      </c>
      <c r="G401">
        <v>1</v>
      </c>
      <c r="H401">
        <v>26</v>
      </c>
      <c r="I401" s="6" t="s">
        <v>39</v>
      </c>
      <c r="J401" s="6" t="s">
        <v>37</v>
      </c>
      <c r="K401">
        <v>4</v>
      </c>
      <c r="M401" s="1" t="b">
        <f>Employee__2[[#This Row],[Experience]]&gt;1</f>
        <v>1</v>
      </c>
      <c r="N401" s="1" t="str">
        <f>IF(Employee__2[[#This Row],[City]]="Pune","Yes","No")</f>
        <v>Yes</v>
      </c>
      <c r="O401" s="1" t="str">
        <f>IF(AND(Employee__2[[#This Row],[Education]]="Bachelors",Employee__2[[#This Row],[City]]="Pune"),"Yes","No")</f>
        <v>Yes</v>
      </c>
      <c r="P401" s="1" t="str">
        <f>IF(OR(Employee__2[[#This Row],[Age]]&gt;=30,Employee__2[[#This Row],[Gender]]="Male"),"Mached","Not mached")</f>
        <v>Not mached</v>
      </c>
    </row>
    <row r="402" spans="4:16" x14ac:dyDescent="0.25">
      <c r="D402" s="6" t="s">
        <v>41</v>
      </c>
      <c r="E402">
        <v>2017</v>
      </c>
      <c r="F402" s="6" t="s">
        <v>40</v>
      </c>
      <c r="G402">
        <v>3</v>
      </c>
      <c r="H402">
        <v>26</v>
      </c>
      <c r="I402" s="6" t="s">
        <v>36</v>
      </c>
      <c r="J402" s="6" t="s">
        <v>42</v>
      </c>
      <c r="K402">
        <v>4</v>
      </c>
      <c r="M402" s="1" t="b">
        <f>Employee__2[[#This Row],[Experience]]&gt;1</f>
        <v>1</v>
      </c>
      <c r="N402" s="1" t="str">
        <f>IF(Employee__2[[#This Row],[City]]="Pune","Yes","No")</f>
        <v>No</v>
      </c>
      <c r="O402" s="1" t="str">
        <f>IF(AND(Employee__2[[#This Row],[Education]]="Bachelors",Employee__2[[#This Row],[City]]="Pune"),"Yes","No")</f>
        <v>No</v>
      </c>
      <c r="P402" s="1" t="str">
        <f>IF(OR(Employee__2[[#This Row],[Age]]&gt;=30,Employee__2[[#This Row],[Gender]]="Male"),"Mached","Not mached")</f>
        <v>Mached</v>
      </c>
    </row>
    <row r="403" spans="4:16" x14ac:dyDescent="0.25">
      <c r="D403" s="6" t="s">
        <v>34</v>
      </c>
      <c r="E403">
        <v>2014</v>
      </c>
      <c r="F403" s="6" t="s">
        <v>35</v>
      </c>
      <c r="G403">
        <v>3</v>
      </c>
      <c r="H403">
        <v>27</v>
      </c>
      <c r="I403" s="6" t="s">
        <v>36</v>
      </c>
      <c r="J403" s="6" t="s">
        <v>37</v>
      </c>
      <c r="K403">
        <v>5</v>
      </c>
      <c r="M403" s="1" t="b">
        <f>Employee__2[[#This Row],[Experience]]&gt;1</f>
        <v>1</v>
      </c>
      <c r="N403" s="1" t="str">
        <f>IF(Employee__2[[#This Row],[City]]="Pune","Yes","No")</f>
        <v>No</v>
      </c>
      <c r="O403" s="1" t="str">
        <f>IF(AND(Employee__2[[#This Row],[Education]]="Bachelors",Employee__2[[#This Row],[City]]="Pune"),"Yes","No")</f>
        <v>No</v>
      </c>
      <c r="P403" s="1" t="str">
        <f>IF(OR(Employee__2[[#This Row],[Age]]&gt;=30,Employee__2[[#This Row],[Gender]]="Male"),"Mached","Not mached")</f>
        <v>Mached</v>
      </c>
    </row>
    <row r="404" spans="4:16" x14ac:dyDescent="0.25">
      <c r="D404" s="6" t="s">
        <v>34</v>
      </c>
      <c r="E404">
        <v>2012</v>
      </c>
      <c r="F404" s="6" t="s">
        <v>40</v>
      </c>
      <c r="G404">
        <v>3</v>
      </c>
      <c r="H404">
        <v>24</v>
      </c>
      <c r="I404" s="6" t="s">
        <v>39</v>
      </c>
      <c r="J404" s="6" t="s">
        <v>37</v>
      </c>
      <c r="K404">
        <v>2</v>
      </c>
      <c r="M404" s="1" t="b">
        <f>Employee__2[[#This Row],[Experience]]&gt;1</f>
        <v>1</v>
      </c>
      <c r="N404" s="1" t="str">
        <f>IF(Employee__2[[#This Row],[City]]="Pune","Yes","No")</f>
        <v>No</v>
      </c>
      <c r="O404" s="1" t="str">
        <f>IF(AND(Employee__2[[#This Row],[Education]]="Bachelors",Employee__2[[#This Row],[City]]="Pune"),"Yes","No")</f>
        <v>No</v>
      </c>
      <c r="P404" s="1" t="str">
        <f>IF(OR(Employee__2[[#This Row],[Age]]&gt;=30,Employee__2[[#This Row],[Gender]]="Male"),"Mached","Not mached")</f>
        <v>Not mached</v>
      </c>
    </row>
    <row r="405" spans="4:16" x14ac:dyDescent="0.25">
      <c r="D405" s="6" t="s">
        <v>34</v>
      </c>
      <c r="E405">
        <v>2017</v>
      </c>
      <c r="F405" s="6" t="s">
        <v>40</v>
      </c>
      <c r="G405">
        <v>2</v>
      </c>
      <c r="H405">
        <v>24</v>
      </c>
      <c r="I405" s="6" t="s">
        <v>36</v>
      </c>
      <c r="J405" s="6" t="s">
        <v>37</v>
      </c>
      <c r="K405">
        <v>2</v>
      </c>
      <c r="M405" s="1" t="b">
        <f>Employee__2[[#This Row],[Experience]]&gt;1</f>
        <v>1</v>
      </c>
      <c r="N405" s="1" t="str">
        <f>IF(Employee__2[[#This Row],[City]]="Pune","Yes","No")</f>
        <v>No</v>
      </c>
      <c r="O405" s="1" t="str">
        <f>IF(AND(Employee__2[[#This Row],[Education]]="Bachelors",Employee__2[[#This Row],[City]]="Pune"),"Yes","No")</f>
        <v>No</v>
      </c>
      <c r="P405" s="1" t="str">
        <f>IF(OR(Employee__2[[#This Row],[Age]]&gt;=30,Employee__2[[#This Row],[Gender]]="Male"),"Mached","Not mached")</f>
        <v>Mached</v>
      </c>
    </row>
    <row r="406" spans="4:16" x14ac:dyDescent="0.25">
      <c r="D406" s="6" t="s">
        <v>34</v>
      </c>
      <c r="E406">
        <v>2015</v>
      </c>
      <c r="F406" s="6" t="s">
        <v>35</v>
      </c>
      <c r="G406">
        <v>3</v>
      </c>
      <c r="H406">
        <v>26</v>
      </c>
      <c r="I406" s="6" t="s">
        <v>36</v>
      </c>
      <c r="J406" s="6" t="s">
        <v>37</v>
      </c>
      <c r="K406">
        <v>4</v>
      </c>
      <c r="M406" s="1" t="b">
        <f>Employee__2[[#This Row],[Experience]]&gt;1</f>
        <v>1</v>
      </c>
      <c r="N406" s="1" t="str">
        <f>IF(Employee__2[[#This Row],[City]]="Pune","Yes","No")</f>
        <v>No</v>
      </c>
      <c r="O406" s="1" t="str">
        <f>IF(AND(Employee__2[[#This Row],[Education]]="Bachelors",Employee__2[[#This Row],[City]]="Pune"),"Yes","No")</f>
        <v>No</v>
      </c>
      <c r="P406" s="1" t="str">
        <f>IF(OR(Employee__2[[#This Row],[Age]]&gt;=30,Employee__2[[#This Row],[Gender]]="Male"),"Mached","Not mached")</f>
        <v>Mached</v>
      </c>
    </row>
    <row r="407" spans="4:16" x14ac:dyDescent="0.25">
      <c r="D407" s="6" t="s">
        <v>34</v>
      </c>
      <c r="E407">
        <v>2012</v>
      </c>
      <c r="F407" s="6" t="s">
        <v>35</v>
      </c>
      <c r="G407">
        <v>3</v>
      </c>
      <c r="H407">
        <v>26</v>
      </c>
      <c r="I407" s="6" t="s">
        <v>39</v>
      </c>
      <c r="J407" s="6" t="s">
        <v>37</v>
      </c>
      <c r="K407">
        <v>4</v>
      </c>
      <c r="M407" s="1" t="b">
        <f>Employee__2[[#This Row],[Experience]]&gt;1</f>
        <v>1</v>
      </c>
      <c r="N407" s="1" t="str">
        <f>IF(Employee__2[[#This Row],[City]]="Pune","Yes","No")</f>
        <v>No</v>
      </c>
      <c r="O407" s="1" t="str">
        <f>IF(AND(Employee__2[[#This Row],[Education]]="Bachelors",Employee__2[[#This Row],[City]]="Pune"),"Yes","No")</f>
        <v>No</v>
      </c>
      <c r="P407" s="1" t="str">
        <f>IF(OR(Employee__2[[#This Row],[Age]]&gt;=30,Employee__2[[#This Row],[Gender]]="Male"),"Mached","Not mached")</f>
        <v>Not mached</v>
      </c>
    </row>
    <row r="408" spans="4:16" x14ac:dyDescent="0.25">
      <c r="D408" s="6" t="s">
        <v>34</v>
      </c>
      <c r="E408">
        <v>2015</v>
      </c>
      <c r="F408" s="6" t="s">
        <v>35</v>
      </c>
      <c r="G408">
        <v>3</v>
      </c>
      <c r="H408">
        <v>24</v>
      </c>
      <c r="I408" s="6" t="s">
        <v>36</v>
      </c>
      <c r="J408" s="6" t="s">
        <v>37</v>
      </c>
      <c r="K408">
        <v>2</v>
      </c>
      <c r="M408" s="1" t="b">
        <f>Employee__2[[#This Row],[Experience]]&gt;1</f>
        <v>1</v>
      </c>
      <c r="N408" s="1" t="str">
        <f>IF(Employee__2[[#This Row],[City]]="Pune","Yes","No")</f>
        <v>No</v>
      </c>
      <c r="O408" s="1" t="str">
        <f>IF(AND(Employee__2[[#This Row],[Education]]="Bachelors",Employee__2[[#This Row],[City]]="Pune"),"Yes","No")</f>
        <v>No</v>
      </c>
      <c r="P408" s="1" t="str">
        <f>IF(OR(Employee__2[[#This Row],[Age]]&gt;=30,Employee__2[[#This Row],[Gender]]="Male"),"Mached","Not mached")</f>
        <v>Mached</v>
      </c>
    </row>
    <row r="409" spans="4:16" x14ac:dyDescent="0.25">
      <c r="D409" s="6" t="s">
        <v>41</v>
      </c>
      <c r="E409">
        <v>2014</v>
      </c>
      <c r="F409" s="6" t="s">
        <v>38</v>
      </c>
      <c r="G409">
        <v>3</v>
      </c>
      <c r="H409">
        <v>25</v>
      </c>
      <c r="I409" s="6" t="s">
        <v>36</v>
      </c>
      <c r="J409" s="6" t="s">
        <v>37</v>
      </c>
      <c r="K409">
        <v>3</v>
      </c>
      <c r="M409" s="1" t="b">
        <f>Employee__2[[#This Row],[Experience]]&gt;1</f>
        <v>1</v>
      </c>
      <c r="N409" s="1" t="str">
        <f>IF(Employee__2[[#This Row],[City]]="Pune","Yes","No")</f>
        <v>Yes</v>
      </c>
      <c r="O409" s="1" t="str">
        <f>IF(AND(Employee__2[[#This Row],[Education]]="Bachelors",Employee__2[[#This Row],[City]]="Pune"),"Yes","No")</f>
        <v>No</v>
      </c>
      <c r="P409" s="1" t="str">
        <f>IF(OR(Employee__2[[#This Row],[Age]]&gt;=30,Employee__2[[#This Row],[Gender]]="Male"),"Mached","Not mached")</f>
        <v>Mached</v>
      </c>
    </row>
    <row r="410" spans="4:16" x14ac:dyDescent="0.25">
      <c r="D410" s="6" t="s">
        <v>34</v>
      </c>
      <c r="E410">
        <v>2015</v>
      </c>
      <c r="F410" s="6" t="s">
        <v>35</v>
      </c>
      <c r="G410">
        <v>3</v>
      </c>
      <c r="H410">
        <v>28</v>
      </c>
      <c r="I410" s="6" t="s">
        <v>36</v>
      </c>
      <c r="J410" s="6" t="s">
        <v>37</v>
      </c>
      <c r="K410">
        <v>2</v>
      </c>
      <c r="M410" s="1" t="b">
        <f>Employee__2[[#This Row],[Experience]]&gt;1</f>
        <v>1</v>
      </c>
      <c r="N410" s="1" t="str">
        <f>IF(Employee__2[[#This Row],[City]]="Pune","Yes","No")</f>
        <v>No</v>
      </c>
      <c r="O410" s="1" t="str">
        <f>IF(AND(Employee__2[[#This Row],[Education]]="Bachelors",Employee__2[[#This Row],[City]]="Pune"),"Yes","No")</f>
        <v>No</v>
      </c>
      <c r="P410" s="1" t="str">
        <f>IF(OR(Employee__2[[#This Row],[Age]]&gt;=30,Employee__2[[#This Row],[Gender]]="Male"),"Mached","Not mached")</f>
        <v>Mached</v>
      </c>
    </row>
    <row r="411" spans="4:16" x14ac:dyDescent="0.25">
      <c r="D411" s="6" t="s">
        <v>34</v>
      </c>
      <c r="E411">
        <v>2016</v>
      </c>
      <c r="F411" s="6" t="s">
        <v>38</v>
      </c>
      <c r="G411">
        <v>3</v>
      </c>
      <c r="H411">
        <v>24</v>
      </c>
      <c r="I411" s="6" t="s">
        <v>36</v>
      </c>
      <c r="J411" s="6" t="s">
        <v>37</v>
      </c>
      <c r="K411">
        <v>2</v>
      </c>
      <c r="M411" s="1" t="b">
        <f>Employee__2[[#This Row],[Experience]]&gt;1</f>
        <v>1</v>
      </c>
      <c r="N411" s="1" t="str">
        <f>IF(Employee__2[[#This Row],[City]]="Pune","Yes","No")</f>
        <v>Yes</v>
      </c>
      <c r="O411" s="1" t="str">
        <f>IF(AND(Employee__2[[#This Row],[Education]]="Bachelors",Employee__2[[#This Row],[City]]="Pune"),"Yes","No")</f>
        <v>Yes</v>
      </c>
      <c r="P411" s="1" t="str">
        <f>IF(OR(Employee__2[[#This Row],[Age]]&gt;=30,Employee__2[[#This Row],[Gender]]="Male"),"Mached","Not mached")</f>
        <v>Mached</v>
      </c>
    </row>
    <row r="412" spans="4:16" x14ac:dyDescent="0.25">
      <c r="D412" s="6" t="s">
        <v>34</v>
      </c>
      <c r="E412">
        <v>2016</v>
      </c>
      <c r="F412" s="6" t="s">
        <v>35</v>
      </c>
      <c r="G412">
        <v>3</v>
      </c>
      <c r="H412">
        <v>26</v>
      </c>
      <c r="I412" s="6" t="s">
        <v>39</v>
      </c>
      <c r="J412" s="6" t="s">
        <v>37</v>
      </c>
      <c r="K412">
        <v>4</v>
      </c>
      <c r="M412" s="1" t="b">
        <f>Employee__2[[#This Row],[Experience]]&gt;1</f>
        <v>1</v>
      </c>
      <c r="N412" s="1" t="str">
        <f>IF(Employee__2[[#This Row],[City]]="Pune","Yes","No")</f>
        <v>No</v>
      </c>
      <c r="O412" s="1" t="str">
        <f>IF(AND(Employee__2[[#This Row],[Education]]="Bachelors",Employee__2[[#This Row],[City]]="Pune"),"Yes","No")</f>
        <v>No</v>
      </c>
      <c r="P412" s="1" t="str">
        <f>IF(OR(Employee__2[[#This Row],[Age]]&gt;=30,Employee__2[[#This Row],[Gender]]="Male"),"Mached","Not mached")</f>
        <v>Not mached</v>
      </c>
    </row>
    <row r="413" spans="4:16" x14ac:dyDescent="0.25">
      <c r="D413" s="6" t="s">
        <v>34</v>
      </c>
      <c r="E413">
        <v>2015</v>
      </c>
      <c r="F413" s="6" t="s">
        <v>38</v>
      </c>
      <c r="G413">
        <v>2</v>
      </c>
      <c r="H413">
        <v>25</v>
      </c>
      <c r="I413" s="6" t="s">
        <v>39</v>
      </c>
      <c r="J413" s="6" t="s">
        <v>42</v>
      </c>
      <c r="K413">
        <v>3</v>
      </c>
      <c r="M413" s="1" t="b">
        <f>Employee__2[[#This Row],[Experience]]&gt;1</f>
        <v>1</v>
      </c>
      <c r="N413" s="1" t="str">
        <f>IF(Employee__2[[#This Row],[City]]="Pune","Yes","No")</f>
        <v>Yes</v>
      </c>
      <c r="O413" s="1" t="str">
        <f>IF(AND(Employee__2[[#This Row],[Education]]="Bachelors",Employee__2[[#This Row],[City]]="Pune"),"Yes","No")</f>
        <v>Yes</v>
      </c>
      <c r="P413" s="1" t="str">
        <f>IF(OR(Employee__2[[#This Row],[Age]]&gt;=30,Employee__2[[#This Row],[Gender]]="Male"),"Mached","Not mached")</f>
        <v>Not mached</v>
      </c>
    </row>
    <row r="414" spans="4:16" x14ac:dyDescent="0.25">
      <c r="D414" s="6" t="s">
        <v>41</v>
      </c>
      <c r="E414">
        <v>2013</v>
      </c>
      <c r="F414" s="6" t="s">
        <v>40</v>
      </c>
      <c r="G414">
        <v>2</v>
      </c>
      <c r="H414">
        <v>25</v>
      </c>
      <c r="I414" s="6" t="s">
        <v>36</v>
      </c>
      <c r="J414" s="6" t="s">
        <v>37</v>
      </c>
      <c r="K414">
        <v>3</v>
      </c>
      <c r="M414" s="1" t="b">
        <f>Employee__2[[#This Row],[Experience]]&gt;1</f>
        <v>1</v>
      </c>
      <c r="N414" s="1" t="str">
        <f>IF(Employee__2[[#This Row],[City]]="Pune","Yes","No")</f>
        <v>No</v>
      </c>
      <c r="O414" s="1" t="str">
        <f>IF(AND(Employee__2[[#This Row],[Education]]="Bachelors",Employee__2[[#This Row],[City]]="Pune"),"Yes","No")</f>
        <v>No</v>
      </c>
      <c r="P414" s="1" t="str">
        <f>IF(OR(Employee__2[[#This Row],[Age]]&gt;=30,Employee__2[[#This Row],[Gender]]="Male"),"Mached","Not mached")</f>
        <v>Mached</v>
      </c>
    </row>
    <row r="415" spans="4:16" x14ac:dyDescent="0.25">
      <c r="D415" s="6" t="s">
        <v>34</v>
      </c>
      <c r="E415">
        <v>2017</v>
      </c>
      <c r="F415" s="6" t="s">
        <v>38</v>
      </c>
      <c r="G415">
        <v>3</v>
      </c>
      <c r="H415">
        <v>25</v>
      </c>
      <c r="I415" s="6" t="s">
        <v>36</v>
      </c>
      <c r="J415" s="6" t="s">
        <v>37</v>
      </c>
      <c r="K415">
        <v>3</v>
      </c>
      <c r="M415" s="1" t="b">
        <f>Employee__2[[#This Row],[Experience]]&gt;1</f>
        <v>1</v>
      </c>
      <c r="N415" s="1" t="str">
        <f>IF(Employee__2[[#This Row],[City]]="Pune","Yes","No")</f>
        <v>Yes</v>
      </c>
      <c r="O415" s="1" t="str">
        <f>IF(AND(Employee__2[[#This Row],[Education]]="Bachelors",Employee__2[[#This Row],[City]]="Pune"),"Yes","No")</f>
        <v>Yes</v>
      </c>
      <c r="P415" s="1" t="str">
        <f>IF(OR(Employee__2[[#This Row],[Age]]&gt;=30,Employee__2[[#This Row],[Gender]]="Male"),"Mached","Not mached")</f>
        <v>Mached</v>
      </c>
    </row>
    <row r="416" spans="4:16" x14ac:dyDescent="0.25">
      <c r="D416" s="6" t="s">
        <v>34</v>
      </c>
      <c r="E416">
        <v>2015</v>
      </c>
      <c r="F416" s="6" t="s">
        <v>38</v>
      </c>
      <c r="G416">
        <v>2</v>
      </c>
      <c r="H416">
        <v>26</v>
      </c>
      <c r="I416" s="6" t="s">
        <v>39</v>
      </c>
      <c r="J416" s="6" t="s">
        <v>42</v>
      </c>
      <c r="K416">
        <v>4</v>
      </c>
      <c r="M416" s="1" t="b">
        <f>Employee__2[[#This Row],[Experience]]&gt;1</f>
        <v>1</v>
      </c>
      <c r="N416" s="1" t="str">
        <f>IF(Employee__2[[#This Row],[City]]="Pune","Yes","No")</f>
        <v>Yes</v>
      </c>
      <c r="O416" s="1" t="str">
        <f>IF(AND(Employee__2[[#This Row],[Education]]="Bachelors",Employee__2[[#This Row],[City]]="Pune"),"Yes","No")</f>
        <v>Yes</v>
      </c>
      <c r="P416" s="1" t="str">
        <f>IF(OR(Employee__2[[#This Row],[Age]]&gt;=30,Employee__2[[#This Row],[Gender]]="Male"),"Mached","Not mached")</f>
        <v>Not mached</v>
      </c>
    </row>
    <row r="417" spans="4:16" x14ac:dyDescent="0.25">
      <c r="D417" s="6" t="s">
        <v>41</v>
      </c>
      <c r="E417">
        <v>2015</v>
      </c>
      <c r="F417" s="6" t="s">
        <v>35</v>
      </c>
      <c r="G417">
        <v>2</v>
      </c>
      <c r="H417">
        <v>26</v>
      </c>
      <c r="I417" s="6" t="s">
        <v>39</v>
      </c>
      <c r="J417" s="6" t="s">
        <v>37</v>
      </c>
      <c r="K417">
        <v>4</v>
      </c>
      <c r="M417" s="1" t="b">
        <f>Employee__2[[#This Row],[Experience]]&gt;1</f>
        <v>1</v>
      </c>
      <c r="N417" s="1" t="str">
        <f>IF(Employee__2[[#This Row],[City]]="Pune","Yes","No")</f>
        <v>No</v>
      </c>
      <c r="O417" s="1" t="str">
        <f>IF(AND(Employee__2[[#This Row],[Education]]="Bachelors",Employee__2[[#This Row],[City]]="Pune"),"Yes","No")</f>
        <v>No</v>
      </c>
      <c r="P417" s="1" t="str">
        <f>IF(OR(Employee__2[[#This Row],[Age]]&gt;=30,Employee__2[[#This Row],[Gender]]="Male"),"Mached","Not mached")</f>
        <v>Not mached</v>
      </c>
    </row>
    <row r="418" spans="4:16" x14ac:dyDescent="0.25">
      <c r="D418" s="6" t="s">
        <v>34</v>
      </c>
      <c r="E418">
        <v>2012</v>
      </c>
      <c r="F418" s="6" t="s">
        <v>38</v>
      </c>
      <c r="G418">
        <v>3</v>
      </c>
      <c r="H418">
        <v>27</v>
      </c>
      <c r="I418" s="6" t="s">
        <v>39</v>
      </c>
      <c r="J418" s="6" t="s">
        <v>37</v>
      </c>
      <c r="K418">
        <v>5</v>
      </c>
      <c r="M418" s="1" t="b">
        <f>Employee__2[[#This Row],[Experience]]&gt;1</f>
        <v>1</v>
      </c>
      <c r="N418" s="1" t="str">
        <f>IF(Employee__2[[#This Row],[City]]="Pune","Yes","No")</f>
        <v>Yes</v>
      </c>
      <c r="O418" s="1" t="str">
        <f>IF(AND(Employee__2[[#This Row],[Education]]="Bachelors",Employee__2[[#This Row],[City]]="Pune"),"Yes","No")</f>
        <v>Yes</v>
      </c>
      <c r="P418" s="1" t="str">
        <f>IF(OR(Employee__2[[#This Row],[Age]]&gt;=30,Employee__2[[#This Row],[Gender]]="Male"),"Mached","Not mached")</f>
        <v>Not mached</v>
      </c>
    </row>
    <row r="419" spans="4:16" x14ac:dyDescent="0.25">
      <c r="D419" s="6" t="s">
        <v>41</v>
      </c>
      <c r="E419">
        <v>2017</v>
      </c>
      <c r="F419" s="6" t="s">
        <v>40</v>
      </c>
      <c r="G419">
        <v>3</v>
      </c>
      <c r="H419">
        <v>28</v>
      </c>
      <c r="I419" s="6" t="s">
        <v>36</v>
      </c>
      <c r="J419" s="6" t="s">
        <v>42</v>
      </c>
      <c r="K419">
        <v>2</v>
      </c>
      <c r="M419" s="1" t="b">
        <f>Employee__2[[#This Row],[Experience]]&gt;1</f>
        <v>1</v>
      </c>
      <c r="N419" s="1" t="str">
        <f>IF(Employee__2[[#This Row],[City]]="Pune","Yes","No")</f>
        <v>No</v>
      </c>
      <c r="O419" s="1" t="str">
        <f>IF(AND(Employee__2[[#This Row],[Education]]="Bachelors",Employee__2[[#This Row],[City]]="Pune"),"Yes","No")</f>
        <v>No</v>
      </c>
      <c r="P419" s="1" t="str">
        <f>IF(OR(Employee__2[[#This Row],[Age]]&gt;=30,Employee__2[[#This Row],[Gender]]="Male"),"Mached","Not mached")</f>
        <v>Mached</v>
      </c>
    </row>
    <row r="420" spans="4:16" x14ac:dyDescent="0.25">
      <c r="D420" s="6" t="s">
        <v>34</v>
      </c>
      <c r="E420">
        <v>2016</v>
      </c>
      <c r="F420" s="6" t="s">
        <v>38</v>
      </c>
      <c r="G420">
        <v>3</v>
      </c>
      <c r="H420">
        <v>25</v>
      </c>
      <c r="I420" s="6" t="s">
        <v>36</v>
      </c>
      <c r="J420" s="6" t="s">
        <v>37</v>
      </c>
      <c r="K420">
        <v>3</v>
      </c>
      <c r="M420" s="1" t="b">
        <f>Employee__2[[#This Row],[Experience]]&gt;1</f>
        <v>1</v>
      </c>
      <c r="N420" s="1" t="str">
        <f>IF(Employee__2[[#This Row],[City]]="Pune","Yes","No")</f>
        <v>Yes</v>
      </c>
      <c r="O420" s="1" t="str">
        <f>IF(AND(Employee__2[[#This Row],[Education]]="Bachelors",Employee__2[[#This Row],[City]]="Pune"),"Yes","No")</f>
        <v>Yes</v>
      </c>
      <c r="P420" s="1" t="str">
        <f>IF(OR(Employee__2[[#This Row],[Age]]&gt;=30,Employee__2[[#This Row],[Gender]]="Male"),"Mached","Not mached")</f>
        <v>Mached</v>
      </c>
    </row>
    <row r="421" spans="4:16" x14ac:dyDescent="0.25">
      <c r="D421" s="6" t="s">
        <v>34</v>
      </c>
      <c r="E421">
        <v>2016</v>
      </c>
      <c r="F421" s="6" t="s">
        <v>35</v>
      </c>
      <c r="G421">
        <v>3</v>
      </c>
      <c r="H421">
        <v>24</v>
      </c>
      <c r="I421" s="6" t="s">
        <v>36</v>
      </c>
      <c r="J421" s="6" t="s">
        <v>37</v>
      </c>
      <c r="K421">
        <v>2</v>
      </c>
      <c r="M421" s="1" t="b">
        <f>Employee__2[[#This Row],[Experience]]&gt;1</f>
        <v>1</v>
      </c>
      <c r="N421" s="1" t="str">
        <f>IF(Employee__2[[#This Row],[City]]="Pune","Yes","No")</f>
        <v>No</v>
      </c>
      <c r="O421" s="1" t="str">
        <f>IF(AND(Employee__2[[#This Row],[Education]]="Bachelors",Employee__2[[#This Row],[City]]="Pune"),"Yes","No")</f>
        <v>No</v>
      </c>
      <c r="P421" s="1" t="str">
        <f>IF(OR(Employee__2[[#This Row],[Age]]&gt;=30,Employee__2[[#This Row],[Gender]]="Male"),"Mached","Not mached")</f>
        <v>Mached</v>
      </c>
    </row>
    <row r="422" spans="4:16" x14ac:dyDescent="0.25">
      <c r="D422" s="6" t="s">
        <v>34</v>
      </c>
      <c r="E422">
        <v>2016</v>
      </c>
      <c r="F422" s="6" t="s">
        <v>38</v>
      </c>
      <c r="G422">
        <v>3</v>
      </c>
      <c r="H422">
        <v>28</v>
      </c>
      <c r="I422" s="6" t="s">
        <v>36</v>
      </c>
      <c r="J422" s="6" t="s">
        <v>37</v>
      </c>
      <c r="K422">
        <v>1</v>
      </c>
      <c r="M422" s="1" t="b">
        <f>Employee__2[[#This Row],[Experience]]&gt;1</f>
        <v>0</v>
      </c>
      <c r="N422" s="1" t="str">
        <f>IF(Employee__2[[#This Row],[City]]="Pune","Yes","No")</f>
        <v>Yes</v>
      </c>
      <c r="O422" s="1" t="str">
        <f>IF(AND(Employee__2[[#This Row],[Education]]="Bachelors",Employee__2[[#This Row],[City]]="Pune"),"Yes","No")</f>
        <v>Yes</v>
      </c>
      <c r="P422" s="1" t="str">
        <f>IF(OR(Employee__2[[#This Row],[Age]]&gt;=30,Employee__2[[#This Row],[Gender]]="Male"),"Mached","Not mached")</f>
        <v>Mached</v>
      </c>
    </row>
    <row r="423" spans="4:16" x14ac:dyDescent="0.25">
      <c r="D423" s="6" t="s">
        <v>34</v>
      </c>
      <c r="E423">
        <v>2013</v>
      </c>
      <c r="F423" s="6" t="s">
        <v>40</v>
      </c>
      <c r="G423">
        <v>3</v>
      </c>
      <c r="H423">
        <v>27</v>
      </c>
      <c r="I423" s="6" t="s">
        <v>39</v>
      </c>
      <c r="J423" s="6" t="s">
        <v>42</v>
      </c>
      <c r="K423">
        <v>5</v>
      </c>
      <c r="M423" s="1" t="b">
        <f>Employee__2[[#This Row],[Experience]]&gt;1</f>
        <v>1</v>
      </c>
      <c r="N423" s="1" t="str">
        <f>IF(Employee__2[[#This Row],[City]]="Pune","Yes","No")</f>
        <v>No</v>
      </c>
      <c r="O423" s="1" t="str">
        <f>IF(AND(Employee__2[[#This Row],[Education]]="Bachelors",Employee__2[[#This Row],[City]]="Pune"),"Yes","No")</f>
        <v>No</v>
      </c>
      <c r="P423" s="1" t="str">
        <f>IF(OR(Employee__2[[#This Row],[Age]]&gt;=30,Employee__2[[#This Row],[Gender]]="Male"),"Mached","Not mached")</f>
        <v>Not mached</v>
      </c>
    </row>
    <row r="424" spans="4:16" x14ac:dyDescent="0.25">
      <c r="D424" s="6" t="s">
        <v>34</v>
      </c>
      <c r="E424">
        <v>2015</v>
      </c>
      <c r="F424" s="6" t="s">
        <v>40</v>
      </c>
      <c r="G424">
        <v>3</v>
      </c>
      <c r="H424">
        <v>26</v>
      </c>
      <c r="I424" s="6" t="s">
        <v>36</v>
      </c>
      <c r="J424" s="6" t="s">
        <v>37</v>
      </c>
      <c r="K424">
        <v>4</v>
      </c>
      <c r="M424" s="1" t="b">
        <f>Employee__2[[#This Row],[Experience]]&gt;1</f>
        <v>1</v>
      </c>
      <c r="N424" s="1" t="str">
        <f>IF(Employee__2[[#This Row],[City]]="Pune","Yes","No")</f>
        <v>No</v>
      </c>
      <c r="O424" s="1" t="str">
        <f>IF(AND(Employee__2[[#This Row],[Education]]="Bachelors",Employee__2[[#This Row],[City]]="Pune"),"Yes","No")</f>
        <v>No</v>
      </c>
      <c r="P424" s="1" t="str">
        <f>IF(OR(Employee__2[[#This Row],[Age]]&gt;=30,Employee__2[[#This Row],[Gender]]="Male"),"Mached","Not mached")</f>
        <v>Mached</v>
      </c>
    </row>
    <row r="425" spans="4:16" x14ac:dyDescent="0.25">
      <c r="D425" s="6" t="s">
        <v>34</v>
      </c>
      <c r="E425">
        <v>2016</v>
      </c>
      <c r="F425" s="6" t="s">
        <v>35</v>
      </c>
      <c r="G425">
        <v>3</v>
      </c>
      <c r="H425">
        <v>27</v>
      </c>
      <c r="I425" s="6" t="s">
        <v>36</v>
      </c>
      <c r="J425" s="6" t="s">
        <v>37</v>
      </c>
      <c r="K425">
        <v>5</v>
      </c>
      <c r="M425" s="1" t="b">
        <f>Employee__2[[#This Row],[Experience]]&gt;1</f>
        <v>1</v>
      </c>
      <c r="N425" s="1" t="str">
        <f>IF(Employee__2[[#This Row],[City]]="Pune","Yes","No")</f>
        <v>No</v>
      </c>
      <c r="O425" s="1" t="str">
        <f>IF(AND(Employee__2[[#This Row],[Education]]="Bachelors",Employee__2[[#This Row],[City]]="Pune"),"Yes","No")</f>
        <v>No</v>
      </c>
      <c r="P425" s="1" t="str">
        <f>IF(OR(Employee__2[[#This Row],[Age]]&gt;=30,Employee__2[[#This Row],[Gender]]="Male"),"Mached","Not mached")</f>
        <v>Mached</v>
      </c>
    </row>
    <row r="426" spans="4:16" x14ac:dyDescent="0.25">
      <c r="D426" s="6" t="s">
        <v>34</v>
      </c>
      <c r="E426">
        <v>2017</v>
      </c>
      <c r="F426" s="6" t="s">
        <v>38</v>
      </c>
      <c r="G426">
        <v>2</v>
      </c>
      <c r="H426">
        <v>27</v>
      </c>
      <c r="I426" s="6" t="s">
        <v>36</v>
      </c>
      <c r="J426" s="6" t="s">
        <v>37</v>
      </c>
      <c r="K426">
        <v>5</v>
      </c>
      <c r="M426" s="1" t="b">
        <f>Employee__2[[#This Row],[Experience]]&gt;1</f>
        <v>1</v>
      </c>
      <c r="N426" s="1" t="str">
        <f>IF(Employee__2[[#This Row],[City]]="Pune","Yes","No")</f>
        <v>Yes</v>
      </c>
      <c r="O426" s="1" t="str">
        <f>IF(AND(Employee__2[[#This Row],[Education]]="Bachelors",Employee__2[[#This Row],[City]]="Pune"),"Yes","No")</f>
        <v>Yes</v>
      </c>
      <c r="P426" s="1" t="str">
        <f>IF(OR(Employee__2[[#This Row],[Age]]&gt;=30,Employee__2[[#This Row],[Gender]]="Male"),"Mached","Not mached")</f>
        <v>Mached</v>
      </c>
    </row>
    <row r="427" spans="4:16" x14ac:dyDescent="0.25">
      <c r="D427" s="6" t="s">
        <v>34</v>
      </c>
      <c r="E427">
        <v>2012</v>
      </c>
      <c r="F427" s="6" t="s">
        <v>35</v>
      </c>
      <c r="G427">
        <v>3</v>
      </c>
      <c r="H427">
        <v>27</v>
      </c>
      <c r="I427" s="6" t="s">
        <v>36</v>
      </c>
      <c r="J427" s="6" t="s">
        <v>37</v>
      </c>
      <c r="K427">
        <v>5</v>
      </c>
      <c r="M427" s="1" t="b">
        <f>Employee__2[[#This Row],[Experience]]&gt;1</f>
        <v>1</v>
      </c>
      <c r="N427" s="1" t="str">
        <f>IF(Employee__2[[#This Row],[City]]="Pune","Yes","No")</f>
        <v>No</v>
      </c>
      <c r="O427" s="1" t="str">
        <f>IF(AND(Employee__2[[#This Row],[Education]]="Bachelors",Employee__2[[#This Row],[City]]="Pune"),"Yes","No")</f>
        <v>No</v>
      </c>
      <c r="P427" s="1" t="str">
        <f>IF(OR(Employee__2[[#This Row],[Age]]&gt;=30,Employee__2[[#This Row],[Gender]]="Male"),"Mached","Not mached")</f>
        <v>Mached</v>
      </c>
    </row>
    <row r="428" spans="4:16" x14ac:dyDescent="0.25">
      <c r="D428" s="6" t="s">
        <v>43</v>
      </c>
      <c r="E428">
        <v>2018</v>
      </c>
      <c r="F428" s="6" t="s">
        <v>40</v>
      </c>
      <c r="G428">
        <v>3</v>
      </c>
      <c r="H428">
        <v>25</v>
      </c>
      <c r="I428" s="6" t="s">
        <v>36</v>
      </c>
      <c r="J428" s="6" t="s">
        <v>37</v>
      </c>
      <c r="K428">
        <v>3</v>
      </c>
      <c r="M428" s="1" t="b">
        <f>Employee__2[[#This Row],[Experience]]&gt;1</f>
        <v>1</v>
      </c>
      <c r="N428" s="1" t="str">
        <f>IF(Employee__2[[#This Row],[City]]="Pune","Yes","No")</f>
        <v>No</v>
      </c>
      <c r="O428" s="1" t="str">
        <f>IF(AND(Employee__2[[#This Row],[Education]]="Bachelors",Employee__2[[#This Row],[City]]="Pune"),"Yes","No")</f>
        <v>No</v>
      </c>
      <c r="P428" s="1" t="str">
        <f>IF(OR(Employee__2[[#This Row],[Age]]&gt;=30,Employee__2[[#This Row],[Gender]]="Male"),"Mached","Not mached")</f>
        <v>Mached</v>
      </c>
    </row>
    <row r="429" spans="4:16" x14ac:dyDescent="0.25">
      <c r="D429" s="6" t="s">
        <v>34</v>
      </c>
      <c r="E429">
        <v>2014</v>
      </c>
      <c r="F429" s="6" t="s">
        <v>38</v>
      </c>
      <c r="G429">
        <v>3</v>
      </c>
      <c r="H429">
        <v>27</v>
      </c>
      <c r="I429" s="6" t="s">
        <v>36</v>
      </c>
      <c r="J429" s="6" t="s">
        <v>37</v>
      </c>
      <c r="K429">
        <v>5</v>
      </c>
      <c r="M429" s="1" t="b">
        <f>Employee__2[[#This Row],[Experience]]&gt;1</f>
        <v>1</v>
      </c>
      <c r="N429" s="1" t="str">
        <f>IF(Employee__2[[#This Row],[City]]="Pune","Yes","No")</f>
        <v>Yes</v>
      </c>
      <c r="O429" s="1" t="str">
        <f>IF(AND(Employee__2[[#This Row],[Education]]="Bachelors",Employee__2[[#This Row],[City]]="Pune"),"Yes","No")</f>
        <v>Yes</v>
      </c>
      <c r="P429" s="1" t="str">
        <f>IF(OR(Employee__2[[#This Row],[Age]]&gt;=30,Employee__2[[#This Row],[Gender]]="Male"),"Mached","Not mached")</f>
        <v>Mached</v>
      </c>
    </row>
    <row r="430" spans="4:16" x14ac:dyDescent="0.25">
      <c r="D430" s="6" t="s">
        <v>34</v>
      </c>
      <c r="E430">
        <v>2013</v>
      </c>
      <c r="F430" s="6" t="s">
        <v>35</v>
      </c>
      <c r="G430">
        <v>3</v>
      </c>
      <c r="H430">
        <v>26</v>
      </c>
      <c r="I430" s="6" t="s">
        <v>39</v>
      </c>
      <c r="J430" s="6" t="s">
        <v>37</v>
      </c>
      <c r="K430">
        <v>4</v>
      </c>
      <c r="M430" s="1" t="b">
        <f>Employee__2[[#This Row],[Experience]]&gt;1</f>
        <v>1</v>
      </c>
      <c r="N430" s="1" t="str">
        <f>IF(Employee__2[[#This Row],[City]]="Pune","Yes","No")</f>
        <v>No</v>
      </c>
      <c r="O430" s="1" t="str">
        <f>IF(AND(Employee__2[[#This Row],[Education]]="Bachelors",Employee__2[[#This Row],[City]]="Pune"),"Yes","No")</f>
        <v>No</v>
      </c>
      <c r="P430" s="1" t="str">
        <f>IF(OR(Employee__2[[#This Row],[Age]]&gt;=30,Employee__2[[#This Row],[Gender]]="Male"),"Mached","Not mached")</f>
        <v>Not mached</v>
      </c>
    </row>
    <row r="431" spans="4:16" x14ac:dyDescent="0.25">
      <c r="D431" s="6" t="s">
        <v>41</v>
      </c>
      <c r="E431">
        <v>2017</v>
      </c>
      <c r="F431" s="6" t="s">
        <v>38</v>
      </c>
      <c r="G431">
        <v>2</v>
      </c>
      <c r="H431">
        <v>24</v>
      </c>
      <c r="I431" s="6" t="s">
        <v>39</v>
      </c>
      <c r="J431" s="6" t="s">
        <v>37</v>
      </c>
      <c r="K431">
        <v>2</v>
      </c>
      <c r="M431" s="1" t="b">
        <f>Employee__2[[#This Row],[Experience]]&gt;1</f>
        <v>1</v>
      </c>
      <c r="N431" s="1" t="str">
        <f>IF(Employee__2[[#This Row],[City]]="Pune","Yes","No")</f>
        <v>Yes</v>
      </c>
      <c r="O431" s="1" t="str">
        <f>IF(AND(Employee__2[[#This Row],[Education]]="Bachelors",Employee__2[[#This Row],[City]]="Pune"),"Yes","No")</f>
        <v>No</v>
      </c>
      <c r="P431" s="1" t="str">
        <f>IF(OR(Employee__2[[#This Row],[Age]]&gt;=30,Employee__2[[#This Row],[Gender]]="Male"),"Mached","Not mached")</f>
        <v>Not mached</v>
      </c>
    </row>
    <row r="432" spans="4:16" x14ac:dyDescent="0.25">
      <c r="D432" s="6" t="s">
        <v>43</v>
      </c>
      <c r="E432">
        <v>2016</v>
      </c>
      <c r="F432" s="6" t="s">
        <v>40</v>
      </c>
      <c r="G432">
        <v>2</v>
      </c>
      <c r="H432">
        <v>28</v>
      </c>
      <c r="I432" s="6" t="s">
        <v>36</v>
      </c>
      <c r="J432" s="6" t="s">
        <v>37</v>
      </c>
      <c r="K432">
        <v>3</v>
      </c>
      <c r="M432" s="1" t="b">
        <f>Employee__2[[#This Row],[Experience]]&gt;1</f>
        <v>1</v>
      </c>
      <c r="N432" s="1" t="str">
        <f>IF(Employee__2[[#This Row],[City]]="Pune","Yes","No")</f>
        <v>No</v>
      </c>
      <c r="O432" s="1" t="str">
        <f>IF(AND(Employee__2[[#This Row],[Education]]="Bachelors",Employee__2[[#This Row],[City]]="Pune"),"Yes","No")</f>
        <v>No</v>
      </c>
      <c r="P432" s="1" t="str">
        <f>IF(OR(Employee__2[[#This Row],[Age]]&gt;=30,Employee__2[[#This Row],[Gender]]="Male"),"Mached","Not mached")</f>
        <v>Mached</v>
      </c>
    </row>
    <row r="433" spans="4:16" x14ac:dyDescent="0.25">
      <c r="D433" s="6" t="s">
        <v>41</v>
      </c>
      <c r="E433">
        <v>2014</v>
      </c>
      <c r="F433" s="6" t="s">
        <v>40</v>
      </c>
      <c r="G433">
        <v>3</v>
      </c>
      <c r="H433">
        <v>26</v>
      </c>
      <c r="I433" s="6" t="s">
        <v>36</v>
      </c>
      <c r="J433" s="6" t="s">
        <v>37</v>
      </c>
      <c r="K433">
        <v>4</v>
      </c>
      <c r="M433" s="1" t="b">
        <f>Employee__2[[#This Row],[Experience]]&gt;1</f>
        <v>1</v>
      </c>
      <c r="N433" s="1" t="str">
        <f>IF(Employee__2[[#This Row],[City]]="Pune","Yes","No")</f>
        <v>No</v>
      </c>
      <c r="O433" s="1" t="str">
        <f>IF(AND(Employee__2[[#This Row],[Education]]="Bachelors",Employee__2[[#This Row],[City]]="Pune"),"Yes","No")</f>
        <v>No</v>
      </c>
      <c r="P433" s="1" t="str">
        <f>IF(OR(Employee__2[[#This Row],[Age]]&gt;=30,Employee__2[[#This Row],[Gender]]="Male"),"Mached","Not mached")</f>
        <v>Mached</v>
      </c>
    </row>
    <row r="434" spans="4:16" x14ac:dyDescent="0.25">
      <c r="D434" s="6" t="s">
        <v>41</v>
      </c>
      <c r="E434">
        <v>2017</v>
      </c>
      <c r="F434" s="6" t="s">
        <v>40</v>
      </c>
      <c r="G434">
        <v>2</v>
      </c>
      <c r="H434">
        <v>27</v>
      </c>
      <c r="I434" s="6" t="s">
        <v>36</v>
      </c>
      <c r="J434" s="6" t="s">
        <v>42</v>
      </c>
      <c r="K434">
        <v>5</v>
      </c>
      <c r="M434" s="1" t="b">
        <f>Employee__2[[#This Row],[Experience]]&gt;1</f>
        <v>1</v>
      </c>
      <c r="N434" s="1" t="str">
        <f>IF(Employee__2[[#This Row],[City]]="Pune","Yes","No")</f>
        <v>No</v>
      </c>
      <c r="O434" s="1" t="str">
        <f>IF(AND(Employee__2[[#This Row],[Education]]="Bachelors",Employee__2[[#This Row],[City]]="Pune"),"Yes","No")</f>
        <v>No</v>
      </c>
      <c r="P434" s="1" t="str">
        <f>IF(OR(Employee__2[[#This Row],[Age]]&gt;=30,Employee__2[[#This Row],[Gender]]="Male"),"Mached","Not mached")</f>
        <v>Mached</v>
      </c>
    </row>
    <row r="435" spans="4:16" x14ac:dyDescent="0.25">
      <c r="D435" s="6" t="s">
        <v>43</v>
      </c>
      <c r="E435">
        <v>2013</v>
      </c>
      <c r="F435" s="6" t="s">
        <v>40</v>
      </c>
      <c r="G435">
        <v>3</v>
      </c>
      <c r="H435">
        <v>27</v>
      </c>
      <c r="I435" s="6" t="s">
        <v>36</v>
      </c>
      <c r="J435" s="6" t="s">
        <v>37</v>
      </c>
      <c r="K435">
        <v>5</v>
      </c>
      <c r="M435" s="1" t="b">
        <f>Employee__2[[#This Row],[Experience]]&gt;1</f>
        <v>1</v>
      </c>
      <c r="N435" s="1" t="str">
        <f>IF(Employee__2[[#This Row],[City]]="Pune","Yes","No")</f>
        <v>No</v>
      </c>
      <c r="O435" s="1" t="str">
        <f>IF(AND(Employee__2[[#This Row],[Education]]="Bachelors",Employee__2[[#This Row],[City]]="Pune"),"Yes","No")</f>
        <v>No</v>
      </c>
      <c r="P435" s="1" t="str">
        <f>IF(OR(Employee__2[[#This Row],[Age]]&gt;=30,Employee__2[[#This Row],[Gender]]="Male"),"Mached","Not mached")</f>
        <v>Mached</v>
      </c>
    </row>
    <row r="436" spans="4:16" x14ac:dyDescent="0.25">
      <c r="D436" s="6" t="s">
        <v>41</v>
      </c>
      <c r="E436">
        <v>2014</v>
      </c>
      <c r="F436" s="6" t="s">
        <v>40</v>
      </c>
      <c r="G436">
        <v>3</v>
      </c>
      <c r="H436">
        <v>28</v>
      </c>
      <c r="I436" s="6" t="s">
        <v>39</v>
      </c>
      <c r="J436" s="6" t="s">
        <v>37</v>
      </c>
      <c r="K436">
        <v>1</v>
      </c>
      <c r="M436" s="1" t="b">
        <f>Employee__2[[#This Row],[Experience]]&gt;1</f>
        <v>0</v>
      </c>
      <c r="N436" s="1" t="str">
        <f>IF(Employee__2[[#This Row],[City]]="Pune","Yes","No")</f>
        <v>No</v>
      </c>
      <c r="O436" s="1" t="str">
        <f>IF(AND(Employee__2[[#This Row],[Education]]="Bachelors",Employee__2[[#This Row],[City]]="Pune"),"Yes","No")</f>
        <v>No</v>
      </c>
      <c r="P436" s="1" t="str">
        <f>IF(OR(Employee__2[[#This Row],[Age]]&gt;=30,Employee__2[[#This Row],[Gender]]="Male"),"Mached","Not mached")</f>
        <v>Not mached</v>
      </c>
    </row>
    <row r="437" spans="4:16" x14ac:dyDescent="0.25">
      <c r="D437" s="6" t="s">
        <v>34</v>
      </c>
      <c r="E437">
        <v>2017</v>
      </c>
      <c r="F437" s="6" t="s">
        <v>38</v>
      </c>
      <c r="G437">
        <v>3</v>
      </c>
      <c r="H437">
        <v>27</v>
      </c>
      <c r="I437" s="6" t="s">
        <v>36</v>
      </c>
      <c r="J437" s="6" t="s">
        <v>37</v>
      </c>
      <c r="K437">
        <v>5</v>
      </c>
      <c r="M437" s="1" t="b">
        <f>Employee__2[[#This Row],[Experience]]&gt;1</f>
        <v>1</v>
      </c>
      <c r="N437" s="1" t="str">
        <f>IF(Employee__2[[#This Row],[City]]="Pune","Yes","No")</f>
        <v>Yes</v>
      </c>
      <c r="O437" s="1" t="str">
        <f>IF(AND(Employee__2[[#This Row],[Education]]="Bachelors",Employee__2[[#This Row],[City]]="Pune"),"Yes","No")</f>
        <v>Yes</v>
      </c>
      <c r="P437" s="1" t="str">
        <f>IF(OR(Employee__2[[#This Row],[Age]]&gt;=30,Employee__2[[#This Row],[Gender]]="Male"),"Mached","Not mached")</f>
        <v>Mached</v>
      </c>
    </row>
    <row r="438" spans="4:16" x14ac:dyDescent="0.25">
      <c r="D438" s="6" t="s">
        <v>34</v>
      </c>
      <c r="E438">
        <v>2015</v>
      </c>
      <c r="F438" s="6" t="s">
        <v>38</v>
      </c>
      <c r="G438">
        <v>3</v>
      </c>
      <c r="H438">
        <v>26</v>
      </c>
      <c r="I438" s="6" t="s">
        <v>39</v>
      </c>
      <c r="J438" s="6" t="s">
        <v>42</v>
      </c>
      <c r="K438">
        <v>4</v>
      </c>
      <c r="M438" s="1" t="b">
        <f>Employee__2[[#This Row],[Experience]]&gt;1</f>
        <v>1</v>
      </c>
      <c r="N438" s="1" t="str">
        <f>IF(Employee__2[[#This Row],[City]]="Pune","Yes","No")</f>
        <v>Yes</v>
      </c>
      <c r="O438" s="1" t="str">
        <f>IF(AND(Employee__2[[#This Row],[Education]]="Bachelors",Employee__2[[#This Row],[City]]="Pune"),"Yes","No")</f>
        <v>Yes</v>
      </c>
      <c r="P438" s="1" t="str">
        <f>IF(OR(Employee__2[[#This Row],[Age]]&gt;=30,Employee__2[[#This Row],[Gender]]="Male"),"Mached","Not mached")</f>
        <v>Not mached</v>
      </c>
    </row>
    <row r="439" spans="4:16" x14ac:dyDescent="0.25">
      <c r="D439" s="6" t="s">
        <v>41</v>
      </c>
      <c r="E439">
        <v>2014</v>
      </c>
      <c r="F439" s="6" t="s">
        <v>35</v>
      </c>
      <c r="G439">
        <v>3</v>
      </c>
      <c r="H439">
        <v>26</v>
      </c>
      <c r="I439" s="6" t="s">
        <v>36</v>
      </c>
      <c r="J439" s="6" t="s">
        <v>37</v>
      </c>
      <c r="K439">
        <v>4</v>
      </c>
      <c r="M439" s="1" t="b">
        <f>Employee__2[[#This Row],[Experience]]&gt;1</f>
        <v>1</v>
      </c>
      <c r="N439" s="1" t="str">
        <f>IF(Employee__2[[#This Row],[City]]="Pune","Yes","No")</f>
        <v>No</v>
      </c>
      <c r="O439" s="1" t="str">
        <f>IF(AND(Employee__2[[#This Row],[Education]]="Bachelors",Employee__2[[#This Row],[City]]="Pune"),"Yes","No")</f>
        <v>No</v>
      </c>
      <c r="P439" s="1" t="str">
        <f>IF(OR(Employee__2[[#This Row],[Age]]&gt;=30,Employee__2[[#This Row],[Gender]]="Male"),"Mached","Not mached")</f>
        <v>Mached</v>
      </c>
    </row>
    <row r="440" spans="4:16" x14ac:dyDescent="0.25">
      <c r="D440" s="6" t="s">
        <v>41</v>
      </c>
      <c r="E440">
        <v>2012</v>
      </c>
      <c r="F440" s="6" t="s">
        <v>38</v>
      </c>
      <c r="G440">
        <v>3</v>
      </c>
      <c r="H440">
        <v>27</v>
      </c>
      <c r="I440" s="6" t="s">
        <v>36</v>
      </c>
      <c r="J440" s="6" t="s">
        <v>37</v>
      </c>
      <c r="K440">
        <v>5</v>
      </c>
      <c r="M440" s="1" t="b">
        <f>Employee__2[[#This Row],[Experience]]&gt;1</f>
        <v>1</v>
      </c>
      <c r="N440" s="1" t="str">
        <f>IF(Employee__2[[#This Row],[City]]="Pune","Yes","No")</f>
        <v>Yes</v>
      </c>
      <c r="O440" s="1" t="str">
        <f>IF(AND(Employee__2[[#This Row],[Education]]="Bachelors",Employee__2[[#This Row],[City]]="Pune"),"Yes","No")</f>
        <v>No</v>
      </c>
      <c r="P440" s="1" t="str">
        <f>IF(OR(Employee__2[[#This Row],[Age]]&gt;=30,Employee__2[[#This Row],[Gender]]="Male"),"Mached","Not mached")</f>
        <v>Mached</v>
      </c>
    </row>
    <row r="441" spans="4:16" x14ac:dyDescent="0.25">
      <c r="D441" s="6" t="s">
        <v>34</v>
      </c>
      <c r="E441">
        <v>2017</v>
      </c>
      <c r="F441" s="6" t="s">
        <v>35</v>
      </c>
      <c r="G441">
        <v>3</v>
      </c>
      <c r="H441">
        <v>26</v>
      </c>
      <c r="I441" s="6" t="s">
        <v>36</v>
      </c>
      <c r="J441" s="6" t="s">
        <v>37</v>
      </c>
      <c r="K441">
        <v>4</v>
      </c>
      <c r="M441" s="1" t="b">
        <f>Employee__2[[#This Row],[Experience]]&gt;1</f>
        <v>1</v>
      </c>
      <c r="N441" s="1" t="str">
        <f>IF(Employee__2[[#This Row],[City]]="Pune","Yes","No")</f>
        <v>No</v>
      </c>
      <c r="O441" s="1" t="str">
        <f>IF(AND(Employee__2[[#This Row],[Education]]="Bachelors",Employee__2[[#This Row],[City]]="Pune"),"Yes","No")</f>
        <v>No</v>
      </c>
      <c r="P441" s="1" t="str">
        <f>IF(OR(Employee__2[[#This Row],[Age]]&gt;=30,Employee__2[[#This Row],[Gender]]="Male"),"Mached","Not mached")</f>
        <v>Mached</v>
      </c>
    </row>
    <row r="442" spans="4:16" x14ac:dyDescent="0.25">
      <c r="D442" s="6" t="s">
        <v>41</v>
      </c>
      <c r="E442">
        <v>2017</v>
      </c>
      <c r="F442" s="6" t="s">
        <v>38</v>
      </c>
      <c r="G442">
        <v>2</v>
      </c>
      <c r="H442">
        <v>27</v>
      </c>
      <c r="I442" s="6" t="s">
        <v>36</v>
      </c>
      <c r="J442" s="6" t="s">
        <v>37</v>
      </c>
      <c r="K442">
        <v>5</v>
      </c>
      <c r="M442" s="1" t="b">
        <f>Employee__2[[#This Row],[Experience]]&gt;1</f>
        <v>1</v>
      </c>
      <c r="N442" s="1" t="str">
        <f>IF(Employee__2[[#This Row],[City]]="Pune","Yes","No")</f>
        <v>Yes</v>
      </c>
      <c r="O442" s="1" t="str">
        <f>IF(AND(Employee__2[[#This Row],[Education]]="Bachelors",Employee__2[[#This Row],[City]]="Pune"),"Yes","No")</f>
        <v>No</v>
      </c>
      <c r="P442" s="1" t="str">
        <f>IF(OR(Employee__2[[#This Row],[Age]]&gt;=30,Employee__2[[#This Row],[Gender]]="Male"),"Mached","Not mached")</f>
        <v>Mached</v>
      </c>
    </row>
    <row r="443" spans="4:16" x14ac:dyDescent="0.25">
      <c r="D443" s="6" t="s">
        <v>34</v>
      </c>
      <c r="E443">
        <v>2017</v>
      </c>
      <c r="F443" s="6" t="s">
        <v>35</v>
      </c>
      <c r="G443">
        <v>3</v>
      </c>
      <c r="H443">
        <v>27</v>
      </c>
      <c r="I443" s="6" t="s">
        <v>36</v>
      </c>
      <c r="J443" s="6" t="s">
        <v>37</v>
      </c>
      <c r="K443">
        <v>5</v>
      </c>
      <c r="M443" s="1" t="b">
        <f>Employee__2[[#This Row],[Experience]]&gt;1</f>
        <v>1</v>
      </c>
      <c r="N443" s="1" t="str">
        <f>IF(Employee__2[[#This Row],[City]]="Pune","Yes","No")</f>
        <v>No</v>
      </c>
      <c r="O443" s="1" t="str">
        <f>IF(AND(Employee__2[[#This Row],[Education]]="Bachelors",Employee__2[[#This Row],[City]]="Pune"),"Yes","No")</f>
        <v>No</v>
      </c>
      <c r="P443" s="1" t="str">
        <f>IF(OR(Employee__2[[#This Row],[Age]]&gt;=30,Employee__2[[#This Row],[Gender]]="Male"),"Mached","Not mached")</f>
        <v>Mached</v>
      </c>
    </row>
    <row r="444" spans="4:16" x14ac:dyDescent="0.25">
      <c r="D444" s="6" t="s">
        <v>34</v>
      </c>
      <c r="E444">
        <v>2016</v>
      </c>
      <c r="F444" s="6" t="s">
        <v>35</v>
      </c>
      <c r="G444">
        <v>3</v>
      </c>
      <c r="H444">
        <v>25</v>
      </c>
      <c r="I444" s="6" t="s">
        <v>36</v>
      </c>
      <c r="J444" s="6" t="s">
        <v>37</v>
      </c>
      <c r="K444">
        <v>3</v>
      </c>
      <c r="M444" s="1" t="b">
        <f>Employee__2[[#This Row],[Experience]]&gt;1</f>
        <v>1</v>
      </c>
      <c r="N444" s="1" t="str">
        <f>IF(Employee__2[[#This Row],[City]]="Pune","Yes","No")</f>
        <v>No</v>
      </c>
      <c r="O444" s="1" t="str">
        <f>IF(AND(Employee__2[[#This Row],[Education]]="Bachelors",Employee__2[[#This Row],[City]]="Pune"),"Yes","No")</f>
        <v>No</v>
      </c>
      <c r="P444" s="1" t="str">
        <f>IF(OR(Employee__2[[#This Row],[Age]]&gt;=30,Employee__2[[#This Row],[Gender]]="Male"),"Mached","Not mached")</f>
        <v>Mached</v>
      </c>
    </row>
    <row r="445" spans="4:16" x14ac:dyDescent="0.25">
      <c r="D445" s="6" t="s">
        <v>34</v>
      </c>
      <c r="E445">
        <v>2016</v>
      </c>
      <c r="F445" s="6" t="s">
        <v>38</v>
      </c>
      <c r="G445">
        <v>3</v>
      </c>
      <c r="H445">
        <v>27</v>
      </c>
      <c r="I445" s="6" t="s">
        <v>36</v>
      </c>
      <c r="J445" s="6" t="s">
        <v>42</v>
      </c>
      <c r="K445">
        <v>5</v>
      </c>
      <c r="M445" s="1" t="b">
        <f>Employee__2[[#This Row],[Experience]]&gt;1</f>
        <v>1</v>
      </c>
      <c r="N445" s="1" t="str">
        <f>IF(Employee__2[[#This Row],[City]]="Pune","Yes","No")</f>
        <v>Yes</v>
      </c>
      <c r="O445" s="1" t="str">
        <f>IF(AND(Employee__2[[#This Row],[Education]]="Bachelors",Employee__2[[#This Row],[City]]="Pune"),"Yes","No")</f>
        <v>Yes</v>
      </c>
      <c r="P445" s="1" t="str">
        <f>IF(OR(Employee__2[[#This Row],[Age]]&gt;=30,Employee__2[[#This Row],[Gender]]="Male"),"Mached","Not mached")</f>
        <v>Mached</v>
      </c>
    </row>
    <row r="446" spans="4:16" x14ac:dyDescent="0.25">
      <c r="D446" s="6" t="s">
        <v>34</v>
      </c>
      <c r="E446">
        <v>2014</v>
      </c>
      <c r="F446" s="6" t="s">
        <v>38</v>
      </c>
      <c r="G446">
        <v>3</v>
      </c>
      <c r="H446">
        <v>25</v>
      </c>
      <c r="I446" s="6" t="s">
        <v>36</v>
      </c>
      <c r="J446" s="6" t="s">
        <v>37</v>
      </c>
      <c r="K446">
        <v>3</v>
      </c>
      <c r="M446" s="1" t="b">
        <f>Employee__2[[#This Row],[Experience]]&gt;1</f>
        <v>1</v>
      </c>
      <c r="N446" s="1" t="str">
        <f>IF(Employee__2[[#This Row],[City]]="Pune","Yes","No")</f>
        <v>Yes</v>
      </c>
      <c r="O446" s="1" t="str">
        <f>IF(AND(Employee__2[[#This Row],[Education]]="Bachelors",Employee__2[[#This Row],[City]]="Pune"),"Yes","No")</f>
        <v>Yes</v>
      </c>
      <c r="P446" s="1" t="str">
        <f>IF(OR(Employee__2[[#This Row],[Age]]&gt;=30,Employee__2[[#This Row],[Gender]]="Male"),"Mached","Not mached")</f>
        <v>Mached</v>
      </c>
    </row>
    <row r="447" spans="4:16" x14ac:dyDescent="0.25">
      <c r="D447" s="6" t="s">
        <v>34</v>
      </c>
      <c r="E447">
        <v>2017</v>
      </c>
      <c r="F447" s="6" t="s">
        <v>35</v>
      </c>
      <c r="G447">
        <v>3</v>
      </c>
      <c r="H447">
        <v>28</v>
      </c>
      <c r="I447" s="6" t="s">
        <v>36</v>
      </c>
      <c r="J447" s="6" t="s">
        <v>37</v>
      </c>
      <c r="K447">
        <v>1</v>
      </c>
      <c r="M447" s="1" t="b">
        <f>Employee__2[[#This Row],[Experience]]&gt;1</f>
        <v>0</v>
      </c>
      <c r="N447" s="1" t="str">
        <f>IF(Employee__2[[#This Row],[City]]="Pune","Yes","No")</f>
        <v>No</v>
      </c>
      <c r="O447" s="1" t="str">
        <f>IF(AND(Employee__2[[#This Row],[Education]]="Bachelors",Employee__2[[#This Row],[City]]="Pune"),"Yes","No")</f>
        <v>No</v>
      </c>
      <c r="P447" s="1" t="str">
        <f>IF(OR(Employee__2[[#This Row],[Age]]&gt;=30,Employee__2[[#This Row],[Gender]]="Male"),"Mached","Not mached")</f>
        <v>Mached</v>
      </c>
    </row>
    <row r="448" spans="4:16" x14ac:dyDescent="0.25">
      <c r="D448" s="6" t="s">
        <v>41</v>
      </c>
      <c r="E448">
        <v>2012</v>
      </c>
      <c r="F448" s="6" t="s">
        <v>38</v>
      </c>
      <c r="G448">
        <v>3</v>
      </c>
      <c r="H448">
        <v>24</v>
      </c>
      <c r="I448" s="6" t="s">
        <v>36</v>
      </c>
      <c r="J448" s="6" t="s">
        <v>37</v>
      </c>
      <c r="K448">
        <v>2</v>
      </c>
      <c r="M448" s="1" t="b">
        <f>Employee__2[[#This Row],[Experience]]&gt;1</f>
        <v>1</v>
      </c>
      <c r="N448" s="1" t="str">
        <f>IF(Employee__2[[#This Row],[City]]="Pune","Yes","No")</f>
        <v>Yes</v>
      </c>
      <c r="O448" s="1" t="str">
        <f>IF(AND(Employee__2[[#This Row],[Education]]="Bachelors",Employee__2[[#This Row],[City]]="Pune"),"Yes","No")</f>
        <v>No</v>
      </c>
      <c r="P448" s="1" t="str">
        <f>IF(OR(Employee__2[[#This Row],[Age]]&gt;=30,Employee__2[[#This Row],[Gender]]="Male"),"Mached","Not mached")</f>
        <v>Mached</v>
      </c>
    </row>
    <row r="449" spans="4:16" x14ac:dyDescent="0.25">
      <c r="D449" s="6" t="s">
        <v>34</v>
      </c>
      <c r="E449">
        <v>2014</v>
      </c>
      <c r="F449" s="6" t="s">
        <v>35</v>
      </c>
      <c r="G449">
        <v>3</v>
      </c>
      <c r="H449">
        <v>25</v>
      </c>
      <c r="I449" s="6" t="s">
        <v>36</v>
      </c>
      <c r="J449" s="6" t="s">
        <v>42</v>
      </c>
      <c r="K449">
        <v>3</v>
      </c>
      <c r="M449" s="1" t="b">
        <f>Employee__2[[#This Row],[Experience]]&gt;1</f>
        <v>1</v>
      </c>
      <c r="N449" s="1" t="str">
        <f>IF(Employee__2[[#This Row],[City]]="Pune","Yes","No")</f>
        <v>No</v>
      </c>
      <c r="O449" s="1" t="str">
        <f>IF(AND(Employee__2[[#This Row],[Education]]="Bachelors",Employee__2[[#This Row],[City]]="Pune"),"Yes","No")</f>
        <v>No</v>
      </c>
      <c r="P449" s="1" t="str">
        <f>IF(OR(Employee__2[[#This Row],[Age]]&gt;=30,Employee__2[[#This Row],[Gender]]="Male"),"Mached","Not mached")</f>
        <v>Mached</v>
      </c>
    </row>
    <row r="450" spans="4:16" x14ac:dyDescent="0.25">
      <c r="D450" s="6" t="s">
        <v>34</v>
      </c>
      <c r="E450">
        <v>2013</v>
      </c>
      <c r="F450" s="6" t="s">
        <v>38</v>
      </c>
      <c r="G450">
        <v>2</v>
      </c>
      <c r="H450">
        <v>25</v>
      </c>
      <c r="I450" s="6" t="s">
        <v>36</v>
      </c>
      <c r="J450" s="6" t="s">
        <v>37</v>
      </c>
      <c r="K450">
        <v>3</v>
      </c>
      <c r="M450" s="1" t="b">
        <f>Employee__2[[#This Row],[Experience]]&gt;1</f>
        <v>1</v>
      </c>
      <c r="N450" s="1" t="str">
        <f>IF(Employee__2[[#This Row],[City]]="Pune","Yes","No")</f>
        <v>Yes</v>
      </c>
      <c r="O450" s="1" t="str">
        <f>IF(AND(Employee__2[[#This Row],[Education]]="Bachelors",Employee__2[[#This Row],[City]]="Pune"),"Yes","No")</f>
        <v>Yes</v>
      </c>
      <c r="P450" s="1" t="str">
        <f>IF(OR(Employee__2[[#This Row],[Age]]&gt;=30,Employee__2[[#This Row],[Gender]]="Male"),"Mached","Not mached")</f>
        <v>Mached</v>
      </c>
    </row>
    <row r="451" spans="4:16" x14ac:dyDescent="0.25">
      <c r="D451" s="6" t="s">
        <v>34</v>
      </c>
      <c r="E451">
        <v>2012</v>
      </c>
      <c r="F451" s="6" t="s">
        <v>38</v>
      </c>
      <c r="G451">
        <v>3</v>
      </c>
      <c r="H451">
        <v>27</v>
      </c>
      <c r="I451" s="6" t="s">
        <v>36</v>
      </c>
      <c r="J451" s="6" t="s">
        <v>37</v>
      </c>
      <c r="K451">
        <v>5</v>
      </c>
      <c r="M451" s="1" t="b">
        <f>Employee__2[[#This Row],[Experience]]&gt;1</f>
        <v>1</v>
      </c>
      <c r="N451" s="1" t="str">
        <f>IF(Employee__2[[#This Row],[City]]="Pune","Yes","No")</f>
        <v>Yes</v>
      </c>
      <c r="O451" s="1" t="str">
        <f>IF(AND(Employee__2[[#This Row],[Education]]="Bachelors",Employee__2[[#This Row],[City]]="Pune"),"Yes","No")</f>
        <v>Yes</v>
      </c>
      <c r="P451" s="1" t="str">
        <f>IF(OR(Employee__2[[#This Row],[Age]]&gt;=30,Employee__2[[#This Row],[Gender]]="Male"),"Mached","Not mached")</f>
        <v>Mached</v>
      </c>
    </row>
    <row r="452" spans="4:16" x14ac:dyDescent="0.25">
      <c r="D452" s="6" t="s">
        <v>34</v>
      </c>
      <c r="E452">
        <v>2017</v>
      </c>
      <c r="F452" s="6" t="s">
        <v>35</v>
      </c>
      <c r="G452">
        <v>3</v>
      </c>
      <c r="H452">
        <v>26</v>
      </c>
      <c r="I452" s="6" t="s">
        <v>36</v>
      </c>
      <c r="J452" s="6" t="s">
        <v>37</v>
      </c>
      <c r="K452">
        <v>4</v>
      </c>
      <c r="M452" s="1" t="b">
        <f>Employee__2[[#This Row],[Experience]]&gt;1</f>
        <v>1</v>
      </c>
      <c r="N452" s="1" t="str">
        <f>IF(Employee__2[[#This Row],[City]]="Pune","Yes","No")</f>
        <v>No</v>
      </c>
      <c r="O452" s="1" t="str">
        <f>IF(AND(Employee__2[[#This Row],[Education]]="Bachelors",Employee__2[[#This Row],[City]]="Pune"),"Yes","No")</f>
        <v>No</v>
      </c>
      <c r="P452" s="1" t="str">
        <f>IF(OR(Employee__2[[#This Row],[Age]]&gt;=30,Employee__2[[#This Row],[Gender]]="Male"),"Mached","Not mached")</f>
        <v>Mached</v>
      </c>
    </row>
    <row r="453" spans="4:16" x14ac:dyDescent="0.25">
      <c r="D453" s="6" t="s">
        <v>34</v>
      </c>
      <c r="E453">
        <v>2013</v>
      </c>
      <c r="F453" s="6" t="s">
        <v>38</v>
      </c>
      <c r="G453">
        <v>3</v>
      </c>
      <c r="H453">
        <v>26</v>
      </c>
      <c r="I453" s="6" t="s">
        <v>36</v>
      </c>
      <c r="J453" s="6" t="s">
        <v>37</v>
      </c>
      <c r="K453">
        <v>4</v>
      </c>
      <c r="M453" s="1" t="b">
        <f>Employee__2[[#This Row],[Experience]]&gt;1</f>
        <v>1</v>
      </c>
      <c r="N453" s="1" t="str">
        <f>IF(Employee__2[[#This Row],[City]]="Pune","Yes","No")</f>
        <v>Yes</v>
      </c>
      <c r="O453" s="1" t="str">
        <f>IF(AND(Employee__2[[#This Row],[Education]]="Bachelors",Employee__2[[#This Row],[City]]="Pune"),"Yes","No")</f>
        <v>Yes</v>
      </c>
      <c r="P453" s="1" t="str">
        <f>IF(OR(Employee__2[[#This Row],[Age]]&gt;=30,Employee__2[[#This Row],[Gender]]="Male"),"Mached","Not mached")</f>
        <v>Mached</v>
      </c>
    </row>
    <row r="454" spans="4:16" x14ac:dyDescent="0.25">
      <c r="D454" s="6" t="s">
        <v>34</v>
      </c>
      <c r="E454">
        <v>2016</v>
      </c>
      <c r="F454" s="6" t="s">
        <v>35</v>
      </c>
      <c r="G454">
        <v>3</v>
      </c>
      <c r="H454">
        <v>24</v>
      </c>
      <c r="I454" s="6" t="s">
        <v>36</v>
      </c>
      <c r="J454" s="6" t="s">
        <v>37</v>
      </c>
      <c r="K454">
        <v>2</v>
      </c>
      <c r="M454" s="1" t="b">
        <f>Employee__2[[#This Row],[Experience]]&gt;1</f>
        <v>1</v>
      </c>
      <c r="N454" s="1" t="str">
        <f>IF(Employee__2[[#This Row],[City]]="Pune","Yes","No")</f>
        <v>No</v>
      </c>
      <c r="O454" s="1" t="str">
        <f>IF(AND(Employee__2[[#This Row],[Education]]="Bachelors",Employee__2[[#This Row],[City]]="Pune"),"Yes","No")</f>
        <v>No</v>
      </c>
      <c r="P454" s="1" t="str">
        <f>IF(OR(Employee__2[[#This Row],[Age]]&gt;=30,Employee__2[[#This Row],[Gender]]="Male"),"Mached","Not mached")</f>
        <v>Mached</v>
      </c>
    </row>
    <row r="455" spans="4:16" x14ac:dyDescent="0.25">
      <c r="D455" s="6" t="s">
        <v>34</v>
      </c>
      <c r="E455">
        <v>2014</v>
      </c>
      <c r="F455" s="6" t="s">
        <v>35</v>
      </c>
      <c r="G455">
        <v>3</v>
      </c>
      <c r="H455">
        <v>25</v>
      </c>
      <c r="I455" s="6" t="s">
        <v>39</v>
      </c>
      <c r="J455" s="6" t="s">
        <v>37</v>
      </c>
      <c r="K455">
        <v>3</v>
      </c>
      <c r="M455" s="1" t="b">
        <f>Employee__2[[#This Row],[Experience]]&gt;1</f>
        <v>1</v>
      </c>
      <c r="N455" s="1" t="str">
        <f>IF(Employee__2[[#This Row],[City]]="Pune","Yes","No")</f>
        <v>No</v>
      </c>
      <c r="O455" s="1" t="str">
        <f>IF(AND(Employee__2[[#This Row],[Education]]="Bachelors",Employee__2[[#This Row],[City]]="Pune"),"Yes","No")</f>
        <v>No</v>
      </c>
      <c r="P455" s="1" t="str">
        <f>IF(OR(Employee__2[[#This Row],[Age]]&gt;=30,Employee__2[[#This Row],[Gender]]="Male"),"Mached","Not mached")</f>
        <v>Not mached</v>
      </c>
    </row>
    <row r="456" spans="4:16" x14ac:dyDescent="0.25">
      <c r="D456" s="6" t="s">
        <v>34</v>
      </c>
      <c r="E456">
        <v>2015</v>
      </c>
      <c r="F456" s="6" t="s">
        <v>40</v>
      </c>
      <c r="G456">
        <v>3</v>
      </c>
      <c r="H456">
        <v>25</v>
      </c>
      <c r="I456" s="6" t="s">
        <v>36</v>
      </c>
      <c r="J456" s="6" t="s">
        <v>37</v>
      </c>
      <c r="K456">
        <v>3</v>
      </c>
      <c r="M456" s="1" t="b">
        <f>Employee__2[[#This Row],[Experience]]&gt;1</f>
        <v>1</v>
      </c>
      <c r="N456" s="1" t="str">
        <f>IF(Employee__2[[#This Row],[City]]="Pune","Yes","No")</f>
        <v>No</v>
      </c>
      <c r="O456" s="1" t="str">
        <f>IF(AND(Employee__2[[#This Row],[Education]]="Bachelors",Employee__2[[#This Row],[City]]="Pune"),"Yes","No")</f>
        <v>No</v>
      </c>
      <c r="P456" s="1" t="str">
        <f>IF(OR(Employee__2[[#This Row],[Age]]&gt;=30,Employee__2[[#This Row],[Gender]]="Male"),"Mached","Not mached")</f>
        <v>Mached</v>
      </c>
    </row>
    <row r="457" spans="4:16" x14ac:dyDescent="0.25">
      <c r="D457" s="6" t="s">
        <v>43</v>
      </c>
      <c r="E457">
        <v>2012</v>
      </c>
      <c r="F457" s="6" t="s">
        <v>38</v>
      </c>
      <c r="G457">
        <v>3</v>
      </c>
      <c r="H457">
        <v>24</v>
      </c>
      <c r="I457" s="6" t="s">
        <v>36</v>
      </c>
      <c r="J457" s="6" t="s">
        <v>37</v>
      </c>
      <c r="K457">
        <v>2</v>
      </c>
      <c r="M457" s="1" t="b">
        <f>Employee__2[[#This Row],[Experience]]&gt;1</f>
        <v>1</v>
      </c>
      <c r="N457" s="1" t="str">
        <f>IF(Employee__2[[#This Row],[City]]="Pune","Yes","No")</f>
        <v>Yes</v>
      </c>
      <c r="O457" s="1" t="str">
        <f>IF(AND(Employee__2[[#This Row],[Education]]="Bachelors",Employee__2[[#This Row],[City]]="Pune"),"Yes","No")</f>
        <v>No</v>
      </c>
      <c r="P457" s="1" t="str">
        <f>IF(OR(Employee__2[[#This Row],[Age]]&gt;=30,Employee__2[[#This Row],[Gender]]="Male"),"Mached","Not mached")</f>
        <v>Mached</v>
      </c>
    </row>
    <row r="458" spans="4:16" x14ac:dyDescent="0.25">
      <c r="D458" s="6" t="s">
        <v>34</v>
      </c>
      <c r="E458">
        <v>2013</v>
      </c>
      <c r="F458" s="6" t="s">
        <v>35</v>
      </c>
      <c r="G458">
        <v>3</v>
      </c>
      <c r="H458">
        <v>27</v>
      </c>
      <c r="I458" s="6" t="s">
        <v>36</v>
      </c>
      <c r="J458" s="6" t="s">
        <v>37</v>
      </c>
      <c r="K458">
        <v>5</v>
      </c>
      <c r="M458" s="1" t="b">
        <f>Employee__2[[#This Row],[Experience]]&gt;1</f>
        <v>1</v>
      </c>
      <c r="N458" s="1" t="str">
        <f>IF(Employee__2[[#This Row],[City]]="Pune","Yes","No")</f>
        <v>No</v>
      </c>
      <c r="O458" s="1" t="str">
        <f>IF(AND(Employee__2[[#This Row],[Education]]="Bachelors",Employee__2[[#This Row],[City]]="Pune"),"Yes","No")</f>
        <v>No</v>
      </c>
      <c r="P458" s="1" t="str">
        <f>IF(OR(Employee__2[[#This Row],[Age]]&gt;=30,Employee__2[[#This Row],[Gender]]="Male"),"Mached","Not mached")</f>
        <v>Mached</v>
      </c>
    </row>
    <row r="459" spans="4:16" x14ac:dyDescent="0.25">
      <c r="D459" s="6" t="s">
        <v>34</v>
      </c>
      <c r="E459">
        <v>2015</v>
      </c>
      <c r="F459" s="6" t="s">
        <v>35</v>
      </c>
      <c r="G459">
        <v>3</v>
      </c>
      <c r="H459">
        <v>25</v>
      </c>
      <c r="I459" s="6" t="s">
        <v>36</v>
      </c>
      <c r="J459" s="6" t="s">
        <v>37</v>
      </c>
      <c r="K459">
        <v>3</v>
      </c>
      <c r="M459" s="1" t="b">
        <f>Employee__2[[#This Row],[Experience]]&gt;1</f>
        <v>1</v>
      </c>
      <c r="N459" s="1" t="str">
        <f>IF(Employee__2[[#This Row],[City]]="Pune","Yes","No")</f>
        <v>No</v>
      </c>
      <c r="O459" s="1" t="str">
        <f>IF(AND(Employee__2[[#This Row],[Education]]="Bachelors",Employee__2[[#This Row],[City]]="Pune"),"Yes","No")</f>
        <v>No</v>
      </c>
      <c r="P459" s="1" t="str">
        <f>IF(OR(Employee__2[[#This Row],[Age]]&gt;=30,Employee__2[[#This Row],[Gender]]="Male"),"Mached","Not mached")</f>
        <v>Mached</v>
      </c>
    </row>
    <row r="460" spans="4:16" x14ac:dyDescent="0.25">
      <c r="D460" s="6" t="s">
        <v>34</v>
      </c>
      <c r="E460">
        <v>2016</v>
      </c>
      <c r="F460" s="6" t="s">
        <v>35</v>
      </c>
      <c r="G460">
        <v>3</v>
      </c>
      <c r="H460">
        <v>26</v>
      </c>
      <c r="I460" s="6" t="s">
        <v>36</v>
      </c>
      <c r="J460" s="6" t="s">
        <v>37</v>
      </c>
      <c r="K460">
        <v>4</v>
      </c>
      <c r="M460" s="1" t="b">
        <f>Employee__2[[#This Row],[Experience]]&gt;1</f>
        <v>1</v>
      </c>
      <c r="N460" s="1" t="str">
        <f>IF(Employee__2[[#This Row],[City]]="Pune","Yes","No")</f>
        <v>No</v>
      </c>
      <c r="O460" s="1" t="str">
        <f>IF(AND(Employee__2[[#This Row],[Education]]="Bachelors",Employee__2[[#This Row],[City]]="Pune"),"Yes","No")</f>
        <v>No</v>
      </c>
      <c r="P460" s="1" t="str">
        <f>IF(OR(Employee__2[[#This Row],[Age]]&gt;=30,Employee__2[[#This Row],[Gender]]="Male"),"Mached","Not mached")</f>
        <v>Mached</v>
      </c>
    </row>
    <row r="461" spans="4:16" x14ac:dyDescent="0.25">
      <c r="D461" s="6" t="s">
        <v>41</v>
      </c>
      <c r="E461">
        <v>2015</v>
      </c>
      <c r="F461" s="6" t="s">
        <v>40</v>
      </c>
      <c r="G461">
        <v>3</v>
      </c>
      <c r="H461">
        <v>24</v>
      </c>
      <c r="I461" s="6" t="s">
        <v>39</v>
      </c>
      <c r="J461" s="6" t="s">
        <v>37</v>
      </c>
      <c r="K461">
        <v>2</v>
      </c>
      <c r="M461" s="1" t="b">
        <f>Employee__2[[#This Row],[Experience]]&gt;1</f>
        <v>1</v>
      </c>
      <c r="N461" s="1" t="str">
        <f>IF(Employee__2[[#This Row],[City]]="Pune","Yes","No")</f>
        <v>No</v>
      </c>
      <c r="O461" s="1" t="str">
        <f>IF(AND(Employee__2[[#This Row],[Education]]="Bachelors",Employee__2[[#This Row],[City]]="Pune"),"Yes","No")</f>
        <v>No</v>
      </c>
      <c r="P461" s="1" t="str">
        <f>IF(OR(Employee__2[[#This Row],[Age]]&gt;=30,Employee__2[[#This Row],[Gender]]="Male"),"Mached","Not mached")</f>
        <v>Not mached</v>
      </c>
    </row>
    <row r="462" spans="4:16" x14ac:dyDescent="0.25">
      <c r="D462" s="6" t="s">
        <v>34</v>
      </c>
      <c r="E462">
        <v>2012</v>
      </c>
      <c r="F462" s="6" t="s">
        <v>35</v>
      </c>
      <c r="G462">
        <v>3</v>
      </c>
      <c r="H462">
        <v>26</v>
      </c>
      <c r="I462" s="6" t="s">
        <v>36</v>
      </c>
      <c r="J462" s="6" t="s">
        <v>37</v>
      </c>
      <c r="K462">
        <v>4</v>
      </c>
      <c r="M462" s="1" t="b">
        <f>Employee__2[[#This Row],[Experience]]&gt;1</f>
        <v>1</v>
      </c>
      <c r="N462" s="1" t="str">
        <f>IF(Employee__2[[#This Row],[City]]="Pune","Yes","No")</f>
        <v>No</v>
      </c>
      <c r="O462" s="1" t="str">
        <f>IF(AND(Employee__2[[#This Row],[Education]]="Bachelors",Employee__2[[#This Row],[City]]="Pune"),"Yes","No")</f>
        <v>No</v>
      </c>
      <c r="P462" s="1" t="str">
        <f>IF(OR(Employee__2[[#This Row],[Age]]&gt;=30,Employee__2[[#This Row],[Gender]]="Male"),"Mached","Not mached")</f>
        <v>Mached</v>
      </c>
    </row>
    <row r="463" spans="4:16" x14ac:dyDescent="0.25">
      <c r="D463" s="6" t="s">
        <v>34</v>
      </c>
      <c r="E463">
        <v>2013</v>
      </c>
      <c r="F463" s="6" t="s">
        <v>38</v>
      </c>
      <c r="G463">
        <v>3</v>
      </c>
      <c r="H463">
        <v>24</v>
      </c>
      <c r="I463" s="6" t="s">
        <v>36</v>
      </c>
      <c r="J463" s="6" t="s">
        <v>37</v>
      </c>
      <c r="K463">
        <v>2</v>
      </c>
      <c r="M463" s="1" t="b">
        <f>Employee__2[[#This Row],[Experience]]&gt;1</f>
        <v>1</v>
      </c>
      <c r="N463" s="1" t="str">
        <f>IF(Employee__2[[#This Row],[City]]="Pune","Yes","No")</f>
        <v>Yes</v>
      </c>
      <c r="O463" s="1" t="str">
        <f>IF(AND(Employee__2[[#This Row],[Education]]="Bachelors",Employee__2[[#This Row],[City]]="Pune"),"Yes","No")</f>
        <v>Yes</v>
      </c>
      <c r="P463" s="1" t="str">
        <f>IF(OR(Employee__2[[#This Row],[Age]]&gt;=30,Employee__2[[#This Row],[Gender]]="Male"),"Mached","Not mached")</f>
        <v>Mached</v>
      </c>
    </row>
    <row r="464" spans="4:16" x14ac:dyDescent="0.25">
      <c r="D464" s="6" t="s">
        <v>41</v>
      </c>
      <c r="E464">
        <v>2017</v>
      </c>
      <c r="F464" s="6" t="s">
        <v>40</v>
      </c>
      <c r="G464">
        <v>3</v>
      </c>
      <c r="H464">
        <v>24</v>
      </c>
      <c r="I464" s="6" t="s">
        <v>36</v>
      </c>
      <c r="J464" s="6" t="s">
        <v>37</v>
      </c>
      <c r="K464">
        <v>2</v>
      </c>
      <c r="M464" s="1" t="b">
        <f>Employee__2[[#This Row],[Experience]]&gt;1</f>
        <v>1</v>
      </c>
      <c r="N464" s="1" t="str">
        <f>IF(Employee__2[[#This Row],[City]]="Pune","Yes","No")</f>
        <v>No</v>
      </c>
      <c r="O464" s="1" t="str">
        <f>IF(AND(Employee__2[[#This Row],[Education]]="Bachelors",Employee__2[[#This Row],[City]]="Pune"),"Yes","No")</f>
        <v>No</v>
      </c>
      <c r="P464" s="1" t="str">
        <f>IF(OR(Employee__2[[#This Row],[Age]]&gt;=30,Employee__2[[#This Row],[Gender]]="Male"),"Mached","Not mached")</f>
        <v>Mached</v>
      </c>
    </row>
    <row r="465" spans="4:16" x14ac:dyDescent="0.25">
      <c r="D465" s="6" t="s">
        <v>34</v>
      </c>
      <c r="E465">
        <v>2014</v>
      </c>
      <c r="F465" s="6" t="s">
        <v>35</v>
      </c>
      <c r="G465">
        <v>1</v>
      </c>
      <c r="H465">
        <v>25</v>
      </c>
      <c r="I465" s="6" t="s">
        <v>36</v>
      </c>
      <c r="J465" s="6" t="s">
        <v>42</v>
      </c>
      <c r="K465">
        <v>3</v>
      </c>
      <c r="M465" s="1" t="b">
        <f>Employee__2[[#This Row],[Experience]]&gt;1</f>
        <v>1</v>
      </c>
      <c r="N465" s="1" t="str">
        <f>IF(Employee__2[[#This Row],[City]]="Pune","Yes","No")</f>
        <v>No</v>
      </c>
      <c r="O465" s="1" t="str">
        <f>IF(AND(Employee__2[[#This Row],[Education]]="Bachelors",Employee__2[[#This Row],[City]]="Pune"),"Yes","No")</f>
        <v>No</v>
      </c>
      <c r="P465" s="1" t="str">
        <f>IF(OR(Employee__2[[#This Row],[Age]]&gt;=30,Employee__2[[#This Row],[Gender]]="Male"),"Mached","Not mached")</f>
        <v>Mached</v>
      </c>
    </row>
    <row r="466" spans="4:16" x14ac:dyDescent="0.25">
      <c r="D466" s="6" t="s">
        <v>34</v>
      </c>
      <c r="E466">
        <v>2018</v>
      </c>
      <c r="F466" s="6" t="s">
        <v>35</v>
      </c>
      <c r="G466">
        <v>3</v>
      </c>
      <c r="H466">
        <v>28</v>
      </c>
      <c r="I466" s="6" t="s">
        <v>36</v>
      </c>
      <c r="J466" s="6" t="s">
        <v>37</v>
      </c>
      <c r="K466">
        <v>1</v>
      </c>
      <c r="M466" s="1" t="b">
        <f>Employee__2[[#This Row],[Experience]]&gt;1</f>
        <v>0</v>
      </c>
      <c r="N466" s="1" t="str">
        <f>IF(Employee__2[[#This Row],[City]]="Pune","Yes","No")</f>
        <v>No</v>
      </c>
      <c r="O466" s="1" t="str">
        <f>IF(AND(Employee__2[[#This Row],[Education]]="Bachelors",Employee__2[[#This Row],[City]]="Pune"),"Yes","No")</f>
        <v>No</v>
      </c>
      <c r="P466" s="1" t="str">
        <f>IF(OR(Employee__2[[#This Row],[Age]]&gt;=30,Employee__2[[#This Row],[Gender]]="Male"),"Mached","Not mached")</f>
        <v>Mached</v>
      </c>
    </row>
    <row r="467" spans="4:16" x14ac:dyDescent="0.25">
      <c r="D467" s="6" t="s">
        <v>34</v>
      </c>
      <c r="E467">
        <v>2017</v>
      </c>
      <c r="F467" s="6" t="s">
        <v>35</v>
      </c>
      <c r="G467">
        <v>3</v>
      </c>
      <c r="H467">
        <v>28</v>
      </c>
      <c r="I467" s="6" t="s">
        <v>36</v>
      </c>
      <c r="J467" s="6" t="s">
        <v>42</v>
      </c>
      <c r="K467">
        <v>3</v>
      </c>
      <c r="M467" s="1" t="b">
        <f>Employee__2[[#This Row],[Experience]]&gt;1</f>
        <v>1</v>
      </c>
      <c r="N467" s="1" t="str">
        <f>IF(Employee__2[[#This Row],[City]]="Pune","Yes","No")</f>
        <v>No</v>
      </c>
      <c r="O467" s="1" t="str">
        <f>IF(AND(Employee__2[[#This Row],[Education]]="Bachelors",Employee__2[[#This Row],[City]]="Pune"),"Yes","No")</f>
        <v>No</v>
      </c>
      <c r="P467" s="1" t="str">
        <f>IF(OR(Employee__2[[#This Row],[Age]]&gt;=30,Employee__2[[#This Row],[Gender]]="Male"),"Mached","Not mached")</f>
        <v>Mached</v>
      </c>
    </row>
    <row r="468" spans="4:16" x14ac:dyDescent="0.25">
      <c r="D468" s="6" t="s">
        <v>41</v>
      </c>
      <c r="E468">
        <v>2013</v>
      </c>
      <c r="F468" s="6" t="s">
        <v>35</v>
      </c>
      <c r="G468">
        <v>3</v>
      </c>
      <c r="H468">
        <v>28</v>
      </c>
      <c r="I468" s="6" t="s">
        <v>39</v>
      </c>
      <c r="J468" s="6" t="s">
        <v>42</v>
      </c>
      <c r="K468">
        <v>2</v>
      </c>
      <c r="M468" s="1" t="b">
        <f>Employee__2[[#This Row],[Experience]]&gt;1</f>
        <v>1</v>
      </c>
      <c r="N468" s="1" t="str">
        <f>IF(Employee__2[[#This Row],[City]]="Pune","Yes","No")</f>
        <v>No</v>
      </c>
      <c r="O468" s="1" t="str">
        <f>IF(AND(Employee__2[[#This Row],[Education]]="Bachelors",Employee__2[[#This Row],[City]]="Pune"),"Yes","No")</f>
        <v>No</v>
      </c>
      <c r="P468" s="1" t="str">
        <f>IF(OR(Employee__2[[#This Row],[Age]]&gt;=30,Employee__2[[#This Row],[Gender]]="Male"),"Mached","Not mached")</f>
        <v>Not mached</v>
      </c>
    </row>
    <row r="469" spans="4:16" x14ac:dyDescent="0.25">
      <c r="D469" s="6" t="s">
        <v>34</v>
      </c>
      <c r="E469">
        <v>2013</v>
      </c>
      <c r="F469" s="6" t="s">
        <v>35</v>
      </c>
      <c r="G469">
        <v>3</v>
      </c>
      <c r="H469">
        <v>26</v>
      </c>
      <c r="I469" s="6" t="s">
        <v>36</v>
      </c>
      <c r="J469" s="6" t="s">
        <v>42</v>
      </c>
      <c r="K469">
        <v>4</v>
      </c>
      <c r="M469" s="1" t="b">
        <f>Employee__2[[#This Row],[Experience]]&gt;1</f>
        <v>1</v>
      </c>
      <c r="N469" s="1" t="str">
        <f>IF(Employee__2[[#This Row],[City]]="Pune","Yes","No")</f>
        <v>No</v>
      </c>
      <c r="O469" s="1" t="str">
        <f>IF(AND(Employee__2[[#This Row],[Education]]="Bachelors",Employee__2[[#This Row],[City]]="Pune"),"Yes","No")</f>
        <v>No</v>
      </c>
      <c r="P469" s="1" t="str">
        <f>IF(OR(Employee__2[[#This Row],[Age]]&gt;=30,Employee__2[[#This Row],[Gender]]="Male"),"Mached","Not mached")</f>
        <v>Mached</v>
      </c>
    </row>
    <row r="470" spans="4:16" x14ac:dyDescent="0.25">
      <c r="D470" s="6" t="s">
        <v>41</v>
      </c>
      <c r="E470">
        <v>2018</v>
      </c>
      <c r="F470" s="6" t="s">
        <v>40</v>
      </c>
      <c r="G470">
        <v>1</v>
      </c>
      <c r="H470">
        <v>24</v>
      </c>
      <c r="I470" s="6" t="s">
        <v>36</v>
      </c>
      <c r="J470" s="6" t="s">
        <v>42</v>
      </c>
      <c r="K470">
        <v>2</v>
      </c>
      <c r="M470" s="1" t="b">
        <f>Employee__2[[#This Row],[Experience]]&gt;1</f>
        <v>1</v>
      </c>
      <c r="N470" s="1" t="str">
        <f>IF(Employee__2[[#This Row],[City]]="Pune","Yes","No")</f>
        <v>No</v>
      </c>
      <c r="O470" s="1" t="str">
        <f>IF(AND(Employee__2[[#This Row],[Education]]="Bachelors",Employee__2[[#This Row],[City]]="Pune"),"Yes","No")</f>
        <v>No</v>
      </c>
      <c r="P470" s="1" t="str">
        <f>IF(OR(Employee__2[[#This Row],[Age]]&gt;=30,Employee__2[[#This Row],[Gender]]="Male"),"Mached","Not mached")</f>
        <v>Mached</v>
      </c>
    </row>
    <row r="471" spans="4:16" x14ac:dyDescent="0.25">
      <c r="D471" s="6" t="s">
        <v>34</v>
      </c>
      <c r="E471">
        <v>2012</v>
      </c>
      <c r="F471" s="6" t="s">
        <v>35</v>
      </c>
      <c r="G471">
        <v>3</v>
      </c>
      <c r="H471">
        <v>25</v>
      </c>
      <c r="I471" s="6" t="s">
        <v>36</v>
      </c>
      <c r="J471" s="6" t="s">
        <v>37</v>
      </c>
      <c r="K471">
        <v>3</v>
      </c>
      <c r="M471" s="1" t="b">
        <f>Employee__2[[#This Row],[Experience]]&gt;1</f>
        <v>1</v>
      </c>
      <c r="N471" s="1" t="str">
        <f>IF(Employee__2[[#This Row],[City]]="Pune","Yes","No")</f>
        <v>No</v>
      </c>
      <c r="O471" s="1" t="str">
        <f>IF(AND(Employee__2[[#This Row],[Education]]="Bachelors",Employee__2[[#This Row],[City]]="Pune"),"Yes","No")</f>
        <v>No</v>
      </c>
      <c r="P471" s="1" t="str">
        <f>IF(OR(Employee__2[[#This Row],[Age]]&gt;=30,Employee__2[[#This Row],[Gender]]="Male"),"Mached","Not mached")</f>
        <v>Mached</v>
      </c>
    </row>
    <row r="472" spans="4:16" x14ac:dyDescent="0.25">
      <c r="D472" s="6" t="s">
        <v>43</v>
      </c>
      <c r="E472">
        <v>2013</v>
      </c>
      <c r="F472" s="6" t="s">
        <v>40</v>
      </c>
      <c r="G472">
        <v>2</v>
      </c>
      <c r="H472">
        <v>27</v>
      </c>
      <c r="I472" s="6" t="s">
        <v>39</v>
      </c>
      <c r="J472" s="6" t="s">
        <v>37</v>
      </c>
      <c r="K472">
        <v>5</v>
      </c>
      <c r="M472" s="1" t="b">
        <f>Employee__2[[#This Row],[Experience]]&gt;1</f>
        <v>1</v>
      </c>
      <c r="N472" s="1" t="str">
        <f>IF(Employee__2[[#This Row],[City]]="Pune","Yes","No")</f>
        <v>No</v>
      </c>
      <c r="O472" s="1" t="str">
        <f>IF(AND(Employee__2[[#This Row],[Education]]="Bachelors",Employee__2[[#This Row],[City]]="Pune"),"Yes","No")</f>
        <v>No</v>
      </c>
      <c r="P472" s="1" t="str">
        <f>IF(OR(Employee__2[[#This Row],[Age]]&gt;=30,Employee__2[[#This Row],[Gender]]="Male"),"Mached","Not mached")</f>
        <v>Not mached</v>
      </c>
    </row>
    <row r="473" spans="4:16" x14ac:dyDescent="0.25">
      <c r="D473" s="6" t="s">
        <v>41</v>
      </c>
      <c r="E473">
        <v>2018</v>
      </c>
      <c r="F473" s="6" t="s">
        <v>40</v>
      </c>
      <c r="G473">
        <v>3</v>
      </c>
      <c r="H473">
        <v>28</v>
      </c>
      <c r="I473" s="6" t="s">
        <v>36</v>
      </c>
      <c r="J473" s="6" t="s">
        <v>42</v>
      </c>
      <c r="K473">
        <v>2</v>
      </c>
      <c r="M473" s="1" t="b">
        <f>Employee__2[[#This Row],[Experience]]&gt;1</f>
        <v>1</v>
      </c>
      <c r="N473" s="1" t="str">
        <f>IF(Employee__2[[#This Row],[City]]="Pune","Yes","No")</f>
        <v>No</v>
      </c>
      <c r="O473" s="1" t="str">
        <f>IF(AND(Employee__2[[#This Row],[Education]]="Bachelors",Employee__2[[#This Row],[City]]="Pune"),"Yes","No")</f>
        <v>No</v>
      </c>
      <c r="P473" s="1" t="str">
        <f>IF(OR(Employee__2[[#This Row],[Age]]&gt;=30,Employee__2[[#This Row],[Gender]]="Male"),"Mached","Not mached")</f>
        <v>Mached</v>
      </c>
    </row>
    <row r="474" spans="4:16" x14ac:dyDescent="0.25">
      <c r="D474" s="6" t="s">
        <v>34</v>
      </c>
      <c r="E474">
        <v>2014</v>
      </c>
      <c r="F474" s="6" t="s">
        <v>35</v>
      </c>
      <c r="G474">
        <v>3</v>
      </c>
      <c r="H474">
        <v>28</v>
      </c>
      <c r="I474" s="6" t="s">
        <v>36</v>
      </c>
      <c r="J474" s="6" t="s">
        <v>37</v>
      </c>
      <c r="K474">
        <v>3</v>
      </c>
      <c r="M474" s="1" t="b">
        <f>Employee__2[[#This Row],[Experience]]&gt;1</f>
        <v>1</v>
      </c>
      <c r="N474" s="1" t="str">
        <f>IF(Employee__2[[#This Row],[City]]="Pune","Yes","No")</f>
        <v>No</v>
      </c>
      <c r="O474" s="1" t="str">
        <f>IF(AND(Employee__2[[#This Row],[Education]]="Bachelors",Employee__2[[#This Row],[City]]="Pune"),"Yes","No")</f>
        <v>No</v>
      </c>
      <c r="P474" s="1" t="str">
        <f>IF(OR(Employee__2[[#This Row],[Age]]&gt;=30,Employee__2[[#This Row],[Gender]]="Male"),"Mached","Not mached")</f>
        <v>Mached</v>
      </c>
    </row>
    <row r="475" spans="4:16" x14ac:dyDescent="0.25">
      <c r="D475" s="6" t="s">
        <v>34</v>
      </c>
      <c r="E475">
        <v>2014</v>
      </c>
      <c r="F475" s="6" t="s">
        <v>38</v>
      </c>
      <c r="G475">
        <v>3</v>
      </c>
      <c r="H475">
        <v>27</v>
      </c>
      <c r="I475" s="6" t="s">
        <v>36</v>
      </c>
      <c r="J475" s="6" t="s">
        <v>37</v>
      </c>
      <c r="K475">
        <v>5</v>
      </c>
      <c r="M475" s="1" t="b">
        <f>Employee__2[[#This Row],[Experience]]&gt;1</f>
        <v>1</v>
      </c>
      <c r="N475" s="1" t="str">
        <f>IF(Employee__2[[#This Row],[City]]="Pune","Yes","No")</f>
        <v>Yes</v>
      </c>
      <c r="O475" s="1" t="str">
        <f>IF(AND(Employee__2[[#This Row],[Education]]="Bachelors",Employee__2[[#This Row],[City]]="Pune"),"Yes","No")</f>
        <v>Yes</v>
      </c>
      <c r="P475" s="1" t="str">
        <f>IF(OR(Employee__2[[#This Row],[Age]]&gt;=30,Employee__2[[#This Row],[Gender]]="Male"),"Mached","Not mached")</f>
        <v>Mached</v>
      </c>
    </row>
    <row r="476" spans="4:16" x14ac:dyDescent="0.25">
      <c r="D476" s="6" t="s">
        <v>34</v>
      </c>
      <c r="E476">
        <v>2013</v>
      </c>
      <c r="F476" s="6" t="s">
        <v>40</v>
      </c>
      <c r="G476">
        <v>3</v>
      </c>
      <c r="H476">
        <v>24</v>
      </c>
      <c r="I476" s="6" t="s">
        <v>39</v>
      </c>
      <c r="J476" s="6" t="s">
        <v>37</v>
      </c>
      <c r="K476">
        <v>2</v>
      </c>
      <c r="M476" s="1" t="b">
        <f>Employee__2[[#This Row],[Experience]]&gt;1</f>
        <v>1</v>
      </c>
      <c r="N476" s="1" t="str">
        <f>IF(Employee__2[[#This Row],[City]]="Pune","Yes","No")</f>
        <v>No</v>
      </c>
      <c r="O476" s="1" t="str">
        <f>IF(AND(Employee__2[[#This Row],[Education]]="Bachelors",Employee__2[[#This Row],[City]]="Pune"),"Yes","No")</f>
        <v>No</v>
      </c>
      <c r="P476" s="1" t="str">
        <f>IF(OR(Employee__2[[#This Row],[Age]]&gt;=30,Employee__2[[#This Row],[Gender]]="Male"),"Mached","Not mached")</f>
        <v>Not mached</v>
      </c>
    </row>
    <row r="477" spans="4:16" x14ac:dyDescent="0.25">
      <c r="D477" s="6" t="s">
        <v>34</v>
      </c>
      <c r="E477">
        <v>2015</v>
      </c>
      <c r="F477" s="6" t="s">
        <v>38</v>
      </c>
      <c r="G477">
        <v>2</v>
      </c>
      <c r="H477">
        <v>28</v>
      </c>
      <c r="I477" s="6" t="s">
        <v>39</v>
      </c>
      <c r="J477" s="6" t="s">
        <v>37</v>
      </c>
      <c r="K477">
        <v>1</v>
      </c>
      <c r="M477" s="1" t="b">
        <f>Employee__2[[#This Row],[Experience]]&gt;1</f>
        <v>0</v>
      </c>
      <c r="N477" s="1" t="str">
        <f>IF(Employee__2[[#This Row],[City]]="Pune","Yes","No")</f>
        <v>Yes</v>
      </c>
      <c r="O477" s="1" t="str">
        <f>IF(AND(Employee__2[[#This Row],[Education]]="Bachelors",Employee__2[[#This Row],[City]]="Pune"),"Yes","No")</f>
        <v>Yes</v>
      </c>
      <c r="P477" s="1" t="str">
        <f>IF(OR(Employee__2[[#This Row],[Age]]&gt;=30,Employee__2[[#This Row],[Gender]]="Male"),"Mached","Not mached")</f>
        <v>Not mached</v>
      </c>
    </row>
    <row r="478" spans="4:16" x14ac:dyDescent="0.25">
      <c r="D478" s="6" t="s">
        <v>34</v>
      </c>
      <c r="E478">
        <v>2015</v>
      </c>
      <c r="F478" s="6" t="s">
        <v>38</v>
      </c>
      <c r="G478">
        <v>2</v>
      </c>
      <c r="H478">
        <v>26</v>
      </c>
      <c r="I478" s="6" t="s">
        <v>39</v>
      </c>
      <c r="J478" s="6" t="s">
        <v>37</v>
      </c>
      <c r="K478">
        <v>4</v>
      </c>
      <c r="M478" s="1" t="b">
        <f>Employee__2[[#This Row],[Experience]]&gt;1</f>
        <v>1</v>
      </c>
      <c r="N478" s="1" t="str">
        <f>IF(Employee__2[[#This Row],[City]]="Pune","Yes","No")</f>
        <v>Yes</v>
      </c>
      <c r="O478" s="1" t="str">
        <f>IF(AND(Employee__2[[#This Row],[Education]]="Bachelors",Employee__2[[#This Row],[City]]="Pune"),"Yes","No")</f>
        <v>Yes</v>
      </c>
      <c r="P478" s="1" t="str">
        <f>IF(OR(Employee__2[[#This Row],[Age]]&gt;=30,Employee__2[[#This Row],[Gender]]="Male"),"Mached","Not mached")</f>
        <v>Not mached</v>
      </c>
    </row>
    <row r="479" spans="4:16" x14ac:dyDescent="0.25">
      <c r="D479" s="6" t="s">
        <v>34</v>
      </c>
      <c r="E479">
        <v>2017</v>
      </c>
      <c r="F479" s="6" t="s">
        <v>40</v>
      </c>
      <c r="G479">
        <v>2</v>
      </c>
      <c r="H479">
        <v>28</v>
      </c>
      <c r="I479" s="6" t="s">
        <v>39</v>
      </c>
      <c r="J479" s="6" t="s">
        <v>37</v>
      </c>
      <c r="K479">
        <v>3</v>
      </c>
      <c r="M479" s="1" t="b">
        <f>Employee__2[[#This Row],[Experience]]&gt;1</f>
        <v>1</v>
      </c>
      <c r="N479" s="1" t="str">
        <f>IF(Employee__2[[#This Row],[City]]="Pune","Yes","No")</f>
        <v>No</v>
      </c>
      <c r="O479" s="1" t="str">
        <f>IF(AND(Employee__2[[#This Row],[Education]]="Bachelors",Employee__2[[#This Row],[City]]="Pune"),"Yes","No")</f>
        <v>No</v>
      </c>
      <c r="P479" s="1" t="str">
        <f>IF(OR(Employee__2[[#This Row],[Age]]&gt;=30,Employee__2[[#This Row],[Gender]]="Male"),"Mached","Not mached")</f>
        <v>Not mached</v>
      </c>
    </row>
    <row r="480" spans="4:16" x14ac:dyDescent="0.25">
      <c r="D480" s="6" t="s">
        <v>41</v>
      </c>
      <c r="E480">
        <v>2012</v>
      </c>
      <c r="F480" s="6" t="s">
        <v>38</v>
      </c>
      <c r="G480">
        <v>3</v>
      </c>
      <c r="H480">
        <v>27</v>
      </c>
      <c r="I480" s="6" t="s">
        <v>39</v>
      </c>
      <c r="J480" s="6" t="s">
        <v>37</v>
      </c>
      <c r="K480">
        <v>5</v>
      </c>
      <c r="M480" s="1" t="b">
        <f>Employee__2[[#This Row],[Experience]]&gt;1</f>
        <v>1</v>
      </c>
      <c r="N480" s="1" t="str">
        <f>IF(Employee__2[[#This Row],[City]]="Pune","Yes","No")</f>
        <v>Yes</v>
      </c>
      <c r="O480" s="1" t="str">
        <f>IF(AND(Employee__2[[#This Row],[Education]]="Bachelors",Employee__2[[#This Row],[City]]="Pune"),"Yes","No")</f>
        <v>No</v>
      </c>
      <c r="P480" s="1" t="str">
        <f>IF(OR(Employee__2[[#This Row],[Age]]&gt;=30,Employee__2[[#This Row],[Gender]]="Male"),"Mached","Not mached")</f>
        <v>Not mached</v>
      </c>
    </row>
    <row r="481" spans="4:16" x14ac:dyDescent="0.25">
      <c r="D481" s="6" t="s">
        <v>41</v>
      </c>
      <c r="E481">
        <v>2017</v>
      </c>
      <c r="F481" s="6" t="s">
        <v>38</v>
      </c>
      <c r="G481">
        <v>3</v>
      </c>
      <c r="H481">
        <v>25</v>
      </c>
      <c r="I481" s="6" t="s">
        <v>39</v>
      </c>
      <c r="J481" s="6" t="s">
        <v>42</v>
      </c>
      <c r="K481">
        <v>3</v>
      </c>
      <c r="M481" s="1" t="b">
        <f>Employee__2[[#This Row],[Experience]]&gt;1</f>
        <v>1</v>
      </c>
      <c r="N481" s="1" t="str">
        <f>IF(Employee__2[[#This Row],[City]]="Pune","Yes","No")</f>
        <v>Yes</v>
      </c>
      <c r="O481" s="1" t="str">
        <f>IF(AND(Employee__2[[#This Row],[Education]]="Bachelors",Employee__2[[#This Row],[City]]="Pune"),"Yes","No")</f>
        <v>No</v>
      </c>
      <c r="P481" s="1" t="str">
        <f>IF(OR(Employee__2[[#This Row],[Age]]&gt;=30,Employee__2[[#This Row],[Gender]]="Male"),"Mached","Not mached")</f>
        <v>Not mached</v>
      </c>
    </row>
    <row r="482" spans="4:16" x14ac:dyDescent="0.25">
      <c r="D482" s="6" t="s">
        <v>41</v>
      </c>
      <c r="E482">
        <v>2013</v>
      </c>
      <c r="F482" s="6" t="s">
        <v>40</v>
      </c>
      <c r="G482">
        <v>2</v>
      </c>
      <c r="H482">
        <v>25</v>
      </c>
      <c r="I482" s="6" t="s">
        <v>36</v>
      </c>
      <c r="J482" s="6" t="s">
        <v>37</v>
      </c>
      <c r="K482">
        <v>3</v>
      </c>
      <c r="M482" s="1" t="b">
        <f>Employee__2[[#This Row],[Experience]]&gt;1</f>
        <v>1</v>
      </c>
      <c r="N482" s="1" t="str">
        <f>IF(Employee__2[[#This Row],[City]]="Pune","Yes","No")</f>
        <v>No</v>
      </c>
      <c r="O482" s="1" t="str">
        <f>IF(AND(Employee__2[[#This Row],[Education]]="Bachelors",Employee__2[[#This Row],[City]]="Pune"),"Yes","No")</f>
        <v>No</v>
      </c>
      <c r="P482" s="1" t="str">
        <f>IF(OR(Employee__2[[#This Row],[Age]]&gt;=30,Employee__2[[#This Row],[Gender]]="Male"),"Mached","Not mached")</f>
        <v>Mached</v>
      </c>
    </row>
    <row r="483" spans="4:16" x14ac:dyDescent="0.25">
      <c r="D483" s="6" t="s">
        <v>41</v>
      </c>
      <c r="E483">
        <v>2017</v>
      </c>
      <c r="F483" s="6" t="s">
        <v>40</v>
      </c>
      <c r="G483">
        <v>2</v>
      </c>
      <c r="H483">
        <v>27</v>
      </c>
      <c r="I483" s="6" t="s">
        <v>36</v>
      </c>
      <c r="J483" s="6" t="s">
        <v>37</v>
      </c>
      <c r="K483">
        <v>5</v>
      </c>
      <c r="M483" s="1" t="b">
        <f>Employee__2[[#This Row],[Experience]]&gt;1</f>
        <v>1</v>
      </c>
      <c r="N483" s="1" t="str">
        <f>IF(Employee__2[[#This Row],[City]]="Pune","Yes","No")</f>
        <v>No</v>
      </c>
      <c r="O483" s="1" t="str">
        <f>IF(AND(Employee__2[[#This Row],[Education]]="Bachelors",Employee__2[[#This Row],[City]]="Pune"),"Yes","No")</f>
        <v>No</v>
      </c>
      <c r="P483" s="1" t="str">
        <f>IF(OR(Employee__2[[#This Row],[Age]]&gt;=30,Employee__2[[#This Row],[Gender]]="Male"),"Mached","Not mached")</f>
        <v>Mached</v>
      </c>
    </row>
    <row r="484" spans="4:16" x14ac:dyDescent="0.25">
      <c r="D484" s="6" t="s">
        <v>34</v>
      </c>
      <c r="E484">
        <v>2017</v>
      </c>
      <c r="F484" s="6" t="s">
        <v>35</v>
      </c>
      <c r="G484">
        <v>3</v>
      </c>
      <c r="H484">
        <v>24</v>
      </c>
      <c r="I484" s="6" t="s">
        <v>36</v>
      </c>
      <c r="J484" s="6" t="s">
        <v>37</v>
      </c>
      <c r="K484">
        <v>2</v>
      </c>
      <c r="M484" s="1" t="b">
        <f>Employee__2[[#This Row],[Experience]]&gt;1</f>
        <v>1</v>
      </c>
      <c r="N484" s="1" t="str">
        <f>IF(Employee__2[[#This Row],[City]]="Pune","Yes","No")</f>
        <v>No</v>
      </c>
      <c r="O484" s="1" t="str">
        <f>IF(AND(Employee__2[[#This Row],[Education]]="Bachelors",Employee__2[[#This Row],[City]]="Pune"),"Yes","No")</f>
        <v>No</v>
      </c>
      <c r="P484" s="1" t="str">
        <f>IF(OR(Employee__2[[#This Row],[Age]]&gt;=30,Employee__2[[#This Row],[Gender]]="Male"),"Mached","Not mached")</f>
        <v>Mached</v>
      </c>
    </row>
    <row r="485" spans="4:16" x14ac:dyDescent="0.25">
      <c r="D485" s="6" t="s">
        <v>34</v>
      </c>
      <c r="E485">
        <v>2016</v>
      </c>
      <c r="F485" s="6" t="s">
        <v>38</v>
      </c>
      <c r="G485">
        <v>2</v>
      </c>
      <c r="H485">
        <v>24</v>
      </c>
      <c r="I485" s="6" t="s">
        <v>39</v>
      </c>
      <c r="J485" s="6" t="s">
        <v>37</v>
      </c>
      <c r="K485">
        <v>2</v>
      </c>
      <c r="M485" s="1" t="b">
        <f>Employee__2[[#This Row],[Experience]]&gt;1</f>
        <v>1</v>
      </c>
      <c r="N485" s="1" t="str">
        <f>IF(Employee__2[[#This Row],[City]]="Pune","Yes","No")</f>
        <v>Yes</v>
      </c>
      <c r="O485" s="1" t="str">
        <f>IF(AND(Employee__2[[#This Row],[Education]]="Bachelors",Employee__2[[#This Row],[City]]="Pune"),"Yes","No")</f>
        <v>Yes</v>
      </c>
      <c r="P485" s="1" t="str">
        <f>IF(OR(Employee__2[[#This Row],[Age]]&gt;=30,Employee__2[[#This Row],[Gender]]="Male"),"Mached","Not mached")</f>
        <v>Not mached</v>
      </c>
    </row>
    <row r="486" spans="4:16" x14ac:dyDescent="0.25">
      <c r="D486" s="6" t="s">
        <v>34</v>
      </c>
      <c r="E486">
        <v>2012</v>
      </c>
      <c r="F486" s="6" t="s">
        <v>35</v>
      </c>
      <c r="G486">
        <v>3</v>
      </c>
      <c r="H486">
        <v>26</v>
      </c>
      <c r="I486" s="6" t="s">
        <v>39</v>
      </c>
      <c r="J486" s="6" t="s">
        <v>37</v>
      </c>
      <c r="K486">
        <v>4</v>
      </c>
      <c r="M486" s="1" t="b">
        <f>Employee__2[[#This Row],[Experience]]&gt;1</f>
        <v>1</v>
      </c>
      <c r="N486" s="1" t="str">
        <f>IF(Employee__2[[#This Row],[City]]="Pune","Yes","No")</f>
        <v>No</v>
      </c>
      <c r="O486" s="1" t="str">
        <f>IF(AND(Employee__2[[#This Row],[Education]]="Bachelors",Employee__2[[#This Row],[City]]="Pune"),"Yes","No")</f>
        <v>No</v>
      </c>
      <c r="P486" s="1" t="str">
        <f>IF(OR(Employee__2[[#This Row],[Age]]&gt;=30,Employee__2[[#This Row],[Gender]]="Male"),"Mached","Not mached")</f>
        <v>Not mached</v>
      </c>
    </row>
    <row r="487" spans="4:16" x14ac:dyDescent="0.25">
      <c r="D487" s="6" t="s">
        <v>34</v>
      </c>
      <c r="E487">
        <v>2012</v>
      </c>
      <c r="F487" s="6" t="s">
        <v>35</v>
      </c>
      <c r="G487">
        <v>3</v>
      </c>
      <c r="H487">
        <v>24</v>
      </c>
      <c r="I487" s="6" t="s">
        <v>36</v>
      </c>
      <c r="J487" s="6" t="s">
        <v>37</v>
      </c>
      <c r="K487">
        <v>2</v>
      </c>
      <c r="M487" s="1" t="b">
        <f>Employee__2[[#This Row],[Experience]]&gt;1</f>
        <v>1</v>
      </c>
      <c r="N487" s="1" t="str">
        <f>IF(Employee__2[[#This Row],[City]]="Pune","Yes","No")</f>
        <v>No</v>
      </c>
      <c r="O487" s="1" t="str">
        <f>IF(AND(Employee__2[[#This Row],[Education]]="Bachelors",Employee__2[[#This Row],[City]]="Pune"),"Yes","No")</f>
        <v>No</v>
      </c>
      <c r="P487" s="1" t="str">
        <f>IF(OR(Employee__2[[#This Row],[Age]]&gt;=30,Employee__2[[#This Row],[Gender]]="Male"),"Mached","Not mached")</f>
        <v>Mached</v>
      </c>
    </row>
    <row r="488" spans="4:16" x14ac:dyDescent="0.25">
      <c r="D488" s="6" t="s">
        <v>41</v>
      </c>
      <c r="E488">
        <v>2017</v>
      </c>
      <c r="F488" s="6" t="s">
        <v>38</v>
      </c>
      <c r="G488">
        <v>2</v>
      </c>
      <c r="H488">
        <v>24</v>
      </c>
      <c r="I488" s="6" t="s">
        <v>36</v>
      </c>
      <c r="J488" s="6" t="s">
        <v>37</v>
      </c>
      <c r="K488">
        <v>2</v>
      </c>
      <c r="M488" s="1" t="b">
        <f>Employee__2[[#This Row],[Experience]]&gt;1</f>
        <v>1</v>
      </c>
      <c r="N488" s="1" t="str">
        <f>IF(Employee__2[[#This Row],[City]]="Pune","Yes","No")</f>
        <v>Yes</v>
      </c>
      <c r="O488" s="1" t="str">
        <f>IF(AND(Employee__2[[#This Row],[Education]]="Bachelors",Employee__2[[#This Row],[City]]="Pune"),"Yes","No")</f>
        <v>No</v>
      </c>
      <c r="P488" s="1" t="str">
        <f>IF(OR(Employee__2[[#This Row],[Age]]&gt;=30,Employee__2[[#This Row],[Gender]]="Male"),"Mached","Not mached")</f>
        <v>Mached</v>
      </c>
    </row>
    <row r="489" spans="4:16" x14ac:dyDescent="0.25">
      <c r="D489" s="6" t="s">
        <v>34</v>
      </c>
      <c r="E489">
        <v>2015</v>
      </c>
      <c r="F489" s="6" t="s">
        <v>38</v>
      </c>
      <c r="G489">
        <v>2</v>
      </c>
      <c r="H489">
        <v>25</v>
      </c>
      <c r="I489" s="6" t="s">
        <v>39</v>
      </c>
      <c r="J489" s="6" t="s">
        <v>42</v>
      </c>
      <c r="K489">
        <v>3</v>
      </c>
      <c r="M489" s="1" t="b">
        <f>Employee__2[[#This Row],[Experience]]&gt;1</f>
        <v>1</v>
      </c>
      <c r="N489" s="1" t="str">
        <f>IF(Employee__2[[#This Row],[City]]="Pune","Yes","No")</f>
        <v>Yes</v>
      </c>
      <c r="O489" s="1" t="str">
        <f>IF(AND(Employee__2[[#This Row],[Education]]="Bachelors",Employee__2[[#This Row],[City]]="Pune"),"Yes","No")</f>
        <v>Yes</v>
      </c>
      <c r="P489" s="1" t="str">
        <f>IF(OR(Employee__2[[#This Row],[Age]]&gt;=30,Employee__2[[#This Row],[Gender]]="Male"),"Mached","Not mached")</f>
        <v>Not mached</v>
      </c>
    </row>
    <row r="490" spans="4:16" x14ac:dyDescent="0.25">
      <c r="D490" s="6" t="s">
        <v>34</v>
      </c>
      <c r="E490">
        <v>2015</v>
      </c>
      <c r="F490" s="6" t="s">
        <v>40</v>
      </c>
      <c r="G490">
        <v>3</v>
      </c>
      <c r="H490">
        <v>26</v>
      </c>
      <c r="I490" s="6" t="s">
        <v>39</v>
      </c>
      <c r="J490" s="6" t="s">
        <v>42</v>
      </c>
      <c r="K490">
        <v>4</v>
      </c>
      <c r="M490" s="1" t="b">
        <f>Employee__2[[#This Row],[Experience]]&gt;1</f>
        <v>1</v>
      </c>
      <c r="N490" s="1" t="str">
        <f>IF(Employee__2[[#This Row],[City]]="Pune","Yes","No")</f>
        <v>No</v>
      </c>
      <c r="O490" s="1" t="str">
        <f>IF(AND(Employee__2[[#This Row],[Education]]="Bachelors",Employee__2[[#This Row],[City]]="Pune"),"Yes","No")</f>
        <v>No</v>
      </c>
      <c r="P490" s="1" t="str">
        <f>IF(OR(Employee__2[[#This Row],[Age]]&gt;=30,Employee__2[[#This Row],[Gender]]="Male"),"Mached","Not mached")</f>
        <v>Not mached</v>
      </c>
    </row>
    <row r="491" spans="4:16" x14ac:dyDescent="0.25">
      <c r="D491" s="6" t="s">
        <v>34</v>
      </c>
      <c r="E491">
        <v>2013</v>
      </c>
      <c r="F491" s="6" t="s">
        <v>38</v>
      </c>
      <c r="G491">
        <v>2</v>
      </c>
      <c r="H491">
        <v>24</v>
      </c>
      <c r="I491" s="6" t="s">
        <v>36</v>
      </c>
      <c r="J491" s="6" t="s">
        <v>42</v>
      </c>
      <c r="K491">
        <v>2</v>
      </c>
      <c r="M491" s="1" t="b">
        <f>Employee__2[[#This Row],[Experience]]&gt;1</f>
        <v>1</v>
      </c>
      <c r="N491" s="1" t="str">
        <f>IF(Employee__2[[#This Row],[City]]="Pune","Yes","No")</f>
        <v>Yes</v>
      </c>
      <c r="O491" s="1" t="str">
        <f>IF(AND(Employee__2[[#This Row],[Education]]="Bachelors",Employee__2[[#This Row],[City]]="Pune"),"Yes","No")</f>
        <v>Yes</v>
      </c>
      <c r="P491" s="1" t="str">
        <f>IF(OR(Employee__2[[#This Row],[Age]]&gt;=30,Employee__2[[#This Row],[Gender]]="Male"),"Mached","Not mached")</f>
        <v>Mached</v>
      </c>
    </row>
    <row r="492" spans="4:16" x14ac:dyDescent="0.25">
      <c r="D492" s="6" t="s">
        <v>34</v>
      </c>
      <c r="E492">
        <v>2013</v>
      </c>
      <c r="F492" s="6" t="s">
        <v>38</v>
      </c>
      <c r="G492">
        <v>3</v>
      </c>
      <c r="H492">
        <v>25</v>
      </c>
      <c r="I492" s="6" t="s">
        <v>36</v>
      </c>
      <c r="J492" s="6" t="s">
        <v>37</v>
      </c>
      <c r="K492">
        <v>3</v>
      </c>
      <c r="M492" s="1" t="b">
        <f>Employee__2[[#This Row],[Experience]]&gt;1</f>
        <v>1</v>
      </c>
      <c r="N492" s="1" t="str">
        <f>IF(Employee__2[[#This Row],[City]]="Pune","Yes","No")</f>
        <v>Yes</v>
      </c>
      <c r="O492" s="1" t="str">
        <f>IF(AND(Employee__2[[#This Row],[Education]]="Bachelors",Employee__2[[#This Row],[City]]="Pune"),"Yes","No")</f>
        <v>Yes</v>
      </c>
      <c r="P492" s="1" t="str">
        <f>IF(OR(Employee__2[[#This Row],[Age]]&gt;=30,Employee__2[[#This Row],[Gender]]="Male"),"Mached","Not mached")</f>
        <v>Mached</v>
      </c>
    </row>
    <row r="493" spans="4:16" x14ac:dyDescent="0.25">
      <c r="D493" s="6" t="s">
        <v>43</v>
      </c>
      <c r="E493">
        <v>2015</v>
      </c>
      <c r="F493" s="6" t="s">
        <v>40</v>
      </c>
      <c r="G493">
        <v>2</v>
      </c>
      <c r="H493">
        <v>28</v>
      </c>
      <c r="I493" s="6" t="s">
        <v>39</v>
      </c>
      <c r="J493" s="6" t="s">
        <v>37</v>
      </c>
      <c r="K493">
        <v>1</v>
      </c>
      <c r="M493" s="1" t="b">
        <f>Employee__2[[#This Row],[Experience]]&gt;1</f>
        <v>0</v>
      </c>
      <c r="N493" s="1" t="str">
        <f>IF(Employee__2[[#This Row],[City]]="Pune","Yes","No")</f>
        <v>No</v>
      </c>
      <c r="O493" s="1" t="str">
        <f>IF(AND(Employee__2[[#This Row],[Education]]="Bachelors",Employee__2[[#This Row],[City]]="Pune"),"Yes","No")</f>
        <v>No</v>
      </c>
      <c r="P493" s="1" t="str">
        <f>IF(OR(Employee__2[[#This Row],[Age]]&gt;=30,Employee__2[[#This Row],[Gender]]="Male"),"Mached","Not mached")</f>
        <v>Not mached</v>
      </c>
    </row>
    <row r="494" spans="4:16" x14ac:dyDescent="0.25">
      <c r="D494" s="6" t="s">
        <v>34</v>
      </c>
      <c r="E494">
        <v>2016</v>
      </c>
      <c r="F494" s="6" t="s">
        <v>38</v>
      </c>
      <c r="G494">
        <v>3</v>
      </c>
      <c r="H494">
        <v>24</v>
      </c>
      <c r="I494" s="6" t="s">
        <v>36</v>
      </c>
      <c r="J494" s="6" t="s">
        <v>37</v>
      </c>
      <c r="K494">
        <v>2</v>
      </c>
      <c r="M494" s="1" t="b">
        <f>Employee__2[[#This Row],[Experience]]&gt;1</f>
        <v>1</v>
      </c>
      <c r="N494" s="1" t="str">
        <f>IF(Employee__2[[#This Row],[City]]="Pune","Yes","No")</f>
        <v>Yes</v>
      </c>
      <c r="O494" s="1" t="str">
        <f>IF(AND(Employee__2[[#This Row],[Education]]="Bachelors",Employee__2[[#This Row],[City]]="Pune"),"Yes","No")</f>
        <v>Yes</v>
      </c>
      <c r="P494" s="1" t="str">
        <f>IF(OR(Employee__2[[#This Row],[Age]]&gt;=30,Employee__2[[#This Row],[Gender]]="Male"),"Mached","Not mached")</f>
        <v>Mached</v>
      </c>
    </row>
    <row r="495" spans="4:16" x14ac:dyDescent="0.25">
      <c r="D495" s="6" t="s">
        <v>34</v>
      </c>
      <c r="E495">
        <v>2017</v>
      </c>
      <c r="F495" s="6" t="s">
        <v>35</v>
      </c>
      <c r="G495">
        <v>3</v>
      </c>
      <c r="H495">
        <v>24</v>
      </c>
      <c r="I495" s="6" t="s">
        <v>39</v>
      </c>
      <c r="J495" s="6" t="s">
        <v>37</v>
      </c>
      <c r="K495">
        <v>2</v>
      </c>
      <c r="M495" s="1" t="b">
        <f>Employee__2[[#This Row],[Experience]]&gt;1</f>
        <v>1</v>
      </c>
      <c r="N495" s="1" t="str">
        <f>IF(Employee__2[[#This Row],[City]]="Pune","Yes","No")</f>
        <v>No</v>
      </c>
      <c r="O495" s="1" t="str">
        <f>IF(AND(Employee__2[[#This Row],[Education]]="Bachelors",Employee__2[[#This Row],[City]]="Pune"),"Yes","No")</f>
        <v>No</v>
      </c>
      <c r="P495" s="1" t="str">
        <f>IF(OR(Employee__2[[#This Row],[Age]]&gt;=30,Employee__2[[#This Row],[Gender]]="Male"),"Mached","Not mached")</f>
        <v>Not mached</v>
      </c>
    </row>
    <row r="496" spans="4:16" x14ac:dyDescent="0.25">
      <c r="D496" s="6" t="s">
        <v>34</v>
      </c>
      <c r="E496">
        <v>2016</v>
      </c>
      <c r="F496" s="6" t="s">
        <v>35</v>
      </c>
      <c r="G496">
        <v>3</v>
      </c>
      <c r="H496">
        <v>27</v>
      </c>
      <c r="I496" s="6" t="s">
        <v>36</v>
      </c>
      <c r="J496" s="6" t="s">
        <v>37</v>
      </c>
      <c r="K496">
        <v>5</v>
      </c>
      <c r="M496" s="1" t="b">
        <f>Employee__2[[#This Row],[Experience]]&gt;1</f>
        <v>1</v>
      </c>
      <c r="N496" s="1" t="str">
        <f>IF(Employee__2[[#This Row],[City]]="Pune","Yes","No")</f>
        <v>No</v>
      </c>
      <c r="O496" s="1" t="str">
        <f>IF(AND(Employee__2[[#This Row],[Education]]="Bachelors",Employee__2[[#This Row],[City]]="Pune"),"Yes","No")</f>
        <v>No</v>
      </c>
      <c r="P496" s="1" t="str">
        <f>IF(OR(Employee__2[[#This Row],[Age]]&gt;=30,Employee__2[[#This Row],[Gender]]="Male"),"Mached","Not mached")</f>
        <v>Mached</v>
      </c>
    </row>
    <row r="497" spans="4:16" x14ac:dyDescent="0.25">
      <c r="D497" s="6" t="s">
        <v>34</v>
      </c>
      <c r="E497">
        <v>2017</v>
      </c>
      <c r="F497" s="6" t="s">
        <v>35</v>
      </c>
      <c r="G497">
        <v>3</v>
      </c>
      <c r="H497">
        <v>25</v>
      </c>
      <c r="I497" s="6" t="s">
        <v>39</v>
      </c>
      <c r="J497" s="6" t="s">
        <v>37</v>
      </c>
      <c r="K497">
        <v>3</v>
      </c>
      <c r="M497" s="1" t="b">
        <f>Employee__2[[#This Row],[Experience]]&gt;1</f>
        <v>1</v>
      </c>
      <c r="N497" s="1" t="str">
        <f>IF(Employee__2[[#This Row],[City]]="Pune","Yes","No")</f>
        <v>No</v>
      </c>
      <c r="O497" s="1" t="str">
        <f>IF(AND(Employee__2[[#This Row],[Education]]="Bachelors",Employee__2[[#This Row],[City]]="Pune"),"Yes","No")</f>
        <v>No</v>
      </c>
      <c r="P497" s="1" t="str">
        <f>IF(OR(Employee__2[[#This Row],[Age]]&gt;=30,Employee__2[[#This Row],[Gender]]="Male"),"Mached","Not mached")</f>
        <v>Not mached</v>
      </c>
    </row>
    <row r="498" spans="4:16" x14ac:dyDescent="0.25">
      <c r="D498" s="6" t="s">
        <v>41</v>
      </c>
      <c r="E498">
        <v>2014</v>
      </c>
      <c r="F498" s="6" t="s">
        <v>40</v>
      </c>
      <c r="G498">
        <v>3</v>
      </c>
      <c r="H498">
        <v>27</v>
      </c>
      <c r="I498" s="6" t="s">
        <v>36</v>
      </c>
      <c r="J498" s="6" t="s">
        <v>37</v>
      </c>
      <c r="K498">
        <v>5</v>
      </c>
      <c r="M498" s="1" t="b">
        <f>Employee__2[[#This Row],[Experience]]&gt;1</f>
        <v>1</v>
      </c>
      <c r="N498" s="1" t="str">
        <f>IF(Employee__2[[#This Row],[City]]="Pune","Yes","No")</f>
        <v>No</v>
      </c>
      <c r="O498" s="1" t="str">
        <f>IF(AND(Employee__2[[#This Row],[Education]]="Bachelors",Employee__2[[#This Row],[City]]="Pune"),"Yes","No")</f>
        <v>No</v>
      </c>
      <c r="P498" s="1" t="str">
        <f>IF(OR(Employee__2[[#This Row],[Age]]&gt;=30,Employee__2[[#This Row],[Gender]]="Male"),"Mached","Not mached")</f>
        <v>Mached</v>
      </c>
    </row>
    <row r="499" spans="4:16" x14ac:dyDescent="0.25">
      <c r="D499" s="6" t="s">
        <v>34</v>
      </c>
      <c r="E499">
        <v>2016</v>
      </c>
      <c r="F499" s="6" t="s">
        <v>35</v>
      </c>
      <c r="G499">
        <v>3</v>
      </c>
      <c r="H499">
        <v>27</v>
      </c>
      <c r="I499" s="6" t="s">
        <v>36</v>
      </c>
      <c r="J499" s="6" t="s">
        <v>37</v>
      </c>
      <c r="K499">
        <v>5</v>
      </c>
      <c r="M499" s="1" t="b">
        <f>Employee__2[[#This Row],[Experience]]&gt;1</f>
        <v>1</v>
      </c>
      <c r="N499" s="1" t="str">
        <f>IF(Employee__2[[#This Row],[City]]="Pune","Yes","No")</f>
        <v>No</v>
      </c>
      <c r="O499" s="1" t="str">
        <f>IF(AND(Employee__2[[#This Row],[Education]]="Bachelors",Employee__2[[#This Row],[City]]="Pune"),"Yes","No")</f>
        <v>No</v>
      </c>
      <c r="P499" s="1" t="str">
        <f>IF(OR(Employee__2[[#This Row],[Age]]&gt;=30,Employee__2[[#This Row],[Gender]]="Male"),"Mached","Not mached")</f>
        <v>Mached</v>
      </c>
    </row>
    <row r="500" spans="4:16" x14ac:dyDescent="0.25">
      <c r="D500" s="6" t="s">
        <v>34</v>
      </c>
      <c r="E500">
        <v>2016</v>
      </c>
      <c r="F500" s="6" t="s">
        <v>35</v>
      </c>
      <c r="G500">
        <v>3</v>
      </c>
      <c r="H500">
        <v>28</v>
      </c>
      <c r="I500" s="6" t="s">
        <v>39</v>
      </c>
      <c r="J500" s="6" t="s">
        <v>37</v>
      </c>
      <c r="K500">
        <v>3</v>
      </c>
      <c r="M500" s="1" t="b">
        <f>Employee__2[[#This Row],[Experience]]&gt;1</f>
        <v>1</v>
      </c>
      <c r="N500" s="1" t="str">
        <f>IF(Employee__2[[#This Row],[City]]="Pune","Yes","No")</f>
        <v>No</v>
      </c>
      <c r="O500" s="1" t="str">
        <f>IF(AND(Employee__2[[#This Row],[Education]]="Bachelors",Employee__2[[#This Row],[City]]="Pune"),"Yes","No")</f>
        <v>No</v>
      </c>
      <c r="P500" s="1" t="str">
        <f>IF(OR(Employee__2[[#This Row],[Age]]&gt;=30,Employee__2[[#This Row],[Gender]]="Male"),"Mached","Not mached")</f>
        <v>Not mached</v>
      </c>
    </row>
    <row r="501" spans="4:16" x14ac:dyDescent="0.25">
      <c r="D501" s="6" t="s">
        <v>34</v>
      </c>
      <c r="E501">
        <v>2018</v>
      </c>
      <c r="F501" s="6" t="s">
        <v>38</v>
      </c>
      <c r="G501">
        <v>3</v>
      </c>
      <c r="H501">
        <v>25</v>
      </c>
      <c r="I501" s="6" t="s">
        <v>36</v>
      </c>
      <c r="J501" s="6" t="s">
        <v>37</v>
      </c>
      <c r="K501">
        <v>3</v>
      </c>
      <c r="M501" s="1" t="b">
        <f>Employee__2[[#This Row],[Experience]]&gt;1</f>
        <v>1</v>
      </c>
      <c r="N501" s="1" t="str">
        <f>IF(Employee__2[[#This Row],[City]]="Pune","Yes","No")</f>
        <v>Yes</v>
      </c>
      <c r="O501" s="1" t="str">
        <f>IF(AND(Employee__2[[#This Row],[Education]]="Bachelors",Employee__2[[#This Row],[City]]="Pune"),"Yes","No")</f>
        <v>Yes</v>
      </c>
      <c r="P501" s="1" t="str">
        <f>IF(OR(Employee__2[[#This Row],[Age]]&gt;=30,Employee__2[[#This Row],[Gender]]="Male"),"Mached","Not mached")</f>
        <v>Mached</v>
      </c>
    </row>
    <row r="502" spans="4:16" x14ac:dyDescent="0.25">
      <c r="D502" s="6" t="s">
        <v>34</v>
      </c>
      <c r="E502">
        <v>2013</v>
      </c>
      <c r="F502" s="6" t="s">
        <v>35</v>
      </c>
      <c r="G502">
        <v>3</v>
      </c>
      <c r="H502">
        <v>26</v>
      </c>
      <c r="I502" s="6" t="s">
        <v>36</v>
      </c>
      <c r="J502" s="6" t="s">
        <v>42</v>
      </c>
      <c r="K502">
        <v>4</v>
      </c>
      <c r="M502" s="1" t="b">
        <f>Employee__2[[#This Row],[Experience]]&gt;1</f>
        <v>1</v>
      </c>
      <c r="N502" s="1" t="str">
        <f>IF(Employee__2[[#This Row],[City]]="Pune","Yes","No")</f>
        <v>No</v>
      </c>
      <c r="O502" s="1" t="str">
        <f>IF(AND(Employee__2[[#This Row],[Education]]="Bachelors",Employee__2[[#This Row],[City]]="Pune"),"Yes","No")</f>
        <v>No</v>
      </c>
      <c r="P502" s="1" t="str">
        <f>IF(OR(Employee__2[[#This Row],[Age]]&gt;=30,Employee__2[[#This Row],[Gender]]="Male"),"Mached","Not mached")</f>
        <v>Mached</v>
      </c>
    </row>
    <row r="503" spans="4:16" x14ac:dyDescent="0.25">
      <c r="D503" s="6" t="s">
        <v>34</v>
      </c>
      <c r="E503">
        <v>2015</v>
      </c>
      <c r="F503" s="6" t="s">
        <v>40</v>
      </c>
      <c r="G503">
        <v>3</v>
      </c>
      <c r="H503">
        <v>25</v>
      </c>
      <c r="I503" s="6" t="s">
        <v>36</v>
      </c>
      <c r="J503" s="6" t="s">
        <v>37</v>
      </c>
      <c r="K503">
        <v>3</v>
      </c>
      <c r="M503" s="1" t="b">
        <f>Employee__2[[#This Row],[Experience]]&gt;1</f>
        <v>1</v>
      </c>
      <c r="N503" s="1" t="str">
        <f>IF(Employee__2[[#This Row],[City]]="Pune","Yes","No")</f>
        <v>No</v>
      </c>
      <c r="O503" s="1" t="str">
        <f>IF(AND(Employee__2[[#This Row],[Education]]="Bachelors",Employee__2[[#This Row],[City]]="Pune"),"Yes","No")</f>
        <v>No</v>
      </c>
      <c r="P503" s="1" t="str">
        <f>IF(OR(Employee__2[[#This Row],[Age]]&gt;=30,Employee__2[[#This Row],[Gender]]="Male"),"Mached","Not mached")</f>
        <v>Mached</v>
      </c>
    </row>
    <row r="504" spans="4:16" x14ac:dyDescent="0.25">
      <c r="D504" s="6" t="s">
        <v>34</v>
      </c>
      <c r="E504">
        <v>2017</v>
      </c>
      <c r="F504" s="6" t="s">
        <v>40</v>
      </c>
      <c r="G504">
        <v>2</v>
      </c>
      <c r="H504">
        <v>25</v>
      </c>
      <c r="I504" s="6" t="s">
        <v>39</v>
      </c>
      <c r="J504" s="6" t="s">
        <v>37</v>
      </c>
      <c r="K504">
        <v>3</v>
      </c>
      <c r="M504" s="1" t="b">
        <f>Employee__2[[#This Row],[Experience]]&gt;1</f>
        <v>1</v>
      </c>
      <c r="N504" s="1" t="str">
        <f>IF(Employee__2[[#This Row],[City]]="Pune","Yes","No")</f>
        <v>No</v>
      </c>
      <c r="O504" s="1" t="str">
        <f>IF(AND(Employee__2[[#This Row],[Education]]="Bachelors",Employee__2[[#This Row],[City]]="Pune"),"Yes","No")</f>
        <v>No</v>
      </c>
      <c r="P504" s="1" t="str">
        <f>IF(OR(Employee__2[[#This Row],[Age]]&gt;=30,Employee__2[[#This Row],[Gender]]="Male"),"Mached","Not mached")</f>
        <v>Not mached</v>
      </c>
    </row>
    <row r="505" spans="4:16" x14ac:dyDescent="0.25">
      <c r="D505" s="6" t="s">
        <v>34</v>
      </c>
      <c r="E505">
        <v>2012</v>
      </c>
      <c r="F505" s="6" t="s">
        <v>35</v>
      </c>
      <c r="G505">
        <v>3</v>
      </c>
      <c r="H505">
        <v>25</v>
      </c>
      <c r="I505" s="6" t="s">
        <v>36</v>
      </c>
      <c r="J505" s="6" t="s">
        <v>42</v>
      </c>
      <c r="K505">
        <v>3</v>
      </c>
      <c r="M505" s="1" t="b">
        <f>Employee__2[[#This Row],[Experience]]&gt;1</f>
        <v>1</v>
      </c>
      <c r="N505" s="1" t="str">
        <f>IF(Employee__2[[#This Row],[City]]="Pune","Yes","No")</f>
        <v>No</v>
      </c>
      <c r="O505" s="1" t="str">
        <f>IF(AND(Employee__2[[#This Row],[Education]]="Bachelors",Employee__2[[#This Row],[City]]="Pune"),"Yes","No")</f>
        <v>No</v>
      </c>
      <c r="P505" s="1" t="str">
        <f>IF(OR(Employee__2[[#This Row],[Age]]&gt;=30,Employee__2[[#This Row],[Gender]]="Male"),"Mached","Not mached")</f>
        <v>Mached</v>
      </c>
    </row>
    <row r="506" spans="4:16" x14ac:dyDescent="0.25">
      <c r="D506" s="6" t="s">
        <v>34</v>
      </c>
      <c r="E506">
        <v>2014</v>
      </c>
      <c r="F506" s="6" t="s">
        <v>40</v>
      </c>
      <c r="G506">
        <v>3</v>
      </c>
      <c r="H506">
        <v>28</v>
      </c>
      <c r="I506" s="6" t="s">
        <v>39</v>
      </c>
      <c r="J506" s="6" t="s">
        <v>37</v>
      </c>
      <c r="K506">
        <v>2</v>
      </c>
      <c r="M506" s="1" t="b">
        <f>Employee__2[[#This Row],[Experience]]&gt;1</f>
        <v>1</v>
      </c>
      <c r="N506" s="1" t="str">
        <f>IF(Employee__2[[#This Row],[City]]="Pune","Yes","No")</f>
        <v>No</v>
      </c>
      <c r="O506" s="1" t="str">
        <f>IF(AND(Employee__2[[#This Row],[Education]]="Bachelors",Employee__2[[#This Row],[City]]="Pune"),"Yes","No")</f>
        <v>No</v>
      </c>
      <c r="P506" s="1" t="str">
        <f>IF(OR(Employee__2[[#This Row],[Age]]&gt;=30,Employee__2[[#This Row],[Gender]]="Male"),"Mached","Not mached")</f>
        <v>Not mached</v>
      </c>
    </row>
    <row r="507" spans="4:16" x14ac:dyDescent="0.25">
      <c r="D507" s="6" t="s">
        <v>34</v>
      </c>
      <c r="E507">
        <v>2017</v>
      </c>
      <c r="F507" s="6" t="s">
        <v>40</v>
      </c>
      <c r="G507">
        <v>2</v>
      </c>
      <c r="H507">
        <v>27</v>
      </c>
      <c r="I507" s="6" t="s">
        <v>39</v>
      </c>
      <c r="J507" s="6" t="s">
        <v>37</v>
      </c>
      <c r="K507">
        <v>5</v>
      </c>
      <c r="M507" s="1" t="b">
        <f>Employee__2[[#This Row],[Experience]]&gt;1</f>
        <v>1</v>
      </c>
      <c r="N507" s="1" t="str">
        <f>IF(Employee__2[[#This Row],[City]]="Pune","Yes","No")</f>
        <v>No</v>
      </c>
      <c r="O507" s="1" t="str">
        <f>IF(AND(Employee__2[[#This Row],[Education]]="Bachelors",Employee__2[[#This Row],[City]]="Pune"),"Yes","No")</f>
        <v>No</v>
      </c>
      <c r="P507" s="1" t="str">
        <f>IF(OR(Employee__2[[#This Row],[Age]]&gt;=30,Employee__2[[#This Row],[Gender]]="Male"),"Mached","Not mached")</f>
        <v>Not mached</v>
      </c>
    </row>
    <row r="508" spans="4:16" x14ac:dyDescent="0.25">
      <c r="D508" s="6" t="s">
        <v>34</v>
      </c>
      <c r="E508">
        <v>2018</v>
      </c>
      <c r="F508" s="6" t="s">
        <v>38</v>
      </c>
      <c r="G508">
        <v>3</v>
      </c>
      <c r="H508">
        <v>26</v>
      </c>
      <c r="I508" s="6" t="s">
        <v>36</v>
      </c>
      <c r="J508" s="6" t="s">
        <v>37</v>
      </c>
      <c r="K508">
        <v>4</v>
      </c>
      <c r="M508" s="1" t="b">
        <f>Employee__2[[#This Row],[Experience]]&gt;1</f>
        <v>1</v>
      </c>
      <c r="N508" s="1" t="str">
        <f>IF(Employee__2[[#This Row],[City]]="Pune","Yes","No")</f>
        <v>Yes</v>
      </c>
      <c r="O508" s="1" t="str">
        <f>IF(AND(Employee__2[[#This Row],[Education]]="Bachelors",Employee__2[[#This Row],[City]]="Pune"),"Yes","No")</f>
        <v>Yes</v>
      </c>
      <c r="P508" s="1" t="str">
        <f>IF(OR(Employee__2[[#This Row],[Age]]&gt;=30,Employee__2[[#This Row],[Gender]]="Male"),"Mached","Not mached")</f>
        <v>Mached</v>
      </c>
    </row>
    <row r="509" spans="4:16" x14ac:dyDescent="0.25">
      <c r="D509" s="6" t="s">
        <v>41</v>
      </c>
      <c r="E509">
        <v>2014</v>
      </c>
      <c r="F509" s="6" t="s">
        <v>40</v>
      </c>
      <c r="G509">
        <v>3</v>
      </c>
      <c r="H509">
        <v>28</v>
      </c>
      <c r="I509" s="6" t="s">
        <v>36</v>
      </c>
      <c r="J509" s="6" t="s">
        <v>37</v>
      </c>
      <c r="K509">
        <v>2</v>
      </c>
      <c r="M509" s="1" t="b">
        <f>Employee__2[[#This Row],[Experience]]&gt;1</f>
        <v>1</v>
      </c>
      <c r="N509" s="1" t="str">
        <f>IF(Employee__2[[#This Row],[City]]="Pune","Yes","No")</f>
        <v>No</v>
      </c>
      <c r="O509" s="1" t="str">
        <f>IF(AND(Employee__2[[#This Row],[Education]]="Bachelors",Employee__2[[#This Row],[City]]="Pune"),"Yes","No")</f>
        <v>No</v>
      </c>
      <c r="P509" s="1" t="str">
        <f>IF(OR(Employee__2[[#This Row],[Age]]&gt;=30,Employee__2[[#This Row],[Gender]]="Male"),"Mached","Not mached")</f>
        <v>Mached</v>
      </c>
    </row>
    <row r="510" spans="4:16" x14ac:dyDescent="0.25">
      <c r="D510" s="6" t="s">
        <v>34</v>
      </c>
      <c r="E510">
        <v>2013</v>
      </c>
      <c r="F510" s="6" t="s">
        <v>35</v>
      </c>
      <c r="G510">
        <v>3</v>
      </c>
      <c r="H510">
        <v>27</v>
      </c>
      <c r="I510" s="6" t="s">
        <v>36</v>
      </c>
      <c r="J510" s="6" t="s">
        <v>37</v>
      </c>
      <c r="K510">
        <v>5</v>
      </c>
      <c r="M510" s="1" t="b">
        <f>Employee__2[[#This Row],[Experience]]&gt;1</f>
        <v>1</v>
      </c>
      <c r="N510" s="1" t="str">
        <f>IF(Employee__2[[#This Row],[City]]="Pune","Yes","No")</f>
        <v>No</v>
      </c>
      <c r="O510" s="1" t="str">
        <f>IF(AND(Employee__2[[#This Row],[Education]]="Bachelors",Employee__2[[#This Row],[City]]="Pune"),"Yes","No")</f>
        <v>No</v>
      </c>
      <c r="P510" s="1" t="str">
        <f>IF(OR(Employee__2[[#This Row],[Age]]&gt;=30,Employee__2[[#This Row],[Gender]]="Male"),"Mached","Not mached")</f>
        <v>Mached</v>
      </c>
    </row>
    <row r="511" spans="4:16" x14ac:dyDescent="0.25">
      <c r="D511" s="6" t="s">
        <v>41</v>
      </c>
      <c r="E511">
        <v>2017</v>
      </c>
      <c r="F511" s="6" t="s">
        <v>38</v>
      </c>
      <c r="G511">
        <v>3</v>
      </c>
      <c r="H511">
        <v>25</v>
      </c>
      <c r="I511" s="6" t="s">
        <v>36</v>
      </c>
      <c r="J511" s="6" t="s">
        <v>37</v>
      </c>
      <c r="K511">
        <v>3</v>
      </c>
      <c r="M511" s="1" t="b">
        <f>Employee__2[[#This Row],[Experience]]&gt;1</f>
        <v>1</v>
      </c>
      <c r="N511" s="1" t="str">
        <f>IF(Employee__2[[#This Row],[City]]="Pune","Yes","No")</f>
        <v>Yes</v>
      </c>
      <c r="O511" s="1" t="str">
        <f>IF(AND(Employee__2[[#This Row],[Education]]="Bachelors",Employee__2[[#This Row],[City]]="Pune"),"Yes","No")</f>
        <v>No</v>
      </c>
      <c r="P511" s="1" t="str">
        <f>IF(OR(Employee__2[[#This Row],[Age]]&gt;=30,Employee__2[[#This Row],[Gender]]="Male"),"Mached","Not mached")</f>
        <v>Mached</v>
      </c>
    </row>
    <row r="512" spans="4:16" x14ac:dyDescent="0.25">
      <c r="D512" s="6" t="s">
        <v>34</v>
      </c>
      <c r="E512">
        <v>2018</v>
      </c>
      <c r="F512" s="6" t="s">
        <v>35</v>
      </c>
      <c r="G512">
        <v>3</v>
      </c>
      <c r="H512">
        <v>28</v>
      </c>
      <c r="I512" s="6" t="s">
        <v>36</v>
      </c>
      <c r="J512" s="6" t="s">
        <v>37</v>
      </c>
      <c r="K512">
        <v>2</v>
      </c>
      <c r="M512" s="1" t="b">
        <f>Employee__2[[#This Row],[Experience]]&gt;1</f>
        <v>1</v>
      </c>
      <c r="N512" s="1" t="str">
        <f>IF(Employee__2[[#This Row],[City]]="Pune","Yes","No")</f>
        <v>No</v>
      </c>
      <c r="O512" s="1" t="str">
        <f>IF(AND(Employee__2[[#This Row],[Education]]="Bachelors",Employee__2[[#This Row],[City]]="Pune"),"Yes","No")</f>
        <v>No</v>
      </c>
      <c r="P512" s="1" t="str">
        <f>IF(OR(Employee__2[[#This Row],[Age]]&gt;=30,Employee__2[[#This Row],[Gender]]="Male"),"Mached","Not mached")</f>
        <v>Mached</v>
      </c>
    </row>
    <row r="513" spans="4:16" x14ac:dyDescent="0.25">
      <c r="D513" s="6" t="s">
        <v>34</v>
      </c>
      <c r="E513">
        <v>2016</v>
      </c>
      <c r="F513" s="6" t="s">
        <v>35</v>
      </c>
      <c r="G513">
        <v>3</v>
      </c>
      <c r="H513">
        <v>24</v>
      </c>
      <c r="I513" s="6" t="s">
        <v>36</v>
      </c>
      <c r="J513" s="6" t="s">
        <v>37</v>
      </c>
      <c r="K513">
        <v>2</v>
      </c>
      <c r="M513" s="1" t="b">
        <f>Employee__2[[#This Row],[Experience]]&gt;1</f>
        <v>1</v>
      </c>
      <c r="N513" s="1" t="str">
        <f>IF(Employee__2[[#This Row],[City]]="Pune","Yes","No")</f>
        <v>No</v>
      </c>
      <c r="O513" s="1" t="str">
        <f>IF(AND(Employee__2[[#This Row],[Education]]="Bachelors",Employee__2[[#This Row],[City]]="Pune"),"Yes","No")</f>
        <v>No</v>
      </c>
      <c r="P513" s="1" t="str">
        <f>IF(OR(Employee__2[[#This Row],[Age]]&gt;=30,Employee__2[[#This Row],[Gender]]="Male"),"Mached","Not mached")</f>
        <v>Mached</v>
      </c>
    </row>
    <row r="514" spans="4:16" x14ac:dyDescent="0.25">
      <c r="D514" s="6" t="s">
        <v>34</v>
      </c>
      <c r="E514">
        <v>2012</v>
      </c>
      <c r="F514" s="6" t="s">
        <v>35</v>
      </c>
      <c r="G514">
        <v>3</v>
      </c>
      <c r="H514">
        <v>24</v>
      </c>
      <c r="I514" s="6" t="s">
        <v>36</v>
      </c>
      <c r="J514" s="6" t="s">
        <v>42</v>
      </c>
      <c r="K514">
        <v>2</v>
      </c>
      <c r="M514" s="1" t="b">
        <f>Employee__2[[#This Row],[Experience]]&gt;1</f>
        <v>1</v>
      </c>
      <c r="N514" s="1" t="str">
        <f>IF(Employee__2[[#This Row],[City]]="Pune","Yes","No")</f>
        <v>No</v>
      </c>
      <c r="O514" s="1" t="str">
        <f>IF(AND(Employee__2[[#This Row],[Education]]="Bachelors",Employee__2[[#This Row],[City]]="Pune"),"Yes","No")</f>
        <v>No</v>
      </c>
      <c r="P514" s="1" t="str">
        <f>IF(OR(Employee__2[[#This Row],[Age]]&gt;=30,Employee__2[[#This Row],[Gender]]="Male"),"Mached","Not mached")</f>
        <v>Mached</v>
      </c>
    </row>
    <row r="515" spans="4:16" x14ac:dyDescent="0.25">
      <c r="D515" s="6" t="s">
        <v>34</v>
      </c>
      <c r="E515">
        <v>2015</v>
      </c>
      <c r="F515" s="6" t="s">
        <v>35</v>
      </c>
      <c r="G515">
        <v>3</v>
      </c>
      <c r="H515">
        <v>28</v>
      </c>
      <c r="I515" s="6" t="s">
        <v>39</v>
      </c>
      <c r="J515" s="6" t="s">
        <v>37</v>
      </c>
      <c r="K515">
        <v>1</v>
      </c>
      <c r="M515" s="1" t="b">
        <f>Employee__2[[#This Row],[Experience]]&gt;1</f>
        <v>0</v>
      </c>
      <c r="N515" s="1" t="str">
        <f>IF(Employee__2[[#This Row],[City]]="Pune","Yes","No")</f>
        <v>No</v>
      </c>
      <c r="O515" s="1" t="str">
        <f>IF(AND(Employee__2[[#This Row],[Education]]="Bachelors",Employee__2[[#This Row],[City]]="Pune"),"Yes","No")</f>
        <v>No</v>
      </c>
      <c r="P515" s="1" t="str">
        <f>IF(OR(Employee__2[[#This Row],[Age]]&gt;=30,Employee__2[[#This Row],[Gender]]="Male"),"Mached","Not mached")</f>
        <v>Not mached</v>
      </c>
    </row>
    <row r="516" spans="4:16" x14ac:dyDescent="0.25">
      <c r="D516" s="6" t="s">
        <v>34</v>
      </c>
      <c r="E516">
        <v>2014</v>
      </c>
      <c r="F516" s="6" t="s">
        <v>35</v>
      </c>
      <c r="G516">
        <v>3</v>
      </c>
      <c r="H516">
        <v>24</v>
      </c>
      <c r="I516" s="6" t="s">
        <v>36</v>
      </c>
      <c r="J516" s="6" t="s">
        <v>37</v>
      </c>
      <c r="K516">
        <v>2</v>
      </c>
      <c r="M516" s="1" t="b">
        <f>Employee__2[[#This Row],[Experience]]&gt;1</f>
        <v>1</v>
      </c>
      <c r="N516" s="1" t="str">
        <f>IF(Employee__2[[#This Row],[City]]="Pune","Yes","No")</f>
        <v>No</v>
      </c>
      <c r="O516" s="1" t="str">
        <f>IF(AND(Employee__2[[#This Row],[Education]]="Bachelors",Employee__2[[#This Row],[City]]="Pune"),"Yes","No")</f>
        <v>No</v>
      </c>
      <c r="P516" s="1" t="str">
        <f>IF(OR(Employee__2[[#This Row],[Age]]&gt;=30,Employee__2[[#This Row],[Gender]]="Male"),"Mached","Not mached")</f>
        <v>Mached</v>
      </c>
    </row>
    <row r="517" spans="4:16" x14ac:dyDescent="0.25">
      <c r="D517" s="6" t="s">
        <v>34</v>
      </c>
      <c r="E517">
        <v>2013</v>
      </c>
      <c r="F517" s="6" t="s">
        <v>38</v>
      </c>
      <c r="G517">
        <v>3</v>
      </c>
      <c r="H517">
        <v>27</v>
      </c>
      <c r="I517" s="6" t="s">
        <v>36</v>
      </c>
      <c r="J517" s="6" t="s">
        <v>37</v>
      </c>
      <c r="K517">
        <v>5</v>
      </c>
      <c r="M517" s="1" t="b">
        <f>Employee__2[[#This Row],[Experience]]&gt;1</f>
        <v>1</v>
      </c>
      <c r="N517" s="1" t="str">
        <f>IF(Employee__2[[#This Row],[City]]="Pune","Yes","No")</f>
        <v>Yes</v>
      </c>
      <c r="O517" s="1" t="str">
        <f>IF(AND(Employee__2[[#This Row],[Education]]="Bachelors",Employee__2[[#This Row],[City]]="Pune"),"Yes","No")</f>
        <v>Yes</v>
      </c>
      <c r="P517" s="1" t="str">
        <f>IF(OR(Employee__2[[#This Row],[Age]]&gt;=30,Employee__2[[#This Row],[Gender]]="Male"),"Mached","Not mached")</f>
        <v>Mached</v>
      </c>
    </row>
    <row r="518" spans="4:16" x14ac:dyDescent="0.25">
      <c r="D518" s="6" t="s">
        <v>34</v>
      </c>
      <c r="E518">
        <v>2016</v>
      </c>
      <c r="F518" s="6" t="s">
        <v>40</v>
      </c>
      <c r="G518">
        <v>3</v>
      </c>
      <c r="H518">
        <v>24</v>
      </c>
      <c r="I518" s="6" t="s">
        <v>39</v>
      </c>
      <c r="J518" s="6" t="s">
        <v>37</v>
      </c>
      <c r="K518">
        <v>2</v>
      </c>
      <c r="M518" s="1" t="b">
        <f>Employee__2[[#This Row],[Experience]]&gt;1</f>
        <v>1</v>
      </c>
      <c r="N518" s="1" t="str">
        <f>IF(Employee__2[[#This Row],[City]]="Pune","Yes","No")</f>
        <v>No</v>
      </c>
      <c r="O518" s="1" t="str">
        <f>IF(AND(Employee__2[[#This Row],[Education]]="Bachelors",Employee__2[[#This Row],[City]]="Pune"),"Yes","No")</f>
        <v>No</v>
      </c>
      <c r="P518" s="1" t="str">
        <f>IF(OR(Employee__2[[#This Row],[Age]]&gt;=30,Employee__2[[#This Row],[Gender]]="Male"),"Mached","Not mached")</f>
        <v>Not mached</v>
      </c>
    </row>
    <row r="519" spans="4:16" x14ac:dyDescent="0.25">
      <c r="D519" s="6" t="s">
        <v>34</v>
      </c>
      <c r="E519">
        <v>2012</v>
      </c>
      <c r="F519" s="6" t="s">
        <v>35</v>
      </c>
      <c r="G519">
        <v>3</v>
      </c>
      <c r="H519">
        <v>25</v>
      </c>
      <c r="I519" s="6" t="s">
        <v>39</v>
      </c>
      <c r="J519" s="6" t="s">
        <v>37</v>
      </c>
      <c r="K519">
        <v>3</v>
      </c>
      <c r="M519" s="1" t="b">
        <f>Employee__2[[#This Row],[Experience]]&gt;1</f>
        <v>1</v>
      </c>
      <c r="N519" s="1" t="str">
        <f>IF(Employee__2[[#This Row],[City]]="Pune","Yes","No")</f>
        <v>No</v>
      </c>
      <c r="O519" s="1" t="str">
        <f>IF(AND(Employee__2[[#This Row],[Education]]="Bachelors",Employee__2[[#This Row],[City]]="Pune"),"Yes","No")</f>
        <v>No</v>
      </c>
      <c r="P519" s="1" t="str">
        <f>IF(OR(Employee__2[[#This Row],[Age]]&gt;=30,Employee__2[[#This Row],[Gender]]="Male"),"Mached","Not mached")</f>
        <v>Not mached</v>
      </c>
    </row>
    <row r="520" spans="4:16" x14ac:dyDescent="0.25">
      <c r="D520" s="6" t="s">
        <v>34</v>
      </c>
      <c r="E520">
        <v>2012</v>
      </c>
      <c r="F520" s="6" t="s">
        <v>38</v>
      </c>
      <c r="G520">
        <v>3</v>
      </c>
      <c r="H520">
        <v>28</v>
      </c>
      <c r="I520" s="6" t="s">
        <v>36</v>
      </c>
      <c r="J520" s="6" t="s">
        <v>37</v>
      </c>
      <c r="K520">
        <v>3</v>
      </c>
      <c r="M520" s="1" t="b">
        <f>Employee__2[[#This Row],[Experience]]&gt;1</f>
        <v>1</v>
      </c>
      <c r="N520" s="1" t="str">
        <f>IF(Employee__2[[#This Row],[City]]="Pune","Yes","No")</f>
        <v>Yes</v>
      </c>
      <c r="O520" s="1" t="str">
        <f>IF(AND(Employee__2[[#This Row],[Education]]="Bachelors",Employee__2[[#This Row],[City]]="Pune"),"Yes","No")</f>
        <v>Yes</v>
      </c>
      <c r="P520" s="1" t="str">
        <f>IF(OR(Employee__2[[#This Row],[Age]]&gt;=30,Employee__2[[#This Row],[Gender]]="Male"),"Mached","Not mached")</f>
        <v>Mached</v>
      </c>
    </row>
    <row r="521" spans="4:16" x14ac:dyDescent="0.25">
      <c r="D521" s="6" t="s">
        <v>34</v>
      </c>
      <c r="E521">
        <v>2018</v>
      </c>
      <c r="F521" s="6" t="s">
        <v>38</v>
      </c>
      <c r="G521">
        <v>3</v>
      </c>
      <c r="H521">
        <v>25</v>
      </c>
      <c r="I521" s="6" t="s">
        <v>36</v>
      </c>
      <c r="J521" s="6" t="s">
        <v>42</v>
      </c>
      <c r="K521">
        <v>3</v>
      </c>
      <c r="M521" s="1" t="b">
        <f>Employee__2[[#This Row],[Experience]]&gt;1</f>
        <v>1</v>
      </c>
      <c r="N521" s="1" t="str">
        <f>IF(Employee__2[[#This Row],[City]]="Pune","Yes","No")</f>
        <v>Yes</v>
      </c>
      <c r="O521" s="1" t="str">
        <f>IF(AND(Employee__2[[#This Row],[Education]]="Bachelors",Employee__2[[#This Row],[City]]="Pune"),"Yes","No")</f>
        <v>Yes</v>
      </c>
      <c r="P521" s="1" t="str">
        <f>IF(OR(Employee__2[[#This Row],[Age]]&gt;=30,Employee__2[[#This Row],[Gender]]="Male"),"Mached","Not mached")</f>
        <v>Mached</v>
      </c>
    </row>
    <row r="522" spans="4:16" x14ac:dyDescent="0.25">
      <c r="D522" s="6" t="s">
        <v>34</v>
      </c>
      <c r="E522">
        <v>2014</v>
      </c>
      <c r="F522" s="6" t="s">
        <v>35</v>
      </c>
      <c r="G522">
        <v>3</v>
      </c>
      <c r="H522">
        <v>27</v>
      </c>
      <c r="I522" s="6" t="s">
        <v>36</v>
      </c>
      <c r="J522" s="6" t="s">
        <v>37</v>
      </c>
      <c r="K522">
        <v>5</v>
      </c>
      <c r="M522" s="1" t="b">
        <f>Employee__2[[#This Row],[Experience]]&gt;1</f>
        <v>1</v>
      </c>
      <c r="N522" s="1" t="str">
        <f>IF(Employee__2[[#This Row],[City]]="Pune","Yes","No")</f>
        <v>No</v>
      </c>
      <c r="O522" s="1" t="str">
        <f>IF(AND(Employee__2[[#This Row],[Education]]="Bachelors",Employee__2[[#This Row],[City]]="Pune"),"Yes","No")</f>
        <v>No</v>
      </c>
      <c r="P522" s="1" t="str">
        <f>IF(OR(Employee__2[[#This Row],[Age]]&gt;=30,Employee__2[[#This Row],[Gender]]="Male"),"Mached","Not mached")</f>
        <v>Mached</v>
      </c>
    </row>
    <row r="523" spans="4:16" x14ac:dyDescent="0.25">
      <c r="D523" s="6" t="s">
        <v>34</v>
      </c>
      <c r="E523">
        <v>2016</v>
      </c>
      <c r="F523" s="6" t="s">
        <v>35</v>
      </c>
      <c r="G523">
        <v>3</v>
      </c>
      <c r="H523">
        <v>27</v>
      </c>
      <c r="I523" s="6" t="s">
        <v>39</v>
      </c>
      <c r="J523" s="6" t="s">
        <v>37</v>
      </c>
      <c r="K523">
        <v>5</v>
      </c>
      <c r="M523" s="1" t="b">
        <f>Employee__2[[#This Row],[Experience]]&gt;1</f>
        <v>1</v>
      </c>
      <c r="N523" s="1" t="str">
        <f>IF(Employee__2[[#This Row],[City]]="Pune","Yes","No")</f>
        <v>No</v>
      </c>
      <c r="O523" s="1" t="str">
        <f>IF(AND(Employee__2[[#This Row],[Education]]="Bachelors",Employee__2[[#This Row],[City]]="Pune"),"Yes","No")</f>
        <v>No</v>
      </c>
      <c r="P523" s="1" t="str">
        <f>IF(OR(Employee__2[[#This Row],[Age]]&gt;=30,Employee__2[[#This Row],[Gender]]="Male"),"Mached","Not mached")</f>
        <v>Not mached</v>
      </c>
    </row>
    <row r="524" spans="4:16" x14ac:dyDescent="0.25">
      <c r="D524" s="6" t="s">
        <v>41</v>
      </c>
      <c r="E524">
        <v>2015</v>
      </c>
      <c r="F524" s="6" t="s">
        <v>38</v>
      </c>
      <c r="G524">
        <v>2</v>
      </c>
      <c r="H524">
        <v>24</v>
      </c>
      <c r="I524" s="6" t="s">
        <v>39</v>
      </c>
      <c r="J524" s="6" t="s">
        <v>37</v>
      </c>
      <c r="K524">
        <v>2</v>
      </c>
      <c r="M524" s="1" t="b">
        <f>Employee__2[[#This Row],[Experience]]&gt;1</f>
        <v>1</v>
      </c>
      <c r="N524" s="1" t="str">
        <f>IF(Employee__2[[#This Row],[City]]="Pune","Yes","No")</f>
        <v>Yes</v>
      </c>
      <c r="O524" s="1" t="str">
        <f>IF(AND(Employee__2[[#This Row],[Education]]="Bachelors",Employee__2[[#This Row],[City]]="Pune"),"Yes","No")</f>
        <v>No</v>
      </c>
      <c r="P524" s="1" t="str">
        <f>IF(OR(Employee__2[[#This Row],[Age]]&gt;=30,Employee__2[[#This Row],[Gender]]="Male"),"Mached","Not mached")</f>
        <v>Not mached</v>
      </c>
    </row>
    <row r="525" spans="4:16" x14ac:dyDescent="0.25">
      <c r="D525" s="6" t="s">
        <v>41</v>
      </c>
      <c r="E525">
        <v>2014</v>
      </c>
      <c r="F525" s="6" t="s">
        <v>35</v>
      </c>
      <c r="G525">
        <v>3</v>
      </c>
      <c r="H525">
        <v>24</v>
      </c>
      <c r="I525" s="6" t="s">
        <v>39</v>
      </c>
      <c r="J525" s="6" t="s">
        <v>37</v>
      </c>
      <c r="K525">
        <v>2</v>
      </c>
      <c r="M525" s="1" t="b">
        <f>Employee__2[[#This Row],[Experience]]&gt;1</f>
        <v>1</v>
      </c>
      <c r="N525" s="1" t="str">
        <f>IF(Employee__2[[#This Row],[City]]="Pune","Yes","No")</f>
        <v>No</v>
      </c>
      <c r="O525" s="1" t="str">
        <f>IF(AND(Employee__2[[#This Row],[Education]]="Bachelors",Employee__2[[#This Row],[City]]="Pune"),"Yes","No")</f>
        <v>No</v>
      </c>
      <c r="P525" s="1" t="str">
        <f>IF(OR(Employee__2[[#This Row],[Age]]&gt;=30,Employee__2[[#This Row],[Gender]]="Male"),"Mached","Not mached")</f>
        <v>Not mached</v>
      </c>
    </row>
    <row r="526" spans="4:16" x14ac:dyDescent="0.25">
      <c r="D526" s="6" t="s">
        <v>34</v>
      </c>
      <c r="E526">
        <v>2013</v>
      </c>
      <c r="F526" s="6" t="s">
        <v>35</v>
      </c>
      <c r="G526">
        <v>3</v>
      </c>
      <c r="H526">
        <v>25</v>
      </c>
      <c r="I526" s="6" t="s">
        <v>36</v>
      </c>
      <c r="J526" s="6" t="s">
        <v>37</v>
      </c>
      <c r="K526">
        <v>3</v>
      </c>
      <c r="M526" s="1" t="b">
        <f>Employee__2[[#This Row],[Experience]]&gt;1</f>
        <v>1</v>
      </c>
      <c r="N526" s="1" t="str">
        <f>IF(Employee__2[[#This Row],[City]]="Pune","Yes","No")</f>
        <v>No</v>
      </c>
      <c r="O526" s="1" t="str">
        <f>IF(AND(Employee__2[[#This Row],[Education]]="Bachelors",Employee__2[[#This Row],[City]]="Pune"),"Yes","No")</f>
        <v>No</v>
      </c>
      <c r="P526" s="1" t="str">
        <f>IF(OR(Employee__2[[#This Row],[Age]]&gt;=30,Employee__2[[#This Row],[Gender]]="Male"),"Mached","Not mached")</f>
        <v>Mached</v>
      </c>
    </row>
    <row r="527" spans="4:16" x14ac:dyDescent="0.25">
      <c r="D527" s="6" t="s">
        <v>41</v>
      </c>
      <c r="E527">
        <v>2017</v>
      </c>
      <c r="F527" s="6" t="s">
        <v>40</v>
      </c>
      <c r="G527">
        <v>3</v>
      </c>
      <c r="H527">
        <v>24</v>
      </c>
      <c r="I527" s="6" t="s">
        <v>36</v>
      </c>
      <c r="J527" s="6" t="s">
        <v>37</v>
      </c>
      <c r="K527">
        <v>2</v>
      </c>
      <c r="M527" s="1" t="b">
        <f>Employee__2[[#This Row],[Experience]]&gt;1</f>
        <v>1</v>
      </c>
      <c r="N527" s="1" t="str">
        <f>IF(Employee__2[[#This Row],[City]]="Pune","Yes","No")</f>
        <v>No</v>
      </c>
      <c r="O527" s="1" t="str">
        <f>IF(AND(Employee__2[[#This Row],[Education]]="Bachelors",Employee__2[[#This Row],[City]]="Pune"),"Yes","No")</f>
        <v>No</v>
      </c>
      <c r="P527" s="1" t="str">
        <f>IF(OR(Employee__2[[#This Row],[Age]]&gt;=30,Employee__2[[#This Row],[Gender]]="Male"),"Mached","Not mached")</f>
        <v>Mached</v>
      </c>
    </row>
    <row r="528" spans="4:16" x14ac:dyDescent="0.25">
      <c r="D528" s="6" t="s">
        <v>34</v>
      </c>
      <c r="E528">
        <v>2015</v>
      </c>
      <c r="F528" s="6" t="s">
        <v>35</v>
      </c>
      <c r="G528">
        <v>3</v>
      </c>
      <c r="H528">
        <v>25</v>
      </c>
      <c r="I528" s="6" t="s">
        <v>36</v>
      </c>
      <c r="J528" s="6" t="s">
        <v>37</v>
      </c>
      <c r="K528">
        <v>3</v>
      </c>
      <c r="M528" s="1" t="b">
        <f>Employee__2[[#This Row],[Experience]]&gt;1</f>
        <v>1</v>
      </c>
      <c r="N528" s="1" t="str">
        <f>IF(Employee__2[[#This Row],[City]]="Pune","Yes","No")</f>
        <v>No</v>
      </c>
      <c r="O528" s="1" t="str">
        <f>IF(AND(Employee__2[[#This Row],[Education]]="Bachelors",Employee__2[[#This Row],[City]]="Pune"),"Yes","No")</f>
        <v>No</v>
      </c>
      <c r="P528" s="1" t="str">
        <f>IF(OR(Employee__2[[#This Row],[Age]]&gt;=30,Employee__2[[#This Row],[Gender]]="Male"),"Mached","Not mached")</f>
        <v>Mached</v>
      </c>
    </row>
    <row r="529" spans="4:16" x14ac:dyDescent="0.25">
      <c r="D529" s="6" t="s">
        <v>34</v>
      </c>
      <c r="E529">
        <v>2017</v>
      </c>
      <c r="F529" s="6" t="s">
        <v>35</v>
      </c>
      <c r="G529">
        <v>3</v>
      </c>
      <c r="H529">
        <v>24</v>
      </c>
      <c r="I529" s="6" t="s">
        <v>36</v>
      </c>
      <c r="J529" s="6" t="s">
        <v>37</v>
      </c>
      <c r="K529">
        <v>2</v>
      </c>
      <c r="M529" s="1" t="b">
        <f>Employee__2[[#This Row],[Experience]]&gt;1</f>
        <v>1</v>
      </c>
      <c r="N529" s="1" t="str">
        <f>IF(Employee__2[[#This Row],[City]]="Pune","Yes","No")</f>
        <v>No</v>
      </c>
      <c r="O529" s="1" t="str">
        <f>IF(AND(Employee__2[[#This Row],[Education]]="Bachelors",Employee__2[[#This Row],[City]]="Pune"),"Yes","No")</f>
        <v>No</v>
      </c>
      <c r="P529" s="1" t="str">
        <f>IF(OR(Employee__2[[#This Row],[Age]]&gt;=30,Employee__2[[#This Row],[Gender]]="Male"),"Mached","Not mached")</f>
        <v>Mached</v>
      </c>
    </row>
    <row r="530" spans="4:16" x14ac:dyDescent="0.25">
      <c r="D530" s="6" t="s">
        <v>34</v>
      </c>
      <c r="E530">
        <v>2017</v>
      </c>
      <c r="F530" s="6" t="s">
        <v>40</v>
      </c>
      <c r="G530">
        <v>2</v>
      </c>
      <c r="H530">
        <v>28</v>
      </c>
      <c r="I530" s="6" t="s">
        <v>36</v>
      </c>
      <c r="J530" s="6" t="s">
        <v>37</v>
      </c>
      <c r="K530">
        <v>3</v>
      </c>
      <c r="M530" s="1" t="b">
        <f>Employee__2[[#This Row],[Experience]]&gt;1</f>
        <v>1</v>
      </c>
      <c r="N530" s="1" t="str">
        <f>IF(Employee__2[[#This Row],[City]]="Pune","Yes","No")</f>
        <v>No</v>
      </c>
      <c r="O530" s="1" t="str">
        <f>IF(AND(Employee__2[[#This Row],[Education]]="Bachelors",Employee__2[[#This Row],[City]]="Pune"),"Yes","No")</f>
        <v>No</v>
      </c>
      <c r="P530" s="1" t="str">
        <f>IF(OR(Employee__2[[#This Row],[Age]]&gt;=30,Employee__2[[#This Row],[Gender]]="Male"),"Mached","Not mached")</f>
        <v>Mached</v>
      </c>
    </row>
    <row r="531" spans="4:16" x14ac:dyDescent="0.25">
      <c r="D531" s="6" t="s">
        <v>34</v>
      </c>
      <c r="E531">
        <v>2016</v>
      </c>
      <c r="F531" s="6" t="s">
        <v>35</v>
      </c>
      <c r="G531">
        <v>3</v>
      </c>
      <c r="H531">
        <v>28</v>
      </c>
      <c r="I531" s="6" t="s">
        <v>36</v>
      </c>
      <c r="J531" s="6" t="s">
        <v>37</v>
      </c>
      <c r="K531">
        <v>2</v>
      </c>
      <c r="M531" s="1" t="b">
        <f>Employee__2[[#This Row],[Experience]]&gt;1</f>
        <v>1</v>
      </c>
      <c r="N531" s="1" t="str">
        <f>IF(Employee__2[[#This Row],[City]]="Pune","Yes","No")</f>
        <v>No</v>
      </c>
      <c r="O531" s="1" t="str">
        <f>IF(AND(Employee__2[[#This Row],[Education]]="Bachelors",Employee__2[[#This Row],[City]]="Pune"),"Yes","No")</f>
        <v>No</v>
      </c>
      <c r="P531" s="1" t="str">
        <f>IF(OR(Employee__2[[#This Row],[Age]]&gt;=30,Employee__2[[#This Row],[Gender]]="Male"),"Mached","Not mached")</f>
        <v>Mached</v>
      </c>
    </row>
    <row r="532" spans="4:16" x14ac:dyDescent="0.25">
      <c r="D532" s="6" t="s">
        <v>43</v>
      </c>
      <c r="E532">
        <v>2014</v>
      </c>
      <c r="F532" s="6" t="s">
        <v>40</v>
      </c>
      <c r="G532">
        <v>3</v>
      </c>
      <c r="H532">
        <v>24</v>
      </c>
      <c r="I532" s="6" t="s">
        <v>36</v>
      </c>
      <c r="J532" s="6" t="s">
        <v>37</v>
      </c>
      <c r="K532">
        <v>2</v>
      </c>
      <c r="M532" s="1" t="b">
        <f>Employee__2[[#This Row],[Experience]]&gt;1</f>
        <v>1</v>
      </c>
      <c r="N532" s="1" t="str">
        <f>IF(Employee__2[[#This Row],[City]]="Pune","Yes","No")</f>
        <v>No</v>
      </c>
      <c r="O532" s="1" t="str">
        <f>IF(AND(Employee__2[[#This Row],[Education]]="Bachelors",Employee__2[[#This Row],[City]]="Pune"),"Yes","No")</f>
        <v>No</v>
      </c>
      <c r="P532" s="1" t="str">
        <f>IF(OR(Employee__2[[#This Row],[Age]]&gt;=30,Employee__2[[#This Row],[Gender]]="Male"),"Mached","Not mached")</f>
        <v>Mached</v>
      </c>
    </row>
    <row r="533" spans="4:16" x14ac:dyDescent="0.25">
      <c r="D533" s="6" t="s">
        <v>41</v>
      </c>
      <c r="E533">
        <v>2017</v>
      </c>
      <c r="F533" s="6" t="s">
        <v>40</v>
      </c>
      <c r="G533">
        <v>2</v>
      </c>
      <c r="H533">
        <v>26</v>
      </c>
      <c r="I533" s="6" t="s">
        <v>39</v>
      </c>
      <c r="J533" s="6" t="s">
        <v>37</v>
      </c>
      <c r="K533">
        <v>4</v>
      </c>
      <c r="M533" s="1" t="b">
        <f>Employee__2[[#This Row],[Experience]]&gt;1</f>
        <v>1</v>
      </c>
      <c r="N533" s="1" t="str">
        <f>IF(Employee__2[[#This Row],[City]]="Pune","Yes","No")</f>
        <v>No</v>
      </c>
      <c r="O533" s="1" t="str">
        <f>IF(AND(Employee__2[[#This Row],[Education]]="Bachelors",Employee__2[[#This Row],[City]]="Pune"),"Yes","No")</f>
        <v>No</v>
      </c>
      <c r="P533" s="1" t="str">
        <f>IF(OR(Employee__2[[#This Row],[Age]]&gt;=30,Employee__2[[#This Row],[Gender]]="Male"),"Mached","Not mached")</f>
        <v>Not mached</v>
      </c>
    </row>
    <row r="534" spans="4:16" x14ac:dyDescent="0.25">
      <c r="D534" s="6" t="s">
        <v>41</v>
      </c>
      <c r="E534">
        <v>2018</v>
      </c>
      <c r="F534" s="6" t="s">
        <v>40</v>
      </c>
      <c r="G534">
        <v>3</v>
      </c>
      <c r="H534">
        <v>25</v>
      </c>
      <c r="I534" s="6" t="s">
        <v>36</v>
      </c>
      <c r="J534" s="6" t="s">
        <v>37</v>
      </c>
      <c r="K534">
        <v>3</v>
      </c>
      <c r="M534" s="1" t="b">
        <f>Employee__2[[#This Row],[Experience]]&gt;1</f>
        <v>1</v>
      </c>
      <c r="N534" s="1" t="str">
        <f>IF(Employee__2[[#This Row],[City]]="Pune","Yes","No")</f>
        <v>No</v>
      </c>
      <c r="O534" s="1" t="str">
        <f>IF(AND(Employee__2[[#This Row],[Education]]="Bachelors",Employee__2[[#This Row],[City]]="Pune"),"Yes","No")</f>
        <v>No</v>
      </c>
      <c r="P534" s="1" t="str">
        <f>IF(OR(Employee__2[[#This Row],[Age]]&gt;=30,Employee__2[[#This Row],[Gender]]="Male"),"Mached","Not mached")</f>
        <v>Mached</v>
      </c>
    </row>
    <row r="535" spans="4:16" x14ac:dyDescent="0.25">
      <c r="D535" s="6" t="s">
        <v>34</v>
      </c>
      <c r="E535">
        <v>2014</v>
      </c>
      <c r="F535" s="6" t="s">
        <v>35</v>
      </c>
      <c r="G535">
        <v>3</v>
      </c>
      <c r="H535">
        <v>28</v>
      </c>
      <c r="I535" s="6" t="s">
        <v>36</v>
      </c>
      <c r="J535" s="6" t="s">
        <v>37</v>
      </c>
      <c r="K535">
        <v>3</v>
      </c>
      <c r="M535" s="1" t="b">
        <f>Employee__2[[#This Row],[Experience]]&gt;1</f>
        <v>1</v>
      </c>
      <c r="N535" s="1" t="str">
        <f>IF(Employee__2[[#This Row],[City]]="Pune","Yes","No")</f>
        <v>No</v>
      </c>
      <c r="O535" s="1" t="str">
        <f>IF(AND(Employee__2[[#This Row],[Education]]="Bachelors",Employee__2[[#This Row],[City]]="Pune"),"Yes","No")</f>
        <v>No</v>
      </c>
      <c r="P535" s="1" t="str">
        <f>IF(OR(Employee__2[[#This Row],[Age]]&gt;=30,Employee__2[[#This Row],[Gender]]="Male"),"Mached","Not mached")</f>
        <v>Mached</v>
      </c>
    </row>
    <row r="536" spans="4:16" x14ac:dyDescent="0.25">
      <c r="D536" s="6" t="s">
        <v>34</v>
      </c>
      <c r="E536">
        <v>2014</v>
      </c>
      <c r="F536" s="6" t="s">
        <v>35</v>
      </c>
      <c r="G536">
        <v>3</v>
      </c>
      <c r="H536">
        <v>25</v>
      </c>
      <c r="I536" s="6" t="s">
        <v>36</v>
      </c>
      <c r="J536" s="6" t="s">
        <v>37</v>
      </c>
      <c r="K536">
        <v>3</v>
      </c>
      <c r="M536" s="1" t="b">
        <f>Employee__2[[#This Row],[Experience]]&gt;1</f>
        <v>1</v>
      </c>
      <c r="N536" s="1" t="str">
        <f>IF(Employee__2[[#This Row],[City]]="Pune","Yes","No")</f>
        <v>No</v>
      </c>
      <c r="O536" s="1" t="str">
        <f>IF(AND(Employee__2[[#This Row],[Education]]="Bachelors",Employee__2[[#This Row],[City]]="Pune"),"Yes","No")</f>
        <v>No</v>
      </c>
      <c r="P536" s="1" t="str">
        <f>IF(OR(Employee__2[[#This Row],[Age]]&gt;=30,Employee__2[[#This Row],[Gender]]="Male"),"Mached","Not mached")</f>
        <v>Mached</v>
      </c>
    </row>
    <row r="537" spans="4:16" x14ac:dyDescent="0.25">
      <c r="D537" s="6" t="s">
        <v>34</v>
      </c>
      <c r="E537">
        <v>2018</v>
      </c>
      <c r="F537" s="6" t="s">
        <v>40</v>
      </c>
      <c r="G537">
        <v>3</v>
      </c>
      <c r="H537">
        <v>28</v>
      </c>
      <c r="I537" s="6" t="s">
        <v>39</v>
      </c>
      <c r="J537" s="6" t="s">
        <v>37</v>
      </c>
      <c r="K537">
        <v>3</v>
      </c>
      <c r="M537" s="1" t="b">
        <f>Employee__2[[#This Row],[Experience]]&gt;1</f>
        <v>1</v>
      </c>
      <c r="N537" s="1" t="str">
        <f>IF(Employee__2[[#This Row],[City]]="Pune","Yes","No")</f>
        <v>No</v>
      </c>
      <c r="O537" s="1" t="str">
        <f>IF(AND(Employee__2[[#This Row],[Education]]="Bachelors",Employee__2[[#This Row],[City]]="Pune"),"Yes","No")</f>
        <v>No</v>
      </c>
      <c r="P537" s="1" t="str">
        <f>IF(OR(Employee__2[[#This Row],[Age]]&gt;=30,Employee__2[[#This Row],[Gender]]="Male"),"Mached","Not mached")</f>
        <v>Not mached</v>
      </c>
    </row>
    <row r="538" spans="4:16" x14ac:dyDescent="0.25">
      <c r="D538" s="6" t="s">
        <v>41</v>
      </c>
      <c r="E538">
        <v>2017</v>
      </c>
      <c r="F538" s="6" t="s">
        <v>40</v>
      </c>
      <c r="G538">
        <v>2</v>
      </c>
      <c r="H538">
        <v>25</v>
      </c>
      <c r="I538" s="6" t="s">
        <v>36</v>
      </c>
      <c r="J538" s="6" t="s">
        <v>42</v>
      </c>
      <c r="K538">
        <v>3</v>
      </c>
      <c r="M538" s="1" t="b">
        <f>Employee__2[[#This Row],[Experience]]&gt;1</f>
        <v>1</v>
      </c>
      <c r="N538" s="1" t="str">
        <f>IF(Employee__2[[#This Row],[City]]="Pune","Yes","No")</f>
        <v>No</v>
      </c>
      <c r="O538" s="1" t="str">
        <f>IF(AND(Employee__2[[#This Row],[Education]]="Bachelors",Employee__2[[#This Row],[City]]="Pune"),"Yes","No")</f>
        <v>No</v>
      </c>
      <c r="P538" s="1" t="str">
        <f>IF(OR(Employee__2[[#This Row],[Age]]&gt;=30,Employee__2[[#This Row],[Gender]]="Male"),"Mached","Not mached")</f>
        <v>Mached</v>
      </c>
    </row>
    <row r="539" spans="4:16" x14ac:dyDescent="0.25">
      <c r="D539" s="6" t="s">
        <v>41</v>
      </c>
      <c r="E539">
        <v>2013</v>
      </c>
      <c r="F539" s="6" t="s">
        <v>40</v>
      </c>
      <c r="G539">
        <v>3</v>
      </c>
      <c r="H539">
        <v>28</v>
      </c>
      <c r="I539" s="6" t="s">
        <v>36</v>
      </c>
      <c r="J539" s="6" t="s">
        <v>37</v>
      </c>
      <c r="K539">
        <v>2</v>
      </c>
      <c r="M539" s="1" t="b">
        <f>Employee__2[[#This Row],[Experience]]&gt;1</f>
        <v>1</v>
      </c>
      <c r="N539" s="1" t="str">
        <f>IF(Employee__2[[#This Row],[City]]="Pune","Yes","No")</f>
        <v>No</v>
      </c>
      <c r="O539" s="1" t="str">
        <f>IF(AND(Employee__2[[#This Row],[Education]]="Bachelors",Employee__2[[#This Row],[City]]="Pune"),"Yes","No")</f>
        <v>No</v>
      </c>
      <c r="P539" s="1" t="str">
        <f>IF(OR(Employee__2[[#This Row],[Age]]&gt;=30,Employee__2[[#This Row],[Gender]]="Male"),"Mached","Not mached")</f>
        <v>Mached</v>
      </c>
    </row>
    <row r="540" spans="4:16" x14ac:dyDescent="0.25">
      <c r="D540" s="6" t="s">
        <v>34</v>
      </c>
      <c r="E540">
        <v>2014</v>
      </c>
      <c r="F540" s="6" t="s">
        <v>35</v>
      </c>
      <c r="G540">
        <v>3</v>
      </c>
      <c r="H540">
        <v>26</v>
      </c>
      <c r="I540" s="6" t="s">
        <v>36</v>
      </c>
      <c r="J540" s="6" t="s">
        <v>42</v>
      </c>
      <c r="K540">
        <v>4</v>
      </c>
      <c r="M540" s="1" t="b">
        <f>Employee__2[[#This Row],[Experience]]&gt;1</f>
        <v>1</v>
      </c>
      <c r="N540" s="1" t="str">
        <f>IF(Employee__2[[#This Row],[City]]="Pune","Yes","No")</f>
        <v>No</v>
      </c>
      <c r="O540" s="1" t="str">
        <f>IF(AND(Employee__2[[#This Row],[Education]]="Bachelors",Employee__2[[#This Row],[City]]="Pune"),"Yes","No")</f>
        <v>No</v>
      </c>
      <c r="P540" s="1" t="str">
        <f>IF(OR(Employee__2[[#This Row],[Age]]&gt;=30,Employee__2[[#This Row],[Gender]]="Male"),"Mached","Not mached")</f>
        <v>Mached</v>
      </c>
    </row>
    <row r="541" spans="4:16" x14ac:dyDescent="0.25">
      <c r="D541" s="6" t="s">
        <v>41</v>
      </c>
      <c r="E541">
        <v>2017</v>
      </c>
      <c r="F541" s="6" t="s">
        <v>40</v>
      </c>
      <c r="G541">
        <v>2</v>
      </c>
      <c r="H541">
        <v>25</v>
      </c>
      <c r="I541" s="6" t="s">
        <v>39</v>
      </c>
      <c r="J541" s="6" t="s">
        <v>37</v>
      </c>
      <c r="K541">
        <v>3</v>
      </c>
      <c r="M541" s="1" t="b">
        <f>Employee__2[[#This Row],[Experience]]&gt;1</f>
        <v>1</v>
      </c>
      <c r="N541" s="1" t="str">
        <f>IF(Employee__2[[#This Row],[City]]="Pune","Yes","No")</f>
        <v>No</v>
      </c>
      <c r="O541" s="1" t="str">
        <f>IF(AND(Employee__2[[#This Row],[Education]]="Bachelors",Employee__2[[#This Row],[City]]="Pune"),"Yes","No")</f>
        <v>No</v>
      </c>
      <c r="P541" s="1" t="str">
        <f>IF(OR(Employee__2[[#This Row],[Age]]&gt;=30,Employee__2[[#This Row],[Gender]]="Male"),"Mached","Not mached")</f>
        <v>Not mached</v>
      </c>
    </row>
    <row r="542" spans="4:16" x14ac:dyDescent="0.25">
      <c r="D542" s="6" t="s">
        <v>41</v>
      </c>
      <c r="E542">
        <v>2013</v>
      </c>
      <c r="F542" s="6" t="s">
        <v>40</v>
      </c>
      <c r="G542">
        <v>3</v>
      </c>
      <c r="H542">
        <v>25</v>
      </c>
      <c r="I542" s="6" t="s">
        <v>39</v>
      </c>
      <c r="J542" s="6" t="s">
        <v>37</v>
      </c>
      <c r="K542">
        <v>3</v>
      </c>
      <c r="M542" s="1" t="b">
        <f>Employee__2[[#This Row],[Experience]]&gt;1</f>
        <v>1</v>
      </c>
      <c r="N542" s="1" t="str">
        <f>IF(Employee__2[[#This Row],[City]]="Pune","Yes","No")</f>
        <v>No</v>
      </c>
      <c r="O542" s="1" t="str">
        <f>IF(AND(Employee__2[[#This Row],[Education]]="Bachelors",Employee__2[[#This Row],[City]]="Pune"),"Yes","No")</f>
        <v>No</v>
      </c>
      <c r="P542" s="1" t="str">
        <f>IF(OR(Employee__2[[#This Row],[Age]]&gt;=30,Employee__2[[#This Row],[Gender]]="Male"),"Mached","Not mached")</f>
        <v>Not mached</v>
      </c>
    </row>
    <row r="543" spans="4:16" x14ac:dyDescent="0.25">
      <c r="D543" s="6" t="s">
        <v>34</v>
      </c>
      <c r="E543">
        <v>2016</v>
      </c>
      <c r="F543" s="6" t="s">
        <v>35</v>
      </c>
      <c r="G543">
        <v>3</v>
      </c>
      <c r="H543">
        <v>25</v>
      </c>
      <c r="I543" s="6" t="s">
        <v>36</v>
      </c>
      <c r="J543" s="6" t="s">
        <v>37</v>
      </c>
      <c r="K543">
        <v>3</v>
      </c>
      <c r="M543" s="1" t="b">
        <f>Employee__2[[#This Row],[Experience]]&gt;1</f>
        <v>1</v>
      </c>
      <c r="N543" s="1" t="str">
        <f>IF(Employee__2[[#This Row],[City]]="Pune","Yes","No")</f>
        <v>No</v>
      </c>
      <c r="O543" s="1" t="str">
        <f>IF(AND(Employee__2[[#This Row],[Education]]="Bachelors",Employee__2[[#This Row],[City]]="Pune"),"Yes","No")</f>
        <v>No</v>
      </c>
      <c r="P543" s="1" t="str">
        <f>IF(OR(Employee__2[[#This Row],[Age]]&gt;=30,Employee__2[[#This Row],[Gender]]="Male"),"Mached","Not mached")</f>
        <v>Mached</v>
      </c>
    </row>
    <row r="544" spans="4:16" x14ac:dyDescent="0.25">
      <c r="D544" s="6" t="s">
        <v>34</v>
      </c>
      <c r="E544">
        <v>2018</v>
      </c>
      <c r="F544" s="6" t="s">
        <v>35</v>
      </c>
      <c r="G544">
        <v>3</v>
      </c>
      <c r="H544">
        <v>24</v>
      </c>
      <c r="I544" s="6" t="s">
        <v>36</v>
      </c>
      <c r="J544" s="6" t="s">
        <v>37</v>
      </c>
      <c r="K544">
        <v>2</v>
      </c>
      <c r="M544" s="1" t="b">
        <f>Employee__2[[#This Row],[Experience]]&gt;1</f>
        <v>1</v>
      </c>
      <c r="N544" s="1" t="str">
        <f>IF(Employee__2[[#This Row],[City]]="Pune","Yes","No")</f>
        <v>No</v>
      </c>
      <c r="O544" s="1" t="str">
        <f>IF(AND(Employee__2[[#This Row],[Education]]="Bachelors",Employee__2[[#This Row],[City]]="Pune"),"Yes","No")</f>
        <v>No</v>
      </c>
      <c r="P544" s="1" t="str">
        <f>IF(OR(Employee__2[[#This Row],[Age]]&gt;=30,Employee__2[[#This Row],[Gender]]="Male"),"Mached","Not mached")</f>
        <v>Mached</v>
      </c>
    </row>
    <row r="545" spans="4:16" x14ac:dyDescent="0.25">
      <c r="D545" s="6" t="s">
        <v>41</v>
      </c>
      <c r="E545">
        <v>2017</v>
      </c>
      <c r="F545" s="6" t="s">
        <v>40</v>
      </c>
      <c r="G545">
        <v>2</v>
      </c>
      <c r="H545">
        <v>26</v>
      </c>
      <c r="I545" s="6" t="s">
        <v>36</v>
      </c>
      <c r="J545" s="6" t="s">
        <v>42</v>
      </c>
      <c r="K545">
        <v>4</v>
      </c>
      <c r="M545" s="1" t="b">
        <f>Employee__2[[#This Row],[Experience]]&gt;1</f>
        <v>1</v>
      </c>
      <c r="N545" s="1" t="str">
        <f>IF(Employee__2[[#This Row],[City]]="Pune","Yes","No")</f>
        <v>No</v>
      </c>
      <c r="O545" s="1" t="str">
        <f>IF(AND(Employee__2[[#This Row],[Education]]="Bachelors",Employee__2[[#This Row],[City]]="Pune"),"Yes","No")</f>
        <v>No</v>
      </c>
      <c r="P545" s="1" t="str">
        <f>IF(OR(Employee__2[[#This Row],[Age]]&gt;=30,Employee__2[[#This Row],[Gender]]="Male"),"Mached","Not mached")</f>
        <v>Mached</v>
      </c>
    </row>
    <row r="546" spans="4:16" x14ac:dyDescent="0.25">
      <c r="D546" s="6" t="s">
        <v>34</v>
      </c>
      <c r="E546">
        <v>2013</v>
      </c>
      <c r="F546" s="6" t="s">
        <v>35</v>
      </c>
      <c r="G546">
        <v>3</v>
      </c>
      <c r="H546">
        <v>24</v>
      </c>
      <c r="I546" s="6" t="s">
        <v>36</v>
      </c>
      <c r="J546" s="6" t="s">
        <v>37</v>
      </c>
      <c r="K546">
        <v>2</v>
      </c>
      <c r="M546" s="1" t="b">
        <f>Employee__2[[#This Row],[Experience]]&gt;1</f>
        <v>1</v>
      </c>
      <c r="N546" s="1" t="str">
        <f>IF(Employee__2[[#This Row],[City]]="Pune","Yes","No")</f>
        <v>No</v>
      </c>
      <c r="O546" s="1" t="str">
        <f>IF(AND(Employee__2[[#This Row],[Education]]="Bachelors",Employee__2[[#This Row],[City]]="Pune"),"Yes","No")</f>
        <v>No</v>
      </c>
      <c r="P546" s="1" t="str">
        <f>IF(OR(Employee__2[[#This Row],[Age]]&gt;=30,Employee__2[[#This Row],[Gender]]="Male"),"Mached","Not mached")</f>
        <v>Mached</v>
      </c>
    </row>
    <row r="547" spans="4:16" x14ac:dyDescent="0.25">
      <c r="D547" s="6" t="s">
        <v>34</v>
      </c>
      <c r="E547">
        <v>2013</v>
      </c>
      <c r="F547" s="6" t="s">
        <v>35</v>
      </c>
      <c r="G547">
        <v>3</v>
      </c>
      <c r="H547">
        <v>28</v>
      </c>
      <c r="I547" s="6" t="s">
        <v>36</v>
      </c>
      <c r="J547" s="6" t="s">
        <v>37</v>
      </c>
      <c r="K547">
        <v>2</v>
      </c>
      <c r="M547" s="1" t="b">
        <f>Employee__2[[#This Row],[Experience]]&gt;1</f>
        <v>1</v>
      </c>
      <c r="N547" s="1" t="str">
        <f>IF(Employee__2[[#This Row],[City]]="Pune","Yes","No")</f>
        <v>No</v>
      </c>
      <c r="O547" s="1" t="str">
        <f>IF(AND(Employee__2[[#This Row],[Education]]="Bachelors",Employee__2[[#This Row],[City]]="Pune"),"Yes","No")</f>
        <v>No</v>
      </c>
      <c r="P547" s="1" t="str">
        <f>IF(OR(Employee__2[[#This Row],[Age]]&gt;=30,Employee__2[[#This Row],[Gender]]="Male"),"Mached","Not mached")</f>
        <v>Mached</v>
      </c>
    </row>
    <row r="548" spans="4:16" x14ac:dyDescent="0.25">
      <c r="D548" s="6" t="s">
        <v>41</v>
      </c>
      <c r="E548">
        <v>2015</v>
      </c>
      <c r="F548" s="6" t="s">
        <v>38</v>
      </c>
      <c r="G548">
        <v>3</v>
      </c>
      <c r="H548">
        <v>28</v>
      </c>
      <c r="I548" s="6" t="s">
        <v>39</v>
      </c>
      <c r="J548" s="6" t="s">
        <v>42</v>
      </c>
      <c r="K548">
        <v>2</v>
      </c>
      <c r="M548" s="1" t="b">
        <f>Employee__2[[#This Row],[Experience]]&gt;1</f>
        <v>1</v>
      </c>
      <c r="N548" s="1" t="str">
        <f>IF(Employee__2[[#This Row],[City]]="Pune","Yes","No")</f>
        <v>Yes</v>
      </c>
      <c r="O548" s="1" t="str">
        <f>IF(AND(Employee__2[[#This Row],[Education]]="Bachelors",Employee__2[[#This Row],[City]]="Pune"),"Yes","No")</f>
        <v>No</v>
      </c>
      <c r="P548" s="1" t="str">
        <f>IF(OR(Employee__2[[#This Row],[Age]]&gt;=30,Employee__2[[#This Row],[Gender]]="Male"),"Mached","Not mached")</f>
        <v>Not mached</v>
      </c>
    </row>
    <row r="549" spans="4:16" x14ac:dyDescent="0.25">
      <c r="D549" s="6" t="s">
        <v>34</v>
      </c>
      <c r="E549">
        <v>2015</v>
      </c>
      <c r="F549" s="6" t="s">
        <v>38</v>
      </c>
      <c r="G549">
        <v>2</v>
      </c>
      <c r="H549">
        <v>27</v>
      </c>
      <c r="I549" s="6" t="s">
        <v>39</v>
      </c>
      <c r="J549" s="6" t="s">
        <v>42</v>
      </c>
      <c r="K549">
        <v>5</v>
      </c>
      <c r="M549" s="1" t="b">
        <f>Employee__2[[#This Row],[Experience]]&gt;1</f>
        <v>1</v>
      </c>
      <c r="N549" s="1" t="str">
        <f>IF(Employee__2[[#This Row],[City]]="Pune","Yes","No")</f>
        <v>Yes</v>
      </c>
      <c r="O549" s="1" t="str">
        <f>IF(AND(Employee__2[[#This Row],[Education]]="Bachelors",Employee__2[[#This Row],[City]]="Pune"),"Yes","No")</f>
        <v>Yes</v>
      </c>
      <c r="P549" s="1" t="str">
        <f>IF(OR(Employee__2[[#This Row],[Age]]&gt;=30,Employee__2[[#This Row],[Gender]]="Male"),"Mached","Not mached")</f>
        <v>Not mached</v>
      </c>
    </row>
    <row r="550" spans="4:16" x14ac:dyDescent="0.25">
      <c r="D550" s="6" t="s">
        <v>41</v>
      </c>
      <c r="E550">
        <v>2014</v>
      </c>
      <c r="F550" s="6" t="s">
        <v>38</v>
      </c>
      <c r="G550">
        <v>2</v>
      </c>
      <c r="H550">
        <v>27</v>
      </c>
      <c r="I550" s="6" t="s">
        <v>39</v>
      </c>
      <c r="J550" s="6" t="s">
        <v>37</v>
      </c>
      <c r="K550">
        <v>5</v>
      </c>
      <c r="M550" s="1" t="b">
        <f>Employee__2[[#This Row],[Experience]]&gt;1</f>
        <v>1</v>
      </c>
      <c r="N550" s="1" t="str">
        <f>IF(Employee__2[[#This Row],[City]]="Pune","Yes","No")</f>
        <v>Yes</v>
      </c>
      <c r="O550" s="1" t="str">
        <f>IF(AND(Employee__2[[#This Row],[Education]]="Bachelors",Employee__2[[#This Row],[City]]="Pune"),"Yes","No")</f>
        <v>No</v>
      </c>
      <c r="P550" s="1" t="str">
        <f>IF(OR(Employee__2[[#This Row],[Age]]&gt;=30,Employee__2[[#This Row],[Gender]]="Male"),"Mached","Not mached")</f>
        <v>Not mached</v>
      </c>
    </row>
    <row r="551" spans="4:16" x14ac:dyDescent="0.25">
      <c r="D551" s="6" t="s">
        <v>34</v>
      </c>
      <c r="E551">
        <v>2017</v>
      </c>
      <c r="F551" s="6" t="s">
        <v>40</v>
      </c>
      <c r="G551">
        <v>2</v>
      </c>
      <c r="H551">
        <v>27</v>
      </c>
      <c r="I551" s="6" t="s">
        <v>36</v>
      </c>
      <c r="J551" s="6" t="s">
        <v>37</v>
      </c>
      <c r="K551">
        <v>5</v>
      </c>
      <c r="M551" s="1" t="b">
        <f>Employee__2[[#This Row],[Experience]]&gt;1</f>
        <v>1</v>
      </c>
      <c r="N551" s="1" t="str">
        <f>IF(Employee__2[[#This Row],[City]]="Pune","Yes","No")</f>
        <v>No</v>
      </c>
      <c r="O551" s="1" t="str">
        <f>IF(AND(Employee__2[[#This Row],[Education]]="Bachelors",Employee__2[[#This Row],[City]]="Pune"),"Yes","No")</f>
        <v>No</v>
      </c>
      <c r="P551" s="1" t="str">
        <f>IF(OR(Employee__2[[#This Row],[Age]]&gt;=30,Employee__2[[#This Row],[Gender]]="Male"),"Mached","Not mached")</f>
        <v>Mached</v>
      </c>
    </row>
    <row r="552" spans="4:16" x14ac:dyDescent="0.25">
      <c r="D552" s="6" t="s">
        <v>34</v>
      </c>
      <c r="E552">
        <v>2012</v>
      </c>
      <c r="F552" s="6" t="s">
        <v>35</v>
      </c>
      <c r="G552">
        <v>3</v>
      </c>
      <c r="H552">
        <v>26</v>
      </c>
      <c r="I552" s="6" t="s">
        <v>36</v>
      </c>
      <c r="J552" s="6" t="s">
        <v>37</v>
      </c>
      <c r="K552">
        <v>4</v>
      </c>
      <c r="M552" s="1" t="b">
        <f>Employee__2[[#This Row],[Experience]]&gt;1</f>
        <v>1</v>
      </c>
      <c r="N552" s="1" t="str">
        <f>IF(Employee__2[[#This Row],[City]]="Pune","Yes","No")</f>
        <v>No</v>
      </c>
      <c r="O552" s="1" t="str">
        <f>IF(AND(Employee__2[[#This Row],[Education]]="Bachelors",Employee__2[[#This Row],[City]]="Pune"),"Yes","No")</f>
        <v>No</v>
      </c>
      <c r="P552" s="1" t="str">
        <f>IF(OR(Employee__2[[#This Row],[Age]]&gt;=30,Employee__2[[#This Row],[Gender]]="Male"),"Mached","Not mached")</f>
        <v>Mached</v>
      </c>
    </row>
    <row r="553" spans="4:16" x14ac:dyDescent="0.25">
      <c r="D553" s="6" t="s">
        <v>41</v>
      </c>
      <c r="E553">
        <v>2015</v>
      </c>
      <c r="F553" s="6" t="s">
        <v>38</v>
      </c>
      <c r="G553">
        <v>1</v>
      </c>
      <c r="H553">
        <v>27</v>
      </c>
      <c r="I553" s="6" t="s">
        <v>39</v>
      </c>
      <c r="J553" s="6" t="s">
        <v>37</v>
      </c>
      <c r="K553">
        <v>5</v>
      </c>
      <c r="M553" s="1" t="b">
        <f>Employee__2[[#This Row],[Experience]]&gt;1</f>
        <v>1</v>
      </c>
      <c r="N553" s="1" t="str">
        <f>IF(Employee__2[[#This Row],[City]]="Pune","Yes","No")</f>
        <v>Yes</v>
      </c>
      <c r="O553" s="1" t="str">
        <f>IF(AND(Employee__2[[#This Row],[Education]]="Bachelors",Employee__2[[#This Row],[City]]="Pune"),"Yes","No")</f>
        <v>No</v>
      </c>
      <c r="P553" s="1" t="str">
        <f>IF(OR(Employee__2[[#This Row],[Age]]&gt;=30,Employee__2[[#This Row],[Gender]]="Male"),"Mached","Not mached")</f>
        <v>Not mached</v>
      </c>
    </row>
    <row r="554" spans="4:16" x14ac:dyDescent="0.25">
      <c r="D554" s="6" t="s">
        <v>34</v>
      </c>
      <c r="E554">
        <v>2013</v>
      </c>
      <c r="F554" s="6" t="s">
        <v>35</v>
      </c>
      <c r="G554">
        <v>1</v>
      </c>
      <c r="H554">
        <v>28</v>
      </c>
      <c r="I554" s="6" t="s">
        <v>36</v>
      </c>
      <c r="J554" s="6" t="s">
        <v>37</v>
      </c>
      <c r="K554">
        <v>3</v>
      </c>
      <c r="M554" s="1" t="b">
        <f>Employee__2[[#This Row],[Experience]]&gt;1</f>
        <v>1</v>
      </c>
      <c r="N554" s="1" t="str">
        <f>IF(Employee__2[[#This Row],[City]]="Pune","Yes","No")</f>
        <v>No</v>
      </c>
      <c r="O554" s="1" t="str">
        <f>IF(AND(Employee__2[[#This Row],[Education]]="Bachelors",Employee__2[[#This Row],[City]]="Pune"),"Yes","No")</f>
        <v>No</v>
      </c>
      <c r="P554" s="1" t="str">
        <f>IF(OR(Employee__2[[#This Row],[Age]]&gt;=30,Employee__2[[#This Row],[Gender]]="Male"),"Mached","Not mached")</f>
        <v>Mached</v>
      </c>
    </row>
    <row r="555" spans="4:16" x14ac:dyDescent="0.25">
      <c r="D555" s="6" t="s">
        <v>34</v>
      </c>
      <c r="E555">
        <v>2012</v>
      </c>
      <c r="F555" s="6" t="s">
        <v>38</v>
      </c>
      <c r="G555">
        <v>2</v>
      </c>
      <c r="H555">
        <v>26</v>
      </c>
      <c r="I555" s="6" t="s">
        <v>39</v>
      </c>
      <c r="J555" s="6" t="s">
        <v>37</v>
      </c>
      <c r="K555">
        <v>4</v>
      </c>
      <c r="M555" s="1" t="b">
        <f>Employee__2[[#This Row],[Experience]]&gt;1</f>
        <v>1</v>
      </c>
      <c r="N555" s="1" t="str">
        <f>IF(Employee__2[[#This Row],[City]]="Pune","Yes","No")</f>
        <v>Yes</v>
      </c>
      <c r="O555" s="1" t="str">
        <f>IF(AND(Employee__2[[#This Row],[Education]]="Bachelors",Employee__2[[#This Row],[City]]="Pune"),"Yes","No")</f>
        <v>Yes</v>
      </c>
      <c r="P555" s="1" t="str">
        <f>IF(OR(Employee__2[[#This Row],[Age]]&gt;=30,Employee__2[[#This Row],[Gender]]="Male"),"Mached","Not mached")</f>
        <v>Not mached</v>
      </c>
    </row>
    <row r="556" spans="4:16" x14ac:dyDescent="0.25">
      <c r="D556" s="6" t="s">
        <v>34</v>
      </c>
      <c r="E556">
        <v>2013</v>
      </c>
      <c r="F556" s="6" t="s">
        <v>35</v>
      </c>
      <c r="G556">
        <v>3</v>
      </c>
      <c r="H556">
        <v>27</v>
      </c>
      <c r="I556" s="6" t="s">
        <v>36</v>
      </c>
      <c r="J556" s="6" t="s">
        <v>37</v>
      </c>
      <c r="K556">
        <v>5</v>
      </c>
      <c r="M556" s="1" t="b">
        <f>Employee__2[[#This Row],[Experience]]&gt;1</f>
        <v>1</v>
      </c>
      <c r="N556" s="1" t="str">
        <f>IF(Employee__2[[#This Row],[City]]="Pune","Yes","No")</f>
        <v>No</v>
      </c>
      <c r="O556" s="1" t="str">
        <f>IF(AND(Employee__2[[#This Row],[Education]]="Bachelors",Employee__2[[#This Row],[City]]="Pune"),"Yes","No")</f>
        <v>No</v>
      </c>
      <c r="P556" s="1" t="str">
        <f>IF(OR(Employee__2[[#This Row],[Age]]&gt;=30,Employee__2[[#This Row],[Gender]]="Male"),"Mached","Not mached")</f>
        <v>Mached</v>
      </c>
    </row>
    <row r="557" spans="4:16" x14ac:dyDescent="0.25">
      <c r="D557" s="6" t="s">
        <v>41</v>
      </c>
      <c r="E557">
        <v>2017</v>
      </c>
      <c r="F557" s="6" t="s">
        <v>40</v>
      </c>
      <c r="G557">
        <v>2</v>
      </c>
      <c r="H557">
        <v>25</v>
      </c>
      <c r="I557" s="6" t="s">
        <v>36</v>
      </c>
      <c r="J557" s="6" t="s">
        <v>37</v>
      </c>
      <c r="K557">
        <v>3</v>
      </c>
      <c r="M557" s="1" t="b">
        <f>Employee__2[[#This Row],[Experience]]&gt;1</f>
        <v>1</v>
      </c>
      <c r="N557" s="1" t="str">
        <f>IF(Employee__2[[#This Row],[City]]="Pune","Yes","No")</f>
        <v>No</v>
      </c>
      <c r="O557" s="1" t="str">
        <f>IF(AND(Employee__2[[#This Row],[Education]]="Bachelors",Employee__2[[#This Row],[City]]="Pune"),"Yes","No")</f>
        <v>No</v>
      </c>
      <c r="P557" s="1" t="str">
        <f>IF(OR(Employee__2[[#This Row],[Age]]&gt;=30,Employee__2[[#This Row],[Gender]]="Male"),"Mached","Not mached")</f>
        <v>Mached</v>
      </c>
    </row>
    <row r="558" spans="4:16" x14ac:dyDescent="0.25">
      <c r="D558" s="6" t="s">
        <v>34</v>
      </c>
      <c r="E558">
        <v>2017</v>
      </c>
      <c r="F558" s="6" t="s">
        <v>35</v>
      </c>
      <c r="G558">
        <v>3</v>
      </c>
      <c r="H558">
        <v>27</v>
      </c>
      <c r="I558" s="6" t="s">
        <v>36</v>
      </c>
      <c r="J558" s="6" t="s">
        <v>37</v>
      </c>
      <c r="K558">
        <v>5</v>
      </c>
      <c r="M558" s="1" t="b">
        <f>Employee__2[[#This Row],[Experience]]&gt;1</f>
        <v>1</v>
      </c>
      <c r="N558" s="1" t="str">
        <f>IF(Employee__2[[#This Row],[City]]="Pune","Yes","No")</f>
        <v>No</v>
      </c>
      <c r="O558" s="1" t="str">
        <f>IF(AND(Employee__2[[#This Row],[Education]]="Bachelors",Employee__2[[#This Row],[City]]="Pune"),"Yes","No")</f>
        <v>No</v>
      </c>
      <c r="P558" s="1" t="str">
        <f>IF(OR(Employee__2[[#This Row],[Age]]&gt;=30,Employee__2[[#This Row],[Gender]]="Male"),"Mached","Not mached")</f>
        <v>Mached</v>
      </c>
    </row>
    <row r="559" spans="4:16" x14ac:dyDescent="0.25">
      <c r="D559" s="6" t="s">
        <v>34</v>
      </c>
      <c r="E559">
        <v>2012</v>
      </c>
      <c r="F559" s="6" t="s">
        <v>35</v>
      </c>
      <c r="G559">
        <v>3</v>
      </c>
      <c r="H559">
        <v>24</v>
      </c>
      <c r="I559" s="6" t="s">
        <v>36</v>
      </c>
      <c r="J559" s="6" t="s">
        <v>37</v>
      </c>
      <c r="K559">
        <v>2</v>
      </c>
      <c r="M559" s="1" t="b">
        <f>Employee__2[[#This Row],[Experience]]&gt;1</f>
        <v>1</v>
      </c>
      <c r="N559" s="1" t="str">
        <f>IF(Employee__2[[#This Row],[City]]="Pune","Yes","No")</f>
        <v>No</v>
      </c>
      <c r="O559" s="1" t="str">
        <f>IF(AND(Employee__2[[#This Row],[Education]]="Bachelors",Employee__2[[#This Row],[City]]="Pune"),"Yes","No")</f>
        <v>No</v>
      </c>
      <c r="P559" s="1" t="str">
        <f>IF(OR(Employee__2[[#This Row],[Age]]&gt;=30,Employee__2[[#This Row],[Gender]]="Male"),"Mached","Not mached")</f>
        <v>Mached</v>
      </c>
    </row>
    <row r="560" spans="4:16" x14ac:dyDescent="0.25">
      <c r="D560" s="6" t="s">
        <v>34</v>
      </c>
      <c r="E560">
        <v>2017</v>
      </c>
      <c r="F560" s="6" t="s">
        <v>40</v>
      </c>
      <c r="G560">
        <v>3</v>
      </c>
      <c r="H560">
        <v>26</v>
      </c>
      <c r="I560" s="6" t="s">
        <v>36</v>
      </c>
      <c r="J560" s="6" t="s">
        <v>37</v>
      </c>
      <c r="K560">
        <v>4</v>
      </c>
      <c r="M560" s="1" t="b">
        <f>Employee__2[[#This Row],[Experience]]&gt;1</f>
        <v>1</v>
      </c>
      <c r="N560" s="1" t="str">
        <f>IF(Employee__2[[#This Row],[City]]="Pune","Yes","No")</f>
        <v>No</v>
      </c>
      <c r="O560" s="1" t="str">
        <f>IF(AND(Employee__2[[#This Row],[Education]]="Bachelors",Employee__2[[#This Row],[City]]="Pune"),"Yes","No")</f>
        <v>No</v>
      </c>
      <c r="P560" s="1" t="str">
        <f>IF(OR(Employee__2[[#This Row],[Age]]&gt;=30,Employee__2[[#This Row],[Gender]]="Male"),"Mached","Not mached")</f>
        <v>Mached</v>
      </c>
    </row>
    <row r="561" spans="4:16" x14ac:dyDescent="0.25">
      <c r="D561" s="6" t="s">
        <v>34</v>
      </c>
      <c r="E561">
        <v>2014</v>
      </c>
      <c r="F561" s="6" t="s">
        <v>35</v>
      </c>
      <c r="G561">
        <v>3</v>
      </c>
      <c r="H561">
        <v>28</v>
      </c>
      <c r="I561" s="6" t="s">
        <v>39</v>
      </c>
      <c r="J561" s="6" t="s">
        <v>37</v>
      </c>
      <c r="K561">
        <v>1</v>
      </c>
      <c r="M561" s="1" t="b">
        <f>Employee__2[[#This Row],[Experience]]&gt;1</f>
        <v>0</v>
      </c>
      <c r="N561" s="1" t="str">
        <f>IF(Employee__2[[#This Row],[City]]="Pune","Yes","No")</f>
        <v>No</v>
      </c>
      <c r="O561" s="1" t="str">
        <f>IF(AND(Employee__2[[#This Row],[Education]]="Bachelors",Employee__2[[#This Row],[City]]="Pune"),"Yes","No")</f>
        <v>No</v>
      </c>
      <c r="P561" s="1" t="str">
        <f>IF(OR(Employee__2[[#This Row],[Age]]&gt;=30,Employee__2[[#This Row],[Gender]]="Male"),"Mached","Not mached")</f>
        <v>Not mached</v>
      </c>
    </row>
    <row r="562" spans="4:16" x14ac:dyDescent="0.25">
      <c r="D562" s="6" t="s">
        <v>34</v>
      </c>
      <c r="E562">
        <v>2015</v>
      </c>
      <c r="F562" s="6" t="s">
        <v>35</v>
      </c>
      <c r="G562">
        <v>3</v>
      </c>
      <c r="H562">
        <v>25</v>
      </c>
      <c r="I562" s="6" t="s">
        <v>36</v>
      </c>
      <c r="J562" s="6" t="s">
        <v>37</v>
      </c>
      <c r="K562">
        <v>3</v>
      </c>
      <c r="M562" s="1" t="b">
        <f>Employee__2[[#This Row],[Experience]]&gt;1</f>
        <v>1</v>
      </c>
      <c r="N562" s="1" t="str">
        <f>IF(Employee__2[[#This Row],[City]]="Pune","Yes","No")</f>
        <v>No</v>
      </c>
      <c r="O562" s="1" t="str">
        <f>IF(AND(Employee__2[[#This Row],[Education]]="Bachelors",Employee__2[[#This Row],[City]]="Pune"),"Yes","No")</f>
        <v>No</v>
      </c>
      <c r="P562" s="1" t="str">
        <f>IF(OR(Employee__2[[#This Row],[Age]]&gt;=30,Employee__2[[#This Row],[Gender]]="Male"),"Mached","Not mached")</f>
        <v>Mached</v>
      </c>
    </row>
    <row r="563" spans="4:16" x14ac:dyDescent="0.25">
      <c r="D563" s="6" t="s">
        <v>34</v>
      </c>
      <c r="E563">
        <v>2015</v>
      </c>
      <c r="F563" s="6" t="s">
        <v>38</v>
      </c>
      <c r="G563">
        <v>2</v>
      </c>
      <c r="H563">
        <v>28</v>
      </c>
      <c r="I563" s="6" t="s">
        <v>39</v>
      </c>
      <c r="J563" s="6" t="s">
        <v>37</v>
      </c>
      <c r="K563">
        <v>3</v>
      </c>
      <c r="M563" s="1" t="b">
        <f>Employee__2[[#This Row],[Experience]]&gt;1</f>
        <v>1</v>
      </c>
      <c r="N563" s="1" t="str">
        <f>IF(Employee__2[[#This Row],[City]]="Pune","Yes","No")</f>
        <v>Yes</v>
      </c>
      <c r="O563" s="1" t="str">
        <f>IF(AND(Employee__2[[#This Row],[Education]]="Bachelors",Employee__2[[#This Row],[City]]="Pune"),"Yes","No")</f>
        <v>Yes</v>
      </c>
      <c r="P563" s="1" t="str">
        <f>IF(OR(Employee__2[[#This Row],[Age]]&gt;=30,Employee__2[[#This Row],[Gender]]="Male"),"Mached","Not mached")</f>
        <v>Not mached</v>
      </c>
    </row>
    <row r="564" spans="4:16" x14ac:dyDescent="0.25">
      <c r="D564" s="6" t="s">
        <v>34</v>
      </c>
      <c r="E564">
        <v>2017</v>
      </c>
      <c r="F564" s="6" t="s">
        <v>35</v>
      </c>
      <c r="G564">
        <v>3</v>
      </c>
      <c r="H564">
        <v>24</v>
      </c>
      <c r="I564" s="6" t="s">
        <v>39</v>
      </c>
      <c r="J564" s="6" t="s">
        <v>37</v>
      </c>
      <c r="K564">
        <v>2</v>
      </c>
      <c r="M564" s="1" t="b">
        <f>Employee__2[[#This Row],[Experience]]&gt;1</f>
        <v>1</v>
      </c>
      <c r="N564" s="1" t="str">
        <f>IF(Employee__2[[#This Row],[City]]="Pune","Yes","No")</f>
        <v>No</v>
      </c>
      <c r="O564" s="1" t="str">
        <f>IF(AND(Employee__2[[#This Row],[Education]]="Bachelors",Employee__2[[#This Row],[City]]="Pune"),"Yes","No")</f>
        <v>No</v>
      </c>
      <c r="P564" s="1" t="str">
        <f>IF(OR(Employee__2[[#This Row],[Age]]&gt;=30,Employee__2[[#This Row],[Gender]]="Male"),"Mached","Not mached")</f>
        <v>Not mached</v>
      </c>
    </row>
    <row r="565" spans="4:16" x14ac:dyDescent="0.25">
      <c r="D565" s="6" t="s">
        <v>34</v>
      </c>
      <c r="E565">
        <v>2016</v>
      </c>
      <c r="F565" s="6" t="s">
        <v>35</v>
      </c>
      <c r="G565">
        <v>3</v>
      </c>
      <c r="H565">
        <v>27</v>
      </c>
      <c r="I565" s="6" t="s">
        <v>39</v>
      </c>
      <c r="J565" s="6" t="s">
        <v>37</v>
      </c>
      <c r="K565">
        <v>5</v>
      </c>
      <c r="M565" s="1" t="b">
        <f>Employee__2[[#This Row],[Experience]]&gt;1</f>
        <v>1</v>
      </c>
      <c r="N565" s="1" t="str">
        <f>IF(Employee__2[[#This Row],[City]]="Pune","Yes","No")</f>
        <v>No</v>
      </c>
      <c r="O565" s="1" t="str">
        <f>IF(AND(Employee__2[[#This Row],[Education]]="Bachelors",Employee__2[[#This Row],[City]]="Pune"),"Yes","No")</f>
        <v>No</v>
      </c>
      <c r="P565" s="1" t="str">
        <f>IF(OR(Employee__2[[#This Row],[Age]]&gt;=30,Employee__2[[#This Row],[Gender]]="Male"),"Mached","Not mached")</f>
        <v>Not mached</v>
      </c>
    </row>
    <row r="566" spans="4:16" x14ac:dyDescent="0.25">
      <c r="D566" s="6" t="s">
        <v>34</v>
      </c>
      <c r="E566">
        <v>2012</v>
      </c>
      <c r="F566" s="6" t="s">
        <v>35</v>
      </c>
      <c r="G566">
        <v>3</v>
      </c>
      <c r="H566">
        <v>25</v>
      </c>
      <c r="I566" s="6" t="s">
        <v>36</v>
      </c>
      <c r="J566" s="6" t="s">
        <v>37</v>
      </c>
      <c r="K566">
        <v>3</v>
      </c>
      <c r="M566" s="1" t="b">
        <f>Employee__2[[#This Row],[Experience]]&gt;1</f>
        <v>1</v>
      </c>
      <c r="N566" s="1" t="str">
        <f>IF(Employee__2[[#This Row],[City]]="Pune","Yes","No")</f>
        <v>No</v>
      </c>
      <c r="O566" s="1" t="str">
        <f>IF(AND(Employee__2[[#This Row],[Education]]="Bachelors",Employee__2[[#This Row],[City]]="Pune"),"Yes","No")</f>
        <v>No</v>
      </c>
      <c r="P566" s="1" t="str">
        <f>IF(OR(Employee__2[[#This Row],[Age]]&gt;=30,Employee__2[[#This Row],[Gender]]="Male"),"Mached","Not mached")</f>
        <v>Mached</v>
      </c>
    </row>
    <row r="567" spans="4:16" x14ac:dyDescent="0.25">
      <c r="D567" s="6" t="s">
        <v>41</v>
      </c>
      <c r="E567">
        <v>2018</v>
      </c>
      <c r="F567" s="6" t="s">
        <v>38</v>
      </c>
      <c r="G567">
        <v>3</v>
      </c>
      <c r="H567">
        <v>25</v>
      </c>
      <c r="I567" s="6" t="s">
        <v>36</v>
      </c>
      <c r="J567" s="6" t="s">
        <v>37</v>
      </c>
      <c r="K567">
        <v>3</v>
      </c>
      <c r="M567" s="1" t="b">
        <f>Employee__2[[#This Row],[Experience]]&gt;1</f>
        <v>1</v>
      </c>
      <c r="N567" s="1" t="str">
        <f>IF(Employee__2[[#This Row],[City]]="Pune","Yes","No")</f>
        <v>Yes</v>
      </c>
      <c r="O567" s="1" t="str">
        <f>IF(AND(Employee__2[[#This Row],[Education]]="Bachelors",Employee__2[[#This Row],[City]]="Pune"),"Yes","No")</f>
        <v>No</v>
      </c>
      <c r="P567" s="1" t="str">
        <f>IF(OR(Employee__2[[#This Row],[Age]]&gt;=30,Employee__2[[#This Row],[Gender]]="Male"),"Mached","Not mached")</f>
        <v>Mached</v>
      </c>
    </row>
    <row r="568" spans="4:16" x14ac:dyDescent="0.25">
      <c r="D568" s="6" t="s">
        <v>34</v>
      </c>
      <c r="E568">
        <v>2015</v>
      </c>
      <c r="F568" s="6" t="s">
        <v>38</v>
      </c>
      <c r="G568">
        <v>3</v>
      </c>
      <c r="H568">
        <v>26</v>
      </c>
      <c r="I568" s="6" t="s">
        <v>36</v>
      </c>
      <c r="J568" s="6" t="s">
        <v>37</v>
      </c>
      <c r="K568">
        <v>4</v>
      </c>
      <c r="M568" s="1" t="b">
        <f>Employee__2[[#This Row],[Experience]]&gt;1</f>
        <v>1</v>
      </c>
      <c r="N568" s="1" t="str">
        <f>IF(Employee__2[[#This Row],[City]]="Pune","Yes","No")</f>
        <v>Yes</v>
      </c>
      <c r="O568" s="1" t="str">
        <f>IF(AND(Employee__2[[#This Row],[Education]]="Bachelors",Employee__2[[#This Row],[City]]="Pune"),"Yes","No")</f>
        <v>Yes</v>
      </c>
      <c r="P568" s="1" t="str">
        <f>IF(OR(Employee__2[[#This Row],[Age]]&gt;=30,Employee__2[[#This Row],[Gender]]="Male"),"Mached","Not mached")</f>
        <v>Mached</v>
      </c>
    </row>
    <row r="569" spans="4:16" x14ac:dyDescent="0.25">
      <c r="D569" s="6" t="s">
        <v>34</v>
      </c>
      <c r="E569">
        <v>2014</v>
      </c>
      <c r="F569" s="6" t="s">
        <v>38</v>
      </c>
      <c r="G569">
        <v>3</v>
      </c>
      <c r="H569">
        <v>26</v>
      </c>
      <c r="I569" s="6" t="s">
        <v>36</v>
      </c>
      <c r="J569" s="6" t="s">
        <v>37</v>
      </c>
      <c r="K569">
        <v>4</v>
      </c>
      <c r="M569" s="1" t="b">
        <f>Employee__2[[#This Row],[Experience]]&gt;1</f>
        <v>1</v>
      </c>
      <c r="N569" s="1" t="str">
        <f>IF(Employee__2[[#This Row],[City]]="Pune","Yes","No")</f>
        <v>Yes</v>
      </c>
      <c r="O569" s="1" t="str">
        <f>IF(AND(Employee__2[[#This Row],[Education]]="Bachelors",Employee__2[[#This Row],[City]]="Pune"),"Yes","No")</f>
        <v>Yes</v>
      </c>
      <c r="P569" s="1" t="str">
        <f>IF(OR(Employee__2[[#This Row],[Age]]&gt;=30,Employee__2[[#This Row],[Gender]]="Male"),"Mached","Not mached")</f>
        <v>Mached</v>
      </c>
    </row>
    <row r="570" spans="4:16" x14ac:dyDescent="0.25">
      <c r="D570" s="6" t="s">
        <v>43</v>
      </c>
      <c r="E570">
        <v>2017</v>
      </c>
      <c r="F570" s="6" t="s">
        <v>40</v>
      </c>
      <c r="G570">
        <v>3</v>
      </c>
      <c r="H570">
        <v>27</v>
      </c>
      <c r="I570" s="6" t="s">
        <v>36</v>
      </c>
      <c r="J570" s="6" t="s">
        <v>37</v>
      </c>
      <c r="K570">
        <v>5</v>
      </c>
      <c r="M570" s="1" t="b">
        <f>Employee__2[[#This Row],[Experience]]&gt;1</f>
        <v>1</v>
      </c>
      <c r="N570" s="1" t="str">
        <f>IF(Employee__2[[#This Row],[City]]="Pune","Yes","No")</f>
        <v>No</v>
      </c>
      <c r="O570" s="1" t="str">
        <f>IF(AND(Employee__2[[#This Row],[Education]]="Bachelors",Employee__2[[#This Row],[City]]="Pune"),"Yes","No")</f>
        <v>No</v>
      </c>
      <c r="P570" s="1" t="str">
        <f>IF(OR(Employee__2[[#This Row],[Age]]&gt;=30,Employee__2[[#This Row],[Gender]]="Male"),"Mached","Not mached")</f>
        <v>Mached</v>
      </c>
    </row>
    <row r="571" spans="4:16" x14ac:dyDescent="0.25">
      <c r="D571" s="6" t="s">
        <v>34</v>
      </c>
      <c r="E571">
        <v>2012</v>
      </c>
      <c r="F571" s="6" t="s">
        <v>35</v>
      </c>
      <c r="G571">
        <v>3</v>
      </c>
      <c r="H571">
        <v>26</v>
      </c>
      <c r="I571" s="6" t="s">
        <v>36</v>
      </c>
      <c r="J571" s="6" t="s">
        <v>37</v>
      </c>
      <c r="K571">
        <v>4</v>
      </c>
      <c r="M571" s="1" t="b">
        <f>Employee__2[[#This Row],[Experience]]&gt;1</f>
        <v>1</v>
      </c>
      <c r="N571" s="1" t="str">
        <f>IF(Employee__2[[#This Row],[City]]="Pune","Yes","No")</f>
        <v>No</v>
      </c>
      <c r="O571" s="1" t="str">
        <f>IF(AND(Employee__2[[#This Row],[Education]]="Bachelors",Employee__2[[#This Row],[City]]="Pune"),"Yes","No")</f>
        <v>No</v>
      </c>
      <c r="P571" s="1" t="str">
        <f>IF(OR(Employee__2[[#This Row],[Age]]&gt;=30,Employee__2[[#This Row],[Gender]]="Male"),"Mached","Not mached")</f>
        <v>Mached</v>
      </c>
    </row>
    <row r="572" spans="4:16" x14ac:dyDescent="0.25">
      <c r="D572" s="6" t="s">
        <v>34</v>
      </c>
      <c r="E572">
        <v>2016</v>
      </c>
      <c r="F572" s="6" t="s">
        <v>35</v>
      </c>
      <c r="G572">
        <v>3</v>
      </c>
      <c r="H572">
        <v>26</v>
      </c>
      <c r="I572" s="6" t="s">
        <v>36</v>
      </c>
      <c r="J572" s="6" t="s">
        <v>37</v>
      </c>
      <c r="K572">
        <v>4</v>
      </c>
      <c r="M572" s="1" t="b">
        <f>Employee__2[[#This Row],[Experience]]&gt;1</f>
        <v>1</v>
      </c>
      <c r="N572" s="1" t="str">
        <f>IF(Employee__2[[#This Row],[City]]="Pune","Yes","No")</f>
        <v>No</v>
      </c>
      <c r="O572" s="1" t="str">
        <f>IF(AND(Employee__2[[#This Row],[Education]]="Bachelors",Employee__2[[#This Row],[City]]="Pune"),"Yes","No")</f>
        <v>No</v>
      </c>
      <c r="P572" s="1" t="str">
        <f>IF(OR(Employee__2[[#This Row],[Age]]&gt;=30,Employee__2[[#This Row],[Gender]]="Male"),"Mached","Not mached")</f>
        <v>Mached</v>
      </c>
    </row>
    <row r="573" spans="4:16" x14ac:dyDescent="0.25">
      <c r="D573" s="6" t="s">
        <v>34</v>
      </c>
      <c r="E573">
        <v>2017</v>
      </c>
      <c r="F573" s="6" t="s">
        <v>40</v>
      </c>
      <c r="G573">
        <v>3</v>
      </c>
      <c r="H573">
        <v>28</v>
      </c>
      <c r="I573" s="6" t="s">
        <v>39</v>
      </c>
      <c r="J573" s="6" t="s">
        <v>37</v>
      </c>
      <c r="K573">
        <v>2</v>
      </c>
      <c r="M573" s="1" t="b">
        <f>Employee__2[[#This Row],[Experience]]&gt;1</f>
        <v>1</v>
      </c>
      <c r="N573" s="1" t="str">
        <f>IF(Employee__2[[#This Row],[City]]="Pune","Yes","No")</f>
        <v>No</v>
      </c>
      <c r="O573" s="1" t="str">
        <f>IF(AND(Employee__2[[#This Row],[Education]]="Bachelors",Employee__2[[#This Row],[City]]="Pune"),"Yes","No")</f>
        <v>No</v>
      </c>
      <c r="P573" s="1" t="str">
        <f>IF(OR(Employee__2[[#This Row],[Age]]&gt;=30,Employee__2[[#This Row],[Gender]]="Male"),"Mached","Not mached")</f>
        <v>Not mached</v>
      </c>
    </row>
    <row r="574" spans="4:16" x14ac:dyDescent="0.25">
      <c r="D574" s="6" t="s">
        <v>34</v>
      </c>
      <c r="E574">
        <v>2014</v>
      </c>
      <c r="F574" s="6" t="s">
        <v>38</v>
      </c>
      <c r="G574">
        <v>3</v>
      </c>
      <c r="H574">
        <v>25</v>
      </c>
      <c r="I574" s="6" t="s">
        <v>39</v>
      </c>
      <c r="J574" s="6" t="s">
        <v>37</v>
      </c>
      <c r="K574">
        <v>3</v>
      </c>
      <c r="M574" s="1" t="b">
        <f>Employee__2[[#This Row],[Experience]]&gt;1</f>
        <v>1</v>
      </c>
      <c r="N574" s="1" t="str">
        <f>IF(Employee__2[[#This Row],[City]]="Pune","Yes","No")</f>
        <v>Yes</v>
      </c>
      <c r="O574" s="1" t="str">
        <f>IF(AND(Employee__2[[#This Row],[Education]]="Bachelors",Employee__2[[#This Row],[City]]="Pune"),"Yes","No")</f>
        <v>Yes</v>
      </c>
      <c r="P574" s="1" t="str">
        <f>IF(OR(Employee__2[[#This Row],[Age]]&gt;=30,Employee__2[[#This Row],[Gender]]="Male"),"Mached","Not mached")</f>
        <v>Not mached</v>
      </c>
    </row>
    <row r="575" spans="4:16" x14ac:dyDescent="0.25">
      <c r="D575" s="6" t="s">
        <v>34</v>
      </c>
      <c r="E575">
        <v>2013</v>
      </c>
      <c r="F575" s="6" t="s">
        <v>35</v>
      </c>
      <c r="G575">
        <v>3</v>
      </c>
      <c r="H575">
        <v>28</v>
      </c>
      <c r="I575" s="6" t="s">
        <v>36</v>
      </c>
      <c r="J575" s="6" t="s">
        <v>42</v>
      </c>
      <c r="K575">
        <v>3</v>
      </c>
      <c r="M575" s="1" t="b">
        <f>Employee__2[[#This Row],[Experience]]&gt;1</f>
        <v>1</v>
      </c>
      <c r="N575" s="1" t="str">
        <f>IF(Employee__2[[#This Row],[City]]="Pune","Yes","No")</f>
        <v>No</v>
      </c>
      <c r="O575" s="1" t="str">
        <f>IF(AND(Employee__2[[#This Row],[Education]]="Bachelors",Employee__2[[#This Row],[City]]="Pune"),"Yes","No")</f>
        <v>No</v>
      </c>
      <c r="P575" s="1" t="str">
        <f>IF(OR(Employee__2[[#This Row],[Age]]&gt;=30,Employee__2[[#This Row],[Gender]]="Male"),"Mached","Not mached")</f>
        <v>Mached</v>
      </c>
    </row>
    <row r="576" spans="4:16" x14ac:dyDescent="0.25">
      <c r="D576" s="6" t="s">
        <v>34</v>
      </c>
      <c r="E576">
        <v>2017</v>
      </c>
      <c r="F576" s="6" t="s">
        <v>35</v>
      </c>
      <c r="G576">
        <v>3</v>
      </c>
      <c r="H576">
        <v>25</v>
      </c>
      <c r="I576" s="6" t="s">
        <v>36</v>
      </c>
      <c r="J576" s="6" t="s">
        <v>37</v>
      </c>
      <c r="K576">
        <v>3</v>
      </c>
      <c r="M576" s="1" t="b">
        <f>Employee__2[[#This Row],[Experience]]&gt;1</f>
        <v>1</v>
      </c>
      <c r="N576" s="1" t="str">
        <f>IF(Employee__2[[#This Row],[City]]="Pune","Yes","No")</f>
        <v>No</v>
      </c>
      <c r="O576" s="1" t="str">
        <f>IF(AND(Employee__2[[#This Row],[Education]]="Bachelors",Employee__2[[#This Row],[City]]="Pune"),"Yes","No")</f>
        <v>No</v>
      </c>
      <c r="P576" s="1" t="str">
        <f>IF(OR(Employee__2[[#This Row],[Age]]&gt;=30,Employee__2[[#This Row],[Gender]]="Male"),"Mached","Not mached")</f>
        <v>Mached</v>
      </c>
    </row>
    <row r="577" spans="4:16" x14ac:dyDescent="0.25">
      <c r="D577" s="6" t="s">
        <v>34</v>
      </c>
      <c r="E577">
        <v>2018</v>
      </c>
      <c r="F577" s="6" t="s">
        <v>35</v>
      </c>
      <c r="G577">
        <v>3</v>
      </c>
      <c r="H577">
        <v>27</v>
      </c>
      <c r="I577" s="6" t="s">
        <v>36</v>
      </c>
      <c r="J577" s="6" t="s">
        <v>37</v>
      </c>
      <c r="K577">
        <v>5</v>
      </c>
      <c r="M577" s="1" t="b">
        <f>Employee__2[[#This Row],[Experience]]&gt;1</f>
        <v>1</v>
      </c>
      <c r="N577" s="1" t="str">
        <f>IF(Employee__2[[#This Row],[City]]="Pune","Yes","No")</f>
        <v>No</v>
      </c>
      <c r="O577" s="1" t="str">
        <f>IF(AND(Employee__2[[#This Row],[Education]]="Bachelors",Employee__2[[#This Row],[City]]="Pune"),"Yes","No")</f>
        <v>No</v>
      </c>
      <c r="P577" s="1" t="str">
        <f>IF(OR(Employee__2[[#This Row],[Age]]&gt;=30,Employee__2[[#This Row],[Gender]]="Male"),"Mached","Not mached")</f>
        <v>Mached</v>
      </c>
    </row>
    <row r="578" spans="4:16" x14ac:dyDescent="0.25">
      <c r="D578" s="6" t="s">
        <v>34</v>
      </c>
      <c r="E578">
        <v>2017</v>
      </c>
      <c r="F578" s="6" t="s">
        <v>35</v>
      </c>
      <c r="G578">
        <v>3</v>
      </c>
      <c r="H578">
        <v>26</v>
      </c>
      <c r="I578" s="6" t="s">
        <v>36</v>
      </c>
      <c r="J578" s="6" t="s">
        <v>37</v>
      </c>
      <c r="K578">
        <v>4</v>
      </c>
      <c r="M578" s="1" t="b">
        <f>Employee__2[[#This Row],[Experience]]&gt;1</f>
        <v>1</v>
      </c>
      <c r="N578" s="1" t="str">
        <f>IF(Employee__2[[#This Row],[City]]="Pune","Yes","No")</f>
        <v>No</v>
      </c>
      <c r="O578" s="1" t="str">
        <f>IF(AND(Employee__2[[#This Row],[Education]]="Bachelors",Employee__2[[#This Row],[City]]="Pune"),"Yes","No")</f>
        <v>No</v>
      </c>
      <c r="P578" s="1" t="str">
        <f>IF(OR(Employee__2[[#This Row],[Age]]&gt;=30,Employee__2[[#This Row],[Gender]]="Male"),"Mached","Not mached")</f>
        <v>Mached</v>
      </c>
    </row>
    <row r="579" spans="4:16" x14ac:dyDescent="0.25">
      <c r="D579" s="6" t="s">
        <v>34</v>
      </c>
      <c r="E579">
        <v>2017</v>
      </c>
      <c r="F579" s="6" t="s">
        <v>38</v>
      </c>
      <c r="G579">
        <v>2</v>
      </c>
      <c r="H579">
        <v>25</v>
      </c>
      <c r="I579" s="6" t="s">
        <v>39</v>
      </c>
      <c r="J579" s="6" t="s">
        <v>37</v>
      </c>
      <c r="K579">
        <v>3</v>
      </c>
      <c r="M579" s="1" t="b">
        <f>Employee__2[[#This Row],[Experience]]&gt;1</f>
        <v>1</v>
      </c>
      <c r="N579" s="1" t="str">
        <f>IF(Employee__2[[#This Row],[City]]="Pune","Yes","No")</f>
        <v>Yes</v>
      </c>
      <c r="O579" s="1" t="str">
        <f>IF(AND(Employee__2[[#This Row],[Education]]="Bachelors",Employee__2[[#This Row],[City]]="Pune"),"Yes","No")</f>
        <v>Yes</v>
      </c>
      <c r="P579" s="1" t="str">
        <f>IF(OR(Employee__2[[#This Row],[Age]]&gt;=30,Employee__2[[#This Row],[Gender]]="Male"),"Mached","Not mached")</f>
        <v>Not mached</v>
      </c>
    </row>
    <row r="580" spans="4:16" x14ac:dyDescent="0.25">
      <c r="D580" s="6" t="s">
        <v>34</v>
      </c>
      <c r="E580">
        <v>2017</v>
      </c>
      <c r="F580" s="6" t="s">
        <v>38</v>
      </c>
      <c r="G580">
        <v>2</v>
      </c>
      <c r="H580">
        <v>26</v>
      </c>
      <c r="I580" s="6" t="s">
        <v>39</v>
      </c>
      <c r="J580" s="6" t="s">
        <v>37</v>
      </c>
      <c r="K580">
        <v>4</v>
      </c>
      <c r="M580" s="1" t="b">
        <f>Employee__2[[#This Row],[Experience]]&gt;1</f>
        <v>1</v>
      </c>
      <c r="N580" s="1" t="str">
        <f>IF(Employee__2[[#This Row],[City]]="Pune","Yes","No")</f>
        <v>Yes</v>
      </c>
      <c r="O580" s="1" t="str">
        <f>IF(AND(Employee__2[[#This Row],[Education]]="Bachelors",Employee__2[[#This Row],[City]]="Pune"),"Yes","No")</f>
        <v>Yes</v>
      </c>
      <c r="P580" s="1" t="str">
        <f>IF(OR(Employee__2[[#This Row],[Age]]&gt;=30,Employee__2[[#This Row],[Gender]]="Male"),"Mached","Not mached")</f>
        <v>Not mached</v>
      </c>
    </row>
    <row r="581" spans="4:16" x14ac:dyDescent="0.25">
      <c r="D581" s="6" t="s">
        <v>34</v>
      </c>
      <c r="E581">
        <v>2015</v>
      </c>
      <c r="F581" s="6" t="s">
        <v>38</v>
      </c>
      <c r="G581">
        <v>3</v>
      </c>
      <c r="H581">
        <v>28</v>
      </c>
      <c r="I581" s="6" t="s">
        <v>36</v>
      </c>
      <c r="J581" s="6" t="s">
        <v>37</v>
      </c>
      <c r="K581">
        <v>3</v>
      </c>
      <c r="M581" s="1" t="b">
        <f>Employee__2[[#This Row],[Experience]]&gt;1</f>
        <v>1</v>
      </c>
      <c r="N581" s="1" t="str">
        <f>IF(Employee__2[[#This Row],[City]]="Pune","Yes","No")</f>
        <v>Yes</v>
      </c>
      <c r="O581" s="1" t="str">
        <f>IF(AND(Employee__2[[#This Row],[Education]]="Bachelors",Employee__2[[#This Row],[City]]="Pune"),"Yes","No")</f>
        <v>Yes</v>
      </c>
      <c r="P581" s="1" t="str">
        <f>IF(OR(Employee__2[[#This Row],[Age]]&gt;=30,Employee__2[[#This Row],[Gender]]="Male"),"Mached","Not mached")</f>
        <v>Mached</v>
      </c>
    </row>
    <row r="582" spans="4:16" x14ac:dyDescent="0.25">
      <c r="D582" s="6" t="s">
        <v>41</v>
      </c>
      <c r="E582">
        <v>2017</v>
      </c>
      <c r="F582" s="6" t="s">
        <v>38</v>
      </c>
      <c r="G582">
        <v>2</v>
      </c>
      <c r="H582">
        <v>26</v>
      </c>
      <c r="I582" s="6" t="s">
        <v>36</v>
      </c>
      <c r="J582" s="6" t="s">
        <v>37</v>
      </c>
      <c r="K582">
        <v>4</v>
      </c>
      <c r="M582" s="1" t="b">
        <f>Employee__2[[#This Row],[Experience]]&gt;1</f>
        <v>1</v>
      </c>
      <c r="N582" s="1" t="str">
        <f>IF(Employee__2[[#This Row],[City]]="Pune","Yes","No")</f>
        <v>Yes</v>
      </c>
      <c r="O582" s="1" t="str">
        <f>IF(AND(Employee__2[[#This Row],[Education]]="Bachelors",Employee__2[[#This Row],[City]]="Pune"),"Yes","No")</f>
        <v>No</v>
      </c>
      <c r="P582" s="1" t="str">
        <f>IF(OR(Employee__2[[#This Row],[Age]]&gt;=30,Employee__2[[#This Row],[Gender]]="Male"),"Mached","Not mached")</f>
        <v>Mached</v>
      </c>
    </row>
    <row r="583" spans="4:16" x14ac:dyDescent="0.25">
      <c r="D583" s="6" t="s">
        <v>41</v>
      </c>
      <c r="E583">
        <v>2015</v>
      </c>
      <c r="F583" s="6" t="s">
        <v>40</v>
      </c>
      <c r="G583">
        <v>3</v>
      </c>
      <c r="H583">
        <v>28</v>
      </c>
      <c r="I583" s="6" t="s">
        <v>39</v>
      </c>
      <c r="J583" s="6" t="s">
        <v>42</v>
      </c>
      <c r="K583">
        <v>2</v>
      </c>
      <c r="M583" s="1" t="b">
        <f>Employee__2[[#This Row],[Experience]]&gt;1</f>
        <v>1</v>
      </c>
      <c r="N583" s="1" t="str">
        <f>IF(Employee__2[[#This Row],[City]]="Pune","Yes","No")</f>
        <v>No</v>
      </c>
      <c r="O583" s="1" t="str">
        <f>IF(AND(Employee__2[[#This Row],[Education]]="Bachelors",Employee__2[[#This Row],[City]]="Pune"),"Yes","No")</f>
        <v>No</v>
      </c>
      <c r="P583" s="1" t="str">
        <f>IF(OR(Employee__2[[#This Row],[Age]]&gt;=30,Employee__2[[#This Row],[Gender]]="Male"),"Mached","Not mached")</f>
        <v>Not mached</v>
      </c>
    </row>
    <row r="584" spans="4:16" x14ac:dyDescent="0.25">
      <c r="D584" s="6" t="s">
        <v>34</v>
      </c>
      <c r="E584">
        <v>2012</v>
      </c>
      <c r="F584" s="6" t="s">
        <v>40</v>
      </c>
      <c r="G584">
        <v>2</v>
      </c>
      <c r="H584">
        <v>25</v>
      </c>
      <c r="I584" s="6" t="s">
        <v>36</v>
      </c>
      <c r="J584" s="6" t="s">
        <v>37</v>
      </c>
      <c r="K584">
        <v>3</v>
      </c>
      <c r="M584" s="1" t="b">
        <f>Employee__2[[#This Row],[Experience]]&gt;1</f>
        <v>1</v>
      </c>
      <c r="N584" s="1" t="str">
        <f>IF(Employee__2[[#This Row],[City]]="Pune","Yes","No")</f>
        <v>No</v>
      </c>
      <c r="O584" s="1" t="str">
        <f>IF(AND(Employee__2[[#This Row],[Education]]="Bachelors",Employee__2[[#This Row],[City]]="Pune"),"Yes","No")</f>
        <v>No</v>
      </c>
      <c r="P584" s="1" t="str">
        <f>IF(OR(Employee__2[[#This Row],[Age]]&gt;=30,Employee__2[[#This Row],[Gender]]="Male"),"Mached","Not mached")</f>
        <v>Mached</v>
      </c>
    </row>
    <row r="585" spans="4:16" x14ac:dyDescent="0.25">
      <c r="D585" s="6" t="s">
        <v>34</v>
      </c>
      <c r="E585">
        <v>2016</v>
      </c>
      <c r="F585" s="6" t="s">
        <v>35</v>
      </c>
      <c r="G585">
        <v>3</v>
      </c>
      <c r="H585">
        <v>25</v>
      </c>
      <c r="I585" s="6" t="s">
        <v>39</v>
      </c>
      <c r="J585" s="6" t="s">
        <v>37</v>
      </c>
      <c r="K585">
        <v>3</v>
      </c>
      <c r="M585" s="1" t="b">
        <f>Employee__2[[#This Row],[Experience]]&gt;1</f>
        <v>1</v>
      </c>
      <c r="N585" s="1" t="str">
        <f>IF(Employee__2[[#This Row],[City]]="Pune","Yes","No")</f>
        <v>No</v>
      </c>
      <c r="O585" s="1" t="str">
        <f>IF(AND(Employee__2[[#This Row],[Education]]="Bachelors",Employee__2[[#This Row],[City]]="Pune"),"Yes","No")</f>
        <v>No</v>
      </c>
      <c r="P585" s="1" t="str">
        <f>IF(OR(Employee__2[[#This Row],[Age]]&gt;=30,Employee__2[[#This Row],[Gender]]="Male"),"Mached","Not mached")</f>
        <v>Not mached</v>
      </c>
    </row>
    <row r="586" spans="4:16" x14ac:dyDescent="0.25">
      <c r="D586" s="6" t="s">
        <v>41</v>
      </c>
      <c r="E586">
        <v>2017</v>
      </c>
      <c r="F586" s="6" t="s">
        <v>40</v>
      </c>
      <c r="G586">
        <v>2</v>
      </c>
      <c r="H586">
        <v>26</v>
      </c>
      <c r="I586" s="6" t="s">
        <v>39</v>
      </c>
      <c r="J586" s="6" t="s">
        <v>37</v>
      </c>
      <c r="K586">
        <v>4</v>
      </c>
      <c r="M586" s="1" t="b">
        <f>Employee__2[[#This Row],[Experience]]&gt;1</f>
        <v>1</v>
      </c>
      <c r="N586" s="1" t="str">
        <f>IF(Employee__2[[#This Row],[City]]="Pune","Yes","No")</f>
        <v>No</v>
      </c>
      <c r="O586" s="1" t="str">
        <f>IF(AND(Employee__2[[#This Row],[Education]]="Bachelors",Employee__2[[#This Row],[City]]="Pune"),"Yes","No")</f>
        <v>No</v>
      </c>
      <c r="P586" s="1" t="str">
        <f>IF(OR(Employee__2[[#This Row],[Age]]&gt;=30,Employee__2[[#This Row],[Gender]]="Male"),"Mached","Not mached")</f>
        <v>Not mached</v>
      </c>
    </row>
    <row r="587" spans="4:16" x14ac:dyDescent="0.25">
      <c r="D587" s="6" t="s">
        <v>34</v>
      </c>
      <c r="E587">
        <v>2014</v>
      </c>
      <c r="F587" s="6" t="s">
        <v>35</v>
      </c>
      <c r="G587">
        <v>3</v>
      </c>
      <c r="H587">
        <v>25</v>
      </c>
      <c r="I587" s="6" t="s">
        <v>36</v>
      </c>
      <c r="J587" s="6" t="s">
        <v>37</v>
      </c>
      <c r="K587">
        <v>3</v>
      </c>
      <c r="M587" s="1" t="b">
        <f>Employee__2[[#This Row],[Experience]]&gt;1</f>
        <v>1</v>
      </c>
      <c r="N587" s="1" t="str">
        <f>IF(Employee__2[[#This Row],[City]]="Pune","Yes","No")</f>
        <v>No</v>
      </c>
      <c r="O587" s="1" t="str">
        <f>IF(AND(Employee__2[[#This Row],[Education]]="Bachelors",Employee__2[[#This Row],[City]]="Pune"),"Yes","No")</f>
        <v>No</v>
      </c>
      <c r="P587" s="1" t="str">
        <f>IF(OR(Employee__2[[#This Row],[Age]]&gt;=30,Employee__2[[#This Row],[Gender]]="Male"),"Mached","Not mached")</f>
        <v>Mached</v>
      </c>
    </row>
    <row r="588" spans="4:16" x14ac:dyDescent="0.25">
      <c r="D588" s="6" t="s">
        <v>34</v>
      </c>
      <c r="E588">
        <v>2014</v>
      </c>
      <c r="F588" s="6" t="s">
        <v>35</v>
      </c>
      <c r="G588">
        <v>3</v>
      </c>
      <c r="H588">
        <v>25</v>
      </c>
      <c r="I588" s="6" t="s">
        <v>36</v>
      </c>
      <c r="J588" s="6" t="s">
        <v>37</v>
      </c>
      <c r="K588">
        <v>3</v>
      </c>
      <c r="M588" s="1" t="b">
        <f>Employee__2[[#This Row],[Experience]]&gt;1</f>
        <v>1</v>
      </c>
      <c r="N588" s="1" t="str">
        <f>IF(Employee__2[[#This Row],[City]]="Pune","Yes","No")</f>
        <v>No</v>
      </c>
      <c r="O588" s="1" t="str">
        <f>IF(AND(Employee__2[[#This Row],[Education]]="Bachelors",Employee__2[[#This Row],[City]]="Pune"),"Yes","No")</f>
        <v>No</v>
      </c>
      <c r="P588" s="1" t="str">
        <f>IF(OR(Employee__2[[#This Row],[Age]]&gt;=30,Employee__2[[#This Row],[Gender]]="Male"),"Mached","Not mached")</f>
        <v>Mached</v>
      </c>
    </row>
    <row r="589" spans="4:16" x14ac:dyDescent="0.25">
      <c r="D589" s="6" t="s">
        <v>43</v>
      </c>
      <c r="E589">
        <v>2018</v>
      </c>
      <c r="F589" s="6" t="s">
        <v>35</v>
      </c>
      <c r="G589">
        <v>3</v>
      </c>
      <c r="H589">
        <v>26</v>
      </c>
      <c r="I589" s="6" t="s">
        <v>36</v>
      </c>
      <c r="J589" s="6" t="s">
        <v>37</v>
      </c>
      <c r="K589">
        <v>4</v>
      </c>
      <c r="M589" s="1" t="b">
        <f>Employee__2[[#This Row],[Experience]]&gt;1</f>
        <v>1</v>
      </c>
      <c r="N589" s="1" t="str">
        <f>IF(Employee__2[[#This Row],[City]]="Pune","Yes","No")</f>
        <v>No</v>
      </c>
      <c r="O589" s="1" t="str">
        <f>IF(AND(Employee__2[[#This Row],[Education]]="Bachelors",Employee__2[[#This Row],[City]]="Pune"),"Yes","No")</f>
        <v>No</v>
      </c>
      <c r="P589" s="1" t="str">
        <f>IF(OR(Employee__2[[#This Row],[Age]]&gt;=30,Employee__2[[#This Row],[Gender]]="Male"),"Mached","Not mached")</f>
        <v>Mached</v>
      </c>
    </row>
    <row r="590" spans="4:16" x14ac:dyDescent="0.25">
      <c r="D590" s="6" t="s">
        <v>34</v>
      </c>
      <c r="E590">
        <v>2016</v>
      </c>
      <c r="F590" s="6" t="s">
        <v>38</v>
      </c>
      <c r="G590">
        <v>3</v>
      </c>
      <c r="H590">
        <v>26</v>
      </c>
      <c r="I590" s="6" t="s">
        <v>36</v>
      </c>
      <c r="J590" s="6" t="s">
        <v>37</v>
      </c>
      <c r="K590">
        <v>4</v>
      </c>
      <c r="M590" s="1" t="b">
        <f>Employee__2[[#This Row],[Experience]]&gt;1</f>
        <v>1</v>
      </c>
      <c r="N590" s="1" t="str">
        <f>IF(Employee__2[[#This Row],[City]]="Pune","Yes","No")</f>
        <v>Yes</v>
      </c>
      <c r="O590" s="1" t="str">
        <f>IF(AND(Employee__2[[#This Row],[Education]]="Bachelors",Employee__2[[#This Row],[City]]="Pune"),"Yes","No")</f>
        <v>Yes</v>
      </c>
      <c r="P590" s="1" t="str">
        <f>IF(OR(Employee__2[[#This Row],[Age]]&gt;=30,Employee__2[[#This Row],[Gender]]="Male"),"Mached","Not mached")</f>
        <v>Mached</v>
      </c>
    </row>
    <row r="591" spans="4:16" x14ac:dyDescent="0.25">
      <c r="D591" s="6" t="s">
        <v>34</v>
      </c>
      <c r="E591">
        <v>2014</v>
      </c>
      <c r="F591" s="6" t="s">
        <v>35</v>
      </c>
      <c r="G591">
        <v>3</v>
      </c>
      <c r="H591">
        <v>27</v>
      </c>
      <c r="I591" s="6" t="s">
        <v>36</v>
      </c>
      <c r="J591" s="6" t="s">
        <v>37</v>
      </c>
      <c r="K591">
        <v>5</v>
      </c>
      <c r="M591" s="1" t="b">
        <f>Employee__2[[#This Row],[Experience]]&gt;1</f>
        <v>1</v>
      </c>
      <c r="N591" s="1" t="str">
        <f>IF(Employee__2[[#This Row],[City]]="Pune","Yes","No")</f>
        <v>No</v>
      </c>
      <c r="O591" s="1" t="str">
        <f>IF(AND(Employee__2[[#This Row],[Education]]="Bachelors",Employee__2[[#This Row],[City]]="Pune"),"Yes","No")</f>
        <v>No</v>
      </c>
      <c r="P591" s="1" t="str">
        <f>IF(OR(Employee__2[[#This Row],[Age]]&gt;=30,Employee__2[[#This Row],[Gender]]="Male"),"Mached","Not mached")</f>
        <v>Mached</v>
      </c>
    </row>
    <row r="592" spans="4:16" x14ac:dyDescent="0.25">
      <c r="D592" s="6" t="s">
        <v>34</v>
      </c>
      <c r="E592">
        <v>2012</v>
      </c>
      <c r="F592" s="6" t="s">
        <v>35</v>
      </c>
      <c r="G592">
        <v>3</v>
      </c>
      <c r="H592">
        <v>25</v>
      </c>
      <c r="I592" s="6" t="s">
        <v>36</v>
      </c>
      <c r="J592" s="6" t="s">
        <v>37</v>
      </c>
      <c r="K592">
        <v>3</v>
      </c>
      <c r="M592" s="1" t="b">
        <f>Employee__2[[#This Row],[Experience]]&gt;1</f>
        <v>1</v>
      </c>
      <c r="N592" s="1" t="str">
        <f>IF(Employee__2[[#This Row],[City]]="Pune","Yes","No")</f>
        <v>No</v>
      </c>
      <c r="O592" s="1" t="str">
        <f>IF(AND(Employee__2[[#This Row],[Education]]="Bachelors",Employee__2[[#This Row],[City]]="Pune"),"Yes","No")</f>
        <v>No</v>
      </c>
      <c r="P592" s="1" t="str">
        <f>IF(OR(Employee__2[[#This Row],[Age]]&gt;=30,Employee__2[[#This Row],[Gender]]="Male"),"Mached","Not mached")</f>
        <v>Mached</v>
      </c>
    </row>
    <row r="593" spans="4:16" x14ac:dyDescent="0.25">
      <c r="D593" s="6" t="s">
        <v>41</v>
      </c>
      <c r="E593">
        <v>2012</v>
      </c>
      <c r="F593" s="6" t="s">
        <v>38</v>
      </c>
      <c r="G593">
        <v>2</v>
      </c>
      <c r="H593">
        <v>26</v>
      </c>
      <c r="I593" s="6" t="s">
        <v>39</v>
      </c>
      <c r="J593" s="6" t="s">
        <v>37</v>
      </c>
      <c r="K593">
        <v>4</v>
      </c>
      <c r="M593" s="1" t="b">
        <f>Employee__2[[#This Row],[Experience]]&gt;1</f>
        <v>1</v>
      </c>
      <c r="N593" s="1" t="str">
        <f>IF(Employee__2[[#This Row],[City]]="Pune","Yes","No")</f>
        <v>Yes</v>
      </c>
      <c r="O593" s="1" t="str">
        <f>IF(AND(Employee__2[[#This Row],[Education]]="Bachelors",Employee__2[[#This Row],[City]]="Pune"),"Yes","No")</f>
        <v>No</v>
      </c>
      <c r="P593" s="1" t="str">
        <f>IF(OR(Employee__2[[#This Row],[Age]]&gt;=30,Employee__2[[#This Row],[Gender]]="Male"),"Mached","Not mached")</f>
        <v>Not mached</v>
      </c>
    </row>
    <row r="594" spans="4:16" x14ac:dyDescent="0.25">
      <c r="D594" s="6" t="s">
        <v>41</v>
      </c>
      <c r="E594">
        <v>2016</v>
      </c>
      <c r="F594" s="6" t="s">
        <v>40</v>
      </c>
      <c r="G594">
        <v>3</v>
      </c>
      <c r="H594">
        <v>27</v>
      </c>
      <c r="I594" s="6" t="s">
        <v>36</v>
      </c>
      <c r="J594" s="6" t="s">
        <v>37</v>
      </c>
      <c r="K594">
        <v>5</v>
      </c>
      <c r="M594" s="1" t="b">
        <f>Employee__2[[#This Row],[Experience]]&gt;1</f>
        <v>1</v>
      </c>
      <c r="N594" s="1" t="str">
        <f>IF(Employee__2[[#This Row],[City]]="Pune","Yes","No")</f>
        <v>No</v>
      </c>
      <c r="O594" s="1" t="str">
        <f>IF(AND(Employee__2[[#This Row],[Education]]="Bachelors",Employee__2[[#This Row],[City]]="Pune"),"Yes","No")</f>
        <v>No</v>
      </c>
      <c r="P594" s="1" t="str">
        <f>IF(OR(Employee__2[[#This Row],[Age]]&gt;=30,Employee__2[[#This Row],[Gender]]="Male"),"Mached","Not mached")</f>
        <v>Mached</v>
      </c>
    </row>
    <row r="595" spans="4:16" x14ac:dyDescent="0.25">
      <c r="D595" s="6" t="s">
        <v>43</v>
      </c>
      <c r="E595">
        <v>2017</v>
      </c>
      <c r="F595" s="6" t="s">
        <v>35</v>
      </c>
      <c r="G595">
        <v>3</v>
      </c>
      <c r="H595">
        <v>28</v>
      </c>
      <c r="I595" s="6" t="s">
        <v>36</v>
      </c>
      <c r="J595" s="6" t="s">
        <v>37</v>
      </c>
      <c r="K595">
        <v>1</v>
      </c>
      <c r="M595" s="1" t="b">
        <f>Employee__2[[#This Row],[Experience]]&gt;1</f>
        <v>0</v>
      </c>
      <c r="N595" s="1" t="str">
        <f>IF(Employee__2[[#This Row],[City]]="Pune","Yes","No")</f>
        <v>No</v>
      </c>
      <c r="O595" s="1" t="str">
        <f>IF(AND(Employee__2[[#This Row],[Education]]="Bachelors",Employee__2[[#This Row],[City]]="Pune"),"Yes","No")</f>
        <v>No</v>
      </c>
      <c r="P595" s="1" t="str">
        <f>IF(OR(Employee__2[[#This Row],[Age]]&gt;=30,Employee__2[[#This Row],[Gender]]="Male"),"Mached","Not mached")</f>
        <v>Mached</v>
      </c>
    </row>
    <row r="596" spans="4:16" x14ac:dyDescent="0.25">
      <c r="D596" s="6" t="s">
        <v>34</v>
      </c>
      <c r="E596">
        <v>2014</v>
      </c>
      <c r="F596" s="6" t="s">
        <v>35</v>
      </c>
      <c r="G596">
        <v>3</v>
      </c>
      <c r="H596">
        <v>27</v>
      </c>
      <c r="I596" s="6" t="s">
        <v>36</v>
      </c>
      <c r="J596" s="6" t="s">
        <v>37</v>
      </c>
      <c r="K596">
        <v>5</v>
      </c>
      <c r="M596" s="1" t="b">
        <f>Employee__2[[#This Row],[Experience]]&gt;1</f>
        <v>1</v>
      </c>
      <c r="N596" s="1" t="str">
        <f>IF(Employee__2[[#This Row],[City]]="Pune","Yes","No")</f>
        <v>No</v>
      </c>
      <c r="O596" s="1" t="str">
        <f>IF(AND(Employee__2[[#This Row],[Education]]="Bachelors",Employee__2[[#This Row],[City]]="Pune"),"Yes","No")</f>
        <v>No</v>
      </c>
      <c r="P596" s="1" t="str">
        <f>IF(OR(Employee__2[[#This Row],[Age]]&gt;=30,Employee__2[[#This Row],[Gender]]="Male"),"Mached","Not mached")</f>
        <v>Mached</v>
      </c>
    </row>
    <row r="597" spans="4:16" x14ac:dyDescent="0.25">
      <c r="D597" s="6" t="s">
        <v>34</v>
      </c>
      <c r="E597">
        <v>2018</v>
      </c>
      <c r="F597" s="6" t="s">
        <v>38</v>
      </c>
      <c r="G597">
        <v>3</v>
      </c>
      <c r="H597">
        <v>26</v>
      </c>
      <c r="I597" s="6" t="s">
        <v>36</v>
      </c>
      <c r="J597" s="6" t="s">
        <v>37</v>
      </c>
      <c r="K597">
        <v>4</v>
      </c>
      <c r="M597" s="1" t="b">
        <f>Employee__2[[#This Row],[Experience]]&gt;1</f>
        <v>1</v>
      </c>
      <c r="N597" s="1" t="str">
        <f>IF(Employee__2[[#This Row],[City]]="Pune","Yes","No")</f>
        <v>Yes</v>
      </c>
      <c r="O597" s="1" t="str">
        <f>IF(AND(Employee__2[[#This Row],[Education]]="Bachelors",Employee__2[[#This Row],[City]]="Pune"),"Yes","No")</f>
        <v>Yes</v>
      </c>
      <c r="P597" s="1" t="str">
        <f>IF(OR(Employee__2[[#This Row],[Age]]&gt;=30,Employee__2[[#This Row],[Gender]]="Male"),"Mached","Not mached")</f>
        <v>Mached</v>
      </c>
    </row>
    <row r="598" spans="4:16" x14ac:dyDescent="0.25">
      <c r="D598" s="6" t="s">
        <v>34</v>
      </c>
      <c r="E598">
        <v>2018</v>
      </c>
      <c r="F598" s="6" t="s">
        <v>35</v>
      </c>
      <c r="G598">
        <v>1</v>
      </c>
      <c r="H598">
        <v>27</v>
      </c>
      <c r="I598" s="6" t="s">
        <v>36</v>
      </c>
      <c r="J598" s="6" t="s">
        <v>37</v>
      </c>
      <c r="K598">
        <v>5</v>
      </c>
      <c r="M598" s="1" t="b">
        <f>Employee__2[[#This Row],[Experience]]&gt;1</f>
        <v>1</v>
      </c>
      <c r="N598" s="1" t="str">
        <f>IF(Employee__2[[#This Row],[City]]="Pune","Yes","No")</f>
        <v>No</v>
      </c>
      <c r="O598" s="1" t="str">
        <f>IF(AND(Employee__2[[#This Row],[Education]]="Bachelors",Employee__2[[#This Row],[City]]="Pune"),"Yes","No")</f>
        <v>No</v>
      </c>
      <c r="P598" s="1" t="str">
        <f>IF(OR(Employee__2[[#This Row],[Age]]&gt;=30,Employee__2[[#This Row],[Gender]]="Male"),"Mached","Not mached")</f>
        <v>Mached</v>
      </c>
    </row>
    <row r="599" spans="4:16" x14ac:dyDescent="0.25">
      <c r="D599" s="6" t="s">
        <v>34</v>
      </c>
      <c r="E599">
        <v>2016</v>
      </c>
      <c r="F599" s="6" t="s">
        <v>38</v>
      </c>
      <c r="G599">
        <v>3</v>
      </c>
      <c r="H599">
        <v>24</v>
      </c>
      <c r="I599" s="6" t="s">
        <v>36</v>
      </c>
      <c r="J599" s="6" t="s">
        <v>37</v>
      </c>
      <c r="K599">
        <v>2</v>
      </c>
      <c r="M599" s="1" t="b">
        <f>Employee__2[[#This Row],[Experience]]&gt;1</f>
        <v>1</v>
      </c>
      <c r="N599" s="1" t="str">
        <f>IF(Employee__2[[#This Row],[City]]="Pune","Yes","No")</f>
        <v>Yes</v>
      </c>
      <c r="O599" s="1" t="str">
        <f>IF(AND(Employee__2[[#This Row],[Education]]="Bachelors",Employee__2[[#This Row],[City]]="Pune"),"Yes","No")</f>
        <v>Yes</v>
      </c>
      <c r="P599" s="1" t="str">
        <f>IF(OR(Employee__2[[#This Row],[Age]]&gt;=30,Employee__2[[#This Row],[Gender]]="Male"),"Mached","Not mached")</f>
        <v>Mached</v>
      </c>
    </row>
    <row r="600" spans="4:16" x14ac:dyDescent="0.25">
      <c r="D600" s="6" t="s">
        <v>34</v>
      </c>
      <c r="E600">
        <v>2012</v>
      </c>
      <c r="F600" s="6" t="s">
        <v>35</v>
      </c>
      <c r="G600">
        <v>3</v>
      </c>
      <c r="H600">
        <v>25</v>
      </c>
      <c r="I600" s="6" t="s">
        <v>36</v>
      </c>
      <c r="J600" s="6" t="s">
        <v>37</v>
      </c>
      <c r="K600">
        <v>3</v>
      </c>
      <c r="M600" s="1" t="b">
        <f>Employee__2[[#This Row],[Experience]]&gt;1</f>
        <v>1</v>
      </c>
      <c r="N600" s="1" t="str">
        <f>IF(Employee__2[[#This Row],[City]]="Pune","Yes","No")</f>
        <v>No</v>
      </c>
      <c r="O600" s="1" t="str">
        <f>IF(AND(Employee__2[[#This Row],[Education]]="Bachelors",Employee__2[[#This Row],[City]]="Pune"),"Yes","No")</f>
        <v>No</v>
      </c>
      <c r="P600" s="1" t="str">
        <f>IF(OR(Employee__2[[#This Row],[Age]]&gt;=30,Employee__2[[#This Row],[Gender]]="Male"),"Mached","Not mached")</f>
        <v>Mached</v>
      </c>
    </row>
    <row r="601" spans="4:16" x14ac:dyDescent="0.25">
      <c r="D601" s="6" t="s">
        <v>34</v>
      </c>
      <c r="E601">
        <v>2017</v>
      </c>
      <c r="F601" s="6" t="s">
        <v>35</v>
      </c>
      <c r="G601">
        <v>3</v>
      </c>
      <c r="H601">
        <v>27</v>
      </c>
      <c r="I601" s="6" t="s">
        <v>36</v>
      </c>
      <c r="J601" s="6" t="s">
        <v>37</v>
      </c>
      <c r="K601">
        <v>5</v>
      </c>
      <c r="M601" s="1" t="b">
        <f>Employee__2[[#This Row],[Experience]]&gt;1</f>
        <v>1</v>
      </c>
      <c r="N601" s="1" t="str">
        <f>IF(Employee__2[[#This Row],[City]]="Pune","Yes","No")</f>
        <v>No</v>
      </c>
      <c r="O601" s="1" t="str">
        <f>IF(AND(Employee__2[[#This Row],[Education]]="Bachelors",Employee__2[[#This Row],[City]]="Pune"),"Yes","No")</f>
        <v>No</v>
      </c>
      <c r="P601" s="1" t="str">
        <f>IF(OR(Employee__2[[#This Row],[Age]]&gt;=30,Employee__2[[#This Row],[Gender]]="Male"),"Mached","Not mached")</f>
        <v>Mached</v>
      </c>
    </row>
    <row r="602" spans="4:16" x14ac:dyDescent="0.25">
      <c r="D602" s="6" t="s">
        <v>34</v>
      </c>
      <c r="E602">
        <v>2016</v>
      </c>
      <c r="F602" s="6" t="s">
        <v>35</v>
      </c>
      <c r="G602">
        <v>3</v>
      </c>
      <c r="H602">
        <v>28</v>
      </c>
      <c r="I602" s="6" t="s">
        <v>36</v>
      </c>
      <c r="J602" s="6" t="s">
        <v>37</v>
      </c>
      <c r="K602">
        <v>2</v>
      </c>
      <c r="M602" s="1" t="b">
        <f>Employee__2[[#This Row],[Experience]]&gt;1</f>
        <v>1</v>
      </c>
      <c r="N602" s="1" t="str">
        <f>IF(Employee__2[[#This Row],[City]]="Pune","Yes","No")</f>
        <v>No</v>
      </c>
      <c r="O602" s="1" t="str">
        <f>IF(AND(Employee__2[[#This Row],[Education]]="Bachelors",Employee__2[[#This Row],[City]]="Pune"),"Yes","No")</f>
        <v>No</v>
      </c>
      <c r="P602" s="1" t="str">
        <f>IF(OR(Employee__2[[#This Row],[Age]]&gt;=30,Employee__2[[#This Row],[Gender]]="Male"),"Mached","Not mached")</f>
        <v>Mached</v>
      </c>
    </row>
    <row r="603" spans="4:16" x14ac:dyDescent="0.25">
      <c r="D603" s="6" t="s">
        <v>34</v>
      </c>
      <c r="E603">
        <v>2017</v>
      </c>
      <c r="F603" s="6" t="s">
        <v>40</v>
      </c>
      <c r="G603">
        <v>2</v>
      </c>
      <c r="H603">
        <v>27</v>
      </c>
      <c r="I603" s="6" t="s">
        <v>36</v>
      </c>
      <c r="J603" s="6" t="s">
        <v>37</v>
      </c>
      <c r="K603">
        <v>5</v>
      </c>
      <c r="M603" s="1" t="b">
        <f>Employee__2[[#This Row],[Experience]]&gt;1</f>
        <v>1</v>
      </c>
      <c r="N603" s="1" t="str">
        <f>IF(Employee__2[[#This Row],[City]]="Pune","Yes","No")</f>
        <v>No</v>
      </c>
      <c r="O603" s="1" t="str">
        <f>IF(AND(Employee__2[[#This Row],[Education]]="Bachelors",Employee__2[[#This Row],[City]]="Pune"),"Yes","No")</f>
        <v>No</v>
      </c>
      <c r="P603" s="1" t="str">
        <f>IF(OR(Employee__2[[#This Row],[Age]]&gt;=30,Employee__2[[#This Row],[Gender]]="Male"),"Mached","Not mached")</f>
        <v>Mached</v>
      </c>
    </row>
    <row r="604" spans="4:16" x14ac:dyDescent="0.25">
      <c r="D604" s="6" t="s">
        <v>34</v>
      </c>
      <c r="E604">
        <v>2013</v>
      </c>
      <c r="F604" s="6" t="s">
        <v>35</v>
      </c>
      <c r="G604">
        <v>3</v>
      </c>
      <c r="H604">
        <v>25</v>
      </c>
      <c r="I604" s="6" t="s">
        <v>36</v>
      </c>
      <c r="J604" s="6" t="s">
        <v>37</v>
      </c>
      <c r="K604">
        <v>3</v>
      </c>
      <c r="M604" s="1" t="b">
        <f>Employee__2[[#This Row],[Experience]]&gt;1</f>
        <v>1</v>
      </c>
      <c r="N604" s="1" t="str">
        <f>IF(Employee__2[[#This Row],[City]]="Pune","Yes","No")</f>
        <v>No</v>
      </c>
      <c r="O604" s="1" t="str">
        <f>IF(AND(Employee__2[[#This Row],[Education]]="Bachelors",Employee__2[[#This Row],[City]]="Pune"),"Yes","No")</f>
        <v>No</v>
      </c>
      <c r="P604" s="1" t="str">
        <f>IF(OR(Employee__2[[#This Row],[Age]]&gt;=30,Employee__2[[#This Row],[Gender]]="Male"),"Mached","Not mached")</f>
        <v>Mached</v>
      </c>
    </row>
    <row r="605" spans="4:16" x14ac:dyDescent="0.25">
      <c r="D605" s="6" t="s">
        <v>34</v>
      </c>
      <c r="E605">
        <v>2013</v>
      </c>
      <c r="F605" s="6" t="s">
        <v>35</v>
      </c>
      <c r="G605">
        <v>3</v>
      </c>
      <c r="H605">
        <v>28</v>
      </c>
      <c r="I605" s="6" t="s">
        <v>36</v>
      </c>
      <c r="J605" s="6" t="s">
        <v>37</v>
      </c>
      <c r="K605">
        <v>1</v>
      </c>
      <c r="M605" s="1" t="b">
        <f>Employee__2[[#This Row],[Experience]]&gt;1</f>
        <v>0</v>
      </c>
      <c r="N605" s="1" t="str">
        <f>IF(Employee__2[[#This Row],[City]]="Pune","Yes","No")</f>
        <v>No</v>
      </c>
      <c r="O605" s="1" t="str">
        <f>IF(AND(Employee__2[[#This Row],[Education]]="Bachelors",Employee__2[[#This Row],[City]]="Pune"),"Yes","No")</f>
        <v>No</v>
      </c>
      <c r="P605" s="1" t="str">
        <f>IF(OR(Employee__2[[#This Row],[Age]]&gt;=30,Employee__2[[#This Row],[Gender]]="Male"),"Mached","Not mached")</f>
        <v>Mached</v>
      </c>
    </row>
    <row r="606" spans="4:16" x14ac:dyDescent="0.25">
      <c r="D606" s="6" t="s">
        <v>34</v>
      </c>
      <c r="E606">
        <v>2018</v>
      </c>
      <c r="F606" s="6" t="s">
        <v>35</v>
      </c>
      <c r="G606">
        <v>3</v>
      </c>
      <c r="H606">
        <v>28</v>
      </c>
      <c r="I606" s="6" t="s">
        <v>39</v>
      </c>
      <c r="J606" s="6" t="s">
        <v>37</v>
      </c>
      <c r="K606">
        <v>3</v>
      </c>
      <c r="M606" s="1" t="b">
        <f>Employee__2[[#This Row],[Experience]]&gt;1</f>
        <v>1</v>
      </c>
      <c r="N606" s="1" t="str">
        <f>IF(Employee__2[[#This Row],[City]]="Pune","Yes","No")</f>
        <v>No</v>
      </c>
      <c r="O606" s="1" t="str">
        <f>IF(AND(Employee__2[[#This Row],[Education]]="Bachelors",Employee__2[[#This Row],[City]]="Pune"),"Yes","No")</f>
        <v>No</v>
      </c>
      <c r="P606" s="1" t="str">
        <f>IF(OR(Employee__2[[#This Row],[Age]]&gt;=30,Employee__2[[#This Row],[Gender]]="Male"),"Mached","Not mached")</f>
        <v>Not mached</v>
      </c>
    </row>
    <row r="607" spans="4:16" x14ac:dyDescent="0.25">
      <c r="D607" s="6" t="s">
        <v>34</v>
      </c>
      <c r="E607">
        <v>2016</v>
      </c>
      <c r="F607" s="6" t="s">
        <v>35</v>
      </c>
      <c r="G607">
        <v>3</v>
      </c>
      <c r="H607">
        <v>27</v>
      </c>
      <c r="I607" s="6" t="s">
        <v>36</v>
      </c>
      <c r="J607" s="6" t="s">
        <v>42</v>
      </c>
      <c r="K607">
        <v>5</v>
      </c>
      <c r="M607" s="1" t="b">
        <f>Employee__2[[#This Row],[Experience]]&gt;1</f>
        <v>1</v>
      </c>
      <c r="N607" s="1" t="str">
        <f>IF(Employee__2[[#This Row],[City]]="Pune","Yes","No")</f>
        <v>No</v>
      </c>
      <c r="O607" s="1" t="str">
        <f>IF(AND(Employee__2[[#This Row],[Education]]="Bachelors",Employee__2[[#This Row],[City]]="Pune"),"Yes","No")</f>
        <v>No</v>
      </c>
      <c r="P607" s="1" t="str">
        <f>IF(OR(Employee__2[[#This Row],[Age]]&gt;=30,Employee__2[[#This Row],[Gender]]="Male"),"Mached","Not mached")</f>
        <v>Mached</v>
      </c>
    </row>
    <row r="608" spans="4:16" x14ac:dyDescent="0.25">
      <c r="D608" s="6" t="s">
        <v>41</v>
      </c>
      <c r="E608">
        <v>2015</v>
      </c>
      <c r="F608" s="6" t="s">
        <v>38</v>
      </c>
      <c r="G608">
        <v>2</v>
      </c>
      <c r="H608">
        <v>28</v>
      </c>
      <c r="I608" s="6" t="s">
        <v>39</v>
      </c>
      <c r="J608" s="6" t="s">
        <v>37</v>
      </c>
      <c r="K608">
        <v>3</v>
      </c>
      <c r="M608" s="1" t="b">
        <f>Employee__2[[#This Row],[Experience]]&gt;1</f>
        <v>1</v>
      </c>
      <c r="N608" s="1" t="str">
        <f>IF(Employee__2[[#This Row],[City]]="Pune","Yes","No")</f>
        <v>Yes</v>
      </c>
      <c r="O608" s="1" t="str">
        <f>IF(AND(Employee__2[[#This Row],[Education]]="Bachelors",Employee__2[[#This Row],[City]]="Pune"),"Yes","No")</f>
        <v>No</v>
      </c>
      <c r="P608" s="1" t="str">
        <f>IF(OR(Employee__2[[#This Row],[Age]]&gt;=30,Employee__2[[#This Row],[Gender]]="Male"),"Mached","Not mached")</f>
        <v>Not mached</v>
      </c>
    </row>
    <row r="609" spans="4:16" x14ac:dyDescent="0.25">
      <c r="D609" s="6" t="s">
        <v>41</v>
      </c>
      <c r="E609">
        <v>2015</v>
      </c>
      <c r="F609" s="6" t="s">
        <v>40</v>
      </c>
      <c r="G609">
        <v>3</v>
      </c>
      <c r="H609">
        <v>24</v>
      </c>
      <c r="I609" s="6" t="s">
        <v>39</v>
      </c>
      <c r="J609" s="6" t="s">
        <v>37</v>
      </c>
      <c r="K609">
        <v>2</v>
      </c>
      <c r="M609" s="1" t="b">
        <f>Employee__2[[#This Row],[Experience]]&gt;1</f>
        <v>1</v>
      </c>
      <c r="N609" s="1" t="str">
        <f>IF(Employee__2[[#This Row],[City]]="Pune","Yes","No")</f>
        <v>No</v>
      </c>
      <c r="O609" s="1" t="str">
        <f>IF(AND(Employee__2[[#This Row],[Education]]="Bachelors",Employee__2[[#This Row],[City]]="Pune"),"Yes","No")</f>
        <v>No</v>
      </c>
      <c r="P609" s="1" t="str">
        <f>IF(OR(Employee__2[[#This Row],[Age]]&gt;=30,Employee__2[[#This Row],[Gender]]="Male"),"Mached","Not mached")</f>
        <v>Not mached</v>
      </c>
    </row>
    <row r="610" spans="4:16" x14ac:dyDescent="0.25">
      <c r="D610" s="6" t="s">
        <v>34</v>
      </c>
      <c r="E610">
        <v>2017</v>
      </c>
      <c r="F610" s="6" t="s">
        <v>40</v>
      </c>
      <c r="G610">
        <v>3</v>
      </c>
      <c r="H610">
        <v>24</v>
      </c>
      <c r="I610" s="6" t="s">
        <v>36</v>
      </c>
      <c r="J610" s="6" t="s">
        <v>37</v>
      </c>
      <c r="K610">
        <v>2</v>
      </c>
      <c r="M610" s="1" t="b">
        <f>Employee__2[[#This Row],[Experience]]&gt;1</f>
        <v>1</v>
      </c>
      <c r="N610" s="1" t="str">
        <f>IF(Employee__2[[#This Row],[City]]="Pune","Yes","No")</f>
        <v>No</v>
      </c>
      <c r="O610" s="1" t="str">
        <f>IF(AND(Employee__2[[#This Row],[Education]]="Bachelors",Employee__2[[#This Row],[City]]="Pune"),"Yes","No")</f>
        <v>No</v>
      </c>
      <c r="P610" s="1" t="str">
        <f>IF(OR(Employee__2[[#This Row],[Age]]&gt;=30,Employee__2[[#This Row],[Gender]]="Male"),"Mached","Not mached")</f>
        <v>Mached</v>
      </c>
    </row>
    <row r="611" spans="4:16" x14ac:dyDescent="0.25">
      <c r="D611" s="6" t="s">
        <v>34</v>
      </c>
      <c r="E611">
        <v>2015</v>
      </c>
      <c r="F611" s="6" t="s">
        <v>38</v>
      </c>
      <c r="G611">
        <v>2</v>
      </c>
      <c r="H611">
        <v>24</v>
      </c>
      <c r="I611" s="6" t="s">
        <v>39</v>
      </c>
      <c r="J611" s="6" t="s">
        <v>37</v>
      </c>
      <c r="K611">
        <v>2</v>
      </c>
      <c r="M611" s="1" t="b">
        <f>Employee__2[[#This Row],[Experience]]&gt;1</f>
        <v>1</v>
      </c>
      <c r="N611" s="1" t="str">
        <f>IF(Employee__2[[#This Row],[City]]="Pune","Yes","No")</f>
        <v>Yes</v>
      </c>
      <c r="O611" s="1" t="str">
        <f>IF(AND(Employee__2[[#This Row],[Education]]="Bachelors",Employee__2[[#This Row],[City]]="Pune"),"Yes","No")</f>
        <v>Yes</v>
      </c>
      <c r="P611" s="1" t="str">
        <f>IF(OR(Employee__2[[#This Row],[Age]]&gt;=30,Employee__2[[#This Row],[Gender]]="Male"),"Mached","Not mached")</f>
        <v>Not mached</v>
      </c>
    </row>
    <row r="612" spans="4:16" x14ac:dyDescent="0.25">
      <c r="D612" s="6" t="s">
        <v>41</v>
      </c>
      <c r="E612">
        <v>2013</v>
      </c>
      <c r="F612" s="6" t="s">
        <v>38</v>
      </c>
      <c r="G612">
        <v>3</v>
      </c>
      <c r="H612">
        <v>28</v>
      </c>
      <c r="I612" s="6" t="s">
        <v>36</v>
      </c>
      <c r="J612" s="6" t="s">
        <v>37</v>
      </c>
      <c r="K612">
        <v>2</v>
      </c>
      <c r="M612" s="1" t="b">
        <f>Employee__2[[#This Row],[Experience]]&gt;1</f>
        <v>1</v>
      </c>
      <c r="N612" s="1" t="str">
        <f>IF(Employee__2[[#This Row],[City]]="Pune","Yes","No")</f>
        <v>Yes</v>
      </c>
      <c r="O612" s="1" t="str">
        <f>IF(AND(Employee__2[[#This Row],[Education]]="Bachelors",Employee__2[[#This Row],[City]]="Pune"),"Yes","No")</f>
        <v>No</v>
      </c>
      <c r="P612" s="1" t="str">
        <f>IF(OR(Employee__2[[#This Row],[Age]]&gt;=30,Employee__2[[#This Row],[Gender]]="Male"),"Mached","Not mached")</f>
        <v>Mached</v>
      </c>
    </row>
    <row r="613" spans="4:16" x14ac:dyDescent="0.25">
      <c r="D613" s="6" t="s">
        <v>34</v>
      </c>
      <c r="E613">
        <v>2017</v>
      </c>
      <c r="F613" s="6" t="s">
        <v>38</v>
      </c>
      <c r="G613">
        <v>3</v>
      </c>
      <c r="H613">
        <v>27</v>
      </c>
      <c r="I613" s="6" t="s">
        <v>39</v>
      </c>
      <c r="J613" s="6" t="s">
        <v>37</v>
      </c>
      <c r="K613">
        <v>5</v>
      </c>
      <c r="M613" s="1" t="b">
        <f>Employee__2[[#This Row],[Experience]]&gt;1</f>
        <v>1</v>
      </c>
      <c r="N613" s="1" t="str">
        <f>IF(Employee__2[[#This Row],[City]]="Pune","Yes","No")</f>
        <v>Yes</v>
      </c>
      <c r="O613" s="1" t="str">
        <f>IF(AND(Employee__2[[#This Row],[Education]]="Bachelors",Employee__2[[#This Row],[City]]="Pune"),"Yes","No")</f>
        <v>Yes</v>
      </c>
      <c r="P613" s="1" t="str">
        <f>IF(OR(Employee__2[[#This Row],[Age]]&gt;=30,Employee__2[[#This Row],[Gender]]="Male"),"Mached","Not mached")</f>
        <v>Not mached</v>
      </c>
    </row>
    <row r="614" spans="4:16" x14ac:dyDescent="0.25">
      <c r="D614" s="6" t="s">
        <v>34</v>
      </c>
      <c r="E614">
        <v>2014</v>
      </c>
      <c r="F614" s="6" t="s">
        <v>38</v>
      </c>
      <c r="G614">
        <v>3</v>
      </c>
      <c r="H614">
        <v>26</v>
      </c>
      <c r="I614" s="6" t="s">
        <v>36</v>
      </c>
      <c r="J614" s="6" t="s">
        <v>37</v>
      </c>
      <c r="K614">
        <v>4</v>
      </c>
      <c r="M614" s="1" t="b">
        <f>Employee__2[[#This Row],[Experience]]&gt;1</f>
        <v>1</v>
      </c>
      <c r="N614" s="1" t="str">
        <f>IF(Employee__2[[#This Row],[City]]="Pune","Yes","No")</f>
        <v>Yes</v>
      </c>
      <c r="O614" s="1" t="str">
        <f>IF(AND(Employee__2[[#This Row],[Education]]="Bachelors",Employee__2[[#This Row],[City]]="Pune"),"Yes","No")</f>
        <v>Yes</v>
      </c>
      <c r="P614" s="1" t="str">
        <f>IF(OR(Employee__2[[#This Row],[Age]]&gt;=30,Employee__2[[#This Row],[Gender]]="Male"),"Mached","Not mached")</f>
        <v>Mached</v>
      </c>
    </row>
    <row r="615" spans="4:16" x14ac:dyDescent="0.25">
      <c r="D615" s="6" t="s">
        <v>34</v>
      </c>
      <c r="E615">
        <v>2016</v>
      </c>
      <c r="F615" s="6" t="s">
        <v>35</v>
      </c>
      <c r="G615">
        <v>3</v>
      </c>
      <c r="H615">
        <v>26</v>
      </c>
      <c r="I615" s="6" t="s">
        <v>36</v>
      </c>
      <c r="J615" s="6" t="s">
        <v>37</v>
      </c>
      <c r="K615">
        <v>4</v>
      </c>
      <c r="M615" s="1" t="b">
        <f>Employee__2[[#This Row],[Experience]]&gt;1</f>
        <v>1</v>
      </c>
      <c r="N615" s="1" t="str">
        <f>IF(Employee__2[[#This Row],[City]]="Pune","Yes","No")</f>
        <v>No</v>
      </c>
      <c r="O615" s="1" t="str">
        <f>IF(AND(Employee__2[[#This Row],[Education]]="Bachelors",Employee__2[[#This Row],[City]]="Pune"),"Yes","No")</f>
        <v>No</v>
      </c>
      <c r="P615" s="1" t="str">
        <f>IF(OR(Employee__2[[#This Row],[Age]]&gt;=30,Employee__2[[#This Row],[Gender]]="Male"),"Mached","Not mached")</f>
        <v>Mached</v>
      </c>
    </row>
    <row r="616" spans="4:16" x14ac:dyDescent="0.25">
      <c r="D616" s="6" t="s">
        <v>34</v>
      </c>
      <c r="E616">
        <v>2014</v>
      </c>
      <c r="F616" s="6" t="s">
        <v>38</v>
      </c>
      <c r="G616">
        <v>1</v>
      </c>
      <c r="H616">
        <v>26</v>
      </c>
      <c r="I616" s="6" t="s">
        <v>39</v>
      </c>
      <c r="J616" s="6" t="s">
        <v>37</v>
      </c>
      <c r="K616">
        <v>4</v>
      </c>
      <c r="M616" s="1" t="b">
        <f>Employee__2[[#This Row],[Experience]]&gt;1</f>
        <v>1</v>
      </c>
      <c r="N616" s="1" t="str">
        <f>IF(Employee__2[[#This Row],[City]]="Pune","Yes","No")</f>
        <v>Yes</v>
      </c>
      <c r="O616" s="1" t="str">
        <f>IF(AND(Employee__2[[#This Row],[Education]]="Bachelors",Employee__2[[#This Row],[City]]="Pune"),"Yes","No")</f>
        <v>Yes</v>
      </c>
      <c r="P616" s="1" t="str">
        <f>IF(OR(Employee__2[[#This Row],[Age]]&gt;=30,Employee__2[[#This Row],[Gender]]="Male"),"Mached","Not mached")</f>
        <v>Not mached</v>
      </c>
    </row>
    <row r="617" spans="4:16" x14ac:dyDescent="0.25">
      <c r="D617" s="6" t="s">
        <v>34</v>
      </c>
      <c r="E617">
        <v>2015</v>
      </c>
      <c r="F617" s="6" t="s">
        <v>38</v>
      </c>
      <c r="G617">
        <v>3</v>
      </c>
      <c r="H617">
        <v>28</v>
      </c>
      <c r="I617" s="6" t="s">
        <v>36</v>
      </c>
      <c r="J617" s="6" t="s">
        <v>37</v>
      </c>
      <c r="K617">
        <v>3</v>
      </c>
      <c r="M617" s="1" t="b">
        <f>Employee__2[[#This Row],[Experience]]&gt;1</f>
        <v>1</v>
      </c>
      <c r="N617" s="1" t="str">
        <f>IF(Employee__2[[#This Row],[City]]="Pune","Yes","No")</f>
        <v>Yes</v>
      </c>
      <c r="O617" s="1" t="str">
        <f>IF(AND(Employee__2[[#This Row],[Education]]="Bachelors",Employee__2[[#This Row],[City]]="Pune"),"Yes","No")</f>
        <v>Yes</v>
      </c>
      <c r="P617" s="1" t="str">
        <f>IF(OR(Employee__2[[#This Row],[Age]]&gt;=30,Employee__2[[#This Row],[Gender]]="Male"),"Mached","Not mached")</f>
        <v>Mached</v>
      </c>
    </row>
    <row r="618" spans="4:16" x14ac:dyDescent="0.25">
      <c r="D618" s="6" t="s">
        <v>34</v>
      </c>
      <c r="E618">
        <v>2012</v>
      </c>
      <c r="F618" s="6" t="s">
        <v>35</v>
      </c>
      <c r="G618">
        <v>3</v>
      </c>
      <c r="H618">
        <v>26</v>
      </c>
      <c r="I618" s="6" t="s">
        <v>36</v>
      </c>
      <c r="J618" s="6" t="s">
        <v>37</v>
      </c>
      <c r="K618">
        <v>4</v>
      </c>
      <c r="M618" s="1" t="b">
        <f>Employee__2[[#This Row],[Experience]]&gt;1</f>
        <v>1</v>
      </c>
      <c r="N618" s="1" t="str">
        <f>IF(Employee__2[[#This Row],[City]]="Pune","Yes","No")</f>
        <v>No</v>
      </c>
      <c r="O618" s="1" t="str">
        <f>IF(AND(Employee__2[[#This Row],[Education]]="Bachelors",Employee__2[[#This Row],[City]]="Pune"),"Yes","No")</f>
        <v>No</v>
      </c>
      <c r="P618" s="1" t="str">
        <f>IF(OR(Employee__2[[#This Row],[Age]]&gt;=30,Employee__2[[#This Row],[Gender]]="Male"),"Mached","Not mached")</f>
        <v>Mached</v>
      </c>
    </row>
    <row r="619" spans="4:16" x14ac:dyDescent="0.25">
      <c r="D619" s="6" t="s">
        <v>34</v>
      </c>
      <c r="E619">
        <v>2017</v>
      </c>
      <c r="F619" s="6" t="s">
        <v>40</v>
      </c>
      <c r="G619">
        <v>2</v>
      </c>
      <c r="H619">
        <v>26</v>
      </c>
      <c r="I619" s="6" t="s">
        <v>36</v>
      </c>
      <c r="J619" s="6" t="s">
        <v>37</v>
      </c>
      <c r="K619">
        <v>4</v>
      </c>
      <c r="M619" s="1" t="b">
        <f>Employee__2[[#This Row],[Experience]]&gt;1</f>
        <v>1</v>
      </c>
      <c r="N619" s="1" t="str">
        <f>IF(Employee__2[[#This Row],[City]]="Pune","Yes","No")</f>
        <v>No</v>
      </c>
      <c r="O619" s="1" t="str">
        <f>IF(AND(Employee__2[[#This Row],[Education]]="Bachelors",Employee__2[[#This Row],[City]]="Pune"),"Yes","No")</f>
        <v>No</v>
      </c>
      <c r="P619" s="1" t="str">
        <f>IF(OR(Employee__2[[#This Row],[Age]]&gt;=30,Employee__2[[#This Row],[Gender]]="Male"),"Mached","Not mached")</f>
        <v>Mached</v>
      </c>
    </row>
    <row r="620" spans="4:16" x14ac:dyDescent="0.25">
      <c r="D620" s="6" t="s">
        <v>41</v>
      </c>
      <c r="E620">
        <v>2017</v>
      </c>
      <c r="F620" s="6" t="s">
        <v>40</v>
      </c>
      <c r="G620">
        <v>2</v>
      </c>
      <c r="H620">
        <v>26</v>
      </c>
      <c r="I620" s="6" t="s">
        <v>39</v>
      </c>
      <c r="J620" s="6" t="s">
        <v>37</v>
      </c>
      <c r="K620">
        <v>4</v>
      </c>
      <c r="M620" s="1" t="b">
        <f>Employee__2[[#This Row],[Experience]]&gt;1</f>
        <v>1</v>
      </c>
      <c r="N620" s="1" t="str">
        <f>IF(Employee__2[[#This Row],[City]]="Pune","Yes","No")</f>
        <v>No</v>
      </c>
      <c r="O620" s="1" t="str">
        <f>IF(AND(Employee__2[[#This Row],[Education]]="Bachelors",Employee__2[[#This Row],[City]]="Pune"),"Yes","No")</f>
        <v>No</v>
      </c>
      <c r="P620" s="1" t="str">
        <f>IF(OR(Employee__2[[#This Row],[Age]]&gt;=30,Employee__2[[#This Row],[Gender]]="Male"),"Mached","Not mached")</f>
        <v>Not mached</v>
      </c>
    </row>
    <row r="621" spans="4:16" x14ac:dyDescent="0.25">
      <c r="D621" s="6" t="s">
        <v>34</v>
      </c>
      <c r="E621">
        <v>2016</v>
      </c>
      <c r="F621" s="6" t="s">
        <v>35</v>
      </c>
      <c r="G621">
        <v>3</v>
      </c>
      <c r="H621">
        <v>26</v>
      </c>
      <c r="I621" s="6" t="s">
        <v>36</v>
      </c>
      <c r="J621" s="6" t="s">
        <v>37</v>
      </c>
      <c r="K621">
        <v>4</v>
      </c>
      <c r="M621" s="1" t="b">
        <f>Employee__2[[#This Row],[Experience]]&gt;1</f>
        <v>1</v>
      </c>
      <c r="N621" s="1" t="str">
        <f>IF(Employee__2[[#This Row],[City]]="Pune","Yes","No")</f>
        <v>No</v>
      </c>
      <c r="O621" s="1" t="str">
        <f>IF(AND(Employee__2[[#This Row],[Education]]="Bachelors",Employee__2[[#This Row],[City]]="Pune"),"Yes","No")</f>
        <v>No</v>
      </c>
      <c r="P621" s="1" t="str">
        <f>IF(OR(Employee__2[[#This Row],[Age]]&gt;=30,Employee__2[[#This Row],[Gender]]="Male"),"Mached","Not mached")</f>
        <v>Mached</v>
      </c>
    </row>
    <row r="622" spans="4:16" x14ac:dyDescent="0.25">
      <c r="D622" s="6" t="s">
        <v>34</v>
      </c>
      <c r="E622">
        <v>2013</v>
      </c>
      <c r="F622" s="6" t="s">
        <v>35</v>
      </c>
      <c r="G622">
        <v>3</v>
      </c>
      <c r="H622">
        <v>26</v>
      </c>
      <c r="I622" s="6" t="s">
        <v>36</v>
      </c>
      <c r="J622" s="6" t="s">
        <v>42</v>
      </c>
      <c r="K622">
        <v>4</v>
      </c>
      <c r="M622" s="1" t="b">
        <f>Employee__2[[#This Row],[Experience]]&gt;1</f>
        <v>1</v>
      </c>
      <c r="N622" s="1" t="str">
        <f>IF(Employee__2[[#This Row],[City]]="Pune","Yes","No")</f>
        <v>No</v>
      </c>
      <c r="O622" s="1" t="str">
        <f>IF(AND(Employee__2[[#This Row],[Education]]="Bachelors",Employee__2[[#This Row],[City]]="Pune"),"Yes","No")</f>
        <v>No</v>
      </c>
      <c r="P622" s="1" t="str">
        <f>IF(OR(Employee__2[[#This Row],[Age]]&gt;=30,Employee__2[[#This Row],[Gender]]="Male"),"Mached","Not mached")</f>
        <v>Mached</v>
      </c>
    </row>
    <row r="623" spans="4:16" x14ac:dyDescent="0.25">
      <c r="D623" s="6" t="s">
        <v>34</v>
      </c>
      <c r="E623">
        <v>2014</v>
      </c>
      <c r="F623" s="6" t="s">
        <v>35</v>
      </c>
      <c r="G623">
        <v>3</v>
      </c>
      <c r="H623">
        <v>28</v>
      </c>
      <c r="I623" s="6" t="s">
        <v>36</v>
      </c>
      <c r="J623" s="6" t="s">
        <v>37</v>
      </c>
      <c r="K623">
        <v>3</v>
      </c>
      <c r="M623" s="1" t="b">
        <f>Employee__2[[#This Row],[Experience]]&gt;1</f>
        <v>1</v>
      </c>
      <c r="N623" s="1" t="str">
        <f>IF(Employee__2[[#This Row],[City]]="Pune","Yes","No")</f>
        <v>No</v>
      </c>
      <c r="O623" s="1" t="str">
        <f>IF(AND(Employee__2[[#This Row],[Education]]="Bachelors",Employee__2[[#This Row],[City]]="Pune"),"Yes","No")</f>
        <v>No</v>
      </c>
      <c r="P623" s="1" t="str">
        <f>IF(OR(Employee__2[[#This Row],[Age]]&gt;=30,Employee__2[[#This Row],[Gender]]="Male"),"Mached","Not mached")</f>
        <v>Mached</v>
      </c>
    </row>
    <row r="624" spans="4:16" x14ac:dyDescent="0.25">
      <c r="D624" s="6" t="s">
        <v>34</v>
      </c>
      <c r="E624">
        <v>2014</v>
      </c>
      <c r="F624" s="6" t="s">
        <v>40</v>
      </c>
      <c r="G624">
        <v>3</v>
      </c>
      <c r="H624">
        <v>28</v>
      </c>
      <c r="I624" s="6" t="s">
        <v>39</v>
      </c>
      <c r="J624" s="6" t="s">
        <v>37</v>
      </c>
      <c r="K624">
        <v>3</v>
      </c>
      <c r="M624" s="1" t="b">
        <f>Employee__2[[#This Row],[Experience]]&gt;1</f>
        <v>1</v>
      </c>
      <c r="N624" s="1" t="str">
        <f>IF(Employee__2[[#This Row],[City]]="Pune","Yes","No")</f>
        <v>No</v>
      </c>
      <c r="O624" s="1" t="str">
        <f>IF(AND(Employee__2[[#This Row],[Education]]="Bachelors",Employee__2[[#This Row],[City]]="Pune"),"Yes","No")</f>
        <v>No</v>
      </c>
      <c r="P624" s="1" t="str">
        <f>IF(OR(Employee__2[[#This Row],[Age]]&gt;=30,Employee__2[[#This Row],[Gender]]="Male"),"Mached","Not mached")</f>
        <v>Not mached</v>
      </c>
    </row>
    <row r="625" spans="4:16" x14ac:dyDescent="0.25">
      <c r="D625" s="6" t="s">
        <v>34</v>
      </c>
      <c r="E625">
        <v>2014</v>
      </c>
      <c r="F625" s="6" t="s">
        <v>38</v>
      </c>
      <c r="G625">
        <v>3</v>
      </c>
      <c r="H625">
        <v>25</v>
      </c>
      <c r="I625" s="6" t="s">
        <v>39</v>
      </c>
      <c r="J625" s="6" t="s">
        <v>37</v>
      </c>
      <c r="K625">
        <v>3</v>
      </c>
      <c r="M625" s="1" t="b">
        <f>Employee__2[[#This Row],[Experience]]&gt;1</f>
        <v>1</v>
      </c>
      <c r="N625" s="1" t="str">
        <f>IF(Employee__2[[#This Row],[City]]="Pune","Yes","No")</f>
        <v>Yes</v>
      </c>
      <c r="O625" s="1" t="str">
        <f>IF(AND(Employee__2[[#This Row],[Education]]="Bachelors",Employee__2[[#This Row],[City]]="Pune"),"Yes","No")</f>
        <v>Yes</v>
      </c>
      <c r="P625" s="1" t="str">
        <f>IF(OR(Employee__2[[#This Row],[Age]]&gt;=30,Employee__2[[#This Row],[Gender]]="Male"),"Mached","Not mached")</f>
        <v>Not mached</v>
      </c>
    </row>
    <row r="626" spans="4:16" x14ac:dyDescent="0.25">
      <c r="D626" s="6" t="s">
        <v>34</v>
      </c>
      <c r="E626">
        <v>2016</v>
      </c>
      <c r="F626" s="6" t="s">
        <v>38</v>
      </c>
      <c r="G626">
        <v>3</v>
      </c>
      <c r="H626">
        <v>28</v>
      </c>
      <c r="I626" s="6" t="s">
        <v>36</v>
      </c>
      <c r="J626" s="6" t="s">
        <v>37</v>
      </c>
      <c r="K626">
        <v>3</v>
      </c>
      <c r="M626" s="1" t="b">
        <f>Employee__2[[#This Row],[Experience]]&gt;1</f>
        <v>1</v>
      </c>
      <c r="N626" s="1" t="str">
        <f>IF(Employee__2[[#This Row],[City]]="Pune","Yes","No")</f>
        <v>Yes</v>
      </c>
      <c r="O626" s="1" t="str">
        <f>IF(AND(Employee__2[[#This Row],[Education]]="Bachelors",Employee__2[[#This Row],[City]]="Pune"),"Yes","No")</f>
        <v>Yes</v>
      </c>
      <c r="P626" s="1" t="str">
        <f>IF(OR(Employee__2[[#This Row],[Age]]&gt;=30,Employee__2[[#This Row],[Gender]]="Male"),"Mached","Not mached")</f>
        <v>Mached</v>
      </c>
    </row>
    <row r="627" spans="4:16" x14ac:dyDescent="0.25">
      <c r="D627" s="6" t="s">
        <v>41</v>
      </c>
      <c r="E627">
        <v>2017</v>
      </c>
      <c r="F627" s="6" t="s">
        <v>35</v>
      </c>
      <c r="G627">
        <v>3</v>
      </c>
      <c r="H627">
        <v>27</v>
      </c>
      <c r="I627" s="6" t="s">
        <v>36</v>
      </c>
      <c r="J627" s="6" t="s">
        <v>37</v>
      </c>
      <c r="K627">
        <v>5</v>
      </c>
      <c r="M627" s="1" t="b">
        <f>Employee__2[[#This Row],[Experience]]&gt;1</f>
        <v>1</v>
      </c>
      <c r="N627" s="1" t="str">
        <f>IF(Employee__2[[#This Row],[City]]="Pune","Yes","No")</f>
        <v>No</v>
      </c>
      <c r="O627" s="1" t="str">
        <f>IF(AND(Employee__2[[#This Row],[Education]]="Bachelors",Employee__2[[#This Row],[City]]="Pune"),"Yes","No")</f>
        <v>No</v>
      </c>
      <c r="P627" s="1" t="str">
        <f>IF(OR(Employee__2[[#This Row],[Age]]&gt;=30,Employee__2[[#This Row],[Gender]]="Male"),"Mached","Not mached")</f>
        <v>Mached</v>
      </c>
    </row>
    <row r="628" spans="4:16" x14ac:dyDescent="0.25">
      <c r="D628" s="6" t="s">
        <v>34</v>
      </c>
      <c r="E628">
        <v>2015</v>
      </c>
      <c r="F628" s="6" t="s">
        <v>35</v>
      </c>
      <c r="G628">
        <v>3</v>
      </c>
      <c r="H628">
        <v>25</v>
      </c>
      <c r="I628" s="6" t="s">
        <v>36</v>
      </c>
      <c r="J628" s="6" t="s">
        <v>37</v>
      </c>
      <c r="K628">
        <v>3</v>
      </c>
      <c r="M628" s="1" t="b">
        <f>Employee__2[[#This Row],[Experience]]&gt;1</f>
        <v>1</v>
      </c>
      <c r="N628" s="1" t="str">
        <f>IF(Employee__2[[#This Row],[City]]="Pune","Yes","No")</f>
        <v>No</v>
      </c>
      <c r="O628" s="1" t="str">
        <f>IF(AND(Employee__2[[#This Row],[Education]]="Bachelors",Employee__2[[#This Row],[City]]="Pune"),"Yes","No")</f>
        <v>No</v>
      </c>
      <c r="P628" s="1" t="str">
        <f>IF(OR(Employee__2[[#This Row],[Age]]&gt;=30,Employee__2[[#This Row],[Gender]]="Male"),"Mached","Not mached")</f>
        <v>Mached</v>
      </c>
    </row>
    <row r="629" spans="4:16" x14ac:dyDescent="0.25">
      <c r="D629" s="6" t="s">
        <v>34</v>
      </c>
      <c r="E629">
        <v>2014</v>
      </c>
      <c r="F629" s="6" t="s">
        <v>38</v>
      </c>
      <c r="G629">
        <v>3</v>
      </c>
      <c r="H629">
        <v>27</v>
      </c>
      <c r="I629" s="6" t="s">
        <v>36</v>
      </c>
      <c r="J629" s="6" t="s">
        <v>37</v>
      </c>
      <c r="K629">
        <v>5</v>
      </c>
      <c r="M629" s="1" t="b">
        <f>Employee__2[[#This Row],[Experience]]&gt;1</f>
        <v>1</v>
      </c>
      <c r="N629" s="1" t="str">
        <f>IF(Employee__2[[#This Row],[City]]="Pune","Yes","No")</f>
        <v>Yes</v>
      </c>
      <c r="O629" s="1" t="str">
        <f>IF(AND(Employee__2[[#This Row],[Education]]="Bachelors",Employee__2[[#This Row],[City]]="Pune"),"Yes","No")</f>
        <v>Yes</v>
      </c>
      <c r="P629" s="1" t="str">
        <f>IF(OR(Employee__2[[#This Row],[Age]]&gt;=30,Employee__2[[#This Row],[Gender]]="Male"),"Mached","Not mached")</f>
        <v>Mached</v>
      </c>
    </row>
    <row r="630" spans="4:16" x14ac:dyDescent="0.25">
      <c r="D630" s="6" t="s">
        <v>34</v>
      </c>
      <c r="E630">
        <v>2012</v>
      </c>
      <c r="F630" s="6" t="s">
        <v>38</v>
      </c>
      <c r="G630">
        <v>3</v>
      </c>
      <c r="H630">
        <v>28</v>
      </c>
      <c r="I630" s="6" t="s">
        <v>36</v>
      </c>
      <c r="J630" s="6" t="s">
        <v>37</v>
      </c>
      <c r="K630">
        <v>3</v>
      </c>
      <c r="M630" s="1" t="b">
        <f>Employee__2[[#This Row],[Experience]]&gt;1</f>
        <v>1</v>
      </c>
      <c r="N630" s="1" t="str">
        <f>IF(Employee__2[[#This Row],[City]]="Pune","Yes","No")</f>
        <v>Yes</v>
      </c>
      <c r="O630" s="1" t="str">
        <f>IF(AND(Employee__2[[#This Row],[Education]]="Bachelors",Employee__2[[#This Row],[City]]="Pune"),"Yes","No")</f>
        <v>Yes</v>
      </c>
      <c r="P630" s="1" t="str">
        <f>IF(OR(Employee__2[[#This Row],[Age]]&gt;=30,Employee__2[[#This Row],[Gender]]="Male"),"Mached","Not mached")</f>
        <v>Mached</v>
      </c>
    </row>
    <row r="631" spans="4:16" x14ac:dyDescent="0.25">
      <c r="D631" s="6" t="s">
        <v>41</v>
      </c>
      <c r="E631">
        <v>2017</v>
      </c>
      <c r="F631" s="6" t="s">
        <v>38</v>
      </c>
      <c r="G631">
        <v>3</v>
      </c>
      <c r="H631">
        <v>26</v>
      </c>
      <c r="I631" s="6" t="s">
        <v>36</v>
      </c>
      <c r="J631" s="6" t="s">
        <v>37</v>
      </c>
      <c r="K631">
        <v>4</v>
      </c>
      <c r="M631" s="1" t="b">
        <f>Employee__2[[#This Row],[Experience]]&gt;1</f>
        <v>1</v>
      </c>
      <c r="N631" s="1" t="str">
        <f>IF(Employee__2[[#This Row],[City]]="Pune","Yes","No")</f>
        <v>Yes</v>
      </c>
      <c r="O631" s="1" t="str">
        <f>IF(AND(Employee__2[[#This Row],[Education]]="Bachelors",Employee__2[[#This Row],[City]]="Pune"),"Yes","No")</f>
        <v>No</v>
      </c>
      <c r="P631" s="1" t="str">
        <f>IF(OR(Employee__2[[#This Row],[Age]]&gt;=30,Employee__2[[#This Row],[Gender]]="Male"),"Mached","Not mached")</f>
        <v>Mached</v>
      </c>
    </row>
    <row r="632" spans="4:16" x14ac:dyDescent="0.25">
      <c r="D632" s="6" t="s">
        <v>34</v>
      </c>
      <c r="E632">
        <v>2013</v>
      </c>
      <c r="F632" s="6" t="s">
        <v>35</v>
      </c>
      <c r="G632">
        <v>3</v>
      </c>
      <c r="H632">
        <v>25</v>
      </c>
      <c r="I632" s="6" t="s">
        <v>36</v>
      </c>
      <c r="J632" s="6" t="s">
        <v>42</v>
      </c>
      <c r="K632">
        <v>3</v>
      </c>
      <c r="M632" s="1" t="b">
        <f>Employee__2[[#This Row],[Experience]]&gt;1</f>
        <v>1</v>
      </c>
      <c r="N632" s="1" t="str">
        <f>IF(Employee__2[[#This Row],[City]]="Pune","Yes","No")</f>
        <v>No</v>
      </c>
      <c r="O632" s="1" t="str">
        <f>IF(AND(Employee__2[[#This Row],[Education]]="Bachelors",Employee__2[[#This Row],[City]]="Pune"),"Yes","No")</f>
        <v>No</v>
      </c>
      <c r="P632" s="1" t="str">
        <f>IF(OR(Employee__2[[#This Row],[Age]]&gt;=30,Employee__2[[#This Row],[Gender]]="Male"),"Mached","Not mached")</f>
        <v>Mached</v>
      </c>
    </row>
    <row r="633" spans="4:16" x14ac:dyDescent="0.25">
      <c r="D633" s="6" t="s">
        <v>34</v>
      </c>
      <c r="E633">
        <v>2015</v>
      </c>
      <c r="F633" s="6" t="s">
        <v>38</v>
      </c>
      <c r="G633">
        <v>2</v>
      </c>
      <c r="H633">
        <v>28</v>
      </c>
      <c r="I633" s="6" t="s">
        <v>39</v>
      </c>
      <c r="J633" s="6" t="s">
        <v>37</v>
      </c>
      <c r="K633">
        <v>2</v>
      </c>
      <c r="M633" s="1" t="b">
        <f>Employee__2[[#This Row],[Experience]]&gt;1</f>
        <v>1</v>
      </c>
      <c r="N633" s="1" t="str">
        <f>IF(Employee__2[[#This Row],[City]]="Pune","Yes","No")</f>
        <v>Yes</v>
      </c>
      <c r="O633" s="1" t="str">
        <f>IF(AND(Employee__2[[#This Row],[Education]]="Bachelors",Employee__2[[#This Row],[City]]="Pune"),"Yes","No")</f>
        <v>Yes</v>
      </c>
      <c r="P633" s="1" t="str">
        <f>IF(OR(Employee__2[[#This Row],[Age]]&gt;=30,Employee__2[[#This Row],[Gender]]="Male"),"Mached","Not mached")</f>
        <v>Not mached</v>
      </c>
    </row>
    <row r="634" spans="4:16" x14ac:dyDescent="0.25">
      <c r="D634" s="6" t="s">
        <v>43</v>
      </c>
      <c r="E634">
        <v>2013</v>
      </c>
      <c r="F634" s="6" t="s">
        <v>35</v>
      </c>
      <c r="G634">
        <v>1</v>
      </c>
      <c r="H634">
        <v>26</v>
      </c>
      <c r="I634" s="6" t="s">
        <v>36</v>
      </c>
      <c r="J634" s="6" t="s">
        <v>37</v>
      </c>
      <c r="K634">
        <v>4</v>
      </c>
      <c r="M634" s="1" t="b">
        <f>Employee__2[[#This Row],[Experience]]&gt;1</f>
        <v>1</v>
      </c>
      <c r="N634" s="1" t="str">
        <f>IF(Employee__2[[#This Row],[City]]="Pune","Yes","No")</f>
        <v>No</v>
      </c>
      <c r="O634" s="1" t="str">
        <f>IF(AND(Employee__2[[#This Row],[Education]]="Bachelors",Employee__2[[#This Row],[City]]="Pune"),"Yes","No")</f>
        <v>No</v>
      </c>
      <c r="P634" s="1" t="str">
        <f>IF(OR(Employee__2[[#This Row],[Age]]&gt;=30,Employee__2[[#This Row],[Gender]]="Male"),"Mached","Not mached")</f>
        <v>Mached</v>
      </c>
    </row>
    <row r="635" spans="4:16" x14ac:dyDescent="0.25">
      <c r="D635" s="6" t="s">
        <v>41</v>
      </c>
      <c r="E635">
        <v>2012</v>
      </c>
      <c r="F635" s="6" t="s">
        <v>38</v>
      </c>
      <c r="G635">
        <v>3</v>
      </c>
      <c r="H635">
        <v>27</v>
      </c>
      <c r="I635" s="6" t="s">
        <v>36</v>
      </c>
      <c r="J635" s="6" t="s">
        <v>37</v>
      </c>
      <c r="K635">
        <v>5</v>
      </c>
      <c r="M635" s="1" t="b">
        <f>Employee__2[[#This Row],[Experience]]&gt;1</f>
        <v>1</v>
      </c>
      <c r="N635" s="1" t="str">
        <f>IF(Employee__2[[#This Row],[City]]="Pune","Yes","No")</f>
        <v>Yes</v>
      </c>
      <c r="O635" s="1" t="str">
        <f>IF(AND(Employee__2[[#This Row],[Education]]="Bachelors",Employee__2[[#This Row],[City]]="Pune"),"Yes","No")</f>
        <v>No</v>
      </c>
      <c r="P635" s="1" t="str">
        <f>IF(OR(Employee__2[[#This Row],[Age]]&gt;=30,Employee__2[[#This Row],[Gender]]="Male"),"Mached","Not mached")</f>
        <v>Mached</v>
      </c>
    </row>
    <row r="636" spans="4:16" x14ac:dyDescent="0.25">
      <c r="D636" s="6" t="s">
        <v>34</v>
      </c>
      <c r="E636">
        <v>2016</v>
      </c>
      <c r="F636" s="6" t="s">
        <v>35</v>
      </c>
      <c r="G636">
        <v>1</v>
      </c>
      <c r="H636">
        <v>28</v>
      </c>
      <c r="I636" s="6" t="s">
        <v>36</v>
      </c>
      <c r="J636" s="6" t="s">
        <v>37</v>
      </c>
      <c r="K636">
        <v>2</v>
      </c>
      <c r="M636" s="1" t="b">
        <f>Employee__2[[#This Row],[Experience]]&gt;1</f>
        <v>1</v>
      </c>
      <c r="N636" s="1" t="str">
        <f>IF(Employee__2[[#This Row],[City]]="Pune","Yes","No")</f>
        <v>No</v>
      </c>
      <c r="O636" s="1" t="str">
        <f>IF(AND(Employee__2[[#This Row],[Education]]="Bachelors",Employee__2[[#This Row],[City]]="Pune"),"Yes","No")</f>
        <v>No</v>
      </c>
      <c r="P636" s="1" t="str">
        <f>IF(OR(Employee__2[[#This Row],[Age]]&gt;=30,Employee__2[[#This Row],[Gender]]="Male"),"Mached","Not mached")</f>
        <v>Mached</v>
      </c>
    </row>
    <row r="637" spans="4:16" x14ac:dyDescent="0.25">
      <c r="D637" s="6" t="s">
        <v>34</v>
      </c>
      <c r="E637">
        <v>2017</v>
      </c>
      <c r="F637" s="6" t="s">
        <v>35</v>
      </c>
      <c r="G637">
        <v>3</v>
      </c>
      <c r="H637">
        <v>27</v>
      </c>
      <c r="I637" s="6" t="s">
        <v>36</v>
      </c>
      <c r="J637" s="6" t="s">
        <v>37</v>
      </c>
      <c r="K637">
        <v>5</v>
      </c>
      <c r="M637" s="1" t="b">
        <f>Employee__2[[#This Row],[Experience]]&gt;1</f>
        <v>1</v>
      </c>
      <c r="N637" s="1" t="str">
        <f>IF(Employee__2[[#This Row],[City]]="Pune","Yes","No")</f>
        <v>No</v>
      </c>
      <c r="O637" s="1" t="str">
        <f>IF(AND(Employee__2[[#This Row],[Education]]="Bachelors",Employee__2[[#This Row],[City]]="Pune"),"Yes","No")</f>
        <v>No</v>
      </c>
      <c r="P637" s="1" t="str">
        <f>IF(OR(Employee__2[[#This Row],[Age]]&gt;=30,Employee__2[[#This Row],[Gender]]="Male"),"Mached","Not mached")</f>
        <v>Mached</v>
      </c>
    </row>
    <row r="638" spans="4:16" x14ac:dyDescent="0.25">
      <c r="D638" s="6" t="s">
        <v>34</v>
      </c>
      <c r="E638">
        <v>2017</v>
      </c>
      <c r="F638" s="6" t="s">
        <v>35</v>
      </c>
      <c r="G638">
        <v>3</v>
      </c>
      <c r="H638">
        <v>25</v>
      </c>
      <c r="I638" s="6" t="s">
        <v>36</v>
      </c>
      <c r="J638" s="6" t="s">
        <v>37</v>
      </c>
      <c r="K638">
        <v>3</v>
      </c>
      <c r="M638" s="1" t="b">
        <f>Employee__2[[#This Row],[Experience]]&gt;1</f>
        <v>1</v>
      </c>
      <c r="N638" s="1" t="str">
        <f>IF(Employee__2[[#This Row],[City]]="Pune","Yes","No")</f>
        <v>No</v>
      </c>
      <c r="O638" s="1" t="str">
        <f>IF(AND(Employee__2[[#This Row],[Education]]="Bachelors",Employee__2[[#This Row],[City]]="Pune"),"Yes","No")</f>
        <v>No</v>
      </c>
      <c r="P638" s="1" t="str">
        <f>IF(OR(Employee__2[[#This Row],[Age]]&gt;=30,Employee__2[[#This Row],[Gender]]="Male"),"Mached","Not mached")</f>
        <v>Mached</v>
      </c>
    </row>
    <row r="639" spans="4:16" x14ac:dyDescent="0.25">
      <c r="D639" s="6" t="s">
        <v>41</v>
      </c>
      <c r="E639">
        <v>2017</v>
      </c>
      <c r="F639" s="6" t="s">
        <v>40</v>
      </c>
      <c r="G639">
        <v>2</v>
      </c>
      <c r="H639">
        <v>24</v>
      </c>
      <c r="I639" s="6" t="s">
        <v>39</v>
      </c>
      <c r="J639" s="6" t="s">
        <v>42</v>
      </c>
      <c r="K639">
        <v>2</v>
      </c>
      <c r="M639" s="1" t="b">
        <f>Employee__2[[#This Row],[Experience]]&gt;1</f>
        <v>1</v>
      </c>
      <c r="N639" s="1" t="str">
        <f>IF(Employee__2[[#This Row],[City]]="Pune","Yes","No")</f>
        <v>No</v>
      </c>
      <c r="O639" s="1" t="str">
        <f>IF(AND(Employee__2[[#This Row],[Education]]="Bachelors",Employee__2[[#This Row],[City]]="Pune"),"Yes","No")</f>
        <v>No</v>
      </c>
      <c r="P639" s="1" t="str">
        <f>IF(OR(Employee__2[[#This Row],[Age]]&gt;=30,Employee__2[[#This Row],[Gender]]="Male"),"Mached","Not mached")</f>
        <v>Not mached</v>
      </c>
    </row>
    <row r="640" spans="4:16" x14ac:dyDescent="0.25">
      <c r="D640" s="6" t="s">
        <v>34</v>
      </c>
      <c r="E640">
        <v>2015</v>
      </c>
      <c r="F640" s="6" t="s">
        <v>35</v>
      </c>
      <c r="G640">
        <v>1</v>
      </c>
      <c r="H640">
        <v>25</v>
      </c>
      <c r="I640" s="6" t="s">
        <v>39</v>
      </c>
      <c r="J640" s="6" t="s">
        <v>42</v>
      </c>
      <c r="K640">
        <v>3</v>
      </c>
      <c r="M640" s="1" t="b">
        <f>Employee__2[[#This Row],[Experience]]&gt;1</f>
        <v>1</v>
      </c>
      <c r="N640" s="1" t="str">
        <f>IF(Employee__2[[#This Row],[City]]="Pune","Yes","No")</f>
        <v>No</v>
      </c>
      <c r="O640" s="1" t="str">
        <f>IF(AND(Employee__2[[#This Row],[Education]]="Bachelors",Employee__2[[#This Row],[City]]="Pune"),"Yes","No")</f>
        <v>No</v>
      </c>
      <c r="P640" s="1" t="str">
        <f>IF(OR(Employee__2[[#This Row],[Age]]&gt;=30,Employee__2[[#This Row],[Gender]]="Male"),"Mached","Not mached")</f>
        <v>Not mached</v>
      </c>
    </row>
    <row r="641" spans="4:16" x14ac:dyDescent="0.25">
      <c r="D641" s="6" t="s">
        <v>34</v>
      </c>
      <c r="E641">
        <v>2018</v>
      </c>
      <c r="F641" s="6" t="s">
        <v>35</v>
      </c>
      <c r="G641">
        <v>3</v>
      </c>
      <c r="H641">
        <v>27</v>
      </c>
      <c r="I641" s="6" t="s">
        <v>36</v>
      </c>
      <c r="J641" s="6" t="s">
        <v>37</v>
      </c>
      <c r="K641">
        <v>5</v>
      </c>
      <c r="M641" s="1" t="b">
        <f>Employee__2[[#This Row],[Experience]]&gt;1</f>
        <v>1</v>
      </c>
      <c r="N641" s="1" t="str">
        <f>IF(Employee__2[[#This Row],[City]]="Pune","Yes","No")</f>
        <v>No</v>
      </c>
      <c r="O641" s="1" t="str">
        <f>IF(AND(Employee__2[[#This Row],[Education]]="Bachelors",Employee__2[[#This Row],[City]]="Pune"),"Yes","No")</f>
        <v>No</v>
      </c>
      <c r="P641" s="1" t="str">
        <f>IF(OR(Employee__2[[#This Row],[Age]]&gt;=30,Employee__2[[#This Row],[Gender]]="Male"),"Mached","Not mached")</f>
        <v>Mached</v>
      </c>
    </row>
    <row r="642" spans="4:16" x14ac:dyDescent="0.25">
      <c r="D642" s="6" t="s">
        <v>34</v>
      </c>
      <c r="E642">
        <v>2014</v>
      </c>
      <c r="F642" s="6" t="s">
        <v>35</v>
      </c>
      <c r="G642">
        <v>3</v>
      </c>
      <c r="H642">
        <v>26</v>
      </c>
      <c r="I642" s="6" t="s">
        <v>36</v>
      </c>
      <c r="J642" s="6" t="s">
        <v>37</v>
      </c>
      <c r="K642">
        <v>4</v>
      </c>
      <c r="M642" s="1" t="b">
        <f>Employee__2[[#This Row],[Experience]]&gt;1</f>
        <v>1</v>
      </c>
      <c r="N642" s="1" t="str">
        <f>IF(Employee__2[[#This Row],[City]]="Pune","Yes","No")</f>
        <v>No</v>
      </c>
      <c r="O642" s="1" t="str">
        <f>IF(AND(Employee__2[[#This Row],[Education]]="Bachelors",Employee__2[[#This Row],[City]]="Pune"),"Yes","No")</f>
        <v>No</v>
      </c>
      <c r="P642" s="1" t="str">
        <f>IF(OR(Employee__2[[#This Row],[Age]]&gt;=30,Employee__2[[#This Row],[Gender]]="Male"),"Mached","Not mached")</f>
        <v>Mached</v>
      </c>
    </row>
    <row r="643" spans="4:16" x14ac:dyDescent="0.25">
      <c r="D643" s="6" t="s">
        <v>34</v>
      </c>
      <c r="E643">
        <v>2018</v>
      </c>
      <c r="F643" s="6" t="s">
        <v>35</v>
      </c>
      <c r="G643">
        <v>3</v>
      </c>
      <c r="H643">
        <v>26</v>
      </c>
      <c r="I643" s="6" t="s">
        <v>36</v>
      </c>
      <c r="J643" s="6" t="s">
        <v>37</v>
      </c>
      <c r="K643">
        <v>4</v>
      </c>
      <c r="M643" s="1" t="b">
        <f>Employee__2[[#This Row],[Experience]]&gt;1</f>
        <v>1</v>
      </c>
      <c r="N643" s="1" t="str">
        <f>IF(Employee__2[[#This Row],[City]]="Pune","Yes","No")</f>
        <v>No</v>
      </c>
      <c r="O643" s="1" t="str">
        <f>IF(AND(Employee__2[[#This Row],[Education]]="Bachelors",Employee__2[[#This Row],[City]]="Pune"),"Yes","No")</f>
        <v>No</v>
      </c>
      <c r="P643" s="1" t="str">
        <f>IF(OR(Employee__2[[#This Row],[Age]]&gt;=30,Employee__2[[#This Row],[Gender]]="Male"),"Mached","Not mached")</f>
        <v>Mached</v>
      </c>
    </row>
    <row r="644" spans="4:16" x14ac:dyDescent="0.25">
      <c r="D644" s="6" t="s">
        <v>34</v>
      </c>
      <c r="E644">
        <v>2015</v>
      </c>
      <c r="F644" s="6" t="s">
        <v>38</v>
      </c>
      <c r="G644">
        <v>2</v>
      </c>
      <c r="H644">
        <v>24</v>
      </c>
      <c r="I644" s="6" t="s">
        <v>39</v>
      </c>
      <c r="J644" s="6" t="s">
        <v>37</v>
      </c>
      <c r="K644">
        <v>2</v>
      </c>
      <c r="M644" s="1" t="b">
        <f>Employee__2[[#This Row],[Experience]]&gt;1</f>
        <v>1</v>
      </c>
      <c r="N644" s="1" t="str">
        <f>IF(Employee__2[[#This Row],[City]]="Pune","Yes","No")</f>
        <v>Yes</v>
      </c>
      <c r="O644" s="1" t="str">
        <f>IF(AND(Employee__2[[#This Row],[Education]]="Bachelors",Employee__2[[#This Row],[City]]="Pune"),"Yes","No")</f>
        <v>Yes</v>
      </c>
      <c r="P644" s="1" t="str">
        <f>IF(OR(Employee__2[[#This Row],[Age]]&gt;=30,Employee__2[[#This Row],[Gender]]="Male"),"Mached","Not mached")</f>
        <v>Not mached</v>
      </c>
    </row>
    <row r="645" spans="4:16" x14ac:dyDescent="0.25">
      <c r="D645" s="6" t="s">
        <v>34</v>
      </c>
      <c r="E645">
        <v>2018</v>
      </c>
      <c r="F645" s="6" t="s">
        <v>35</v>
      </c>
      <c r="G645">
        <v>3</v>
      </c>
      <c r="H645">
        <v>27</v>
      </c>
      <c r="I645" s="6" t="s">
        <v>36</v>
      </c>
      <c r="J645" s="6" t="s">
        <v>37</v>
      </c>
      <c r="K645">
        <v>5</v>
      </c>
      <c r="M645" s="1" t="b">
        <f>Employee__2[[#This Row],[Experience]]&gt;1</f>
        <v>1</v>
      </c>
      <c r="N645" s="1" t="str">
        <f>IF(Employee__2[[#This Row],[City]]="Pune","Yes","No")</f>
        <v>No</v>
      </c>
      <c r="O645" s="1" t="str">
        <f>IF(AND(Employee__2[[#This Row],[Education]]="Bachelors",Employee__2[[#This Row],[City]]="Pune"),"Yes","No")</f>
        <v>No</v>
      </c>
      <c r="P645" s="1" t="str">
        <f>IF(OR(Employee__2[[#This Row],[Age]]&gt;=30,Employee__2[[#This Row],[Gender]]="Male"),"Mached","Not mached")</f>
        <v>Mached</v>
      </c>
    </row>
    <row r="646" spans="4:16" x14ac:dyDescent="0.25">
      <c r="D646" s="6" t="s">
        <v>34</v>
      </c>
      <c r="E646">
        <v>2016</v>
      </c>
      <c r="F646" s="6" t="s">
        <v>35</v>
      </c>
      <c r="G646">
        <v>3</v>
      </c>
      <c r="H646">
        <v>27</v>
      </c>
      <c r="I646" s="6" t="s">
        <v>39</v>
      </c>
      <c r="J646" s="6" t="s">
        <v>37</v>
      </c>
      <c r="K646">
        <v>5</v>
      </c>
      <c r="M646" s="1" t="b">
        <f>Employee__2[[#This Row],[Experience]]&gt;1</f>
        <v>1</v>
      </c>
      <c r="N646" s="1" t="str">
        <f>IF(Employee__2[[#This Row],[City]]="Pune","Yes","No")</f>
        <v>No</v>
      </c>
      <c r="O646" s="1" t="str">
        <f>IF(AND(Employee__2[[#This Row],[Education]]="Bachelors",Employee__2[[#This Row],[City]]="Pune"),"Yes","No")</f>
        <v>No</v>
      </c>
      <c r="P646" s="1" t="str">
        <f>IF(OR(Employee__2[[#This Row],[Age]]&gt;=30,Employee__2[[#This Row],[Gender]]="Male"),"Mached","Not mached")</f>
        <v>Not mached</v>
      </c>
    </row>
    <row r="647" spans="4:16" x14ac:dyDescent="0.25">
      <c r="D647" s="6" t="s">
        <v>41</v>
      </c>
      <c r="E647">
        <v>2016</v>
      </c>
      <c r="F647" s="6" t="s">
        <v>40</v>
      </c>
      <c r="G647">
        <v>3</v>
      </c>
      <c r="H647">
        <v>25</v>
      </c>
      <c r="I647" s="6" t="s">
        <v>39</v>
      </c>
      <c r="J647" s="6" t="s">
        <v>37</v>
      </c>
      <c r="K647">
        <v>3</v>
      </c>
      <c r="M647" s="1" t="b">
        <f>Employee__2[[#This Row],[Experience]]&gt;1</f>
        <v>1</v>
      </c>
      <c r="N647" s="1" t="str">
        <f>IF(Employee__2[[#This Row],[City]]="Pune","Yes","No")</f>
        <v>No</v>
      </c>
      <c r="O647" s="1" t="str">
        <f>IF(AND(Employee__2[[#This Row],[Education]]="Bachelors",Employee__2[[#This Row],[City]]="Pune"),"Yes","No")</f>
        <v>No</v>
      </c>
      <c r="P647" s="1" t="str">
        <f>IF(OR(Employee__2[[#This Row],[Age]]&gt;=30,Employee__2[[#This Row],[Gender]]="Male"),"Mached","Not mached")</f>
        <v>Not mached</v>
      </c>
    </row>
    <row r="648" spans="4:16" x14ac:dyDescent="0.25">
      <c r="D648" s="6" t="s">
        <v>41</v>
      </c>
      <c r="E648">
        <v>2018</v>
      </c>
      <c r="F648" s="6" t="s">
        <v>40</v>
      </c>
      <c r="G648">
        <v>3</v>
      </c>
      <c r="H648">
        <v>26</v>
      </c>
      <c r="I648" s="6" t="s">
        <v>36</v>
      </c>
      <c r="J648" s="6" t="s">
        <v>37</v>
      </c>
      <c r="K648">
        <v>4</v>
      </c>
      <c r="M648" s="1" t="b">
        <f>Employee__2[[#This Row],[Experience]]&gt;1</f>
        <v>1</v>
      </c>
      <c r="N648" s="1" t="str">
        <f>IF(Employee__2[[#This Row],[City]]="Pune","Yes","No")</f>
        <v>No</v>
      </c>
      <c r="O648" s="1" t="str">
        <f>IF(AND(Employee__2[[#This Row],[Education]]="Bachelors",Employee__2[[#This Row],[City]]="Pune"),"Yes","No")</f>
        <v>No</v>
      </c>
      <c r="P648" s="1" t="str">
        <f>IF(OR(Employee__2[[#This Row],[Age]]&gt;=30,Employee__2[[#This Row],[Gender]]="Male"),"Mached","Not mached")</f>
        <v>Mached</v>
      </c>
    </row>
    <row r="649" spans="4:16" x14ac:dyDescent="0.25">
      <c r="D649" s="6" t="s">
        <v>34</v>
      </c>
      <c r="E649">
        <v>2018</v>
      </c>
      <c r="F649" s="6" t="s">
        <v>35</v>
      </c>
      <c r="G649">
        <v>3</v>
      </c>
      <c r="H649">
        <v>24</v>
      </c>
      <c r="I649" s="6" t="s">
        <v>39</v>
      </c>
      <c r="J649" s="6" t="s">
        <v>37</v>
      </c>
      <c r="K649">
        <v>2</v>
      </c>
      <c r="M649" s="1" t="b">
        <f>Employee__2[[#This Row],[Experience]]&gt;1</f>
        <v>1</v>
      </c>
      <c r="N649" s="1" t="str">
        <f>IF(Employee__2[[#This Row],[City]]="Pune","Yes","No")</f>
        <v>No</v>
      </c>
      <c r="O649" s="1" t="str">
        <f>IF(AND(Employee__2[[#This Row],[Education]]="Bachelors",Employee__2[[#This Row],[City]]="Pune"),"Yes","No")</f>
        <v>No</v>
      </c>
      <c r="P649" s="1" t="str">
        <f>IF(OR(Employee__2[[#This Row],[Age]]&gt;=30,Employee__2[[#This Row],[Gender]]="Male"),"Mached","Not mached")</f>
        <v>Not mached</v>
      </c>
    </row>
    <row r="650" spans="4:16" x14ac:dyDescent="0.25">
      <c r="D650" s="6" t="s">
        <v>34</v>
      </c>
      <c r="E650">
        <v>2017</v>
      </c>
      <c r="F650" s="6" t="s">
        <v>40</v>
      </c>
      <c r="G650">
        <v>2</v>
      </c>
      <c r="H650">
        <v>28</v>
      </c>
      <c r="I650" s="6" t="s">
        <v>36</v>
      </c>
      <c r="J650" s="6" t="s">
        <v>37</v>
      </c>
      <c r="K650">
        <v>3</v>
      </c>
      <c r="M650" s="1" t="b">
        <f>Employee__2[[#This Row],[Experience]]&gt;1</f>
        <v>1</v>
      </c>
      <c r="N650" s="1" t="str">
        <f>IF(Employee__2[[#This Row],[City]]="Pune","Yes","No")</f>
        <v>No</v>
      </c>
      <c r="O650" s="1" t="str">
        <f>IF(AND(Employee__2[[#This Row],[Education]]="Bachelors",Employee__2[[#This Row],[City]]="Pune"),"Yes","No")</f>
        <v>No</v>
      </c>
      <c r="P650" s="1" t="str">
        <f>IF(OR(Employee__2[[#This Row],[Age]]&gt;=30,Employee__2[[#This Row],[Gender]]="Male"),"Mached","Not mached")</f>
        <v>Mached</v>
      </c>
    </row>
    <row r="651" spans="4:16" x14ac:dyDescent="0.25">
      <c r="D651" s="6" t="s">
        <v>34</v>
      </c>
      <c r="E651">
        <v>2015</v>
      </c>
      <c r="F651" s="6" t="s">
        <v>35</v>
      </c>
      <c r="G651">
        <v>3</v>
      </c>
      <c r="H651">
        <v>27</v>
      </c>
      <c r="I651" s="6" t="s">
        <v>36</v>
      </c>
      <c r="J651" s="6" t="s">
        <v>37</v>
      </c>
      <c r="K651">
        <v>5</v>
      </c>
      <c r="M651" s="1" t="b">
        <f>Employee__2[[#This Row],[Experience]]&gt;1</f>
        <v>1</v>
      </c>
      <c r="N651" s="1" t="str">
        <f>IF(Employee__2[[#This Row],[City]]="Pune","Yes","No")</f>
        <v>No</v>
      </c>
      <c r="O651" s="1" t="str">
        <f>IF(AND(Employee__2[[#This Row],[Education]]="Bachelors",Employee__2[[#This Row],[City]]="Pune"),"Yes","No")</f>
        <v>No</v>
      </c>
      <c r="P651" s="1" t="str">
        <f>IF(OR(Employee__2[[#This Row],[Age]]&gt;=30,Employee__2[[#This Row],[Gender]]="Male"),"Mached","Not mached")</f>
        <v>Mached</v>
      </c>
    </row>
    <row r="652" spans="4:16" x14ac:dyDescent="0.25">
      <c r="D652" s="6" t="s">
        <v>34</v>
      </c>
      <c r="E652">
        <v>2017</v>
      </c>
      <c r="F652" s="6" t="s">
        <v>35</v>
      </c>
      <c r="G652">
        <v>3</v>
      </c>
      <c r="H652">
        <v>26</v>
      </c>
      <c r="I652" s="6" t="s">
        <v>36</v>
      </c>
      <c r="J652" s="6" t="s">
        <v>37</v>
      </c>
      <c r="K652">
        <v>4</v>
      </c>
      <c r="M652" s="1" t="b">
        <f>Employee__2[[#This Row],[Experience]]&gt;1</f>
        <v>1</v>
      </c>
      <c r="N652" s="1" t="str">
        <f>IF(Employee__2[[#This Row],[City]]="Pune","Yes","No")</f>
        <v>No</v>
      </c>
      <c r="O652" s="1" t="str">
        <f>IF(AND(Employee__2[[#This Row],[Education]]="Bachelors",Employee__2[[#This Row],[City]]="Pune"),"Yes","No")</f>
        <v>No</v>
      </c>
      <c r="P652" s="1" t="str">
        <f>IF(OR(Employee__2[[#This Row],[Age]]&gt;=30,Employee__2[[#This Row],[Gender]]="Male"),"Mached","Not mached")</f>
        <v>Mached</v>
      </c>
    </row>
    <row r="653" spans="4:16" x14ac:dyDescent="0.25">
      <c r="D653" s="6" t="s">
        <v>34</v>
      </c>
      <c r="E653">
        <v>2016</v>
      </c>
      <c r="F653" s="6" t="s">
        <v>35</v>
      </c>
      <c r="G653">
        <v>3</v>
      </c>
      <c r="H653">
        <v>25</v>
      </c>
      <c r="I653" s="6" t="s">
        <v>36</v>
      </c>
      <c r="J653" s="6" t="s">
        <v>37</v>
      </c>
      <c r="K653">
        <v>3</v>
      </c>
      <c r="M653" s="1" t="b">
        <f>Employee__2[[#This Row],[Experience]]&gt;1</f>
        <v>1</v>
      </c>
      <c r="N653" s="1" t="str">
        <f>IF(Employee__2[[#This Row],[City]]="Pune","Yes","No")</f>
        <v>No</v>
      </c>
      <c r="O653" s="1" t="str">
        <f>IF(AND(Employee__2[[#This Row],[Education]]="Bachelors",Employee__2[[#This Row],[City]]="Pune"),"Yes","No")</f>
        <v>No</v>
      </c>
      <c r="P653" s="1" t="str">
        <f>IF(OR(Employee__2[[#This Row],[Age]]&gt;=30,Employee__2[[#This Row],[Gender]]="Male"),"Mached","Not mached")</f>
        <v>Mached</v>
      </c>
    </row>
    <row r="654" spans="4:16" x14ac:dyDescent="0.25">
      <c r="D654" s="6" t="s">
        <v>34</v>
      </c>
      <c r="E654">
        <v>2013</v>
      </c>
      <c r="F654" s="6" t="s">
        <v>38</v>
      </c>
      <c r="G654">
        <v>3</v>
      </c>
      <c r="H654">
        <v>25</v>
      </c>
      <c r="I654" s="6" t="s">
        <v>36</v>
      </c>
      <c r="J654" s="6" t="s">
        <v>37</v>
      </c>
      <c r="K654">
        <v>3</v>
      </c>
      <c r="M654" s="1" t="b">
        <f>Employee__2[[#This Row],[Experience]]&gt;1</f>
        <v>1</v>
      </c>
      <c r="N654" s="1" t="str">
        <f>IF(Employee__2[[#This Row],[City]]="Pune","Yes","No")</f>
        <v>Yes</v>
      </c>
      <c r="O654" s="1" t="str">
        <f>IF(AND(Employee__2[[#This Row],[Education]]="Bachelors",Employee__2[[#This Row],[City]]="Pune"),"Yes","No")</f>
        <v>Yes</v>
      </c>
      <c r="P654" s="1" t="str">
        <f>IF(OR(Employee__2[[#This Row],[Age]]&gt;=30,Employee__2[[#This Row],[Gender]]="Male"),"Mached","Not mached")</f>
        <v>Mached</v>
      </c>
    </row>
    <row r="655" spans="4:16" x14ac:dyDescent="0.25">
      <c r="D655" s="6" t="s">
        <v>34</v>
      </c>
      <c r="E655">
        <v>2015</v>
      </c>
      <c r="F655" s="6" t="s">
        <v>38</v>
      </c>
      <c r="G655">
        <v>3</v>
      </c>
      <c r="H655">
        <v>25</v>
      </c>
      <c r="I655" s="6" t="s">
        <v>39</v>
      </c>
      <c r="J655" s="6" t="s">
        <v>37</v>
      </c>
      <c r="K655">
        <v>3</v>
      </c>
      <c r="M655" s="1" t="b">
        <f>Employee__2[[#This Row],[Experience]]&gt;1</f>
        <v>1</v>
      </c>
      <c r="N655" s="1" t="str">
        <f>IF(Employee__2[[#This Row],[City]]="Pune","Yes","No")</f>
        <v>Yes</v>
      </c>
      <c r="O655" s="1" t="str">
        <f>IF(AND(Employee__2[[#This Row],[Education]]="Bachelors",Employee__2[[#This Row],[City]]="Pune"),"Yes","No")</f>
        <v>Yes</v>
      </c>
      <c r="P655" s="1" t="str">
        <f>IF(OR(Employee__2[[#This Row],[Age]]&gt;=30,Employee__2[[#This Row],[Gender]]="Male"),"Mached","Not mached")</f>
        <v>Not mached</v>
      </c>
    </row>
    <row r="656" spans="4:16" x14ac:dyDescent="0.25">
      <c r="D656" s="6" t="s">
        <v>34</v>
      </c>
      <c r="E656">
        <v>2014</v>
      </c>
      <c r="F656" s="6" t="s">
        <v>35</v>
      </c>
      <c r="G656">
        <v>3</v>
      </c>
      <c r="H656">
        <v>28</v>
      </c>
      <c r="I656" s="6" t="s">
        <v>39</v>
      </c>
      <c r="J656" s="6" t="s">
        <v>37</v>
      </c>
      <c r="K656">
        <v>3</v>
      </c>
      <c r="M656" s="1" t="b">
        <f>Employee__2[[#This Row],[Experience]]&gt;1</f>
        <v>1</v>
      </c>
      <c r="N656" s="1" t="str">
        <f>IF(Employee__2[[#This Row],[City]]="Pune","Yes","No")</f>
        <v>No</v>
      </c>
      <c r="O656" s="1" t="str">
        <f>IF(AND(Employee__2[[#This Row],[Education]]="Bachelors",Employee__2[[#This Row],[City]]="Pune"),"Yes","No")</f>
        <v>No</v>
      </c>
      <c r="P656" s="1" t="str">
        <f>IF(OR(Employee__2[[#This Row],[Age]]&gt;=30,Employee__2[[#This Row],[Gender]]="Male"),"Mached","Not mached")</f>
        <v>Not mached</v>
      </c>
    </row>
    <row r="657" spans="4:16" x14ac:dyDescent="0.25">
      <c r="D657" s="6" t="s">
        <v>34</v>
      </c>
      <c r="E657">
        <v>2015</v>
      </c>
      <c r="F657" s="6" t="s">
        <v>38</v>
      </c>
      <c r="G657">
        <v>3</v>
      </c>
      <c r="H657">
        <v>24</v>
      </c>
      <c r="I657" s="6" t="s">
        <v>36</v>
      </c>
      <c r="J657" s="6" t="s">
        <v>37</v>
      </c>
      <c r="K657">
        <v>2</v>
      </c>
      <c r="M657" s="1" t="b">
        <f>Employee__2[[#This Row],[Experience]]&gt;1</f>
        <v>1</v>
      </c>
      <c r="N657" s="1" t="str">
        <f>IF(Employee__2[[#This Row],[City]]="Pune","Yes","No")</f>
        <v>Yes</v>
      </c>
      <c r="O657" s="1" t="str">
        <f>IF(AND(Employee__2[[#This Row],[Education]]="Bachelors",Employee__2[[#This Row],[City]]="Pune"),"Yes","No")</f>
        <v>Yes</v>
      </c>
      <c r="P657" s="1" t="str">
        <f>IF(OR(Employee__2[[#This Row],[Age]]&gt;=30,Employee__2[[#This Row],[Gender]]="Male"),"Mached","Not mached")</f>
        <v>Mached</v>
      </c>
    </row>
    <row r="658" spans="4:16" x14ac:dyDescent="0.25">
      <c r="D658" s="6" t="s">
        <v>34</v>
      </c>
      <c r="E658">
        <v>2016</v>
      </c>
      <c r="F658" s="6" t="s">
        <v>35</v>
      </c>
      <c r="G658">
        <v>3</v>
      </c>
      <c r="H658">
        <v>26</v>
      </c>
      <c r="I658" s="6" t="s">
        <v>39</v>
      </c>
      <c r="J658" s="6" t="s">
        <v>37</v>
      </c>
      <c r="K658">
        <v>4</v>
      </c>
      <c r="M658" s="1" t="b">
        <f>Employee__2[[#This Row],[Experience]]&gt;1</f>
        <v>1</v>
      </c>
      <c r="N658" s="1" t="str">
        <f>IF(Employee__2[[#This Row],[City]]="Pune","Yes","No")</f>
        <v>No</v>
      </c>
      <c r="O658" s="1" t="str">
        <f>IF(AND(Employee__2[[#This Row],[Education]]="Bachelors",Employee__2[[#This Row],[City]]="Pune"),"Yes","No")</f>
        <v>No</v>
      </c>
      <c r="P658" s="1" t="str">
        <f>IF(OR(Employee__2[[#This Row],[Age]]&gt;=30,Employee__2[[#This Row],[Gender]]="Male"),"Mached","Not mached")</f>
        <v>Not mached</v>
      </c>
    </row>
    <row r="659" spans="4:16" x14ac:dyDescent="0.25">
      <c r="D659" s="6" t="s">
        <v>34</v>
      </c>
      <c r="E659">
        <v>2018</v>
      </c>
      <c r="F659" s="6" t="s">
        <v>35</v>
      </c>
      <c r="G659">
        <v>1</v>
      </c>
      <c r="H659">
        <v>25</v>
      </c>
      <c r="I659" s="6" t="s">
        <v>36</v>
      </c>
      <c r="J659" s="6" t="s">
        <v>42</v>
      </c>
      <c r="K659">
        <v>3</v>
      </c>
      <c r="M659" s="1" t="b">
        <f>Employee__2[[#This Row],[Experience]]&gt;1</f>
        <v>1</v>
      </c>
      <c r="N659" s="1" t="str">
        <f>IF(Employee__2[[#This Row],[City]]="Pune","Yes","No")</f>
        <v>No</v>
      </c>
      <c r="O659" s="1" t="str">
        <f>IF(AND(Employee__2[[#This Row],[Education]]="Bachelors",Employee__2[[#This Row],[City]]="Pune"),"Yes","No")</f>
        <v>No</v>
      </c>
      <c r="P659" s="1" t="str">
        <f>IF(OR(Employee__2[[#This Row],[Age]]&gt;=30,Employee__2[[#This Row],[Gender]]="Male"),"Mached","Not mached")</f>
        <v>Mached</v>
      </c>
    </row>
    <row r="660" spans="4:16" x14ac:dyDescent="0.25">
      <c r="D660" s="6" t="s">
        <v>41</v>
      </c>
      <c r="E660">
        <v>2017</v>
      </c>
      <c r="F660" s="6" t="s">
        <v>38</v>
      </c>
      <c r="G660">
        <v>2</v>
      </c>
      <c r="H660">
        <v>28</v>
      </c>
      <c r="I660" s="6" t="s">
        <v>39</v>
      </c>
      <c r="J660" s="6" t="s">
        <v>37</v>
      </c>
      <c r="K660">
        <v>1</v>
      </c>
      <c r="M660" s="1" t="b">
        <f>Employee__2[[#This Row],[Experience]]&gt;1</f>
        <v>0</v>
      </c>
      <c r="N660" s="1" t="str">
        <f>IF(Employee__2[[#This Row],[City]]="Pune","Yes","No")</f>
        <v>Yes</v>
      </c>
      <c r="O660" s="1" t="str">
        <f>IF(AND(Employee__2[[#This Row],[Education]]="Bachelors",Employee__2[[#This Row],[City]]="Pune"),"Yes","No")</f>
        <v>No</v>
      </c>
      <c r="P660" s="1" t="str">
        <f>IF(OR(Employee__2[[#This Row],[Age]]&gt;=30,Employee__2[[#This Row],[Gender]]="Male"),"Mached","Not mached")</f>
        <v>Not mached</v>
      </c>
    </row>
    <row r="661" spans="4:16" x14ac:dyDescent="0.25">
      <c r="D661" s="6" t="s">
        <v>34</v>
      </c>
      <c r="E661">
        <v>2014</v>
      </c>
      <c r="F661" s="6" t="s">
        <v>38</v>
      </c>
      <c r="G661">
        <v>2</v>
      </c>
      <c r="H661">
        <v>25</v>
      </c>
      <c r="I661" s="6" t="s">
        <v>39</v>
      </c>
      <c r="J661" s="6" t="s">
        <v>37</v>
      </c>
      <c r="K661">
        <v>3</v>
      </c>
      <c r="M661" s="1" t="b">
        <f>Employee__2[[#This Row],[Experience]]&gt;1</f>
        <v>1</v>
      </c>
      <c r="N661" s="1" t="str">
        <f>IF(Employee__2[[#This Row],[City]]="Pune","Yes","No")</f>
        <v>Yes</v>
      </c>
      <c r="O661" s="1" t="str">
        <f>IF(AND(Employee__2[[#This Row],[Education]]="Bachelors",Employee__2[[#This Row],[City]]="Pune"),"Yes","No")</f>
        <v>Yes</v>
      </c>
      <c r="P661" s="1" t="str">
        <f>IF(OR(Employee__2[[#This Row],[Age]]&gt;=30,Employee__2[[#This Row],[Gender]]="Male"),"Mached","Not mached")</f>
        <v>Not mached</v>
      </c>
    </row>
    <row r="662" spans="4:16" x14ac:dyDescent="0.25">
      <c r="D662" s="6" t="s">
        <v>34</v>
      </c>
      <c r="E662">
        <v>2017</v>
      </c>
      <c r="F662" s="6" t="s">
        <v>35</v>
      </c>
      <c r="G662">
        <v>3</v>
      </c>
      <c r="H662">
        <v>25</v>
      </c>
      <c r="I662" s="6" t="s">
        <v>36</v>
      </c>
      <c r="J662" s="6" t="s">
        <v>37</v>
      </c>
      <c r="K662">
        <v>3</v>
      </c>
      <c r="M662" s="1" t="b">
        <f>Employee__2[[#This Row],[Experience]]&gt;1</f>
        <v>1</v>
      </c>
      <c r="N662" s="1" t="str">
        <f>IF(Employee__2[[#This Row],[City]]="Pune","Yes","No")</f>
        <v>No</v>
      </c>
      <c r="O662" s="1" t="str">
        <f>IF(AND(Employee__2[[#This Row],[Education]]="Bachelors",Employee__2[[#This Row],[City]]="Pune"),"Yes","No")</f>
        <v>No</v>
      </c>
      <c r="P662" s="1" t="str">
        <f>IF(OR(Employee__2[[#This Row],[Age]]&gt;=30,Employee__2[[#This Row],[Gender]]="Male"),"Mached","Not mached")</f>
        <v>Mached</v>
      </c>
    </row>
    <row r="663" spans="4:16" x14ac:dyDescent="0.25">
      <c r="D663" s="6" t="s">
        <v>34</v>
      </c>
      <c r="E663">
        <v>2016</v>
      </c>
      <c r="F663" s="6" t="s">
        <v>35</v>
      </c>
      <c r="G663">
        <v>3</v>
      </c>
      <c r="H663">
        <v>28</v>
      </c>
      <c r="I663" s="6" t="s">
        <v>39</v>
      </c>
      <c r="J663" s="6" t="s">
        <v>37</v>
      </c>
      <c r="K663">
        <v>3</v>
      </c>
      <c r="M663" s="1" t="b">
        <f>Employee__2[[#This Row],[Experience]]&gt;1</f>
        <v>1</v>
      </c>
      <c r="N663" s="1" t="str">
        <f>IF(Employee__2[[#This Row],[City]]="Pune","Yes","No")</f>
        <v>No</v>
      </c>
      <c r="O663" s="1" t="str">
        <f>IF(AND(Employee__2[[#This Row],[Education]]="Bachelors",Employee__2[[#This Row],[City]]="Pune"),"Yes","No")</f>
        <v>No</v>
      </c>
      <c r="P663" s="1" t="str">
        <f>IF(OR(Employee__2[[#This Row],[Age]]&gt;=30,Employee__2[[#This Row],[Gender]]="Male"),"Mached","Not mached")</f>
        <v>Not mached</v>
      </c>
    </row>
    <row r="664" spans="4:16" x14ac:dyDescent="0.25">
      <c r="D664" s="6" t="s">
        <v>34</v>
      </c>
      <c r="E664">
        <v>2014</v>
      </c>
      <c r="F664" s="6" t="s">
        <v>35</v>
      </c>
      <c r="G664">
        <v>3</v>
      </c>
      <c r="H664">
        <v>28</v>
      </c>
      <c r="I664" s="6" t="s">
        <v>39</v>
      </c>
      <c r="J664" s="6" t="s">
        <v>37</v>
      </c>
      <c r="K664">
        <v>2</v>
      </c>
      <c r="M664" s="1" t="b">
        <f>Employee__2[[#This Row],[Experience]]&gt;1</f>
        <v>1</v>
      </c>
      <c r="N664" s="1" t="str">
        <f>IF(Employee__2[[#This Row],[City]]="Pune","Yes","No")</f>
        <v>No</v>
      </c>
      <c r="O664" s="1" t="str">
        <f>IF(AND(Employee__2[[#This Row],[Education]]="Bachelors",Employee__2[[#This Row],[City]]="Pune"),"Yes","No")</f>
        <v>No</v>
      </c>
      <c r="P664" s="1" t="str">
        <f>IF(OR(Employee__2[[#This Row],[Age]]&gt;=30,Employee__2[[#This Row],[Gender]]="Male"),"Mached","Not mached")</f>
        <v>Not mached</v>
      </c>
    </row>
    <row r="665" spans="4:16" x14ac:dyDescent="0.25">
      <c r="D665" s="6" t="s">
        <v>41</v>
      </c>
      <c r="E665">
        <v>2017</v>
      </c>
      <c r="F665" s="6" t="s">
        <v>40</v>
      </c>
      <c r="G665">
        <v>2</v>
      </c>
      <c r="H665">
        <v>28</v>
      </c>
      <c r="I665" s="6" t="s">
        <v>36</v>
      </c>
      <c r="J665" s="6" t="s">
        <v>37</v>
      </c>
      <c r="K665">
        <v>2</v>
      </c>
      <c r="M665" s="1" t="b">
        <f>Employee__2[[#This Row],[Experience]]&gt;1</f>
        <v>1</v>
      </c>
      <c r="N665" s="1" t="str">
        <f>IF(Employee__2[[#This Row],[City]]="Pune","Yes","No")</f>
        <v>No</v>
      </c>
      <c r="O665" s="1" t="str">
        <f>IF(AND(Employee__2[[#This Row],[Education]]="Bachelors",Employee__2[[#This Row],[City]]="Pune"),"Yes","No")</f>
        <v>No</v>
      </c>
      <c r="P665" s="1" t="str">
        <f>IF(OR(Employee__2[[#This Row],[Age]]&gt;=30,Employee__2[[#This Row],[Gender]]="Male"),"Mached","Not mached")</f>
        <v>Mached</v>
      </c>
    </row>
    <row r="666" spans="4:16" x14ac:dyDescent="0.25">
      <c r="D666" s="6" t="s">
        <v>34</v>
      </c>
      <c r="E666">
        <v>2017</v>
      </c>
      <c r="F666" s="6" t="s">
        <v>40</v>
      </c>
      <c r="G666">
        <v>2</v>
      </c>
      <c r="H666">
        <v>24</v>
      </c>
      <c r="I666" s="6" t="s">
        <v>39</v>
      </c>
      <c r="J666" s="6" t="s">
        <v>37</v>
      </c>
      <c r="K666">
        <v>2</v>
      </c>
      <c r="M666" s="1" t="b">
        <f>Employee__2[[#This Row],[Experience]]&gt;1</f>
        <v>1</v>
      </c>
      <c r="N666" s="1" t="str">
        <f>IF(Employee__2[[#This Row],[City]]="Pune","Yes","No")</f>
        <v>No</v>
      </c>
      <c r="O666" s="1" t="str">
        <f>IF(AND(Employee__2[[#This Row],[Education]]="Bachelors",Employee__2[[#This Row],[City]]="Pune"),"Yes","No")</f>
        <v>No</v>
      </c>
      <c r="P666" s="1" t="str">
        <f>IF(OR(Employee__2[[#This Row],[Age]]&gt;=30,Employee__2[[#This Row],[Gender]]="Male"),"Mached","Not mached")</f>
        <v>Not mached</v>
      </c>
    </row>
    <row r="667" spans="4:16" x14ac:dyDescent="0.25">
      <c r="D667" s="6" t="s">
        <v>43</v>
      </c>
      <c r="E667">
        <v>2013</v>
      </c>
      <c r="F667" s="6" t="s">
        <v>40</v>
      </c>
      <c r="G667">
        <v>2</v>
      </c>
      <c r="H667">
        <v>25</v>
      </c>
      <c r="I667" s="6" t="s">
        <v>36</v>
      </c>
      <c r="J667" s="6" t="s">
        <v>37</v>
      </c>
      <c r="K667">
        <v>3</v>
      </c>
      <c r="M667" s="1" t="b">
        <f>Employee__2[[#This Row],[Experience]]&gt;1</f>
        <v>1</v>
      </c>
      <c r="N667" s="1" t="str">
        <f>IF(Employee__2[[#This Row],[City]]="Pune","Yes","No")</f>
        <v>No</v>
      </c>
      <c r="O667" s="1" t="str">
        <f>IF(AND(Employee__2[[#This Row],[Education]]="Bachelors",Employee__2[[#This Row],[City]]="Pune"),"Yes","No")</f>
        <v>No</v>
      </c>
      <c r="P667" s="1" t="str">
        <f>IF(OR(Employee__2[[#This Row],[Age]]&gt;=30,Employee__2[[#This Row],[Gender]]="Male"),"Mached","Not mached")</f>
        <v>Mached</v>
      </c>
    </row>
    <row r="668" spans="4:16" x14ac:dyDescent="0.25">
      <c r="D668" s="6" t="s">
        <v>34</v>
      </c>
      <c r="E668">
        <v>2017</v>
      </c>
      <c r="F668" s="6" t="s">
        <v>35</v>
      </c>
      <c r="G668">
        <v>3</v>
      </c>
      <c r="H668">
        <v>24</v>
      </c>
      <c r="I668" s="6" t="s">
        <v>36</v>
      </c>
      <c r="J668" s="6" t="s">
        <v>37</v>
      </c>
      <c r="K668">
        <v>2</v>
      </c>
      <c r="M668" s="1" t="b">
        <f>Employee__2[[#This Row],[Experience]]&gt;1</f>
        <v>1</v>
      </c>
      <c r="N668" s="1" t="str">
        <f>IF(Employee__2[[#This Row],[City]]="Pune","Yes","No")</f>
        <v>No</v>
      </c>
      <c r="O668" s="1" t="str">
        <f>IF(AND(Employee__2[[#This Row],[Education]]="Bachelors",Employee__2[[#This Row],[City]]="Pune"),"Yes","No")</f>
        <v>No</v>
      </c>
      <c r="P668" s="1" t="str">
        <f>IF(OR(Employee__2[[#This Row],[Age]]&gt;=30,Employee__2[[#This Row],[Gender]]="Male"),"Mached","Not mached")</f>
        <v>Mached</v>
      </c>
    </row>
    <row r="669" spans="4:16" x14ac:dyDescent="0.25">
      <c r="D669" s="6" t="s">
        <v>34</v>
      </c>
      <c r="E669">
        <v>2017</v>
      </c>
      <c r="F669" s="6" t="s">
        <v>35</v>
      </c>
      <c r="G669">
        <v>3</v>
      </c>
      <c r="H669">
        <v>26</v>
      </c>
      <c r="I669" s="6" t="s">
        <v>39</v>
      </c>
      <c r="J669" s="6" t="s">
        <v>37</v>
      </c>
      <c r="K669">
        <v>4</v>
      </c>
      <c r="M669" s="1" t="b">
        <f>Employee__2[[#This Row],[Experience]]&gt;1</f>
        <v>1</v>
      </c>
      <c r="N669" s="1" t="str">
        <f>IF(Employee__2[[#This Row],[City]]="Pune","Yes","No")</f>
        <v>No</v>
      </c>
      <c r="O669" s="1" t="str">
        <f>IF(AND(Employee__2[[#This Row],[Education]]="Bachelors",Employee__2[[#This Row],[City]]="Pune"),"Yes","No")</f>
        <v>No</v>
      </c>
      <c r="P669" s="1" t="str">
        <f>IF(OR(Employee__2[[#This Row],[Age]]&gt;=30,Employee__2[[#This Row],[Gender]]="Male"),"Mached","Not mached")</f>
        <v>Not mached</v>
      </c>
    </row>
    <row r="670" spans="4:16" x14ac:dyDescent="0.25">
      <c r="D670" s="6" t="s">
        <v>34</v>
      </c>
      <c r="E670">
        <v>2015</v>
      </c>
      <c r="F670" s="6" t="s">
        <v>35</v>
      </c>
      <c r="G670">
        <v>1</v>
      </c>
      <c r="H670">
        <v>25</v>
      </c>
      <c r="I670" s="6" t="s">
        <v>36</v>
      </c>
      <c r="J670" s="6" t="s">
        <v>37</v>
      </c>
      <c r="K670">
        <v>3</v>
      </c>
      <c r="M670" s="1" t="b">
        <f>Employee__2[[#This Row],[Experience]]&gt;1</f>
        <v>1</v>
      </c>
      <c r="N670" s="1" t="str">
        <f>IF(Employee__2[[#This Row],[City]]="Pune","Yes","No")</f>
        <v>No</v>
      </c>
      <c r="O670" s="1" t="str">
        <f>IF(AND(Employee__2[[#This Row],[Education]]="Bachelors",Employee__2[[#This Row],[City]]="Pune"),"Yes","No")</f>
        <v>No</v>
      </c>
      <c r="P670" s="1" t="str">
        <f>IF(OR(Employee__2[[#This Row],[Age]]&gt;=30,Employee__2[[#This Row],[Gender]]="Male"),"Mached","Not mached")</f>
        <v>Mached</v>
      </c>
    </row>
    <row r="671" spans="4:16" x14ac:dyDescent="0.25">
      <c r="D671" s="6" t="s">
        <v>34</v>
      </c>
      <c r="E671">
        <v>2016</v>
      </c>
      <c r="F671" s="6" t="s">
        <v>35</v>
      </c>
      <c r="G671">
        <v>3</v>
      </c>
      <c r="H671">
        <v>26</v>
      </c>
      <c r="I671" s="6" t="s">
        <v>39</v>
      </c>
      <c r="J671" s="6" t="s">
        <v>37</v>
      </c>
      <c r="K671">
        <v>4</v>
      </c>
      <c r="M671" s="1" t="b">
        <f>Employee__2[[#This Row],[Experience]]&gt;1</f>
        <v>1</v>
      </c>
      <c r="N671" s="1" t="str">
        <f>IF(Employee__2[[#This Row],[City]]="Pune","Yes","No")</f>
        <v>No</v>
      </c>
      <c r="O671" s="1" t="str">
        <f>IF(AND(Employee__2[[#This Row],[Education]]="Bachelors",Employee__2[[#This Row],[City]]="Pune"),"Yes","No")</f>
        <v>No</v>
      </c>
      <c r="P671" s="1" t="str">
        <f>IF(OR(Employee__2[[#This Row],[Age]]&gt;=30,Employee__2[[#This Row],[Gender]]="Male"),"Mached","Not mached")</f>
        <v>Not mached</v>
      </c>
    </row>
    <row r="672" spans="4:16" x14ac:dyDescent="0.25">
      <c r="D672" s="6" t="s">
        <v>43</v>
      </c>
      <c r="E672">
        <v>2014</v>
      </c>
      <c r="F672" s="6" t="s">
        <v>40</v>
      </c>
      <c r="G672">
        <v>3</v>
      </c>
      <c r="H672">
        <v>28</v>
      </c>
      <c r="I672" s="6" t="s">
        <v>36</v>
      </c>
      <c r="J672" s="6" t="s">
        <v>37</v>
      </c>
      <c r="K672">
        <v>2</v>
      </c>
      <c r="M672" s="1" t="b">
        <f>Employee__2[[#This Row],[Experience]]&gt;1</f>
        <v>1</v>
      </c>
      <c r="N672" s="1" t="str">
        <f>IF(Employee__2[[#This Row],[City]]="Pune","Yes","No")</f>
        <v>No</v>
      </c>
      <c r="O672" s="1" t="str">
        <f>IF(AND(Employee__2[[#This Row],[Education]]="Bachelors",Employee__2[[#This Row],[City]]="Pune"),"Yes","No")</f>
        <v>No</v>
      </c>
      <c r="P672" s="1" t="str">
        <f>IF(OR(Employee__2[[#This Row],[Age]]&gt;=30,Employee__2[[#This Row],[Gender]]="Male"),"Mached","Not mached")</f>
        <v>Mached</v>
      </c>
    </row>
    <row r="673" spans="4:16" x14ac:dyDescent="0.25">
      <c r="D673" s="6" t="s">
        <v>41</v>
      </c>
      <c r="E673">
        <v>2018</v>
      </c>
      <c r="F673" s="6" t="s">
        <v>40</v>
      </c>
      <c r="G673">
        <v>3</v>
      </c>
      <c r="H673">
        <v>27</v>
      </c>
      <c r="I673" s="6" t="s">
        <v>39</v>
      </c>
      <c r="J673" s="6" t="s">
        <v>37</v>
      </c>
      <c r="K673">
        <v>5</v>
      </c>
      <c r="M673" s="1" t="b">
        <f>Employee__2[[#This Row],[Experience]]&gt;1</f>
        <v>1</v>
      </c>
      <c r="N673" s="1" t="str">
        <f>IF(Employee__2[[#This Row],[City]]="Pune","Yes","No")</f>
        <v>No</v>
      </c>
      <c r="O673" s="1" t="str">
        <f>IF(AND(Employee__2[[#This Row],[Education]]="Bachelors",Employee__2[[#This Row],[City]]="Pune"),"Yes","No")</f>
        <v>No</v>
      </c>
      <c r="P673" s="1" t="str">
        <f>IF(OR(Employee__2[[#This Row],[Age]]&gt;=30,Employee__2[[#This Row],[Gender]]="Male"),"Mached","Not mached")</f>
        <v>Not mached</v>
      </c>
    </row>
    <row r="674" spans="4:16" x14ac:dyDescent="0.25">
      <c r="D674" s="6" t="s">
        <v>34</v>
      </c>
      <c r="E674">
        <v>2016</v>
      </c>
      <c r="F674" s="6" t="s">
        <v>40</v>
      </c>
      <c r="G674">
        <v>3</v>
      </c>
      <c r="H674">
        <v>27</v>
      </c>
      <c r="I674" s="6" t="s">
        <v>39</v>
      </c>
      <c r="J674" s="6" t="s">
        <v>37</v>
      </c>
      <c r="K674">
        <v>5</v>
      </c>
      <c r="M674" s="1" t="b">
        <f>Employee__2[[#This Row],[Experience]]&gt;1</f>
        <v>1</v>
      </c>
      <c r="N674" s="1" t="str">
        <f>IF(Employee__2[[#This Row],[City]]="Pune","Yes","No")</f>
        <v>No</v>
      </c>
      <c r="O674" s="1" t="str">
        <f>IF(AND(Employee__2[[#This Row],[Education]]="Bachelors",Employee__2[[#This Row],[City]]="Pune"),"Yes","No")</f>
        <v>No</v>
      </c>
      <c r="P674" s="1" t="str">
        <f>IF(OR(Employee__2[[#This Row],[Age]]&gt;=30,Employee__2[[#This Row],[Gender]]="Male"),"Mached","Not mached")</f>
        <v>Not mached</v>
      </c>
    </row>
    <row r="675" spans="4:16" x14ac:dyDescent="0.25">
      <c r="D675" s="6" t="s">
        <v>41</v>
      </c>
      <c r="E675">
        <v>2017</v>
      </c>
      <c r="F675" s="6" t="s">
        <v>40</v>
      </c>
      <c r="G675">
        <v>2</v>
      </c>
      <c r="H675">
        <v>25</v>
      </c>
      <c r="I675" s="6" t="s">
        <v>36</v>
      </c>
      <c r="J675" s="6" t="s">
        <v>37</v>
      </c>
      <c r="K675">
        <v>3</v>
      </c>
      <c r="M675" s="1" t="b">
        <f>Employee__2[[#This Row],[Experience]]&gt;1</f>
        <v>1</v>
      </c>
      <c r="N675" s="1" t="str">
        <f>IF(Employee__2[[#This Row],[City]]="Pune","Yes","No")</f>
        <v>No</v>
      </c>
      <c r="O675" s="1" t="str">
        <f>IF(AND(Employee__2[[#This Row],[Education]]="Bachelors",Employee__2[[#This Row],[City]]="Pune"),"Yes","No")</f>
        <v>No</v>
      </c>
      <c r="P675" s="1" t="str">
        <f>IF(OR(Employee__2[[#This Row],[Age]]&gt;=30,Employee__2[[#This Row],[Gender]]="Male"),"Mached","Not mached")</f>
        <v>Mached</v>
      </c>
    </row>
    <row r="676" spans="4:16" x14ac:dyDescent="0.25">
      <c r="D676" s="6" t="s">
        <v>34</v>
      </c>
      <c r="E676">
        <v>2017</v>
      </c>
      <c r="F676" s="6" t="s">
        <v>35</v>
      </c>
      <c r="G676">
        <v>3</v>
      </c>
      <c r="H676">
        <v>26</v>
      </c>
      <c r="I676" s="6" t="s">
        <v>36</v>
      </c>
      <c r="J676" s="6" t="s">
        <v>37</v>
      </c>
      <c r="K676">
        <v>4</v>
      </c>
      <c r="M676" s="1" t="b">
        <f>Employee__2[[#This Row],[Experience]]&gt;1</f>
        <v>1</v>
      </c>
      <c r="N676" s="1" t="str">
        <f>IF(Employee__2[[#This Row],[City]]="Pune","Yes","No")</f>
        <v>No</v>
      </c>
      <c r="O676" s="1" t="str">
        <f>IF(AND(Employee__2[[#This Row],[Education]]="Bachelors",Employee__2[[#This Row],[City]]="Pune"),"Yes","No")</f>
        <v>No</v>
      </c>
      <c r="P676" s="1" t="str">
        <f>IF(OR(Employee__2[[#This Row],[Age]]&gt;=30,Employee__2[[#This Row],[Gender]]="Male"),"Mached","Not mached")</f>
        <v>Mached</v>
      </c>
    </row>
    <row r="677" spans="4:16" x14ac:dyDescent="0.25">
      <c r="D677" s="6" t="s">
        <v>34</v>
      </c>
      <c r="E677">
        <v>2016</v>
      </c>
      <c r="F677" s="6" t="s">
        <v>40</v>
      </c>
      <c r="G677">
        <v>3</v>
      </c>
      <c r="H677">
        <v>27</v>
      </c>
      <c r="I677" s="6" t="s">
        <v>39</v>
      </c>
      <c r="J677" s="6" t="s">
        <v>42</v>
      </c>
      <c r="K677">
        <v>5</v>
      </c>
      <c r="M677" s="1" t="b">
        <f>Employee__2[[#This Row],[Experience]]&gt;1</f>
        <v>1</v>
      </c>
      <c r="N677" s="1" t="str">
        <f>IF(Employee__2[[#This Row],[City]]="Pune","Yes","No")</f>
        <v>No</v>
      </c>
      <c r="O677" s="1" t="str">
        <f>IF(AND(Employee__2[[#This Row],[Education]]="Bachelors",Employee__2[[#This Row],[City]]="Pune"),"Yes","No")</f>
        <v>No</v>
      </c>
      <c r="P677" s="1" t="str">
        <f>IF(OR(Employee__2[[#This Row],[Age]]&gt;=30,Employee__2[[#This Row],[Gender]]="Male"),"Mached","Not mached")</f>
        <v>Not mached</v>
      </c>
    </row>
    <row r="678" spans="4:16" x14ac:dyDescent="0.25">
      <c r="D678" s="6" t="s">
        <v>34</v>
      </c>
      <c r="E678">
        <v>2017</v>
      </c>
      <c r="F678" s="6" t="s">
        <v>38</v>
      </c>
      <c r="G678">
        <v>2</v>
      </c>
      <c r="H678">
        <v>25</v>
      </c>
      <c r="I678" s="6" t="s">
        <v>39</v>
      </c>
      <c r="J678" s="6" t="s">
        <v>37</v>
      </c>
      <c r="K678">
        <v>3</v>
      </c>
      <c r="M678" s="1" t="b">
        <f>Employee__2[[#This Row],[Experience]]&gt;1</f>
        <v>1</v>
      </c>
      <c r="N678" s="1" t="str">
        <f>IF(Employee__2[[#This Row],[City]]="Pune","Yes","No")</f>
        <v>Yes</v>
      </c>
      <c r="O678" s="1" t="str">
        <f>IF(AND(Employee__2[[#This Row],[Education]]="Bachelors",Employee__2[[#This Row],[City]]="Pune"),"Yes","No")</f>
        <v>Yes</v>
      </c>
      <c r="P678" s="1" t="str">
        <f>IF(OR(Employee__2[[#This Row],[Age]]&gt;=30,Employee__2[[#This Row],[Gender]]="Male"),"Mached","Not mached")</f>
        <v>Not mached</v>
      </c>
    </row>
    <row r="679" spans="4:16" x14ac:dyDescent="0.25">
      <c r="D679" s="6" t="s">
        <v>34</v>
      </c>
      <c r="E679">
        <v>2018</v>
      </c>
      <c r="F679" s="6" t="s">
        <v>38</v>
      </c>
      <c r="G679">
        <v>3</v>
      </c>
      <c r="H679">
        <v>28</v>
      </c>
      <c r="I679" s="6" t="s">
        <v>39</v>
      </c>
      <c r="J679" s="6" t="s">
        <v>37</v>
      </c>
      <c r="K679">
        <v>1</v>
      </c>
      <c r="M679" s="1" t="b">
        <f>Employee__2[[#This Row],[Experience]]&gt;1</f>
        <v>0</v>
      </c>
      <c r="N679" s="1" t="str">
        <f>IF(Employee__2[[#This Row],[City]]="Pune","Yes","No")</f>
        <v>Yes</v>
      </c>
      <c r="O679" s="1" t="str">
        <f>IF(AND(Employee__2[[#This Row],[Education]]="Bachelors",Employee__2[[#This Row],[City]]="Pune"),"Yes","No")</f>
        <v>Yes</v>
      </c>
      <c r="P679" s="1" t="str">
        <f>IF(OR(Employee__2[[#This Row],[Age]]&gt;=30,Employee__2[[#This Row],[Gender]]="Male"),"Mached","Not mached")</f>
        <v>Not mached</v>
      </c>
    </row>
    <row r="680" spans="4:16" x14ac:dyDescent="0.25">
      <c r="D680" s="6" t="s">
        <v>34</v>
      </c>
      <c r="E680">
        <v>2014</v>
      </c>
      <c r="F680" s="6" t="s">
        <v>35</v>
      </c>
      <c r="G680">
        <v>3</v>
      </c>
      <c r="H680">
        <v>25</v>
      </c>
      <c r="I680" s="6" t="s">
        <v>39</v>
      </c>
      <c r="J680" s="6" t="s">
        <v>37</v>
      </c>
      <c r="K680">
        <v>3</v>
      </c>
      <c r="M680" s="1" t="b">
        <f>Employee__2[[#This Row],[Experience]]&gt;1</f>
        <v>1</v>
      </c>
      <c r="N680" s="1" t="str">
        <f>IF(Employee__2[[#This Row],[City]]="Pune","Yes","No")</f>
        <v>No</v>
      </c>
      <c r="O680" s="1" t="str">
        <f>IF(AND(Employee__2[[#This Row],[Education]]="Bachelors",Employee__2[[#This Row],[City]]="Pune"),"Yes","No")</f>
        <v>No</v>
      </c>
      <c r="P680" s="1" t="str">
        <f>IF(OR(Employee__2[[#This Row],[Age]]&gt;=30,Employee__2[[#This Row],[Gender]]="Male"),"Mached","Not mached")</f>
        <v>Not mached</v>
      </c>
    </row>
    <row r="681" spans="4:16" x14ac:dyDescent="0.25">
      <c r="D681" s="6" t="s">
        <v>34</v>
      </c>
      <c r="E681">
        <v>2018</v>
      </c>
      <c r="F681" s="6" t="s">
        <v>38</v>
      </c>
      <c r="G681">
        <v>3</v>
      </c>
      <c r="H681">
        <v>28</v>
      </c>
      <c r="I681" s="6" t="s">
        <v>36</v>
      </c>
      <c r="J681" s="6" t="s">
        <v>37</v>
      </c>
      <c r="K681">
        <v>1</v>
      </c>
      <c r="M681" s="1" t="b">
        <f>Employee__2[[#This Row],[Experience]]&gt;1</f>
        <v>0</v>
      </c>
      <c r="N681" s="1" t="str">
        <f>IF(Employee__2[[#This Row],[City]]="Pune","Yes","No")</f>
        <v>Yes</v>
      </c>
      <c r="O681" s="1" t="str">
        <f>IF(AND(Employee__2[[#This Row],[Education]]="Bachelors",Employee__2[[#This Row],[City]]="Pune"),"Yes","No")</f>
        <v>Yes</v>
      </c>
      <c r="P681" s="1" t="str">
        <f>IF(OR(Employee__2[[#This Row],[Age]]&gt;=30,Employee__2[[#This Row],[Gender]]="Male"),"Mached","Not mached")</f>
        <v>Mached</v>
      </c>
    </row>
    <row r="682" spans="4:16" x14ac:dyDescent="0.25">
      <c r="D682" s="6" t="s">
        <v>34</v>
      </c>
      <c r="E682">
        <v>2017</v>
      </c>
      <c r="F682" s="6" t="s">
        <v>35</v>
      </c>
      <c r="G682">
        <v>1</v>
      </c>
      <c r="H682">
        <v>26</v>
      </c>
      <c r="I682" s="6" t="s">
        <v>39</v>
      </c>
      <c r="J682" s="6" t="s">
        <v>37</v>
      </c>
      <c r="K682">
        <v>4</v>
      </c>
      <c r="M682" s="1" t="b">
        <f>Employee__2[[#This Row],[Experience]]&gt;1</f>
        <v>1</v>
      </c>
      <c r="N682" s="1" t="str">
        <f>IF(Employee__2[[#This Row],[City]]="Pune","Yes","No")</f>
        <v>No</v>
      </c>
      <c r="O682" s="1" t="str">
        <f>IF(AND(Employee__2[[#This Row],[Education]]="Bachelors",Employee__2[[#This Row],[City]]="Pune"),"Yes","No")</f>
        <v>No</v>
      </c>
      <c r="P682" s="1" t="str">
        <f>IF(OR(Employee__2[[#This Row],[Age]]&gt;=30,Employee__2[[#This Row],[Gender]]="Male"),"Mached","Not mached")</f>
        <v>Not mached</v>
      </c>
    </row>
    <row r="683" spans="4:16" x14ac:dyDescent="0.25">
      <c r="D683" s="6" t="s">
        <v>34</v>
      </c>
      <c r="E683">
        <v>2013</v>
      </c>
      <c r="F683" s="6" t="s">
        <v>35</v>
      </c>
      <c r="G683">
        <v>3</v>
      </c>
      <c r="H683">
        <v>24</v>
      </c>
      <c r="I683" s="6" t="s">
        <v>36</v>
      </c>
      <c r="J683" s="6" t="s">
        <v>37</v>
      </c>
      <c r="K683">
        <v>2</v>
      </c>
      <c r="M683" s="1" t="b">
        <f>Employee__2[[#This Row],[Experience]]&gt;1</f>
        <v>1</v>
      </c>
      <c r="N683" s="1" t="str">
        <f>IF(Employee__2[[#This Row],[City]]="Pune","Yes","No")</f>
        <v>No</v>
      </c>
      <c r="O683" s="1" t="str">
        <f>IF(AND(Employee__2[[#This Row],[Education]]="Bachelors",Employee__2[[#This Row],[City]]="Pune"),"Yes","No")</f>
        <v>No</v>
      </c>
      <c r="P683" s="1" t="str">
        <f>IF(OR(Employee__2[[#This Row],[Age]]&gt;=30,Employee__2[[#This Row],[Gender]]="Male"),"Mached","Not mached")</f>
        <v>Mached</v>
      </c>
    </row>
    <row r="684" spans="4:16" x14ac:dyDescent="0.25">
      <c r="D684" s="6" t="s">
        <v>34</v>
      </c>
      <c r="E684">
        <v>2012</v>
      </c>
      <c r="F684" s="6" t="s">
        <v>40</v>
      </c>
      <c r="G684">
        <v>3</v>
      </c>
      <c r="H684">
        <v>26</v>
      </c>
      <c r="I684" s="6" t="s">
        <v>39</v>
      </c>
      <c r="J684" s="6" t="s">
        <v>37</v>
      </c>
      <c r="K684">
        <v>4</v>
      </c>
      <c r="M684" s="1" t="b">
        <f>Employee__2[[#This Row],[Experience]]&gt;1</f>
        <v>1</v>
      </c>
      <c r="N684" s="1" t="str">
        <f>IF(Employee__2[[#This Row],[City]]="Pune","Yes","No")</f>
        <v>No</v>
      </c>
      <c r="O684" s="1" t="str">
        <f>IF(AND(Employee__2[[#This Row],[Education]]="Bachelors",Employee__2[[#This Row],[City]]="Pune"),"Yes","No")</f>
        <v>No</v>
      </c>
      <c r="P684" s="1" t="str">
        <f>IF(OR(Employee__2[[#This Row],[Age]]&gt;=30,Employee__2[[#This Row],[Gender]]="Male"),"Mached","Not mached")</f>
        <v>Not mached</v>
      </c>
    </row>
    <row r="685" spans="4:16" x14ac:dyDescent="0.25">
      <c r="D685" s="6" t="s">
        <v>34</v>
      </c>
      <c r="E685">
        <v>2012</v>
      </c>
      <c r="F685" s="6" t="s">
        <v>38</v>
      </c>
      <c r="G685">
        <v>3</v>
      </c>
      <c r="H685">
        <v>25</v>
      </c>
      <c r="I685" s="6" t="s">
        <v>36</v>
      </c>
      <c r="J685" s="6" t="s">
        <v>37</v>
      </c>
      <c r="K685">
        <v>3</v>
      </c>
      <c r="M685" s="1" t="b">
        <f>Employee__2[[#This Row],[Experience]]&gt;1</f>
        <v>1</v>
      </c>
      <c r="N685" s="1" t="str">
        <f>IF(Employee__2[[#This Row],[City]]="Pune","Yes","No")</f>
        <v>Yes</v>
      </c>
      <c r="O685" s="1" t="str">
        <f>IF(AND(Employee__2[[#This Row],[Education]]="Bachelors",Employee__2[[#This Row],[City]]="Pune"),"Yes","No")</f>
        <v>Yes</v>
      </c>
      <c r="P685" s="1" t="str">
        <f>IF(OR(Employee__2[[#This Row],[Age]]&gt;=30,Employee__2[[#This Row],[Gender]]="Male"),"Mached","Not mached")</f>
        <v>Mached</v>
      </c>
    </row>
    <row r="686" spans="4:16" x14ac:dyDescent="0.25">
      <c r="D686" s="6" t="s">
        <v>41</v>
      </c>
      <c r="E686">
        <v>2013</v>
      </c>
      <c r="F686" s="6" t="s">
        <v>40</v>
      </c>
      <c r="G686">
        <v>2</v>
      </c>
      <c r="H686">
        <v>24</v>
      </c>
      <c r="I686" s="6" t="s">
        <v>36</v>
      </c>
      <c r="J686" s="6" t="s">
        <v>37</v>
      </c>
      <c r="K686">
        <v>2</v>
      </c>
      <c r="M686" s="1" t="b">
        <f>Employee__2[[#This Row],[Experience]]&gt;1</f>
        <v>1</v>
      </c>
      <c r="N686" s="1" t="str">
        <f>IF(Employee__2[[#This Row],[City]]="Pune","Yes","No")</f>
        <v>No</v>
      </c>
      <c r="O686" s="1" t="str">
        <f>IF(AND(Employee__2[[#This Row],[Education]]="Bachelors",Employee__2[[#This Row],[City]]="Pune"),"Yes","No")</f>
        <v>No</v>
      </c>
      <c r="P686" s="1" t="str">
        <f>IF(OR(Employee__2[[#This Row],[Age]]&gt;=30,Employee__2[[#This Row],[Gender]]="Male"),"Mached","Not mached")</f>
        <v>Mached</v>
      </c>
    </row>
    <row r="687" spans="4:16" x14ac:dyDescent="0.25">
      <c r="D687" s="6" t="s">
        <v>34</v>
      </c>
      <c r="E687">
        <v>2018</v>
      </c>
      <c r="F687" s="6" t="s">
        <v>38</v>
      </c>
      <c r="G687">
        <v>3</v>
      </c>
      <c r="H687">
        <v>26</v>
      </c>
      <c r="I687" s="6" t="s">
        <v>36</v>
      </c>
      <c r="J687" s="6" t="s">
        <v>37</v>
      </c>
      <c r="K687">
        <v>4</v>
      </c>
      <c r="M687" s="1" t="b">
        <f>Employee__2[[#This Row],[Experience]]&gt;1</f>
        <v>1</v>
      </c>
      <c r="N687" s="1" t="str">
        <f>IF(Employee__2[[#This Row],[City]]="Pune","Yes","No")</f>
        <v>Yes</v>
      </c>
      <c r="O687" s="1" t="str">
        <f>IF(AND(Employee__2[[#This Row],[Education]]="Bachelors",Employee__2[[#This Row],[City]]="Pune"),"Yes","No")</f>
        <v>Yes</v>
      </c>
      <c r="P687" s="1" t="str">
        <f>IF(OR(Employee__2[[#This Row],[Age]]&gt;=30,Employee__2[[#This Row],[Gender]]="Male"),"Mached","Not mached")</f>
        <v>Mached</v>
      </c>
    </row>
    <row r="688" spans="4:16" x14ac:dyDescent="0.25">
      <c r="D688" s="6" t="s">
        <v>34</v>
      </c>
      <c r="E688">
        <v>2016</v>
      </c>
      <c r="F688" s="6" t="s">
        <v>40</v>
      </c>
      <c r="G688">
        <v>3</v>
      </c>
      <c r="H688">
        <v>28</v>
      </c>
      <c r="I688" s="6" t="s">
        <v>39</v>
      </c>
      <c r="J688" s="6" t="s">
        <v>37</v>
      </c>
      <c r="K688">
        <v>2</v>
      </c>
      <c r="M688" s="1" t="b">
        <f>Employee__2[[#This Row],[Experience]]&gt;1</f>
        <v>1</v>
      </c>
      <c r="N688" s="1" t="str">
        <f>IF(Employee__2[[#This Row],[City]]="Pune","Yes","No")</f>
        <v>No</v>
      </c>
      <c r="O688" s="1" t="str">
        <f>IF(AND(Employee__2[[#This Row],[Education]]="Bachelors",Employee__2[[#This Row],[City]]="Pune"),"Yes","No")</f>
        <v>No</v>
      </c>
      <c r="P688" s="1" t="str">
        <f>IF(OR(Employee__2[[#This Row],[Age]]&gt;=30,Employee__2[[#This Row],[Gender]]="Male"),"Mached","Not mached")</f>
        <v>Not mached</v>
      </c>
    </row>
    <row r="689" spans="4:16" x14ac:dyDescent="0.25">
      <c r="D689" s="6" t="s">
        <v>34</v>
      </c>
      <c r="E689">
        <v>2016</v>
      </c>
      <c r="F689" s="6" t="s">
        <v>38</v>
      </c>
      <c r="G689">
        <v>3</v>
      </c>
      <c r="H689">
        <v>26</v>
      </c>
      <c r="I689" s="6" t="s">
        <v>36</v>
      </c>
      <c r="J689" s="6" t="s">
        <v>37</v>
      </c>
      <c r="K689">
        <v>4</v>
      </c>
      <c r="M689" s="1" t="b">
        <f>Employee__2[[#This Row],[Experience]]&gt;1</f>
        <v>1</v>
      </c>
      <c r="N689" s="1" t="str">
        <f>IF(Employee__2[[#This Row],[City]]="Pune","Yes","No")</f>
        <v>Yes</v>
      </c>
      <c r="O689" s="1" t="str">
        <f>IF(AND(Employee__2[[#This Row],[Education]]="Bachelors",Employee__2[[#This Row],[City]]="Pune"),"Yes","No")</f>
        <v>Yes</v>
      </c>
      <c r="P689" s="1" t="str">
        <f>IF(OR(Employee__2[[#This Row],[Age]]&gt;=30,Employee__2[[#This Row],[Gender]]="Male"),"Mached","Not mached")</f>
        <v>Mached</v>
      </c>
    </row>
    <row r="690" spans="4:16" x14ac:dyDescent="0.25">
      <c r="D690" s="6" t="s">
        <v>41</v>
      </c>
      <c r="E690">
        <v>2014</v>
      </c>
      <c r="F690" s="6" t="s">
        <v>40</v>
      </c>
      <c r="G690">
        <v>3</v>
      </c>
      <c r="H690">
        <v>24</v>
      </c>
      <c r="I690" s="6" t="s">
        <v>36</v>
      </c>
      <c r="J690" s="6" t="s">
        <v>37</v>
      </c>
      <c r="K690">
        <v>2</v>
      </c>
      <c r="M690" s="1" t="b">
        <f>Employee__2[[#This Row],[Experience]]&gt;1</f>
        <v>1</v>
      </c>
      <c r="N690" s="1" t="str">
        <f>IF(Employee__2[[#This Row],[City]]="Pune","Yes","No")</f>
        <v>No</v>
      </c>
      <c r="O690" s="1" t="str">
        <f>IF(AND(Employee__2[[#This Row],[Education]]="Bachelors",Employee__2[[#This Row],[City]]="Pune"),"Yes","No")</f>
        <v>No</v>
      </c>
      <c r="P690" s="1" t="str">
        <f>IF(OR(Employee__2[[#This Row],[Age]]&gt;=30,Employee__2[[#This Row],[Gender]]="Male"),"Mached","Not mached")</f>
        <v>Mached</v>
      </c>
    </row>
    <row r="691" spans="4:16" x14ac:dyDescent="0.25">
      <c r="D691" s="6" t="s">
        <v>34</v>
      </c>
      <c r="E691">
        <v>2013</v>
      </c>
      <c r="F691" s="6" t="s">
        <v>35</v>
      </c>
      <c r="G691">
        <v>3</v>
      </c>
      <c r="H691">
        <v>26</v>
      </c>
      <c r="I691" s="6" t="s">
        <v>36</v>
      </c>
      <c r="J691" s="6" t="s">
        <v>37</v>
      </c>
      <c r="K691">
        <v>4</v>
      </c>
      <c r="M691" s="1" t="b">
        <f>Employee__2[[#This Row],[Experience]]&gt;1</f>
        <v>1</v>
      </c>
      <c r="N691" s="1" t="str">
        <f>IF(Employee__2[[#This Row],[City]]="Pune","Yes","No")</f>
        <v>No</v>
      </c>
      <c r="O691" s="1" t="str">
        <f>IF(AND(Employee__2[[#This Row],[Education]]="Bachelors",Employee__2[[#This Row],[City]]="Pune"),"Yes","No")</f>
        <v>No</v>
      </c>
      <c r="P691" s="1" t="str">
        <f>IF(OR(Employee__2[[#This Row],[Age]]&gt;=30,Employee__2[[#This Row],[Gender]]="Male"),"Mached","Not mached")</f>
        <v>Mached</v>
      </c>
    </row>
    <row r="692" spans="4:16" x14ac:dyDescent="0.25">
      <c r="D692" s="6" t="s">
        <v>34</v>
      </c>
      <c r="E692">
        <v>2014</v>
      </c>
      <c r="F692" s="6" t="s">
        <v>38</v>
      </c>
      <c r="G692">
        <v>2</v>
      </c>
      <c r="H692">
        <v>26</v>
      </c>
      <c r="I692" s="6" t="s">
        <v>39</v>
      </c>
      <c r="J692" s="6" t="s">
        <v>37</v>
      </c>
      <c r="K692">
        <v>4</v>
      </c>
      <c r="M692" s="1" t="b">
        <f>Employee__2[[#This Row],[Experience]]&gt;1</f>
        <v>1</v>
      </c>
      <c r="N692" s="1" t="str">
        <f>IF(Employee__2[[#This Row],[City]]="Pune","Yes","No")</f>
        <v>Yes</v>
      </c>
      <c r="O692" s="1" t="str">
        <f>IF(AND(Employee__2[[#This Row],[Education]]="Bachelors",Employee__2[[#This Row],[City]]="Pune"),"Yes","No")</f>
        <v>Yes</v>
      </c>
      <c r="P692" s="1" t="str">
        <f>IF(OR(Employee__2[[#This Row],[Age]]&gt;=30,Employee__2[[#This Row],[Gender]]="Male"),"Mached","Not mached")</f>
        <v>Not mached</v>
      </c>
    </row>
    <row r="693" spans="4:16" x14ac:dyDescent="0.25">
      <c r="D693" s="6" t="s">
        <v>34</v>
      </c>
      <c r="E693">
        <v>2014</v>
      </c>
      <c r="F693" s="6" t="s">
        <v>38</v>
      </c>
      <c r="G693">
        <v>3</v>
      </c>
      <c r="H693">
        <v>25</v>
      </c>
      <c r="I693" s="6" t="s">
        <v>36</v>
      </c>
      <c r="J693" s="6" t="s">
        <v>37</v>
      </c>
      <c r="K693">
        <v>3</v>
      </c>
      <c r="M693" s="1" t="b">
        <f>Employee__2[[#This Row],[Experience]]&gt;1</f>
        <v>1</v>
      </c>
      <c r="N693" s="1" t="str">
        <f>IF(Employee__2[[#This Row],[City]]="Pune","Yes","No")</f>
        <v>Yes</v>
      </c>
      <c r="O693" s="1" t="str">
        <f>IF(AND(Employee__2[[#This Row],[Education]]="Bachelors",Employee__2[[#This Row],[City]]="Pune"),"Yes","No")</f>
        <v>Yes</v>
      </c>
      <c r="P693" s="1" t="str">
        <f>IF(OR(Employee__2[[#This Row],[Age]]&gt;=30,Employee__2[[#This Row],[Gender]]="Male"),"Mached","Not mached")</f>
        <v>Mached</v>
      </c>
    </row>
    <row r="694" spans="4:16" x14ac:dyDescent="0.25">
      <c r="D694" s="6" t="s">
        <v>34</v>
      </c>
      <c r="E694">
        <v>2013</v>
      </c>
      <c r="F694" s="6" t="s">
        <v>38</v>
      </c>
      <c r="G694">
        <v>3</v>
      </c>
      <c r="H694">
        <v>27</v>
      </c>
      <c r="I694" s="6" t="s">
        <v>36</v>
      </c>
      <c r="J694" s="6" t="s">
        <v>37</v>
      </c>
      <c r="K694">
        <v>5</v>
      </c>
      <c r="M694" s="1" t="b">
        <f>Employee__2[[#This Row],[Experience]]&gt;1</f>
        <v>1</v>
      </c>
      <c r="N694" s="1" t="str">
        <f>IF(Employee__2[[#This Row],[City]]="Pune","Yes","No")</f>
        <v>Yes</v>
      </c>
      <c r="O694" s="1" t="str">
        <f>IF(AND(Employee__2[[#This Row],[Education]]="Bachelors",Employee__2[[#This Row],[City]]="Pune"),"Yes","No")</f>
        <v>Yes</v>
      </c>
      <c r="P694" s="1" t="str">
        <f>IF(OR(Employee__2[[#This Row],[Age]]&gt;=30,Employee__2[[#This Row],[Gender]]="Male"),"Mached","Not mached")</f>
        <v>Mached</v>
      </c>
    </row>
    <row r="695" spans="4:16" x14ac:dyDescent="0.25">
      <c r="D695" s="6" t="s">
        <v>34</v>
      </c>
      <c r="E695">
        <v>2018</v>
      </c>
      <c r="F695" s="6" t="s">
        <v>35</v>
      </c>
      <c r="G695">
        <v>3</v>
      </c>
      <c r="H695">
        <v>27</v>
      </c>
      <c r="I695" s="6" t="s">
        <v>36</v>
      </c>
      <c r="J695" s="6" t="s">
        <v>37</v>
      </c>
      <c r="K695">
        <v>5</v>
      </c>
      <c r="M695" s="1" t="b">
        <f>Employee__2[[#This Row],[Experience]]&gt;1</f>
        <v>1</v>
      </c>
      <c r="N695" s="1" t="str">
        <f>IF(Employee__2[[#This Row],[City]]="Pune","Yes","No")</f>
        <v>No</v>
      </c>
      <c r="O695" s="1" t="str">
        <f>IF(AND(Employee__2[[#This Row],[Education]]="Bachelors",Employee__2[[#This Row],[City]]="Pune"),"Yes","No")</f>
        <v>No</v>
      </c>
      <c r="P695" s="1" t="str">
        <f>IF(OR(Employee__2[[#This Row],[Age]]&gt;=30,Employee__2[[#This Row],[Gender]]="Male"),"Mached","Not mached")</f>
        <v>Mached</v>
      </c>
    </row>
    <row r="696" spans="4:16" x14ac:dyDescent="0.25">
      <c r="D696" s="6" t="s">
        <v>34</v>
      </c>
      <c r="E696">
        <v>2015</v>
      </c>
      <c r="F696" s="6" t="s">
        <v>35</v>
      </c>
      <c r="G696">
        <v>3</v>
      </c>
      <c r="H696">
        <v>25</v>
      </c>
      <c r="I696" s="6" t="s">
        <v>39</v>
      </c>
      <c r="J696" s="6" t="s">
        <v>37</v>
      </c>
      <c r="K696">
        <v>3</v>
      </c>
      <c r="M696" s="1" t="b">
        <f>Employee__2[[#This Row],[Experience]]&gt;1</f>
        <v>1</v>
      </c>
      <c r="N696" s="1" t="str">
        <f>IF(Employee__2[[#This Row],[City]]="Pune","Yes","No")</f>
        <v>No</v>
      </c>
      <c r="O696" s="1" t="str">
        <f>IF(AND(Employee__2[[#This Row],[Education]]="Bachelors",Employee__2[[#This Row],[City]]="Pune"),"Yes","No")</f>
        <v>No</v>
      </c>
      <c r="P696" s="1" t="str">
        <f>IF(OR(Employee__2[[#This Row],[Age]]&gt;=30,Employee__2[[#This Row],[Gender]]="Male"),"Mached","Not mached")</f>
        <v>Not mached</v>
      </c>
    </row>
    <row r="697" spans="4:16" x14ac:dyDescent="0.25">
      <c r="D697" s="6" t="s">
        <v>34</v>
      </c>
      <c r="E697">
        <v>2016</v>
      </c>
      <c r="F697" s="6" t="s">
        <v>38</v>
      </c>
      <c r="G697">
        <v>3</v>
      </c>
      <c r="H697">
        <v>26</v>
      </c>
      <c r="I697" s="6" t="s">
        <v>36</v>
      </c>
      <c r="J697" s="6" t="s">
        <v>37</v>
      </c>
      <c r="K697">
        <v>4</v>
      </c>
      <c r="M697" s="1" t="b">
        <f>Employee__2[[#This Row],[Experience]]&gt;1</f>
        <v>1</v>
      </c>
      <c r="N697" s="1" t="str">
        <f>IF(Employee__2[[#This Row],[City]]="Pune","Yes","No")</f>
        <v>Yes</v>
      </c>
      <c r="O697" s="1" t="str">
        <f>IF(AND(Employee__2[[#This Row],[Education]]="Bachelors",Employee__2[[#This Row],[City]]="Pune"),"Yes","No")</f>
        <v>Yes</v>
      </c>
      <c r="P697" s="1" t="str">
        <f>IF(OR(Employee__2[[#This Row],[Age]]&gt;=30,Employee__2[[#This Row],[Gender]]="Male"),"Mached","Not mached")</f>
        <v>Mached</v>
      </c>
    </row>
    <row r="698" spans="4:16" x14ac:dyDescent="0.25">
      <c r="D698" s="6" t="s">
        <v>34</v>
      </c>
      <c r="E698">
        <v>2015</v>
      </c>
      <c r="F698" s="6" t="s">
        <v>38</v>
      </c>
      <c r="G698">
        <v>2</v>
      </c>
      <c r="H698">
        <v>27</v>
      </c>
      <c r="I698" s="6" t="s">
        <v>39</v>
      </c>
      <c r="J698" s="6" t="s">
        <v>37</v>
      </c>
      <c r="K698">
        <v>5</v>
      </c>
      <c r="M698" s="1" t="b">
        <f>Employee__2[[#This Row],[Experience]]&gt;1</f>
        <v>1</v>
      </c>
      <c r="N698" s="1" t="str">
        <f>IF(Employee__2[[#This Row],[City]]="Pune","Yes","No")</f>
        <v>Yes</v>
      </c>
      <c r="O698" s="1" t="str">
        <f>IF(AND(Employee__2[[#This Row],[Education]]="Bachelors",Employee__2[[#This Row],[City]]="Pune"),"Yes","No")</f>
        <v>Yes</v>
      </c>
      <c r="P698" s="1" t="str">
        <f>IF(OR(Employee__2[[#This Row],[Age]]&gt;=30,Employee__2[[#This Row],[Gender]]="Male"),"Mached","Not mached")</f>
        <v>Not mached</v>
      </c>
    </row>
    <row r="699" spans="4:16" x14ac:dyDescent="0.25">
      <c r="D699" s="6" t="s">
        <v>34</v>
      </c>
      <c r="E699">
        <v>2017</v>
      </c>
      <c r="F699" s="6" t="s">
        <v>35</v>
      </c>
      <c r="G699">
        <v>3</v>
      </c>
      <c r="H699">
        <v>26</v>
      </c>
      <c r="I699" s="6" t="s">
        <v>36</v>
      </c>
      <c r="J699" s="6" t="s">
        <v>37</v>
      </c>
      <c r="K699">
        <v>4</v>
      </c>
      <c r="M699" s="1" t="b">
        <f>Employee__2[[#This Row],[Experience]]&gt;1</f>
        <v>1</v>
      </c>
      <c r="N699" s="1" t="str">
        <f>IF(Employee__2[[#This Row],[City]]="Pune","Yes","No")</f>
        <v>No</v>
      </c>
      <c r="O699" s="1" t="str">
        <f>IF(AND(Employee__2[[#This Row],[Education]]="Bachelors",Employee__2[[#This Row],[City]]="Pune"),"Yes","No")</f>
        <v>No</v>
      </c>
      <c r="P699" s="1" t="str">
        <f>IF(OR(Employee__2[[#This Row],[Age]]&gt;=30,Employee__2[[#This Row],[Gender]]="Male"),"Mached","Not mached")</f>
        <v>Mached</v>
      </c>
    </row>
    <row r="700" spans="4:16" x14ac:dyDescent="0.25">
      <c r="D700" s="6" t="s">
        <v>41</v>
      </c>
      <c r="E700">
        <v>2017</v>
      </c>
      <c r="F700" s="6" t="s">
        <v>38</v>
      </c>
      <c r="G700">
        <v>2</v>
      </c>
      <c r="H700">
        <v>26</v>
      </c>
      <c r="I700" s="6" t="s">
        <v>39</v>
      </c>
      <c r="J700" s="6" t="s">
        <v>37</v>
      </c>
      <c r="K700">
        <v>4</v>
      </c>
      <c r="M700" s="1" t="b">
        <f>Employee__2[[#This Row],[Experience]]&gt;1</f>
        <v>1</v>
      </c>
      <c r="N700" s="1" t="str">
        <f>IF(Employee__2[[#This Row],[City]]="Pune","Yes","No")</f>
        <v>Yes</v>
      </c>
      <c r="O700" s="1" t="str">
        <f>IF(AND(Employee__2[[#This Row],[Education]]="Bachelors",Employee__2[[#This Row],[City]]="Pune"),"Yes","No")</f>
        <v>No</v>
      </c>
      <c r="P700" s="1" t="str">
        <f>IF(OR(Employee__2[[#This Row],[Age]]&gt;=30,Employee__2[[#This Row],[Gender]]="Male"),"Mached","Not mached")</f>
        <v>Not mached</v>
      </c>
    </row>
    <row r="701" spans="4:16" x14ac:dyDescent="0.25">
      <c r="D701" s="6" t="s">
        <v>34</v>
      </c>
      <c r="E701">
        <v>2017</v>
      </c>
      <c r="F701" s="6" t="s">
        <v>40</v>
      </c>
      <c r="G701">
        <v>3</v>
      </c>
      <c r="H701">
        <v>27</v>
      </c>
      <c r="I701" s="6" t="s">
        <v>39</v>
      </c>
      <c r="J701" s="6" t="s">
        <v>42</v>
      </c>
      <c r="K701">
        <v>5</v>
      </c>
      <c r="M701" s="1" t="b">
        <f>Employee__2[[#This Row],[Experience]]&gt;1</f>
        <v>1</v>
      </c>
      <c r="N701" s="1" t="str">
        <f>IF(Employee__2[[#This Row],[City]]="Pune","Yes","No")</f>
        <v>No</v>
      </c>
      <c r="O701" s="1" t="str">
        <f>IF(AND(Employee__2[[#This Row],[Education]]="Bachelors",Employee__2[[#This Row],[City]]="Pune"),"Yes","No")</f>
        <v>No</v>
      </c>
      <c r="P701" s="1" t="str">
        <f>IF(OR(Employee__2[[#This Row],[Age]]&gt;=30,Employee__2[[#This Row],[Gender]]="Male"),"Mached","Not mached")</f>
        <v>Not mached</v>
      </c>
    </row>
    <row r="702" spans="4:16" x14ac:dyDescent="0.25">
      <c r="D702" s="6" t="s">
        <v>41</v>
      </c>
      <c r="E702">
        <v>2017</v>
      </c>
      <c r="F702" s="6" t="s">
        <v>38</v>
      </c>
      <c r="G702">
        <v>1</v>
      </c>
      <c r="H702">
        <v>24</v>
      </c>
      <c r="I702" s="6" t="s">
        <v>36</v>
      </c>
      <c r="J702" s="6" t="s">
        <v>37</v>
      </c>
      <c r="K702">
        <v>2</v>
      </c>
      <c r="M702" s="1" t="b">
        <f>Employee__2[[#This Row],[Experience]]&gt;1</f>
        <v>1</v>
      </c>
      <c r="N702" s="1" t="str">
        <f>IF(Employee__2[[#This Row],[City]]="Pune","Yes","No")</f>
        <v>Yes</v>
      </c>
      <c r="O702" s="1" t="str">
        <f>IF(AND(Employee__2[[#This Row],[Education]]="Bachelors",Employee__2[[#This Row],[City]]="Pune"),"Yes","No")</f>
        <v>No</v>
      </c>
      <c r="P702" s="1" t="str">
        <f>IF(OR(Employee__2[[#This Row],[Age]]&gt;=30,Employee__2[[#This Row],[Gender]]="Male"),"Mached","Not mached")</f>
        <v>Mached</v>
      </c>
    </row>
    <row r="703" spans="4:16" x14ac:dyDescent="0.25">
      <c r="D703" s="6" t="s">
        <v>41</v>
      </c>
      <c r="E703">
        <v>2017</v>
      </c>
      <c r="F703" s="6" t="s">
        <v>40</v>
      </c>
      <c r="G703">
        <v>2</v>
      </c>
      <c r="H703">
        <v>26</v>
      </c>
      <c r="I703" s="6" t="s">
        <v>39</v>
      </c>
      <c r="J703" s="6" t="s">
        <v>37</v>
      </c>
      <c r="K703">
        <v>4</v>
      </c>
      <c r="M703" s="1" t="b">
        <f>Employee__2[[#This Row],[Experience]]&gt;1</f>
        <v>1</v>
      </c>
      <c r="N703" s="1" t="str">
        <f>IF(Employee__2[[#This Row],[City]]="Pune","Yes","No")</f>
        <v>No</v>
      </c>
      <c r="O703" s="1" t="str">
        <f>IF(AND(Employee__2[[#This Row],[Education]]="Bachelors",Employee__2[[#This Row],[City]]="Pune"),"Yes","No")</f>
        <v>No</v>
      </c>
      <c r="P703" s="1" t="str">
        <f>IF(OR(Employee__2[[#This Row],[Age]]&gt;=30,Employee__2[[#This Row],[Gender]]="Male"),"Mached","Not mached")</f>
        <v>Not mached</v>
      </c>
    </row>
    <row r="704" spans="4:16" x14ac:dyDescent="0.25">
      <c r="D704" s="6" t="s">
        <v>34</v>
      </c>
      <c r="E704">
        <v>2015</v>
      </c>
      <c r="F704" s="6" t="s">
        <v>35</v>
      </c>
      <c r="G704">
        <v>3</v>
      </c>
      <c r="H704">
        <v>27</v>
      </c>
      <c r="I704" s="6" t="s">
        <v>36</v>
      </c>
      <c r="J704" s="6" t="s">
        <v>42</v>
      </c>
      <c r="K704">
        <v>5</v>
      </c>
      <c r="M704" s="1" t="b">
        <f>Employee__2[[#This Row],[Experience]]&gt;1</f>
        <v>1</v>
      </c>
      <c r="N704" s="1" t="str">
        <f>IF(Employee__2[[#This Row],[City]]="Pune","Yes","No")</f>
        <v>No</v>
      </c>
      <c r="O704" s="1" t="str">
        <f>IF(AND(Employee__2[[#This Row],[Education]]="Bachelors",Employee__2[[#This Row],[City]]="Pune"),"Yes","No")</f>
        <v>No</v>
      </c>
      <c r="P704" s="1" t="str">
        <f>IF(OR(Employee__2[[#This Row],[Age]]&gt;=30,Employee__2[[#This Row],[Gender]]="Male"),"Mached","Not mached")</f>
        <v>Mached</v>
      </c>
    </row>
    <row r="705" spans="4:16" x14ac:dyDescent="0.25">
      <c r="D705" s="6" t="s">
        <v>34</v>
      </c>
      <c r="E705">
        <v>2015</v>
      </c>
      <c r="F705" s="6" t="s">
        <v>35</v>
      </c>
      <c r="G705">
        <v>3</v>
      </c>
      <c r="H705">
        <v>26</v>
      </c>
      <c r="I705" s="6" t="s">
        <v>36</v>
      </c>
      <c r="J705" s="6" t="s">
        <v>37</v>
      </c>
      <c r="K705">
        <v>4</v>
      </c>
      <c r="M705" s="1" t="b">
        <f>Employee__2[[#This Row],[Experience]]&gt;1</f>
        <v>1</v>
      </c>
      <c r="N705" s="1" t="str">
        <f>IF(Employee__2[[#This Row],[City]]="Pune","Yes","No")</f>
        <v>No</v>
      </c>
      <c r="O705" s="1" t="str">
        <f>IF(AND(Employee__2[[#This Row],[Education]]="Bachelors",Employee__2[[#This Row],[City]]="Pune"),"Yes","No")</f>
        <v>No</v>
      </c>
      <c r="P705" s="1" t="str">
        <f>IF(OR(Employee__2[[#This Row],[Age]]&gt;=30,Employee__2[[#This Row],[Gender]]="Male"),"Mached","Not mached")</f>
        <v>Mached</v>
      </c>
    </row>
    <row r="706" spans="4:16" x14ac:dyDescent="0.25">
      <c r="D706" s="6" t="s">
        <v>41</v>
      </c>
      <c r="E706">
        <v>2017</v>
      </c>
      <c r="F706" s="6" t="s">
        <v>38</v>
      </c>
      <c r="G706">
        <v>2</v>
      </c>
      <c r="H706">
        <v>24</v>
      </c>
      <c r="I706" s="6" t="s">
        <v>36</v>
      </c>
      <c r="J706" s="6" t="s">
        <v>37</v>
      </c>
      <c r="K706">
        <v>2</v>
      </c>
      <c r="M706" s="1" t="b">
        <f>Employee__2[[#This Row],[Experience]]&gt;1</f>
        <v>1</v>
      </c>
      <c r="N706" s="1" t="str">
        <f>IF(Employee__2[[#This Row],[City]]="Pune","Yes","No")</f>
        <v>Yes</v>
      </c>
      <c r="O706" s="1" t="str">
        <f>IF(AND(Employee__2[[#This Row],[Education]]="Bachelors",Employee__2[[#This Row],[City]]="Pune"),"Yes","No")</f>
        <v>No</v>
      </c>
      <c r="P706" s="1" t="str">
        <f>IF(OR(Employee__2[[#This Row],[Age]]&gt;=30,Employee__2[[#This Row],[Gender]]="Male"),"Mached","Not mached")</f>
        <v>Mached</v>
      </c>
    </row>
    <row r="707" spans="4:16" x14ac:dyDescent="0.25">
      <c r="D707" s="6" t="s">
        <v>34</v>
      </c>
      <c r="E707">
        <v>2017</v>
      </c>
      <c r="F707" s="6" t="s">
        <v>35</v>
      </c>
      <c r="G707">
        <v>3</v>
      </c>
      <c r="H707">
        <v>26</v>
      </c>
      <c r="I707" s="6" t="s">
        <v>39</v>
      </c>
      <c r="J707" s="6" t="s">
        <v>37</v>
      </c>
      <c r="K707">
        <v>4</v>
      </c>
      <c r="M707" s="1" t="b">
        <f>Employee__2[[#This Row],[Experience]]&gt;1</f>
        <v>1</v>
      </c>
      <c r="N707" s="1" t="str">
        <f>IF(Employee__2[[#This Row],[City]]="Pune","Yes","No")</f>
        <v>No</v>
      </c>
      <c r="O707" s="1" t="str">
        <f>IF(AND(Employee__2[[#This Row],[Education]]="Bachelors",Employee__2[[#This Row],[City]]="Pune"),"Yes","No")</f>
        <v>No</v>
      </c>
      <c r="P707" s="1" t="str">
        <f>IF(OR(Employee__2[[#This Row],[Age]]&gt;=30,Employee__2[[#This Row],[Gender]]="Male"),"Mached","Not mached")</f>
        <v>Not mached</v>
      </c>
    </row>
    <row r="708" spans="4:16" x14ac:dyDescent="0.25">
      <c r="D708" s="6" t="s">
        <v>34</v>
      </c>
      <c r="E708">
        <v>2014</v>
      </c>
      <c r="F708" s="6" t="s">
        <v>35</v>
      </c>
      <c r="G708">
        <v>3</v>
      </c>
      <c r="H708">
        <v>26</v>
      </c>
      <c r="I708" s="6" t="s">
        <v>36</v>
      </c>
      <c r="J708" s="6" t="s">
        <v>37</v>
      </c>
      <c r="K708">
        <v>4</v>
      </c>
      <c r="M708" s="1" t="b">
        <f>Employee__2[[#This Row],[Experience]]&gt;1</f>
        <v>1</v>
      </c>
      <c r="N708" s="1" t="str">
        <f>IF(Employee__2[[#This Row],[City]]="Pune","Yes","No")</f>
        <v>No</v>
      </c>
      <c r="O708" s="1" t="str">
        <f>IF(AND(Employee__2[[#This Row],[Education]]="Bachelors",Employee__2[[#This Row],[City]]="Pune"),"Yes","No")</f>
        <v>No</v>
      </c>
      <c r="P708" s="1" t="str">
        <f>IF(OR(Employee__2[[#This Row],[Age]]&gt;=30,Employee__2[[#This Row],[Gender]]="Male"),"Mached","Not mached")</f>
        <v>Mached</v>
      </c>
    </row>
    <row r="709" spans="4:16" x14ac:dyDescent="0.25">
      <c r="D709" s="6" t="s">
        <v>34</v>
      </c>
      <c r="E709">
        <v>2015</v>
      </c>
      <c r="F709" s="6" t="s">
        <v>35</v>
      </c>
      <c r="G709">
        <v>3</v>
      </c>
      <c r="H709">
        <v>28</v>
      </c>
      <c r="I709" s="6" t="s">
        <v>36</v>
      </c>
      <c r="J709" s="6" t="s">
        <v>42</v>
      </c>
      <c r="K709">
        <v>1</v>
      </c>
      <c r="M709" s="1" t="b">
        <f>Employee__2[[#This Row],[Experience]]&gt;1</f>
        <v>0</v>
      </c>
      <c r="N709" s="1" t="str">
        <f>IF(Employee__2[[#This Row],[City]]="Pune","Yes","No")</f>
        <v>No</v>
      </c>
      <c r="O709" s="1" t="str">
        <f>IF(AND(Employee__2[[#This Row],[Education]]="Bachelors",Employee__2[[#This Row],[City]]="Pune"),"Yes","No")</f>
        <v>No</v>
      </c>
      <c r="P709" s="1" t="str">
        <f>IF(OR(Employee__2[[#This Row],[Age]]&gt;=30,Employee__2[[#This Row],[Gender]]="Male"),"Mached","Not mached")</f>
        <v>Mached</v>
      </c>
    </row>
    <row r="710" spans="4:16" x14ac:dyDescent="0.25">
      <c r="D710" s="6" t="s">
        <v>41</v>
      </c>
      <c r="E710">
        <v>2017</v>
      </c>
      <c r="F710" s="6" t="s">
        <v>40</v>
      </c>
      <c r="G710">
        <v>2</v>
      </c>
      <c r="H710">
        <v>24</v>
      </c>
      <c r="I710" s="6" t="s">
        <v>36</v>
      </c>
      <c r="J710" s="6" t="s">
        <v>37</v>
      </c>
      <c r="K710">
        <v>2</v>
      </c>
      <c r="M710" s="1" t="b">
        <f>Employee__2[[#This Row],[Experience]]&gt;1</f>
        <v>1</v>
      </c>
      <c r="N710" s="1" t="str">
        <f>IF(Employee__2[[#This Row],[City]]="Pune","Yes","No")</f>
        <v>No</v>
      </c>
      <c r="O710" s="1" t="str">
        <f>IF(AND(Employee__2[[#This Row],[Education]]="Bachelors",Employee__2[[#This Row],[City]]="Pune"),"Yes","No")</f>
        <v>No</v>
      </c>
      <c r="P710" s="1" t="str">
        <f>IF(OR(Employee__2[[#This Row],[Age]]&gt;=30,Employee__2[[#This Row],[Gender]]="Male"),"Mached","Not mached")</f>
        <v>Mached</v>
      </c>
    </row>
    <row r="711" spans="4:16" x14ac:dyDescent="0.25">
      <c r="D711" s="6" t="s">
        <v>34</v>
      </c>
      <c r="E711">
        <v>2013</v>
      </c>
      <c r="F711" s="6" t="s">
        <v>38</v>
      </c>
      <c r="G711">
        <v>2</v>
      </c>
      <c r="H711">
        <v>25</v>
      </c>
      <c r="I711" s="6" t="s">
        <v>39</v>
      </c>
      <c r="J711" s="6" t="s">
        <v>37</v>
      </c>
      <c r="K711">
        <v>3</v>
      </c>
      <c r="M711" s="1" t="b">
        <f>Employee__2[[#This Row],[Experience]]&gt;1</f>
        <v>1</v>
      </c>
      <c r="N711" s="1" t="str">
        <f>IF(Employee__2[[#This Row],[City]]="Pune","Yes","No")</f>
        <v>Yes</v>
      </c>
      <c r="O711" s="1" t="str">
        <f>IF(AND(Employee__2[[#This Row],[Education]]="Bachelors",Employee__2[[#This Row],[City]]="Pune"),"Yes","No")</f>
        <v>Yes</v>
      </c>
      <c r="P711" s="1" t="str">
        <f>IF(OR(Employee__2[[#This Row],[Age]]&gt;=30,Employee__2[[#This Row],[Gender]]="Male"),"Mached","Not mached")</f>
        <v>Not mached</v>
      </c>
    </row>
    <row r="712" spans="4:16" x14ac:dyDescent="0.25">
      <c r="D712" s="6" t="s">
        <v>41</v>
      </c>
      <c r="E712">
        <v>2013</v>
      </c>
      <c r="F712" s="6" t="s">
        <v>35</v>
      </c>
      <c r="G712">
        <v>3</v>
      </c>
      <c r="H712">
        <v>27</v>
      </c>
      <c r="I712" s="6" t="s">
        <v>36</v>
      </c>
      <c r="J712" s="6" t="s">
        <v>37</v>
      </c>
      <c r="K712">
        <v>5</v>
      </c>
      <c r="M712" s="1" t="b">
        <f>Employee__2[[#This Row],[Experience]]&gt;1</f>
        <v>1</v>
      </c>
      <c r="N712" s="1" t="str">
        <f>IF(Employee__2[[#This Row],[City]]="Pune","Yes","No")</f>
        <v>No</v>
      </c>
      <c r="O712" s="1" t="str">
        <f>IF(AND(Employee__2[[#This Row],[Education]]="Bachelors",Employee__2[[#This Row],[City]]="Pune"),"Yes","No")</f>
        <v>No</v>
      </c>
      <c r="P712" s="1" t="str">
        <f>IF(OR(Employee__2[[#This Row],[Age]]&gt;=30,Employee__2[[#This Row],[Gender]]="Male"),"Mached","Not mached")</f>
        <v>Mached</v>
      </c>
    </row>
    <row r="713" spans="4:16" x14ac:dyDescent="0.25">
      <c r="D713" s="6" t="s">
        <v>34</v>
      </c>
      <c r="E713">
        <v>2017</v>
      </c>
      <c r="F713" s="6" t="s">
        <v>35</v>
      </c>
      <c r="G713">
        <v>3</v>
      </c>
      <c r="H713">
        <v>27</v>
      </c>
      <c r="I713" s="6" t="s">
        <v>36</v>
      </c>
      <c r="J713" s="6" t="s">
        <v>37</v>
      </c>
      <c r="K713">
        <v>5</v>
      </c>
      <c r="M713" s="1" t="b">
        <f>Employee__2[[#This Row],[Experience]]&gt;1</f>
        <v>1</v>
      </c>
      <c r="N713" s="1" t="str">
        <f>IF(Employee__2[[#This Row],[City]]="Pune","Yes","No")</f>
        <v>No</v>
      </c>
      <c r="O713" s="1" t="str">
        <f>IF(AND(Employee__2[[#This Row],[Education]]="Bachelors",Employee__2[[#This Row],[City]]="Pune"),"Yes","No")</f>
        <v>No</v>
      </c>
      <c r="P713" s="1" t="str">
        <f>IF(OR(Employee__2[[#This Row],[Age]]&gt;=30,Employee__2[[#This Row],[Gender]]="Male"),"Mached","Not mached")</f>
        <v>Mached</v>
      </c>
    </row>
    <row r="714" spans="4:16" x14ac:dyDescent="0.25">
      <c r="D714" s="6" t="s">
        <v>34</v>
      </c>
      <c r="E714">
        <v>2015</v>
      </c>
      <c r="F714" s="6" t="s">
        <v>40</v>
      </c>
      <c r="G714">
        <v>2</v>
      </c>
      <c r="H714">
        <v>28</v>
      </c>
      <c r="I714" s="6" t="s">
        <v>39</v>
      </c>
      <c r="J714" s="6" t="s">
        <v>42</v>
      </c>
      <c r="K714">
        <v>2</v>
      </c>
      <c r="M714" s="1" t="b">
        <f>Employee__2[[#This Row],[Experience]]&gt;1</f>
        <v>1</v>
      </c>
      <c r="N714" s="1" t="str">
        <f>IF(Employee__2[[#This Row],[City]]="Pune","Yes","No")</f>
        <v>No</v>
      </c>
      <c r="O714" s="1" t="str">
        <f>IF(AND(Employee__2[[#This Row],[Education]]="Bachelors",Employee__2[[#This Row],[City]]="Pune"),"Yes","No")</f>
        <v>No</v>
      </c>
      <c r="P714" s="1" t="str">
        <f>IF(OR(Employee__2[[#This Row],[Age]]&gt;=30,Employee__2[[#This Row],[Gender]]="Male"),"Mached","Not mached")</f>
        <v>Not mached</v>
      </c>
    </row>
    <row r="715" spans="4:16" x14ac:dyDescent="0.25">
      <c r="D715" s="6" t="s">
        <v>34</v>
      </c>
      <c r="E715">
        <v>2014</v>
      </c>
      <c r="F715" s="6" t="s">
        <v>38</v>
      </c>
      <c r="G715">
        <v>2</v>
      </c>
      <c r="H715">
        <v>24</v>
      </c>
      <c r="I715" s="6" t="s">
        <v>39</v>
      </c>
      <c r="J715" s="6" t="s">
        <v>37</v>
      </c>
      <c r="K715">
        <v>2</v>
      </c>
      <c r="M715" s="1" t="b">
        <f>Employee__2[[#This Row],[Experience]]&gt;1</f>
        <v>1</v>
      </c>
      <c r="N715" s="1" t="str">
        <f>IF(Employee__2[[#This Row],[City]]="Pune","Yes","No")</f>
        <v>Yes</v>
      </c>
      <c r="O715" s="1" t="str">
        <f>IF(AND(Employee__2[[#This Row],[Education]]="Bachelors",Employee__2[[#This Row],[City]]="Pune"),"Yes","No")</f>
        <v>Yes</v>
      </c>
      <c r="P715" s="1" t="str">
        <f>IF(OR(Employee__2[[#This Row],[Age]]&gt;=30,Employee__2[[#This Row],[Gender]]="Male"),"Mached","Not mached")</f>
        <v>Not mached</v>
      </c>
    </row>
    <row r="716" spans="4:16" x14ac:dyDescent="0.25">
      <c r="D716" s="6" t="s">
        <v>34</v>
      </c>
      <c r="E716">
        <v>2016</v>
      </c>
      <c r="F716" s="6" t="s">
        <v>38</v>
      </c>
      <c r="G716">
        <v>2</v>
      </c>
      <c r="H716">
        <v>27</v>
      </c>
      <c r="I716" s="6" t="s">
        <v>39</v>
      </c>
      <c r="J716" s="6" t="s">
        <v>37</v>
      </c>
      <c r="K716">
        <v>5</v>
      </c>
      <c r="M716" s="1" t="b">
        <f>Employee__2[[#This Row],[Experience]]&gt;1</f>
        <v>1</v>
      </c>
      <c r="N716" s="1" t="str">
        <f>IF(Employee__2[[#This Row],[City]]="Pune","Yes","No")</f>
        <v>Yes</v>
      </c>
      <c r="O716" s="1" t="str">
        <f>IF(AND(Employee__2[[#This Row],[Education]]="Bachelors",Employee__2[[#This Row],[City]]="Pune"),"Yes","No")</f>
        <v>Yes</v>
      </c>
      <c r="P716" s="1" t="str">
        <f>IF(OR(Employee__2[[#This Row],[Age]]&gt;=30,Employee__2[[#This Row],[Gender]]="Male"),"Mached","Not mached")</f>
        <v>Not mached</v>
      </c>
    </row>
    <row r="717" spans="4:16" x14ac:dyDescent="0.25">
      <c r="D717" s="6" t="s">
        <v>34</v>
      </c>
      <c r="E717">
        <v>2017</v>
      </c>
      <c r="F717" s="6" t="s">
        <v>35</v>
      </c>
      <c r="G717">
        <v>3</v>
      </c>
      <c r="H717">
        <v>27</v>
      </c>
      <c r="I717" s="6" t="s">
        <v>39</v>
      </c>
      <c r="J717" s="6" t="s">
        <v>37</v>
      </c>
      <c r="K717">
        <v>5</v>
      </c>
      <c r="M717" s="1" t="b">
        <f>Employee__2[[#This Row],[Experience]]&gt;1</f>
        <v>1</v>
      </c>
      <c r="N717" s="1" t="str">
        <f>IF(Employee__2[[#This Row],[City]]="Pune","Yes","No")</f>
        <v>No</v>
      </c>
      <c r="O717" s="1" t="str">
        <f>IF(AND(Employee__2[[#This Row],[Education]]="Bachelors",Employee__2[[#This Row],[City]]="Pune"),"Yes","No")</f>
        <v>No</v>
      </c>
      <c r="P717" s="1" t="str">
        <f>IF(OR(Employee__2[[#This Row],[Age]]&gt;=30,Employee__2[[#This Row],[Gender]]="Male"),"Mached","Not mached")</f>
        <v>Not mached</v>
      </c>
    </row>
    <row r="718" spans="4:16" x14ac:dyDescent="0.25">
      <c r="D718" s="6" t="s">
        <v>34</v>
      </c>
      <c r="E718">
        <v>2016</v>
      </c>
      <c r="F718" s="6" t="s">
        <v>35</v>
      </c>
      <c r="G718">
        <v>3</v>
      </c>
      <c r="H718">
        <v>26</v>
      </c>
      <c r="I718" s="6" t="s">
        <v>36</v>
      </c>
      <c r="J718" s="6" t="s">
        <v>37</v>
      </c>
      <c r="K718">
        <v>4</v>
      </c>
      <c r="M718" s="1" t="b">
        <f>Employee__2[[#This Row],[Experience]]&gt;1</f>
        <v>1</v>
      </c>
      <c r="N718" s="1" t="str">
        <f>IF(Employee__2[[#This Row],[City]]="Pune","Yes","No")</f>
        <v>No</v>
      </c>
      <c r="O718" s="1" t="str">
        <f>IF(AND(Employee__2[[#This Row],[Education]]="Bachelors",Employee__2[[#This Row],[City]]="Pune"),"Yes","No")</f>
        <v>No</v>
      </c>
      <c r="P718" s="1" t="str">
        <f>IF(OR(Employee__2[[#This Row],[Age]]&gt;=30,Employee__2[[#This Row],[Gender]]="Male"),"Mached","Not mached")</f>
        <v>Mached</v>
      </c>
    </row>
    <row r="719" spans="4:16" x14ac:dyDescent="0.25">
      <c r="D719" s="6" t="s">
        <v>34</v>
      </c>
      <c r="E719">
        <v>2015</v>
      </c>
      <c r="F719" s="6" t="s">
        <v>38</v>
      </c>
      <c r="G719">
        <v>2</v>
      </c>
      <c r="H719">
        <v>27</v>
      </c>
      <c r="I719" s="6" t="s">
        <v>36</v>
      </c>
      <c r="J719" s="6" t="s">
        <v>37</v>
      </c>
      <c r="K719">
        <v>5</v>
      </c>
      <c r="M719" s="1" t="b">
        <f>Employee__2[[#This Row],[Experience]]&gt;1</f>
        <v>1</v>
      </c>
      <c r="N719" s="1" t="str">
        <f>IF(Employee__2[[#This Row],[City]]="Pune","Yes","No")</f>
        <v>Yes</v>
      </c>
      <c r="O719" s="1" t="str">
        <f>IF(AND(Employee__2[[#This Row],[Education]]="Bachelors",Employee__2[[#This Row],[City]]="Pune"),"Yes","No")</f>
        <v>Yes</v>
      </c>
      <c r="P719" s="1" t="str">
        <f>IF(OR(Employee__2[[#This Row],[Age]]&gt;=30,Employee__2[[#This Row],[Gender]]="Male"),"Mached","Not mached")</f>
        <v>Mached</v>
      </c>
    </row>
    <row r="720" spans="4:16" x14ac:dyDescent="0.25">
      <c r="D720" s="6" t="s">
        <v>34</v>
      </c>
      <c r="E720">
        <v>2015</v>
      </c>
      <c r="F720" s="6" t="s">
        <v>35</v>
      </c>
      <c r="G720">
        <v>3</v>
      </c>
      <c r="H720">
        <v>26</v>
      </c>
      <c r="I720" s="6" t="s">
        <v>36</v>
      </c>
      <c r="J720" s="6" t="s">
        <v>37</v>
      </c>
      <c r="K720">
        <v>4</v>
      </c>
      <c r="M720" s="1" t="b">
        <f>Employee__2[[#This Row],[Experience]]&gt;1</f>
        <v>1</v>
      </c>
      <c r="N720" s="1" t="str">
        <f>IF(Employee__2[[#This Row],[City]]="Pune","Yes","No")</f>
        <v>No</v>
      </c>
      <c r="O720" s="1" t="str">
        <f>IF(AND(Employee__2[[#This Row],[Education]]="Bachelors",Employee__2[[#This Row],[City]]="Pune"),"Yes","No")</f>
        <v>No</v>
      </c>
      <c r="P720" s="1" t="str">
        <f>IF(OR(Employee__2[[#This Row],[Age]]&gt;=30,Employee__2[[#This Row],[Gender]]="Male"),"Mached","Not mached")</f>
        <v>Mached</v>
      </c>
    </row>
    <row r="721" spans="4:16" x14ac:dyDescent="0.25">
      <c r="D721" s="6" t="s">
        <v>34</v>
      </c>
      <c r="E721">
        <v>2018</v>
      </c>
      <c r="F721" s="6" t="s">
        <v>35</v>
      </c>
      <c r="G721">
        <v>3</v>
      </c>
      <c r="H721">
        <v>27</v>
      </c>
      <c r="I721" s="6" t="s">
        <v>36</v>
      </c>
      <c r="J721" s="6" t="s">
        <v>42</v>
      </c>
      <c r="K721">
        <v>5</v>
      </c>
      <c r="M721" s="1" t="b">
        <f>Employee__2[[#This Row],[Experience]]&gt;1</f>
        <v>1</v>
      </c>
      <c r="N721" s="1" t="str">
        <f>IF(Employee__2[[#This Row],[City]]="Pune","Yes","No")</f>
        <v>No</v>
      </c>
      <c r="O721" s="1" t="str">
        <f>IF(AND(Employee__2[[#This Row],[Education]]="Bachelors",Employee__2[[#This Row],[City]]="Pune"),"Yes","No")</f>
        <v>No</v>
      </c>
      <c r="P721" s="1" t="str">
        <f>IF(OR(Employee__2[[#This Row],[Age]]&gt;=30,Employee__2[[#This Row],[Gender]]="Male"),"Mached","Not mached")</f>
        <v>Mached</v>
      </c>
    </row>
    <row r="722" spans="4:16" x14ac:dyDescent="0.25">
      <c r="D722" s="6" t="s">
        <v>34</v>
      </c>
      <c r="E722">
        <v>2016</v>
      </c>
      <c r="F722" s="6" t="s">
        <v>35</v>
      </c>
      <c r="G722">
        <v>3</v>
      </c>
      <c r="H722">
        <v>24</v>
      </c>
      <c r="I722" s="6" t="s">
        <v>36</v>
      </c>
      <c r="J722" s="6" t="s">
        <v>37</v>
      </c>
      <c r="K722">
        <v>2</v>
      </c>
      <c r="M722" s="1" t="b">
        <f>Employee__2[[#This Row],[Experience]]&gt;1</f>
        <v>1</v>
      </c>
      <c r="N722" s="1" t="str">
        <f>IF(Employee__2[[#This Row],[City]]="Pune","Yes","No")</f>
        <v>No</v>
      </c>
      <c r="O722" s="1" t="str">
        <f>IF(AND(Employee__2[[#This Row],[Education]]="Bachelors",Employee__2[[#This Row],[City]]="Pune"),"Yes","No")</f>
        <v>No</v>
      </c>
      <c r="P722" s="1" t="str">
        <f>IF(OR(Employee__2[[#This Row],[Age]]&gt;=30,Employee__2[[#This Row],[Gender]]="Male"),"Mached","Not mached")</f>
        <v>Mached</v>
      </c>
    </row>
    <row r="723" spans="4:16" x14ac:dyDescent="0.25">
      <c r="D723" s="6" t="s">
        <v>34</v>
      </c>
      <c r="E723">
        <v>2014</v>
      </c>
      <c r="F723" s="6" t="s">
        <v>35</v>
      </c>
      <c r="G723">
        <v>3</v>
      </c>
      <c r="H723">
        <v>24</v>
      </c>
      <c r="I723" s="6" t="s">
        <v>36</v>
      </c>
      <c r="J723" s="6" t="s">
        <v>37</v>
      </c>
      <c r="K723">
        <v>2</v>
      </c>
      <c r="M723" s="1" t="b">
        <f>Employee__2[[#This Row],[Experience]]&gt;1</f>
        <v>1</v>
      </c>
      <c r="N723" s="1" t="str">
        <f>IF(Employee__2[[#This Row],[City]]="Pune","Yes","No")</f>
        <v>No</v>
      </c>
      <c r="O723" s="1" t="str">
        <f>IF(AND(Employee__2[[#This Row],[Education]]="Bachelors",Employee__2[[#This Row],[City]]="Pune"),"Yes","No")</f>
        <v>No</v>
      </c>
      <c r="P723" s="1" t="str">
        <f>IF(OR(Employee__2[[#This Row],[Age]]&gt;=30,Employee__2[[#This Row],[Gender]]="Male"),"Mached","Not mached")</f>
        <v>Mached</v>
      </c>
    </row>
    <row r="724" spans="4:16" x14ac:dyDescent="0.25">
      <c r="D724" s="6" t="s">
        <v>34</v>
      </c>
      <c r="E724">
        <v>2013</v>
      </c>
      <c r="F724" s="6" t="s">
        <v>40</v>
      </c>
      <c r="G724">
        <v>2</v>
      </c>
      <c r="H724">
        <v>24</v>
      </c>
      <c r="I724" s="6" t="s">
        <v>39</v>
      </c>
      <c r="J724" s="6" t="s">
        <v>37</v>
      </c>
      <c r="K724">
        <v>2</v>
      </c>
      <c r="M724" s="1" t="b">
        <f>Employee__2[[#This Row],[Experience]]&gt;1</f>
        <v>1</v>
      </c>
      <c r="N724" s="1" t="str">
        <f>IF(Employee__2[[#This Row],[City]]="Pune","Yes","No")</f>
        <v>No</v>
      </c>
      <c r="O724" s="1" t="str">
        <f>IF(AND(Employee__2[[#This Row],[Education]]="Bachelors",Employee__2[[#This Row],[City]]="Pune"),"Yes","No")</f>
        <v>No</v>
      </c>
      <c r="P724" s="1" t="str">
        <f>IF(OR(Employee__2[[#This Row],[Age]]&gt;=30,Employee__2[[#This Row],[Gender]]="Male"),"Mached","Not mached")</f>
        <v>Not mached</v>
      </c>
    </row>
    <row r="725" spans="4:16" x14ac:dyDescent="0.25">
      <c r="D725" s="6" t="s">
        <v>34</v>
      </c>
      <c r="E725">
        <v>2012</v>
      </c>
      <c r="F725" s="6" t="s">
        <v>35</v>
      </c>
      <c r="G725">
        <v>3</v>
      </c>
      <c r="H725">
        <v>26</v>
      </c>
      <c r="I725" s="6" t="s">
        <v>39</v>
      </c>
      <c r="J725" s="6" t="s">
        <v>37</v>
      </c>
      <c r="K725">
        <v>4</v>
      </c>
      <c r="M725" s="1" t="b">
        <f>Employee__2[[#This Row],[Experience]]&gt;1</f>
        <v>1</v>
      </c>
      <c r="N725" s="1" t="str">
        <f>IF(Employee__2[[#This Row],[City]]="Pune","Yes","No")</f>
        <v>No</v>
      </c>
      <c r="O725" s="1" t="str">
        <f>IF(AND(Employee__2[[#This Row],[Education]]="Bachelors",Employee__2[[#This Row],[City]]="Pune"),"Yes","No")</f>
        <v>No</v>
      </c>
      <c r="P725" s="1" t="str">
        <f>IF(OR(Employee__2[[#This Row],[Age]]&gt;=30,Employee__2[[#This Row],[Gender]]="Male"),"Mached","Not mached")</f>
        <v>Not mached</v>
      </c>
    </row>
    <row r="726" spans="4:16" x14ac:dyDescent="0.25">
      <c r="D726" s="6" t="s">
        <v>34</v>
      </c>
      <c r="E726">
        <v>2015</v>
      </c>
      <c r="F726" s="6" t="s">
        <v>38</v>
      </c>
      <c r="G726">
        <v>2</v>
      </c>
      <c r="H726">
        <v>28</v>
      </c>
      <c r="I726" s="6" t="s">
        <v>39</v>
      </c>
      <c r="J726" s="6" t="s">
        <v>42</v>
      </c>
      <c r="K726">
        <v>2</v>
      </c>
      <c r="M726" s="1" t="b">
        <f>Employee__2[[#This Row],[Experience]]&gt;1</f>
        <v>1</v>
      </c>
      <c r="N726" s="1" t="str">
        <f>IF(Employee__2[[#This Row],[City]]="Pune","Yes","No")</f>
        <v>Yes</v>
      </c>
      <c r="O726" s="1" t="str">
        <f>IF(AND(Employee__2[[#This Row],[Education]]="Bachelors",Employee__2[[#This Row],[City]]="Pune"),"Yes","No")</f>
        <v>Yes</v>
      </c>
      <c r="P726" s="1" t="str">
        <f>IF(OR(Employee__2[[#This Row],[Age]]&gt;=30,Employee__2[[#This Row],[Gender]]="Male"),"Mached","Not mached")</f>
        <v>Not mached</v>
      </c>
    </row>
    <row r="727" spans="4:16" x14ac:dyDescent="0.25">
      <c r="D727" s="6" t="s">
        <v>34</v>
      </c>
      <c r="E727">
        <v>2018</v>
      </c>
      <c r="F727" s="6" t="s">
        <v>35</v>
      </c>
      <c r="G727">
        <v>3</v>
      </c>
      <c r="H727">
        <v>26</v>
      </c>
      <c r="I727" s="6" t="s">
        <v>36</v>
      </c>
      <c r="J727" s="6" t="s">
        <v>37</v>
      </c>
      <c r="K727">
        <v>4</v>
      </c>
      <c r="M727" s="1" t="b">
        <f>Employee__2[[#This Row],[Experience]]&gt;1</f>
        <v>1</v>
      </c>
      <c r="N727" s="1" t="str">
        <f>IF(Employee__2[[#This Row],[City]]="Pune","Yes","No")</f>
        <v>No</v>
      </c>
      <c r="O727" s="1" t="str">
        <f>IF(AND(Employee__2[[#This Row],[Education]]="Bachelors",Employee__2[[#This Row],[City]]="Pune"),"Yes","No")</f>
        <v>No</v>
      </c>
      <c r="P727" s="1" t="str">
        <f>IF(OR(Employee__2[[#This Row],[Age]]&gt;=30,Employee__2[[#This Row],[Gender]]="Male"),"Mached","Not mached")</f>
        <v>Mached</v>
      </c>
    </row>
    <row r="728" spans="4:16" x14ac:dyDescent="0.25">
      <c r="D728" s="6" t="s">
        <v>34</v>
      </c>
      <c r="E728">
        <v>2016</v>
      </c>
      <c r="F728" s="6" t="s">
        <v>35</v>
      </c>
      <c r="G728">
        <v>3</v>
      </c>
      <c r="H728">
        <v>24</v>
      </c>
      <c r="I728" s="6" t="s">
        <v>39</v>
      </c>
      <c r="J728" s="6" t="s">
        <v>37</v>
      </c>
      <c r="K728">
        <v>2</v>
      </c>
      <c r="M728" s="1" t="b">
        <f>Employee__2[[#This Row],[Experience]]&gt;1</f>
        <v>1</v>
      </c>
      <c r="N728" s="1" t="str">
        <f>IF(Employee__2[[#This Row],[City]]="Pune","Yes","No")</f>
        <v>No</v>
      </c>
      <c r="O728" s="1" t="str">
        <f>IF(AND(Employee__2[[#This Row],[Education]]="Bachelors",Employee__2[[#This Row],[City]]="Pune"),"Yes","No")</f>
        <v>No</v>
      </c>
      <c r="P728" s="1" t="str">
        <f>IF(OR(Employee__2[[#This Row],[Age]]&gt;=30,Employee__2[[#This Row],[Gender]]="Male"),"Mached","Not mached")</f>
        <v>Not mached</v>
      </c>
    </row>
    <row r="729" spans="4:16" x14ac:dyDescent="0.25">
      <c r="D729" s="6" t="s">
        <v>41</v>
      </c>
      <c r="E729">
        <v>2017</v>
      </c>
      <c r="F729" s="6" t="s">
        <v>38</v>
      </c>
      <c r="G729">
        <v>3</v>
      </c>
      <c r="H729">
        <v>24</v>
      </c>
      <c r="I729" s="6" t="s">
        <v>36</v>
      </c>
      <c r="J729" s="6" t="s">
        <v>37</v>
      </c>
      <c r="K729">
        <v>2</v>
      </c>
      <c r="M729" s="1" t="b">
        <f>Employee__2[[#This Row],[Experience]]&gt;1</f>
        <v>1</v>
      </c>
      <c r="N729" s="1" t="str">
        <f>IF(Employee__2[[#This Row],[City]]="Pune","Yes","No")</f>
        <v>Yes</v>
      </c>
      <c r="O729" s="1" t="str">
        <f>IF(AND(Employee__2[[#This Row],[Education]]="Bachelors",Employee__2[[#This Row],[City]]="Pune"),"Yes","No")</f>
        <v>No</v>
      </c>
      <c r="P729" s="1" t="str">
        <f>IF(OR(Employee__2[[#This Row],[Age]]&gt;=30,Employee__2[[#This Row],[Gender]]="Male"),"Mached","Not mached")</f>
        <v>Mached</v>
      </c>
    </row>
    <row r="730" spans="4:16" x14ac:dyDescent="0.25">
      <c r="D730" s="6" t="s">
        <v>41</v>
      </c>
      <c r="E730">
        <v>2016</v>
      </c>
      <c r="F730" s="6" t="s">
        <v>38</v>
      </c>
      <c r="G730">
        <v>3</v>
      </c>
      <c r="H730">
        <v>24</v>
      </c>
      <c r="I730" s="6" t="s">
        <v>36</v>
      </c>
      <c r="J730" s="6" t="s">
        <v>37</v>
      </c>
      <c r="K730">
        <v>2</v>
      </c>
      <c r="M730" s="1" t="b">
        <f>Employee__2[[#This Row],[Experience]]&gt;1</f>
        <v>1</v>
      </c>
      <c r="N730" s="1" t="str">
        <f>IF(Employee__2[[#This Row],[City]]="Pune","Yes","No")</f>
        <v>Yes</v>
      </c>
      <c r="O730" s="1" t="str">
        <f>IF(AND(Employee__2[[#This Row],[Education]]="Bachelors",Employee__2[[#This Row],[City]]="Pune"),"Yes","No")</f>
        <v>No</v>
      </c>
      <c r="P730" s="1" t="str">
        <f>IF(OR(Employee__2[[#This Row],[Age]]&gt;=30,Employee__2[[#This Row],[Gender]]="Male"),"Mached","Not mached")</f>
        <v>Mached</v>
      </c>
    </row>
    <row r="731" spans="4:16" x14ac:dyDescent="0.25">
      <c r="D731" s="6" t="s">
        <v>34</v>
      </c>
      <c r="E731">
        <v>2013</v>
      </c>
      <c r="F731" s="6" t="s">
        <v>35</v>
      </c>
      <c r="G731">
        <v>3</v>
      </c>
      <c r="H731">
        <v>28</v>
      </c>
      <c r="I731" s="6" t="s">
        <v>36</v>
      </c>
      <c r="J731" s="6" t="s">
        <v>42</v>
      </c>
      <c r="K731">
        <v>1</v>
      </c>
      <c r="M731" s="1" t="b">
        <f>Employee__2[[#This Row],[Experience]]&gt;1</f>
        <v>0</v>
      </c>
      <c r="N731" s="1" t="str">
        <f>IF(Employee__2[[#This Row],[City]]="Pune","Yes","No")</f>
        <v>No</v>
      </c>
      <c r="O731" s="1" t="str">
        <f>IF(AND(Employee__2[[#This Row],[Education]]="Bachelors",Employee__2[[#This Row],[City]]="Pune"),"Yes","No")</f>
        <v>No</v>
      </c>
      <c r="P731" s="1" t="str">
        <f>IF(OR(Employee__2[[#This Row],[Age]]&gt;=30,Employee__2[[#This Row],[Gender]]="Male"),"Mached","Not mached")</f>
        <v>Mached</v>
      </c>
    </row>
    <row r="732" spans="4:16" x14ac:dyDescent="0.25">
      <c r="D732" s="6" t="s">
        <v>34</v>
      </c>
      <c r="E732">
        <v>2015</v>
      </c>
      <c r="F732" s="6" t="s">
        <v>35</v>
      </c>
      <c r="G732">
        <v>1</v>
      </c>
      <c r="H732">
        <v>28</v>
      </c>
      <c r="I732" s="6" t="s">
        <v>39</v>
      </c>
      <c r="J732" s="6" t="s">
        <v>37</v>
      </c>
      <c r="K732">
        <v>1</v>
      </c>
      <c r="M732" s="1" t="b">
        <f>Employee__2[[#This Row],[Experience]]&gt;1</f>
        <v>0</v>
      </c>
      <c r="N732" s="1" t="str">
        <f>IF(Employee__2[[#This Row],[City]]="Pune","Yes","No")</f>
        <v>No</v>
      </c>
      <c r="O732" s="1" t="str">
        <f>IF(AND(Employee__2[[#This Row],[Education]]="Bachelors",Employee__2[[#This Row],[City]]="Pune"),"Yes","No")</f>
        <v>No</v>
      </c>
      <c r="P732" s="1" t="str">
        <f>IF(OR(Employee__2[[#This Row],[Age]]&gt;=30,Employee__2[[#This Row],[Gender]]="Male"),"Mached","Not mached")</f>
        <v>Not mached</v>
      </c>
    </row>
    <row r="733" spans="4:16" x14ac:dyDescent="0.25">
      <c r="D733" s="6" t="s">
        <v>43</v>
      </c>
      <c r="E733">
        <v>2018</v>
      </c>
      <c r="F733" s="6" t="s">
        <v>35</v>
      </c>
      <c r="G733">
        <v>3</v>
      </c>
      <c r="H733">
        <v>24</v>
      </c>
      <c r="I733" s="6" t="s">
        <v>39</v>
      </c>
      <c r="J733" s="6" t="s">
        <v>37</v>
      </c>
      <c r="K733">
        <v>2</v>
      </c>
      <c r="M733" s="1" t="b">
        <f>Employee__2[[#This Row],[Experience]]&gt;1</f>
        <v>1</v>
      </c>
      <c r="N733" s="1" t="str">
        <f>IF(Employee__2[[#This Row],[City]]="Pune","Yes","No")</f>
        <v>No</v>
      </c>
      <c r="O733" s="1" t="str">
        <f>IF(AND(Employee__2[[#This Row],[Education]]="Bachelors",Employee__2[[#This Row],[City]]="Pune"),"Yes","No")</f>
        <v>No</v>
      </c>
      <c r="P733" s="1" t="str">
        <f>IF(OR(Employee__2[[#This Row],[Age]]&gt;=30,Employee__2[[#This Row],[Gender]]="Male"),"Mached","Not mached")</f>
        <v>Not mached</v>
      </c>
    </row>
    <row r="734" spans="4:16" x14ac:dyDescent="0.25">
      <c r="D734" s="6" t="s">
        <v>34</v>
      </c>
      <c r="E734">
        <v>2016</v>
      </c>
      <c r="F734" s="6" t="s">
        <v>35</v>
      </c>
      <c r="G734">
        <v>3</v>
      </c>
      <c r="H734">
        <v>26</v>
      </c>
      <c r="I734" s="6" t="s">
        <v>36</v>
      </c>
      <c r="J734" s="6" t="s">
        <v>42</v>
      </c>
      <c r="K734">
        <v>4</v>
      </c>
      <c r="M734" s="1" t="b">
        <f>Employee__2[[#This Row],[Experience]]&gt;1</f>
        <v>1</v>
      </c>
      <c r="N734" s="1" t="str">
        <f>IF(Employee__2[[#This Row],[City]]="Pune","Yes","No")</f>
        <v>No</v>
      </c>
      <c r="O734" s="1" t="str">
        <f>IF(AND(Employee__2[[#This Row],[Education]]="Bachelors",Employee__2[[#This Row],[City]]="Pune"),"Yes","No")</f>
        <v>No</v>
      </c>
      <c r="P734" s="1" t="str">
        <f>IF(OR(Employee__2[[#This Row],[Age]]&gt;=30,Employee__2[[#This Row],[Gender]]="Male"),"Mached","Not mached")</f>
        <v>Mached</v>
      </c>
    </row>
    <row r="735" spans="4:16" x14ac:dyDescent="0.25">
      <c r="D735" s="6" t="s">
        <v>34</v>
      </c>
      <c r="E735">
        <v>2013</v>
      </c>
      <c r="F735" s="6" t="s">
        <v>35</v>
      </c>
      <c r="G735">
        <v>3</v>
      </c>
      <c r="H735">
        <v>27</v>
      </c>
      <c r="I735" s="6" t="s">
        <v>36</v>
      </c>
      <c r="J735" s="6" t="s">
        <v>37</v>
      </c>
      <c r="K735">
        <v>5</v>
      </c>
      <c r="M735" s="1" t="b">
        <f>Employee__2[[#This Row],[Experience]]&gt;1</f>
        <v>1</v>
      </c>
      <c r="N735" s="1" t="str">
        <f>IF(Employee__2[[#This Row],[City]]="Pune","Yes","No")</f>
        <v>No</v>
      </c>
      <c r="O735" s="1" t="str">
        <f>IF(AND(Employee__2[[#This Row],[Education]]="Bachelors",Employee__2[[#This Row],[City]]="Pune"),"Yes","No")</f>
        <v>No</v>
      </c>
      <c r="P735" s="1" t="str">
        <f>IF(OR(Employee__2[[#This Row],[Age]]&gt;=30,Employee__2[[#This Row],[Gender]]="Male"),"Mached","Not mached")</f>
        <v>Mached</v>
      </c>
    </row>
    <row r="736" spans="4:16" x14ac:dyDescent="0.25">
      <c r="D736" s="6" t="s">
        <v>34</v>
      </c>
      <c r="E736">
        <v>2013</v>
      </c>
      <c r="F736" s="6" t="s">
        <v>35</v>
      </c>
      <c r="G736">
        <v>3</v>
      </c>
      <c r="H736">
        <v>25</v>
      </c>
      <c r="I736" s="6" t="s">
        <v>36</v>
      </c>
      <c r="J736" s="6" t="s">
        <v>37</v>
      </c>
      <c r="K736">
        <v>3</v>
      </c>
      <c r="M736" s="1" t="b">
        <f>Employee__2[[#This Row],[Experience]]&gt;1</f>
        <v>1</v>
      </c>
      <c r="N736" s="1" t="str">
        <f>IF(Employee__2[[#This Row],[City]]="Pune","Yes","No")</f>
        <v>No</v>
      </c>
      <c r="O736" s="1" t="str">
        <f>IF(AND(Employee__2[[#This Row],[Education]]="Bachelors",Employee__2[[#This Row],[City]]="Pune"),"Yes","No")</f>
        <v>No</v>
      </c>
      <c r="P736" s="1" t="str">
        <f>IF(OR(Employee__2[[#This Row],[Age]]&gt;=30,Employee__2[[#This Row],[Gender]]="Male"),"Mached","Not mached")</f>
        <v>Mached</v>
      </c>
    </row>
    <row r="737" spans="4:16" x14ac:dyDescent="0.25">
      <c r="D737" s="6" t="s">
        <v>41</v>
      </c>
      <c r="E737">
        <v>2016</v>
      </c>
      <c r="F737" s="6" t="s">
        <v>40</v>
      </c>
      <c r="G737">
        <v>3</v>
      </c>
      <c r="H737">
        <v>24</v>
      </c>
      <c r="I737" s="6" t="s">
        <v>36</v>
      </c>
      <c r="J737" s="6" t="s">
        <v>37</v>
      </c>
      <c r="K737">
        <v>2</v>
      </c>
      <c r="M737" s="1" t="b">
        <f>Employee__2[[#This Row],[Experience]]&gt;1</f>
        <v>1</v>
      </c>
      <c r="N737" s="1" t="str">
        <f>IF(Employee__2[[#This Row],[City]]="Pune","Yes","No")</f>
        <v>No</v>
      </c>
      <c r="O737" s="1" t="str">
        <f>IF(AND(Employee__2[[#This Row],[Education]]="Bachelors",Employee__2[[#This Row],[City]]="Pune"),"Yes","No")</f>
        <v>No</v>
      </c>
      <c r="P737" s="1" t="str">
        <f>IF(OR(Employee__2[[#This Row],[Age]]&gt;=30,Employee__2[[#This Row],[Gender]]="Male"),"Mached","Not mached")</f>
        <v>Mached</v>
      </c>
    </row>
    <row r="738" spans="4:16" x14ac:dyDescent="0.25">
      <c r="D738" s="6" t="s">
        <v>34</v>
      </c>
      <c r="E738">
        <v>2017</v>
      </c>
      <c r="F738" s="6" t="s">
        <v>40</v>
      </c>
      <c r="G738">
        <v>1</v>
      </c>
      <c r="H738">
        <v>25</v>
      </c>
      <c r="I738" s="6" t="s">
        <v>39</v>
      </c>
      <c r="J738" s="6" t="s">
        <v>37</v>
      </c>
      <c r="K738">
        <v>3</v>
      </c>
      <c r="M738" s="1" t="b">
        <f>Employee__2[[#This Row],[Experience]]&gt;1</f>
        <v>1</v>
      </c>
      <c r="N738" s="1" t="str">
        <f>IF(Employee__2[[#This Row],[City]]="Pune","Yes","No")</f>
        <v>No</v>
      </c>
      <c r="O738" s="1" t="str">
        <f>IF(AND(Employee__2[[#This Row],[Education]]="Bachelors",Employee__2[[#This Row],[City]]="Pune"),"Yes","No")</f>
        <v>No</v>
      </c>
      <c r="P738" s="1" t="str">
        <f>IF(OR(Employee__2[[#This Row],[Age]]&gt;=30,Employee__2[[#This Row],[Gender]]="Male"),"Mached","Not mached")</f>
        <v>Not mached</v>
      </c>
    </row>
    <row r="739" spans="4:16" x14ac:dyDescent="0.25">
      <c r="D739" s="6" t="s">
        <v>34</v>
      </c>
      <c r="E739">
        <v>2013</v>
      </c>
      <c r="F739" s="6" t="s">
        <v>35</v>
      </c>
      <c r="G739">
        <v>3</v>
      </c>
      <c r="H739">
        <v>28</v>
      </c>
      <c r="I739" s="6" t="s">
        <v>36</v>
      </c>
      <c r="J739" s="6" t="s">
        <v>37</v>
      </c>
      <c r="K739">
        <v>3</v>
      </c>
      <c r="M739" s="1" t="b">
        <f>Employee__2[[#This Row],[Experience]]&gt;1</f>
        <v>1</v>
      </c>
      <c r="N739" s="1" t="str">
        <f>IF(Employee__2[[#This Row],[City]]="Pune","Yes","No")</f>
        <v>No</v>
      </c>
      <c r="O739" s="1" t="str">
        <f>IF(AND(Employee__2[[#This Row],[Education]]="Bachelors",Employee__2[[#This Row],[City]]="Pune"),"Yes","No")</f>
        <v>No</v>
      </c>
      <c r="P739" s="1" t="str">
        <f>IF(OR(Employee__2[[#This Row],[Age]]&gt;=30,Employee__2[[#This Row],[Gender]]="Male"),"Mached","Not mached")</f>
        <v>Mached</v>
      </c>
    </row>
    <row r="740" spans="4:16" x14ac:dyDescent="0.25">
      <c r="D740" s="6" t="s">
        <v>34</v>
      </c>
      <c r="E740">
        <v>2018</v>
      </c>
      <c r="F740" s="6" t="s">
        <v>35</v>
      </c>
      <c r="G740">
        <v>3</v>
      </c>
      <c r="H740">
        <v>28</v>
      </c>
      <c r="I740" s="6" t="s">
        <v>36</v>
      </c>
      <c r="J740" s="6" t="s">
        <v>37</v>
      </c>
      <c r="K740">
        <v>1</v>
      </c>
      <c r="M740" s="1" t="b">
        <f>Employee__2[[#This Row],[Experience]]&gt;1</f>
        <v>0</v>
      </c>
      <c r="N740" s="1" t="str">
        <f>IF(Employee__2[[#This Row],[City]]="Pune","Yes","No")</f>
        <v>No</v>
      </c>
      <c r="O740" s="1" t="str">
        <f>IF(AND(Employee__2[[#This Row],[Education]]="Bachelors",Employee__2[[#This Row],[City]]="Pune"),"Yes","No")</f>
        <v>No</v>
      </c>
      <c r="P740" s="1" t="str">
        <f>IF(OR(Employee__2[[#This Row],[Age]]&gt;=30,Employee__2[[#This Row],[Gender]]="Male"),"Mached","Not mached")</f>
        <v>Mached</v>
      </c>
    </row>
    <row r="741" spans="4:16" x14ac:dyDescent="0.25">
      <c r="D741" s="6" t="s">
        <v>34</v>
      </c>
      <c r="E741">
        <v>2017</v>
      </c>
      <c r="F741" s="6" t="s">
        <v>35</v>
      </c>
      <c r="G741">
        <v>3</v>
      </c>
      <c r="H741">
        <v>24</v>
      </c>
      <c r="I741" s="6" t="s">
        <v>36</v>
      </c>
      <c r="J741" s="6" t="s">
        <v>37</v>
      </c>
      <c r="K741">
        <v>2</v>
      </c>
      <c r="M741" s="1" t="b">
        <f>Employee__2[[#This Row],[Experience]]&gt;1</f>
        <v>1</v>
      </c>
      <c r="N741" s="1" t="str">
        <f>IF(Employee__2[[#This Row],[City]]="Pune","Yes","No")</f>
        <v>No</v>
      </c>
      <c r="O741" s="1" t="str">
        <f>IF(AND(Employee__2[[#This Row],[Education]]="Bachelors",Employee__2[[#This Row],[City]]="Pune"),"Yes","No")</f>
        <v>No</v>
      </c>
      <c r="P741" s="1" t="str">
        <f>IF(OR(Employee__2[[#This Row],[Age]]&gt;=30,Employee__2[[#This Row],[Gender]]="Male"),"Mached","Not mached")</f>
        <v>Mached</v>
      </c>
    </row>
    <row r="742" spans="4:16" x14ac:dyDescent="0.25">
      <c r="D742" s="6" t="s">
        <v>41</v>
      </c>
      <c r="E742">
        <v>2014</v>
      </c>
      <c r="F742" s="6" t="s">
        <v>40</v>
      </c>
      <c r="G742">
        <v>3</v>
      </c>
      <c r="H742">
        <v>24</v>
      </c>
      <c r="I742" s="6" t="s">
        <v>36</v>
      </c>
      <c r="J742" s="6" t="s">
        <v>37</v>
      </c>
      <c r="K742">
        <v>2</v>
      </c>
      <c r="M742" s="1" t="b">
        <f>Employee__2[[#This Row],[Experience]]&gt;1</f>
        <v>1</v>
      </c>
      <c r="N742" s="1" t="str">
        <f>IF(Employee__2[[#This Row],[City]]="Pune","Yes","No")</f>
        <v>No</v>
      </c>
      <c r="O742" s="1" t="str">
        <f>IF(AND(Employee__2[[#This Row],[Education]]="Bachelors",Employee__2[[#This Row],[City]]="Pune"),"Yes","No")</f>
        <v>No</v>
      </c>
      <c r="P742" s="1" t="str">
        <f>IF(OR(Employee__2[[#This Row],[Age]]&gt;=30,Employee__2[[#This Row],[Gender]]="Male"),"Mached","Not mached")</f>
        <v>Mached</v>
      </c>
    </row>
    <row r="743" spans="4:16" x14ac:dyDescent="0.25">
      <c r="D743" s="6" t="s">
        <v>43</v>
      </c>
      <c r="E743">
        <v>2012</v>
      </c>
      <c r="F743" s="6" t="s">
        <v>40</v>
      </c>
      <c r="G743">
        <v>3</v>
      </c>
      <c r="H743">
        <v>24</v>
      </c>
      <c r="I743" s="6" t="s">
        <v>36</v>
      </c>
      <c r="J743" s="6" t="s">
        <v>37</v>
      </c>
      <c r="K743">
        <v>2</v>
      </c>
      <c r="M743" s="1" t="b">
        <f>Employee__2[[#This Row],[Experience]]&gt;1</f>
        <v>1</v>
      </c>
      <c r="N743" s="1" t="str">
        <f>IF(Employee__2[[#This Row],[City]]="Pune","Yes","No")</f>
        <v>No</v>
      </c>
      <c r="O743" s="1" t="str">
        <f>IF(AND(Employee__2[[#This Row],[Education]]="Bachelors",Employee__2[[#This Row],[City]]="Pune"),"Yes","No")</f>
        <v>No</v>
      </c>
      <c r="P743" s="1" t="str">
        <f>IF(OR(Employee__2[[#This Row],[Age]]&gt;=30,Employee__2[[#This Row],[Gender]]="Male"),"Mached","Not mached")</f>
        <v>Mached</v>
      </c>
    </row>
    <row r="744" spans="4:16" x14ac:dyDescent="0.25">
      <c r="D744" s="6" t="s">
        <v>34</v>
      </c>
      <c r="E744">
        <v>2017</v>
      </c>
      <c r="F744" s="6" t="s">
        <v>35</v>
      </c>
      <c r="G744">
        <v>3</v>
      </c>
      <c r="H744">
        <v>25</v>
      </c>
      <c r="I744" s="6" t="s">
        <v>39</v>
      </c>
      <c r="J744" s="6" t="s">
        <v>37</v>
      </c>
      <c r="K744">
        <v>3</v>
      </c>
      <c r="M744" s="1" t="b">
        <f>Employee__2[[#This Row],[Experience]]&gt;1</f>
        <v>1</v>
      </c>
      <c r="N744" s="1" t="str">
        <f>IF(Employee__2[[#This Row],[City]]="Pune","Yes","No")</f>
        <v>No</v>
      </c>
      <c r="O744" s="1" t="str">
        <f>IF(AND(Employee__2[[#This Row],[Education]]="Bachelors",Employee__2[[#This Row],[City]]="Pune"),"Yes","No")</f>
        <v>No</v>
      </c>
      <c r="P744" s="1" t="str">
        <f>IF(OR(Employee__2[[#This Row],[Age]]&gt;=30,Employee__2[[#This Row],[Gender]]="Male"),"Mached","Not mached")</f>
        <v>Not mached</v>
      </c>
    </row>
    <row r="745" spans="4:16" x14ac:dyDescent="0.25">
      <c r="D745" s="6" t="s">
        <v>41</v>
      </c>
      <c r="E745">
        <v>2014</v>
      </c>
      <c r="F745" s="6" t="s">
        <v>40</v>
      </c>
      <c r="G745">
        <v>3</v>
      </c>
      <c r="H745">
        <v>27</v>
      </c>
      <c r="I745" s="6" t="s">
        <v>36</v>
      </c>
      <c r="J745" s="6" t="s">
        <v>37</v>
      </c>
      <c r="K745">
        <v>5</v>
      </c>
      <c r="M745" s="1" t="b">
        <f>Employee__2[[#This Row],[Experience]]&gt;1</f>
        <v>1</v>
      </c>
      <c r="N745" s="1" t="str">
        <f>IF(Employee__2[[#This Row],[City]]="Pune","Yes","No")</f>
        <v>No</v>
      </c>
      <c r="O745" s="1" t="str">
        <f>IF(AND(Employee__2[[#This Row],[Education]]="Bachelors",Employee__2[[#This Row],[City]]="Pune"),"Yes","No")</f>
        <v>No</v>
      </c>
      <c r="P745" s="1" t="str">
        <f>IF(OR(Employee__2[[#This Row],[Age]]&gt;=30,Employee__2[[#This Row],[Gender]]="Male"),"Mached","Not mached")</f>
        <v>Mached</v>
      </c>
    </row>
    <row r="746" spans="4:16" x14ac:dyDescent="0.25">
      <c r="D746" s="6" t="s">
        <v>34</v>
      </c>
      <c r="E746">
        <v>2015</v>
      </c>
      <c r="F746" s="6" t="s">
        <v>35</v>
      </c>
      <c r="G746">
        <v>3</v>
      </c>
      <c r="H746">
        <v>27</v>
      </c>
      <c r="I746" s="6" t="s">
        <v>39</v>
      </c>
      <c r="J746" s="6" t="s">
        <v>37</v>
      </c>
      <c r="K746">
        <v>5</v>
      </c>
      <c r="M746" s="1" t="b">
        <f>Employee__2[[#This Row],[Experience]]&gt;1</f>
        <v>1</v>
      </c>
      <c r="N746" s="1" t="str">
        <f>IF(Employee__2[[#This Row],[City]]="Pune","Yes","No")</f>
        <v>No</v>
      </c>
      <c r="O746" s="1" t="str">
        <f>IF(AND(Employee__2[[#This Row],[Education]]="Bachelors",Employee__2[[#This Row],[City]]="Pune"),"Yes","No")</f>
        <v>No</v>
      </c>
      <c r="P746" s="1" t="str">
        <f>IF(OR(Employee__2[[#This Row],[Age]]&gt;=30,Employee__2[[#This Row],[Gender]]="Male"),"Mached","Not mached")</f>
        <v>Not mached</v>
      </c>
    </row>
    <row r="747" spans="4:16" x14ac:dyDescent="0.25">
      <c r="D747" s="6" t="s">
        <v>34</v>
      </c>
      <c r="E747">
        <v>2014</v>
      </c>
      <c r="F747" s="6" t="s">
        <v>38</v>
      </c>
      <c r="G747">
        <v>3</v>
      </c>
      <c r="H747">
        <v>25</v>
      </c>
      <c r="I747" s="6" t="s">
        <v>36</v>
      </c>
      <c r="J747" s="6" t="s">
        <v>37</v>
      </c>
      <c r="K747">
        <v>3</v>
      </c>
      <c r="M747" s="1" t="b">
        <f>Employee__2[[#This Row],[Experience]]&gt;1</f>
        <v>1</v>
      </c>
      <c r="N747" s="1" t="str">
        <f>IF(Employee__2[[#This Row],[City]]="Pune","Yes","No")</f>
        <v>Yes</v>
      </c>
      <c r="O747" s="1" t="str">
        <f>IF(AND(Employee__2[[#This Row],[Education]]="Bachelors",Employee__2[[#This Row],[City]]="Pune"),"Yes","No")</f>
        <v>Yes</v>
      </c>
      <c r="P747" s="1" t="str">
        <f>IF(OR(Employee__2[[#This Row],[Age]]&gt;=30,Employee__2[[#This Row],[Gender]]="Male"),"Mached","Not mached")</f>
        <v>Mached</v>
      </c>
    </row>
    <row r="748" spans="4:16" x14ac:dyDescent="0.25">
      <c r="D748" s="6" t="s">
        <v>34</v>
      </c>
      <c r="E748">
        <v>2012</v>
      </c>
      <c r="F748" s="6" t="s">
        <v>35</v>
      </c>
      <c r="G748">
        <v>3</v>
      </c>
      <c r="H748">
        <v>28</v>
      </c>
      <c r="I748" s="6" t="s">
        <v>36</v>
      </c>
      <c r="J748" s="6" t="s">
        <v>37</v>
      </c>
      <c r="K748">
        <v>3</v>
      </c>
      <c r="M748" s="1" t="b">
        <f>Employee__2[[#This Row],[Experience]]&gt;1</f>
        <v>1</v>
      </c>
      <c r="N748" s="1" t="str">
        <f>IF(Employee__2[[#This Row],[City]]="Pune","Yes","No")</f>
        <v>No</v>
      </c>
      <c r="O748" s="1" t="str">
        <f>IF(AND(Employee__2[[#This Row],[Education]]="Bachelors",Employee__2[[#This Row],[City]]="Pune"),"Yes","No")</f>
        <v>No</v>
      </c>
      <c r="P748" s="1" t="str">
        <f>IF(OR(Employee__2[[#This Row],[Age]]&gt;=30,Employee__2[[#This Row],[Gender]]="Male"),"Mached","Not mached")</f>
        <v>Mached</v>
      </c>
    </row>
    <row r="749" spans="4:16" x14ac:dyDescent="0.25">
      <c r="D749" s="6" t="s">
        <v>34</v>
      </c>
      <c r="E749">
        <v>2012</v>
      </c>
      <c r="F749" s="6" t="s">
        <v>35</v>
      </c>
      <c r="G749">
        <v>3</v>
      </c>
      <c r="H749">
        <v>25</v>
      </c>
      <c r="I749" s="6" t="s">
        <v>39</v>
      </c>
      <c r="J749" s="6" t="s">
        <v>37</v>
      </c>
      <c r="K749">
        <v>3</v>
      </c>
      <c r="M749" s="1" t="b">
        <f>Employee__2[[#This Row],[Experience]]&gt;1</f>
        <v>1</v>
      </c>
      <c r="N749" s="1" t="str">
        <f>IF(Employee__2[[#This Row],[City]]="Pune","Yes","No")</f>
        <v>No</v>
      </c>
      <c r="O749" s="1" t="str">
        <f>IF(AND(Employee__2[[#This Row],[Education]]="Bachelors",Employee__2[[#This Row],[City]]="Pune"),"Yes","No")</f>
        <v>No</v>
      </c>
      <c r="P749" s="1" t="str">
        <f>IF(OR(Employee__2[[#This Row],[Age]]&gt;=30,Employee__2[[#This Row],[Gender]]="Male"),"Mached","Not mached")</f>
        <v>Not mached</v>
      </c>
    </row>
    <row r="750" spans="4:16" x14ac:dyDescent="0.25">
      <c r="D750" s="6" t="s">
        <v>34</v>
      </c>
      <c r="E750">
        <v>2015</v>
      </c>
      <c r="F750" s="6" t="s">
        <v>35</v>
      </c>
      <c r="G750">
        <v>3</v>
      </c>
      <c r="H750">
        <v>24</v>
      </c>
      <c r="I750" s="6" t="s">
        <v>39</v>
      </c>
      <c r="J750" s="6" t="s">
        <v>37</v>
      </c>
      <c r="K750">
        <v>2</v>
      </c>
      <c r="M750" s="1" t="b">
        <f>Employee__2[[#This Row],[Experience]]&gt;1</f>
        <v>1</v>
      </c>
      <c r="N750" s="1" t="str">
        <f>IF(Employee__2[[#This Row],[City]]="Pune","Yes","No")</f>
        <v>No</v>
      </c>
      <c r="O750" s="1" t="str">
        <f>IF(AND(Employee__2[[#This Row],[Education]]="Bachelors",Employee__2[[#This Row],[City]]="Pune"),"Yes","No")</f>
        <v>No</v>
      </c>
      <c r="P750" s="1" t="str">
        <f>IF(OR(Employee__2[[#This Row],[Age]]&gt;=30,Employee__2[[#This Row],[Gender]]="Male"),"Mached","Not mached")</f>
        <v>Not mached</v>
      </c>
    </row>
    <row r="751" spans="4:16" x14ac:dyDescent="0.25">
      <c r="D751" s="6" t="s">
        <v>34</v>
      </c>
      <c r="E751">
        <v>2013</v>
      </c>
      <c r="F751" s="6" t="s">
        <v>38</v>
      </c>
      <c r="G751">
        <v>3</v>
      </c>
      <c r="H751">
        <v>27</v>
      </c>
      <c r="I751" s="6" t="s">
        <v>36</v>
      </c>
      <c r="J751" s="6" t="s">
        <v>37</v>
      </c>
      <c r="K751">
        <v>5</v>
      </c>
      <c r="M751" s="1" t="b">
        <f>Employee__2[[#This Row],[Experience]]&gt;1</f>
        <v>1</v>
      </c>
      <c r="N751" s="1" t="str">
        <f>IF(Employee__2[[#This Row],[City]]="Pune","Yes","No")</f>
        <v>Yes</v>
      </c>
      <c r="O751" s="1" t="str">
        <f>IF(AND(Employee__2[[#This Row],[Education]]="Bachelors",Employee__2[[#This Row],[City]]="Pune"),"Yes","No")</f>
        <v>Yes</v>
      </c>
      <c r="P751" s="1" t="str">
        <f>IF(OR(Employee__2[[#This Row],[Age]]&gt;=30,Employee__2[[#This Row],[Gender]]="Male"),"Mached","Not mached")</f>
        <v>Mached</v>
      </c>
    </row>
    <row r="752" spans="4:16" x14ac:dyDescent="0.25">
      <c r="D752" s="6" t="s">
        <v>34</v>
      </c>
      <c r="E752">
        <v>2013</v>
      </c>
      <c r="F752" s="6" t="s">
        <v>35</v>
      </c>
      <c r="G752">
        <v>3</v>
      </c>
      <c r="H752">
        <v>26</v>
      </c>
      <c r="I752" s="6" t="s">
        <v>39</v>
      </c>
      <c r="J752" s="6" t="s">
        <v>37</v>
      </c>
      <c r="K752">
        <v>4</v>
      </c>
      <c r="M752" s="1" t="b">
        <f>Employee__2[[#This Row],[Experience]]&gt;1</f>
        <v>1</v>
      </c>
      <c r="N752" s="1" t="str">
        <f>IF(Employee__2[[#This Row],[City]]="Pune","Yes","No")</f>
        <v>No</v>
      </c>
      <c r="O752" s="1" t="str">
        <f>IF(AND(Employee__2[[#This Row],[Education]]="Bachelors",Employee__2[[#This Row],[City]]="Pune"),"Yes","No")</f>
        <v>No</v>
      </c>
      <c r="P752" s="1" t="str">
        <f>IF(OR(Employee__2[[#This Row],[Age]]&gt;=30,Employee__2[[#This Row],[Gender]]="Male"),"Mached","Not mached")</f>
        <v>Not mached</v>
      </c>
    </row>
    <row r="753" spans="4:16" x14ac:dyDescent="0.25">
      <c r="D753" s="6" t="s">
        <v>34</v>
      </c>
      <c r="E753">
        <v>2012</v>
      </c>
      <c r="F753" s="6" t="s">
        <v>38</v>
      </c>
      <c r="G753">
        <v>2</v>
      </c>
      <c r="H753">
        <v>26</v>
      </c>
      <c r="I753" s="6" t="s">
        <v>36</v>
      </c>
      <c r="J753" s="6" t="s">
        <v>37</v>
      </c>
      <c r="K753">
        <v>4</v>
      </c>
      <c r="M753" s="1" t="b">
        <f>Employee__2[[#This Row],[Experience]]&gt;1</f>
        <v>1</v>
      </c>
      <c r="N753" s="1" t="str">
        <f>IF(Employee__2[[#This Row],[City]]="Pune","Yes","No")</f>
        <v>Yes</v>
      </c>
      <c r="O753" s="1" t="str">
        <f>IF(AND(Employee__2[[#This Row],[Education]]="Bachelors",Employee__2[[#This Row],[City]]="Pune"),"Yes","No")</f>
        <v>Yes</v>
      </c>
      <c r="P753" s="1" t="str">
        <f>IF(OR(Employee__2[[#This Row],[Age]]&gt;=30,Employee__2[[#This Row],[Gender]]="Male"),"Mached","Not mached")</f>
        <v>Mached</v>
      </c>
    </row>
    <row r="754" spans="4:16" x14ac:dyDescent="0.25">
      <c r="D754" s="6" t="s">
        <v>41</v>
      </c>
      <c r="E754">
        <v>2017</v>
      </c>
      <c r="F754" s="6" t="s">
        <v>35</v>
      </c>
      <c r="G754">
        <v>3</v>
      </c>
      <c r="H754">
        <v>28</v>
      </c>
      <c r="I754" s="6" t="s">
        <v>39</v>
      </c>
      <c r="J754" s="6" t="s">
        <v>37</v>
      </c>
      <c r="K754">
        <v>3</v>
      </c>
      <c r="M754" s="1" t="b">
        <f>Employee__2[[#This Row],[Experience]]&gt;1</f>
        <v>1</v>
      </c>
      <c r="N754" s="1" t="str">
        <f>IF(Employee__2[[#This Row],[City]]="Pune","Yes","No")</f>
        <v>No</v>
      </c>
      <c r="O754" s="1" t="str">
        <f>IF(AND(Employee__2[[#This Row],[Education]]="Bachelors",Employee__2[[#This Row],[City]]="Pune"),"Yes","No")</f>
        <v>No</v>
      </c>
      <c r="P754" s="1" t="str">
        <f>IF(OR(Employee__2[[#This Row],[Age]]&gt;=30,Employee__2[[#This Row],[Gender]]="Male"),"Mached","Not mached")</f>
        <v>Not mached</v>
      </c>
    </row>
    <row r="755" spans="4:16" x14ac:dyDescent="0.25">
      <c r="D755" s="6" t="s">
        <v>34</v>
      </c>
      <c r="E755">
        <v>2015</v>
      </c>
      <c r="F755" s="6" t="s">
        <v>35</v>
      </c>
      <c r="G755">
        <v>3</v>
      </c>
      <c r="H755">
        <v>25</v>
      </c>
      <c r="I755" s="6" t="s">
        <v>36</v>
      </c>
      <c r="J755" s="6" t="s">
        <v>37</v>
      </c>
      <c r="K755">
        <v>3</v>
      </c>
      <c r="M755" s="1" t="b">
        <f>Employee__2[[#This Row],[Experience]]&gt;1</f>
        <v>1</v>
      </c>
      <c r="N755" s="1" t="str">
        <f>IF(Employee__2[[#This Row],[City]]="Pune","Yes","No")</f>
        <v>No</v>
      </c>
      <c r="O755" s="1" t="str">
        <f>IF(AND(Employee__2[[#This Row],[Education]]="Bachelors",Employee__2[[#This Row],[City]]="Pune"),"Yes","No")</f>
        <v>No</v>
      </c>
      <c r="P755" s="1" t="str">
        <f>IF(OR(Employee__2[[#This Row],[Age]]&gt;=30,Employee__2[[#This Row],[Gender]]="Male"),"Mached","Not mached")</f>
        <v>Mached</v>
      </c>
    </row>
    <row r="756" spans="4:16" x14ac:dyDescent="0.25">
      <c r="D756" s="6" t="s">
        <v>34</v>
      </c>
      <c r="E756">
        <v>2012</v>
      </c>
      <c r="F756" s="6" t="s">
        <v>35</v>
      </c>
      <c r="G756">
        <v>3</v>
      </c>
      <c r="H756">
        <v>28</v>
      </c>
      <c r="I756" s="6" t="s">
        <v>39</v>
      </c>
      <c r="J756" s="6" t="s">
        <v>37</v>
      </c>
      <c r="K756">
        <v>2</v>
      </c>
      <c r="M756" s="1" t="b">
        <f>Employee__2[[#This Row],[Experience]]&gt;1</f>
        <v>1</v>
      </c>
      <c r="N756" s="1" t="str">
        <f>IF(Employee__2[[#This Row],[City]]="Pune","Yes","No")</f>
        <v>No</v>
      </c>
      <c r="O756" s="1" t="str">
        <f>IF(AND(Employee__2[[#This Row],[Education]]="Bachelors",Employee__2[[#This Row],[City]]="Pune"),"Yes","No")</f>
        <v>No</v>
      </c>
      <c r="P756" s="1" t="str">
        <f>IF(OR(Employee__2[[#This Row],[Age]]&gt;=30,Employee__2[[#This Row],[Gender]]="Male"),"Mached","Not mached")</f>
        <v>Not mached</v>
      </c>
    </row>
    <row r="757" spans="4:16" x14ac:dyDescent="0.25">
      <c r="D757" s="6" t="s">
        <v>34</v>
      </c>
      <c r="E757">
        <v>2017</v>
      </c>
      <c r="F757" s="6" t="s">
        <v>38</v>
      </c>
      <c r="G757">
        <v>2</v>
      </c>
      <c r="H757">
        <v>26</v>
      </c>
      <c r="I757" s="6" t="s">
        <v>39</v>
      </c>
      <c r="J757" s="6" t="s">
        <v>37</v>
      </c>
      <c r="K757">
        <v>4</v>
      </c>
      <c r="M757" s="1" t="b">
        <f>Employee__2[[#This Row],[Experience]]&gt;1</f>
        <v>1</v>
      </c>
      <c r="N757" s="1" t="str">
        <f>IF(Employee__2[[#This Row],[City]]="Pune","Yes","No")</f>
        <v>Yes</v>
      </c>
      <c r="O757" s="1" t="str">
        <f>IF(AND(Employee__2[[#This Row],[Education]]="Bachelors",Employee__2[[#This Row],[City]]="Pune"),"Yes","No")</f>
        <v>Yes</v>
      </c>
      <c r="P757" s="1" t="str">
        <f>IF(OR(Employee__2[[#This Row],[Age]]&gt;=30,Employee__2[[#This Row],[Gender]]="Male"),"Mached","Not mached")</f>
        <v>Not mached</v>
      </c>
    </row>
    <row r="758" spans="4:16" x14ac:dyDescent="0.25">
      <c r="D758" s="6" t="s">
        <v>34</v>
      </c>
      <c r="E758">
        <v>2012</v>
      </c>
      <c r="F758" s="6" t="s">
        <v>35</v>
      </c>
      <c r="G758">
        <v>3</v>
      </c>
      <c r="H758">
        <v>27</v>
      </c>
      <c r="I758" s="6" t="s">
        <v>39</v>
      </c>
      <c r="J758" s="6" t="s">
        <v>37</v>
      </c>
      <c r="K758">
        <v>5</v>
      </c>
      <c r="M758" s="1" t="b">
        <f>Employee__2[[#This Row],[Experience]]&gt;1</f>
        <v>1</v>
      </c>
      <c r="N758" s="1" t="str">
        <f>IF(Employee__2[[#This Row],[City]]="Pune","Yes","No")</f>
        <v>No</v>
      </c>
      <c r="O758" s="1" t="str">
        <f>IF(AND(Employee__2[[#This Row],[Education]]="Bachelors",Employee__2[[#This Row],[City]]="Pune"),"Yes","No")</f>
        <v>No</v>
      </c>
      <c r="P758" s="1" t="str">
        <f>IF(OR(Employee__2[[#This Row],[Age]]&gt;=30,Employee__2[[#This Row],[Gender]]="Male"),"Mached","Not mached")</f>
        <v>Not mached</v>
      </c>
    </row>
    <row r="759" spans="4:16" x14ac:dyDescent="0.25">
      <c r="D759" s="6" t="s">
        <v>41</v>
      </c>
      <c r="E759">
        <v>2016</v>
      </c>
      <c r="F759" s="6" t="s">
        <v>40</v>
      </c>
      <c r="G759">
        <v>3</v>
      </c>
      <c r="H759">
        <v>28</v>
      </c>
      <c r="I759" s="6" t="s">
        <v>36</v>
      </c>
      <c r="J759" s="6" t="s">
        <v>37</v>
      </c>
      <c r="K759">
        <v>1</v>
      </c>
      <c r="M759" s="1" t="b">
        <f>Employee__2[[#This Row],[Experience]]&gt;1</f>
        <v>0</v>
      </c>
      <c r="N759" s="1" t="str">
        <f>IF(Employee__2[[#This Row],[City]]="Pune","Yes","No")</f>
        <v>No</v>
      </c>
      <c r="O759" s="1" t="str">
        <f>IF(AND(Employee__2[[#This Row],[Education]]="Bachelors",Employee__2[[#This Row],[City]]="Pune"),"Yes","No")</f>
        <v>No</v>
      </c>
      <c r="P759" s="1" t="str">
        <f>IF(OR(Employee__2[[#This Row],[Age]]&gt;=30,Employee__2[[#This Row],[Gender]]="Male"),"Mached","Not mached")</f>
        <v>Mached</v>
      </c>
    </row>
    <row r="760" spans="4:16" x14ac:dyDescent="0.25">
      <c r="D760" s="6" t="s">
        <v>34</v>
      </c>
      <c r="E760">
        <v>2015</v>
      </c>
      <c r="F760" s="6" t="s">
        <v>38</v>
      </c>
      <c r="G760">
        <v>2</v>
      </c>
      <c r="H760">
        <v>28</v>
      </c>
      <c r="I760" s="6" t="s">
        <v>39</v>
      </c>
      <c r="J760" s="6" t="s">
        <v>37</v>
      </c>
      <c r="K760">
        <v>1</v>
      </c>
      <c r="M760" s="1" t="b">
        <f>Employee__2[[#This Row],[Experience]]&gt;1</f>
        <v>0</v>
      </c>
      <c r="N760" s="1" t="str">
        <f>IF(Employee__2[[#This Row],[City]]="Pune","Yes","No")</f>
        <v>Yes</v>
      </c>
      <c r="O760" s="1" t="str">
        <f>IF(AND(Employee__2[[#This Row],[Education]]="Bachelors",Employee__2[[#This Row],[City]]="Pune"),"Yes","No")</f>
        <v>Yes</v>
      </c>
      <c r="P760" s="1" t="str">
        <f>IF(OR(Employee__2[[#This Row],[Age]]&gt;=30,Employee__2[[#This Row],[Gender]]="Male"),"Mached","Not mached")</f>
        <v>Not mached</v>
      </c>
    </row>
    <row r="761" spans="4:16" x14ac:dyDescent="0.25">
      <c r="D761" s="6" t="s">
        <v>41</v>
      </c>
      <c r="E761">
        <v>2017</v>
      </c>
      <c r="F761" s="6" t="s">
        <v>38</v>
      </c>
      <c r="G761">
        <v>3</v>
      </c>
      <c r="H761">
        <v>24</v>
      </c>
      <c r="I761" s="6" t="s">
        <v>36</v>
      </c>
      <c r="J761" s="6" t="s">
        <v>37</v>
      </c>
      <c r="K761">
        <v>2</v>
      </c>
      <c r="M761" s="1" t="b">
        <f>Employee__2[[#This Row],[Experience]]&gt;1</f>
        <v>1</v>
      </c>
      <c r="N761" s="1" t="str">
        <f>IF(Employee__2[[#This Row],[City]]="Pune","Yes","No")</f>
        <v>Yes</v>
      </c>
      <c r="O761" s="1" t="str">
        <f>IF(AND(Employee__2[[#This Row],[Education]]="Bachelors",Employee__2[[#This Row],[City]]="Pune"),"Yes","No")</f>
        <v>No</v>
      </c>
      <c r="P761" s="1" t="str">
        <f>IF(OR(Employee__2[[#This Row],[Age]]&gt;=30,Employee__2[[#This Row],[Gender]]="Male"),"Mached","Not mached")</f>
        <v>Mached</v>
      </c>
    </row>
    <row r="762" spans="4:16" x14ac:dyDescent="0.25">
      <c r="D762" s="6" t="s">
        <v>34</v>
      </c>
      <c r="E762">
        <v>2015</v>
      </c>
      <c r="F762" s="6" t="s">
        <v>38</v>
      </c>
      <c r="G762">
        <v>2</v>
      </c>
      <c r="H762">
        <v>25</v>
      </c>
      <c r="I762" s="6" t="s">
        <v>39</v>
      </c>
      <c r="J762" s="6" t="s">
        <v>37</v>
      </c>
      <c r="K762">
        <v>3</v>
      </c>
      <c r="M762" s="1" t="b">
        <f>Employee__2[[#This Row],[Experience]]&gt;1</f>
        <v>1</v>
      </c>
      <c r="N762" s="1" t="str">
        <f>IF(Employee__2[[#This Row],[City]]="Pune","Yes","No")</f>
        <v>Yes</v>
      </c>
      <c r="O762" s="1" t="str">
        <f>IF(AND(Employee__2[[#This Row],[Education]]="Bachelors",Employee__2[[#This Row],[City]]="Pune"),"Yes","No")</f>
        <v>Yes</v>
      </c>
      <c r="P762" s="1" t="str">
        <f>IF(OR(Employee__2[[#This Row],[Age]]&gt;=30,Employee__2[[#This Row],[Gender]]="Male"),"Mached","Not mached")</f>
        <v>Not mached</v>
      </c>
    </row>
    <row r="763" spans="4:16" x14ac:dyDescent="0.25">
      <c r="D763" s="6" t="s">
        <v>34</v>
      </c>
      <c r="E763">
        <v>2014</v>
      </c>
      <c r="F763" s="6" t="s">
        <v>35</v>
      </c>
      <c r="G763">
        <v>3</v>
      </c>
      <c r="H763">
        <v>24</v>
      </c>
      <c r="I763" s="6" t="s">
        <v>36</v>
      </c>
      <c r="J763" s="6" t="s">
        <v>37</v>
      </c>
      <c r="K763">
        <v>2</v>
      </c>
      <c r="M763" s="1" t="b">
        <f>Employee__2[[#This Row],[Experience]]&gt;1</f>
        <v>1</v>
      </c>
      <c r="N763" s="1" t="str">
        <f>IF(Employee__2[[#This Row],[City]]="Pune","Yes","No")</f>
        <v>No</v>
      </c>
      <c r="O763" s="1" t="str">
        <f>IF(AND(Employee__2[[#This Row],[Education]]="Bachelors",Employee__2[[#This Row],[City]]="Pune"),"Yes","No")</f>
        <v>No</v>
      </c>
      <c r="P763" s="1" t="str">
        <f>IF(OR(Employee__2[[#This Row],[Age]]&gt;=30,Employee__2[[#This Row],[Gender]]="Male"),"Mached","Not mached")</f>
        <v>Mached</v>
      </c>
    </row>
    <row r="764" spans="4:16" x14ac:dyDescent="0.25">
      <c r="D764" s="6" t="s">
        <v>34</v>
      </c>
      <c r="E764">
        <v>2016</v>
      </c>
      <c r="F764" s="6" t="s">
        <v>35</v>
      </c>
      <c r="G764">
        <v>3</v>
      </c>
      <c r="H764">
        <v>28</v>
      </c>
      <c r="I764" s="6" t="s">
        <v>36</v>
      </c>
      <c r="J764" s="6" t="s">
        <v>37</v>
      </c>
      <c r="K764">
        <v>3</v>
      </c>
      <c r="M764" s="1" t="b">
        <f>Employee__2[[#This Row],[Experience]]&gt;1</f>
        <v>1</v>
      </c>
      <c r="N764" s="1" t="str">
        <f>IF(Employee__2[[#This Row],[City]]="Pune","Yes","No")</f>
        <v>No</v>
      </c>
      <c r="O764" s="1" t="str">
        <f>IF(AND(Employee__2[[#This Row],[Education]]="Bachelors",Employee__2[[#This Row],[City]]="Pune"),"Yes","No")</f>
        <v>No</v>
      </c>
      <c r="P764" s="1" t="str">
        <f>IF(OR(Employee__2[[#This Row],[Age]]&gt;=30,Employee__2[[#This Row],[Gender]]="Male"),"Mached","Not mached")</f>
        <v>Mached</v>
      </c>
    </row>
    <row r="765" spans="4:16" x14ac:dyDescent="0.25">
      <c r="D765" s="6" t="s">
        <v>34</v>
      </c>
      <c r="E765">
        <v>2016</v>
      </c>
      <c r="F765" s="6" t="s">
        <v>40</v>
      </c>
      <c r="G765">
        <v>3</v>
      </c>
      <c r="H765">
        <v>25</v>
      </c>
      <c r="I765" s="6" t="s">
        <v>39</v>
      </c>
      <c r="J765" s="6" t="s">
        <v>42</v>
      </c>
      <c r="K765">
        <v>3</v>
      </c>
      <c r="M765" s="1" t="b">
        <f>Employee__2[[#This Row],[Experience]]&gt;1</f>
        <v>1</v>
      </c>
      <c r="N765" s="1" t="str">
        <f>IF(Employee__2[[#This Row],[City]]="Pune","Yes","No")</f>
        <v>No</v>
      </c>
      <c r="O765" s="1" t="str">
        <f>IF(AND(Employee__2[[#This Row],[Education]]="Bachelors",Employee__2[[#This Row],[City]]="Pune"),"Yes","No")</f>
        <v>No</v>
      </c>
      <c r="P765" s="1" t="str">
        <f>IF(OR(Employee__2[[#This Row],[Age]]&gt;=30,Employee__2[[#This Row],[Gender]]="Male"),"Mached","Not mached")</f>
        <v>Not mached</v>
      </c>
    </row>
    <row r="766" spans="4:16" x14ac:dyDescent="0.25">
      <c r="D766" s="6" t="s">
        <v>41</v>
      </c>
      <c r="E766">
        <v>2015</v>
      </c>
      <c r="F766" s="6" t="s">
        <v>40</v>
      </c>
      <c r="G766">
        <v>3</v>
      </c>
      <c r="H766">
        <v>26</v>
      </c>
      <c r="I766" s="6" t="s">
        <v>36</v>
      </c>
      <c r="J766" s="6" t="s">
        <v>37</v>
      </c>
      <c r="K766">
        <v>4</v>
      </c>
      <c r="M766" s="1" t="b">
        <f>Employee__2[[#This Row],[Experience]]&gt;1</f>
        <v>1</v>
      </c>
      <c r="N766" s="1" t="str">
        <f>IF(Employee__2[[#This Row],[City]]="Pune","Yes","No")</f>
        <v>No</v>
      </c>
      <c r="O766" s="1" t="str">
        <f>IF(AND(Employee__2[[#This Row],[Education]]="Bachelors",Employee__2[[#This Row],[City]]="Pune"),"Yes","No")</f>
        <v>No</v>
      </c>
      <c r="P766" s="1" t="str">
        <f>IF(OR(Employee__2[[#This Row],[Age]]&gt;=30,Employee__2[[#This Row],[Gender]]="Male"),"Mached","Not mached")</f>
        <v>Mached</v>
      </c>
    </row>
    <row r="767" spans="4:16" x14ac:dyDescent="0.25">
      <c r="D767" s="6" t="s">
        <v>41</v>
      </c>
      <c r="E767">
        <v>2015</v>
      </c>
      <c r="F767" s="6" t="s">
        <v>40</v>
      </c>
      <c r="G767">
        <v>3</v>
      </c>
      <c r="H767">
        <v>28</v>
      </c>
      <c r="I767" s="6" t="s">
        <v>39</v>
      </c>
      <c r="J767" s="6" t="s">
        <v>37</v>
      </c>
      <c r="K767">
        <v>3</v>
      </c>
      <c r="M767" s="1" t="b">
        <f>Employee__2[[#This Row],[Experience]]&gt;1</f>
        <v>1</v>
      </c>
      <c r="N767" s="1" t="str">
        <f>IF(Employee__2[[#This Row],[City]]="Pune","Yes","No")</f>
        <v>No</v>
      </c>
      <c r="O767" s="1" t="str">
        <f>IF(AND(Employee__2[[#This Row],[Education]]="Bachelors",Employee__2[[#This Row],[City]]="Pune"),"Yes","No")</f>
        <v>No</v>
      </c>
      <c r="P767" s="1" t="str">
        <f>IF(OR(Employee__2[[#This Row],[Age]]&gt;=30,Employee__2[[#This Row],[Gender]]="Male"),"Mached","Not mached")</f>
        <v>Not mached</v>
      </c>
    </row>
    <row r="768" spans="4:16" x14ac:dyDescent="0.25">
      <c r="D768" s="6" t="s">
        <v>34</v>
      </c>
      <c r="E768">
        <v>2013</v>
      </c>
      <c r="F768" s="6" t="s">
        <v>40</v>
      </c>
      <c r="G768">
        <v>1</v>
      </c>
      <c r="H768">
        <v>24</v>
      </c>
      <c r="I768" s="6" t="s">
        <v>39</v>
      </c>
      <c r="J768" s="6" t="s">
        <v>37</v>
      </c>
      <c r="K768">
        <v>2</v>
      </c>
      <c r="M768" s="1" t="b">
        <f>Employee__2[[#This Row],[Experience]]&gt;1</f>
        <v>1</v>
      </c>
      <c r="N768" s="1" t="str">
        <f>IF(Employee__2[[#This Row],[City]]="Pune","Yes","No")</f>
        <v>No</v>
      </c>
      <c r="O768" s="1" t="str">
        <f>IF(AND(Employee__2[[#This Row],[Education]]="Bachelors",Employee__2[[#This Row],[City]]="Pune"),"Yes","No")</f>
        <v>No</v>
      </c>
      <c r="P768" s="1" t="str">
        <f>IF(OR(Employee__2[[#This Row],[Age]]&gt;=30,Employee__2[[#This Row],[Gender]]="Male"),"Mached","Not mached")</f>
        <v>Not mached</v>
      </c>
    </row>
    <row r="769" spans="4:16" x14ac:dyDescent="0.25">
      <c r="D769" s="6" t="s">
        <v>34</v>
      </c>
      <c r="E769">
        <v>2014</v>
      </c>
      <c r="F769" s="6" t="s">
        <v>35</v>
      </c>
      <c r="G769">
        <v>3</v>
      </c>
      <c r="H769">
        <v>24</v>
      </c>
      <c r="I769" s="6" t="s">
        <v>36</v>
      </c>
      <c r="J769" s="6" t="s">
        <v>37</v>
      </c>
      <c r="K769">
        <v>2</v>
      </c>
      <c r="M769" s="1" t="b">
        <f>Employee__2[[#This Row],[Experience]]&gt;1</f>
        <v>1</v>
      </c>
      <c r="N769" s="1" t="str">
        <f>IF(Employee__2[[#This Row],[City]]="Pune","Yes","No")</f>
        <v>No</v>
      </c>
      <c r="O769" s="1" t="str">
        <f>IF(AND(Employee__2[[#This Row],[Education]]="Bachelors",Employee__2[[#This Row],[City]]="Pune"),"Yes","No")</f>
        <v>No</v>
      </c>
      <c r="P769" s="1" t="str">
        <f>IF(OR(Employee__2[[#This Row],[Age]]&gt;=30,Employee__2[[#This Row],[Gender]]="Male"),"Mached","Not mached")</f>
        <v>Mached</v>
      </c>
    </row>
    <row r="770" spans="4:16" x14ac:dyDescent="0.25">
      <c r="D770" s="6" t="s">
        <v>34</v>
      </c>
      <c r="E770">
        <v>2018</v>
      </c>
      <c r="F770" s="6" t="s">
        <v>35</v>
      </c>
      <c r="G770">
        <v>3</v>
      </c>
      <c r="H770">
        <v>26</v>
      </c>
      <c r="I770" s="6" t="s">
        <v>36</v>
      </c>
      <c r="J770" s="6" t="s">
        <v>37</v>
      </c>
      <c r="K770">
        <v>4</v>
      </c>
      <c r="M770" s="1" t="b">
        <f>Employee__2[[#This Row],[Experience]]&gt;1</f>
        <v>1</v>
      </c>
      <c r="N770" s="1" t="str">
        <f>IF(Employee__2[[#This Row],[City]]="Pune","Yes","No")</f>
        <v>No</v>
      </c>
      <c r="O770" s="1" t="str">
        <f>IF(AND(Employee__2[[#This Row],[Education]]="Bachelors",Employee__2[[#This Row],[City]]="Pune"),"Yes","No")</f>
        <v>No</v>
      </c>
      <c r="P770" s="1" t="str">
        <f>IF(OR(Employee__2[[#This Row],[Age]]&gt;=30,Employee__2[[#This Row],[Gender]]="Male"),"Mached","Not mached")</f>
        <v>Mached</v>
      </c>
    </row>
    <row r="771" spans="4:16" x14ac:dyDescent="0.25">
      <c r="D771" s="6" t="s">
        <v>34</v>
      </c>
      <c r="E771">
        <v>2013</v>
      </c>
      <c r="F771" s="6" t="s">
        <v>35</v>
      </c>
      <c r="G771">
        <v>3</v>
      </c>
      <c r="H771">
        <v>26</v>
      </c>
      <c r="I771" s="6" t="s">
        <v>36</v>
      </c>
      <c r="J771" s="6" t="s">
        <v>37</v>
      </c>
      <c r="K771">
        <v>4</v>
      </c>
      <c r="M771" s="1" t="b">
        <f>Employee__2[[#This Row],[Experience]]&gt;1</f>
        <v>1</v>
      </c>
      <c r="N771" s="1" t="str">
        <f>IF(Employee__2[[#This Row],[City]]="Pune","Yes","No")</f>
        <v>No</v>
      </c>
      <c r="O771" s="1" t="str">
        <f>IF(AND(Employee__2[[#This Row],[Education]]="Bachelors",Employee__2[[#This Row],[City]]="Pune"),"Yes","No")</f>
        <v>No</v>
      </c>
      <c r="P771" s="1" t="str">
        <f>IF(OR(Employee__2[[#This Row],[Age]]&gt;=30,Employee__2[[#This Row],[Gender]]="Male"),"Mached","Not mached")</f>
        <v>Mached</v>
      </c>
    </row>
    <row r="772" spans="4:16" x14ac:dyDescent="0.25">
      <c r="D772" s="6" t="s">
        <v>34</v>
      </c>
      <c r="E772">
        <v>2015</v>
      </c>
      <c r="F772" s="6" t="s">
        <v>40</v>
      </c>
      <c r="G772">
        <v>3</v>
      </c>
      <c r="H772">
        <v>25</v>
      </c>
      <c r="I772" s="6" t="s">
        <v>39</v>
      </c>
      <c r="J772" s="6" t="s">
        <v>37</v>
      </c>
      <c r="K772">
        <v>3</v>
      </c>
      <c r="M772" s="1" t="b">
        <f>Employee__2[[#This Row],[Experience]]&gt;1</f>
        <v>1</v>
      </c>
      <c r="N772" s="1" t="str">
        <f>IF(Employee__2[[#This Row],[City]]="Pune","Yes","No")</f>
        <v>No</v>
      </c>
      <c r="O772" s="1" t="str">
        <f>IF(AND(Employee__2[[#This Row],[Education]]="Bachelors",Employee__2[[#This Row],[City]]="Pune"),"Yes","No")</f>
        <v>No</v>
      </c>
      <c r="P772" s="1" t="str">
        <f>IF(OR(Employee__2[[#This Row],[Age]]&gt;=30,Employee__2[[#This Row],[Gender]]="Male"),"Mached","Not mached")</f>
        <v>Not mached</v>
      </c>
    </row>
    <row r="773" spans="4:16" x14ac:dyDescent="0.25">
      <c r="D773" s="6" t="s">
        <v>34</v>
      </c>
      <c r="E773">
        <v>2017</v>
      </c>
      <c r="F773" s="6" t="s">
        <v>40</v>
      </c>
      <c r="G773">
        <v>3</v>
      </c>
      <c r="H773">
        <v>28</v>
      </c>
      <c r="I773" s="6" t="s">
        <v>36</v>
      </c>
      <c r="J773" s="6" t="s">
        <v>37</v>
      </c>
      <c r="K773">
        <v>2</v>
      </c>
      <c r="M773" s="1" t="b">
        <f>Employee__2[[#This Row],[Experience]]&gt;1</f>
        <v>1</v>
      </c>
      <c r="N773" s="1" t="str">
        <f>IF(Employee__2[[#This Row],[City]]="Pune","Yes","No")</f>
        <v>No</v>
      </c>
      <c r="O773" s="1" t="str">
        <f>IF(AND(Employee__2[[#This Row],[Education]]="Bachelors",Employee__2[[#This Row],[City]]="Pune"),"Yes","No")</f>
        <v>No</v>
      </c>
      <c r="P773" s="1" t="str">
        <f>IF(OR(Employee__2[[#This Row],[Age]]&gt;=30,Employee__2[[#This Row],[Gender]]="Male"),"Mached","Not mached")</f>
        <v>Mached</v>
      </c>
    </row>
    <row r="774" spans="4:16" x14ac:dyDescent="0.25">
      <c r="D774" s="6" t="s">
        <v>34</v>
      </c>
      <c r="E774">
        <v>2016</v>
      </c>
      <c r="F774" s="6" t="s">
        <v>38</v>
      </c>
      <c r="G774">
        <v>1</v>
      </c>
      <c r="H774">
        <v>25</v>
      </c>
      <c r="I774" s="6" t="s">
        <v>39</v>
      </c>
      <c r="J774" s="6" t="s">
        <v>37</v>
      </c>
      <c r="K774">
        <v>3</v>
      </c>
      <c r="M774" s="1" t="b">
        <f>Employee__2[[#This Row],[Experience]]&gt;1</f>
        <v>1</v>
      </c>
      <c r="N774" s="1" t="str">
        <f>IF(Employee__2[[#This Row],[City]]="Pune","Yes","No")</f>
        <v>Yes</v>
      </c>
      <c r="O774" s="1" t="str">
        <f>IF(AND(Employee__2[[#This Row],[Education]]="Bachelors",Employee__2[[#This Row],[City]]="Pune"),"Yes","No")</f>
        <v>Yes</v>
      </c>
      <c r="P774" s="1" t="str">
        <f>IF(OR(Employee__2[[#This Row],[Age]]&gt;=30,Employee__2[[#This Row],[Gender]]="Male"),"Mached","Not mached")</f>
        <v>Not mached</v>
      </c>
    </row>
    <row r="775" spans="4:16" x14ac:dyDescent="0.25">
      <c r="D775" s="6" t="s">
        <v>41</v>
      </c>
      <c r="E775">
        <v>2013</v>
      </c>
      <c r="F775" s="6" t="s">
        <v>40</v>
      </c>
      <c r="G775">
        <v>3</v>
      </c>
      <c r="H775">
        <v>25</v>
      </c>
      <c r="I775" s="6" t="s">
        <v>36</v>
      </c>
      <c r="J775" s="6" t="s">
        <v>42</v>
      </c>
      <c r="K775">
        <v>3</v>
      </c>
      <c r="M775" s="1" t="b">
        <f>Employee__2[[#This Row],[Experience]]&gt;1</f>
        <v>1</v>
      </c>
      <c r="N775" s="1" t="str">
        <f>IF(Employee__2[[#This Row],[City]]="Pune","Yes","No")</f>
        <v>No</v>
      </c>
      <c r="O775" s="1" t="str">
        <f>IF(AND(Employee__2[[#This Row],[Education]]="Bachelors",Employee__2[[#This Row],[City]]="Pune"),"Yes","No")</f>
        <v>No</v>
      </c>
      <c r="P775" s="1" t="str">
        <f>IF(OR(Employee__2[[#This Row],[Age]]&gt;=30,Employee__2[[#This Row],[Gender]]="Male"),"Mached","Not mached")</f>
        <v>Mached</v>
      </c>
    </row>
    <row r="776" spans="4:16" x14ac:dyDescent="0.25">
      <c r="D776" s="6" t="s">
        <v>34</v>
      </c>
      <c r="E776">
        <v>2017</v>
      </c>
      <c r="F776" s="6" t="s">
        <v>35</v>
      </c>
      <c r="G776">
        <v>3</v>
      </c>
      <c r="H776">
        <v>24</v>
      </c>
      <c r="I776" s="6" t="s">
        <v>39</v>
      </c>
      <c r="J776" s="6" t="s">
        <v>37</v>
      </c>
      <c r="K776">
        <v>2</v>
      </c>
      <c r="M776" s="1" t="b">
        <f>Employee__2[[#This Row],[Experience]]&gt;1</f>
        <v>1</v>
      </c>
      <c r="N776" s="1" t="str">
        <f>IF(Employee__2[[#This Row],[City]]="Pune","Yes","No")</f>
        <v>No</v>
      </c>
      <c r="O776" s="1" t="str">
        <f>IF(AND(Employee__2[[#This Row],[Education]]="Bachelors",Employee__2[[#This Row],[City]]="Pune"),"Yes","No")</f>
        <v>No</v>
      </c>
      <c r="P776" s="1" t="str">
        <f>IF(OR(Employee__2[[#This Row],[Age]]&gt;=30,Employee__2[[#This Row],[Gender]]="Male"),"Mached","Not mached")</f>
        <v>Not mached</v>
      </c>
    </row>
    <row r="777" spans="4:16" x14ac:dyDescent="0.25">
      <c r="D777" s="6" t="s">
        <v>41</v>
      </c>
      <c r="E777">
        <v>2013</v>
      </c>
      <c r="F777" s="6" t="s">
        <v>40</v>
      </c>
      <c r="G777">
        <v>3</v>
      </c>
      <c r="H777">
        <v>25</v>
      </c>
      <c r="I777" s="6" t="s">
        <v>39</v>
      </c>
      <c r="J777" s="6" t="s">
        <v>37</v>
      </c>
      <c r="K777">
        <v>3</v>
      </c>
      <c r="M777" s="1" t="b">
        <f>Employee__2[[#This Row],[Experience]]&gt;1</f>
        <v>1</v>
      </c>
      <c r="N777" s="1" t="str">
        <f>IF(Employee__2[[#This Row],[City]]="Pune","Yes","No")</f>
        <v>No</v>
      </c>
      <c r="O777" s="1" t="str">
        <f>IF(AND(Employee__2[[#This Row],[Education]]="Bachelors",Employee__2[[#This Row],[City]]="Pune"),"Yes","No")</f>
        <v>No</v>
      </c>
      <c r="P777" s="1" t="str">
        <f>IF(OR(Employee__2[[#This Row],[Age]]&gt;=30,Employee__2[[#This Row],[Gender]]="Male"),"Mached","Not mached")</f>
        <v>Not mached</v>
      </c>
    </row>
    <row r="778" spans="4:16" x14ac:dyDescent="0.25">
      <c r="D778" s="6" t="s">
        <v>34</v>
      </c>
      <c r="E778">
        <v>2013</v>
      </c>
      <c r="F778" s="6" t="s">
        <v>35</v>
      </c>
      <c r="G778">
        <v>1</v>
      </c>
      <c r="H778">
        <v>28</v>
      </c>
      <c r="I778" s="6" t="s">
        <v>39</v>
      </c>
      <c r="J778" s="6" t="s">
        <v>37</v>
      </c>
      <c r="K778">
        <v>2</v>
      </c>
      <c r="M778" s="1" t="b">
        <f>Employee__2[[#This Row],[Experience]]&gt;1</f>
        <v>1</v>
      </c>
      <c r="N778" s="1" t="str">
        <f>IF(Employee__2[[#This Row],[City]]="Pune","Yes","No")</f>
        <v>No</v>
      </c>
      <c r="O778" s="1" t="str">
        <f>IF(AND(Employee__2[[#This Row],[Education]]="Bachelors",Employee__2[[#This Row],[City]]="Pune"),"Yes","No")</f>
        <v>No</v>
      </c>
      <c r="P778" s="1" t="str">
        <f>IF(OR(Employee__2[[#This Row],[Age]]&gt;=30,Employee__2[[#This Row],[Gender]]="Male"),"Mached","Not mached")</f>
        <v>Not mached</v>
      </c>
    </row>
    <row r="779" spans="4:16" x14ac:dyDescent="0.25">
      <c r="D779" s="6" t="s">
        <v>41</v>
      </c>
      <c r="E779">
        <v>2014</v>
      </c>
      <c r="F779" s="6" t="s">
        <v>35</v>
      </c>
      <c r="G779">
        <v>3</v>
      </c>
      <c r="H779">
        <v>27</v>
      </c>
      <c r="I779" s="6" t="s">
        <v>39</v>
      </c>
      <c r="J779" s="6" t="s">
        <v>37</v>
      </c>
      <c r="K779">
        <v>5</v>
      </c>
      <c r="M779" s="1" t="b">
        <f>Employee__2[[#This Row],[Experience]]&gt;1</f>
        <v>1</v>
      </c>
      <c r="N779" s="1" t="str">
        <f>IF(Employee__2[[#This Row],[City]]="Pune","Yes","No")</f>
        <v>No</v>
      </c>
      <c r="O779" s="1" t="str">
        <f>IF(AND(Employee__2[[#This Row],[Education]]="Bachelors",Employee__2[[#This Row],[City]]="Pune"),"Yes","No")</f>
        <v>No</v>
      </c>
      <c r="P779" s="1" t="str">
        <f>IF(OR(Employee__2[[#This Row],[Age]]&gt;=30,Employee__2[[#This Row],[Gender]]="Male"),"Mached","Not mached")</f>
        <v>Not mached</v>
      </c>
    </row>
    <row r="780" spans="4:16" x14ac:dyDescent="0.25">
      <c r="D780" s="6" t="s">
        <v>34</v>
      </c>
      <c r="E780">
        <v>2013</v>
      </c>
      <c r="F780" s="6" t="s">
        <v>35</v>
      </c>
      <c r="G780">
        <v>3</v>
      </c>
      <c r="H780">
        <v>26</v>
      </c>
      <c r="I780" s="6" t="s">
        <v>36</v>
      </c>
      <c r="J780" s="6" t="s">
        <v>37</v>
      </c>
      <c r="K780">
        <v>4</v>
      </c>
      <c r="M780" s="1" t="b">
        <f>Employee__2[[#This Row],[Experience]]&gt;1</f>
        <v>1</v>
      </c>
      <c r="N780" s="1" t="str">
        <f>IF(Employee__2[[#This Row],[City]]="Pune","Yes","No")</f>
        <v>No</v>
      </c>
      <c r="O780" s="1" t="str">
        <f>IF(AND(Employee__2[[#This Row],[Education]]="Bachelors",Employee__2[[#This Row],[City]]="Pune"),"Yes","No")</f>
        <v>No</v>
      </c>
      <c r="P780" s="1" t="str">
        <f>IF(OR(Employee__2[[#This Row],[Age]]&gt;=30,Employee__2[[#This Row],[Gender]]="Male"),"Mached","Not mached")</f>
        <v>Mached</v>
      </c>
    </row>
    <row r="781" spans="4:16" x14ac:dyDescent="0.25">
      <c r="D781" s="6" t="s">
        <v>34</v>
      </c>
      <c r="E781">
        <v>2016</v>
      </c>
      <c r="F781" s="6" t="s">
        <v>35</v>
      </c>
      <c r="G781">
        <v>3</v>
      </c>
      <c r="H781">
        <v>25</v>
      </c>
      <c r="I781" s="6" t="s">
        <v>36</v>
      </c>
      <c r="J781" s="6" t="s">
        <v>37</v>
      </c>
      <c r="K781">
        <v>3</v>
      </c>
      <c r="M781" s="1" t="b">
        <f>Employee__2[[#This Row],[Experience]]&gt;1</f>
        <v>1</v>
      </c>
      <c r="N781" s="1" t="str">
        <f>IF(Employee__2[[#This Row],[City]]="Pune","Yes","No")</f>
        <v>No</v>
      </c>
      <c r="O781" s="1" t="str">
        <f>IF(AND(Employee__2[[#This Row],[Education]]="Bachelors",Employee__2[[#This Row],[City]]="Pune"),"Yes","No")</f>
        <v>No</v>
      </c>
      <c r="P781" s="1" t="str">
        <f>IF(OR(Employee__2[[#This Row],[Age]]&gt;=30,Employee__2[[#This Row],[Gender]]="Male"),"Mached","Not mached")</f>
        <v>Mached</v>
      </c>
    </row>
    <row r="782" spans="4:16" x14ac:dyDescent="0.25">
      <c r="D782" s="6" t="s">
        <v>34</v>
      </c>
      <c r="E782">
        <v>2015</v>
      </c>
      <c r="F782" s="6" t="s">
        <v>38</v>
      </c>
      <c r="G782">
        <v>2</v>
      </c>
      <c r="H782">
        <v>26</v>
      </c>
      <c r="I782" s="6" t="s">
        <v>39</v>
      </c>
      <c r="J782" s="6" t="s">
        <v>42</v>
      </c>
      <c r="K782">
        <v>4</v>
      </c>
      <c r="M782" s="1" t="b">
        <f>Employee__2[[#This Row],[Experience]]&gt;1</f>
        <v>1</v>
      </c>
      <c r="N782" s="1" t="str">
        <f>IF(Employee__2[[#This Row],[City]]="Pune","Yes","No")</f>
        <v>Yes</v>
      </c>
      <c r="O782" s="1" t="str">
        <f>IF(AND(Employee__2[[#This Row],[Education]]="Bachelors",Employee__2[[#This Row],[City]]="Pune"),"Yes","No")</f>
        <v>Yes</v>
      </c>
      <c r="P782" s="1" t="str">
        <f>IF(OR(Employee__2[[#This Row],[Age]]&gt;=30,Employee__2[[#This Row],[Gender]]="Male"),"Mached","Not mached")</f>
        <v>Not mached</v>
      </c>
    </row>
    <row r="783" spans="4:16" x14ac:dyDescent="0.25">
      <c r="D783" s="6" t="s">
        <v>34</v>
      </c>
      <c r="E783">
        <v>2017</v>
      </c>
      <c r="F783" s="6" t="s">
        <v>40</v>
      </c>
      <c r="G783">
        <v>3</v>
      </c>
      <c r="H783">
        <v>25</v>
      </c>
      <c r="I783" s="6" t="s">
        <v>36</v>
      </c>
      <c r="J783" s="6" t="s">
        <v>37</v>
      </c>
      <c r="K783">
        <v>3</v>
      </c>
      <c r="M783" s="1" t="b">
        <f>Employee__2[[#This Row],[Experience]]&gt;1</f>
        <v>1</v>
      </c>
      <c r="N783" s="1" t="str">
        <f>IF(Employee__2[[#This Row],[City]]="Pune","Yes","No")</f>
        <v>No</v>
      </c>
      <c r="O783" s="1" t="str">
        <f>IF(AND(Employee__2[[#This Row],[Education]]="Bachelors",Employee__2[[#This Row],[City]]="Pune"),"Yes","No")</f>
        <v>No</v>
      </c>
      <c r="P783" s="1" t="str">
        <f>IF(OR(Employee__2[[#This Row],[Age]]&gt;=30,Employee__2[[#This Row],[Gender]]="Male"),"Mached","Not mached")</f>
        <v>Mached</v>
      </c>
    </row>
    <row r="784" spans="4:16" x14ac:dyDescent="0.25">
      <c r="D784" s="6" t="s">
        <v>34</v>
      </c>
      <c r="E784">
        <v>2013</v>
      </c>
      <c r="F784" s="6" t="s">
        <v>35</v>
      </c>
      <c r="G784">
        <v>3</v>
      </c>
      <c r="H784">
        <v>26</v>
      </c>
      <c r="I784" s="6" t="s">
        <v>36</v>
      </c>
      <c r="J784" s="6" t="s">
        <v>37</v>
      </c>
      <c r="K784">
        <v>4</v>
      </c>
      <c r="M784" s="1" t="b">
        <f>Employee__2[[#This Row],[Experience]]&gt;1</f>
        <v>1</v>
      </c>
      <c r="N784" s="1" t="str">
        <f>IF(Employee__2[[#This Row],[City]]="Pune","Yes","No")</f>
        <v>No</v>
      </c>
      <c r="O784" s="1" t="str">
        <f>IF(AND(Employee__2[[#This Row],[Education]]="Bachelors",Employee__2[[#This Row],[City]]="Pune"),"Yes","No")</f>
        <v>No</v>
      </c>
      <c r="P784" s="1" t="str">
        <f>IF(OR(Employee__2[[#This Row],[Age]]&gt;=30,Employee__2[[#This Row],[Gender]]="Male"),"Mached","Not mached")</f>
        <v>Mached</v>
      </c>
    </row>
    <row r="785" spans="4:16" x14ac:dyDescent="0.25">
      <c r="D785" s="6" t="s">
        <v>34</v>
      </c>
      <c r="E785">
        <v>2013</v>
      </c>
      <c r="F785" s="6" t="s">
        <v>38</v>
      </c>
      <c r="G785">
        <v>2</v>
      </c>
      <c r="H785">
        <v>27</v>
      </c>
      <c r="I785" s="6" t="s">
        <v>36</v>
      </c>
      <c r="J785" s="6" t="s">
        <v>42</v>
      </c>
      <c r="K785">
        <v>5</v>
      </c>
      <c r="M785" s="1" t="b">
        <f>Employee__2[[#This Row],[Experience]]&gt;1</f>
        <v>1</v>
      </c>
      <c r="N785" s="1" t="str">
        <f>IF(Employee__2[[#This Row],[City]]="Pune","Yes","No")</f>
        <v>Yes</v>
      </c>
      <c r="O785" s="1" t="str">
        <f>IF(AND(Employee__2[[#This Row],[Education]]="Bachelors",Employee__2[[#This Row],[City]]="Pune"),"Yes","No")</f>
        <v>Yes</v>
      </c>
      <c r="P785" s="1" t="str">
        <f>IF(OR(Employee__2[[#This Row],[Age]]&gt;=30,Employee__2[[#This Row],[Gender]]="Male"),"Mached","Not mached")</f>
        <v>Mached</v>
      </c>
    </row>
    <row r="786" spans="4:16" x14ac:dyDescent="0.25">
      <c r="D786" s="6" t="s">
        <v>34</v>
      </c>
      <c r="E786">
        <v>2015</v>
      </c>
      <c r="F786" s="6" t="s">
        <v>38</v>
      </c>
      <c r="G786">
        <v>2</v>
      </c>
      <c r="H786">
        <v>25</v>
      </c>
      <c r="I786" s="6" t="s">
        <v>39</v>
      </c>
      <c r="J786" s="6" t="s">
        <v>37</v>
      </c>
      <c r="K786">
        <v>3</v>
      </c>
      <c r="M786" s="1" t="b">
        <f>Employee__2[[#This Row],[Experience]]&gt;1</f>
        <v>1</v>
      </c>
      <c r="N786" s="1" t="str">
        <f>IF(Employee__2[[#This Row],[City]]="Pune","Yes","No")</f>
        <v>Yes</v>
      </c>
      <c r="O786" s="1" t="str">
        <f>IF(AND(Employee__2[[#This Row],[Education]]="Bachelors",Employee__2[[#This Row],[City]]="Pune"),"Yes","No")</f>
        <v>Yes</v>
      </c>
      <c r="P786" s="1" t="str">
        <f>IF(OR(Employee__2[[#This Row],[Age]]&gt;=30,Employee__2[[#This Row],[Gender]]="Male"),"Mached","Not mached")</f>
        <v>Not mached</v>
      </c>
    </row>
    <row r="787" spans="4:16" x14ac:dyDescent="0.25">
      <c r="D787" s="6" t="s">
        <v>34</v>
      </c>
      <c r="E787">
        <v>2016</v>
      </c>
      <c r="F787" s="6" t="s">
        <v>35</v>
      </c>
      <c r="G787">
        <v>3</v>
      </c>
      <c r="H787">
        <v>25</v>
      </c>
      <c r="I787" s="6" t="s">
        <v>36</v>
      </c>
      <c r="J787" s="6" t="s">
        <v>42</v>
      </c>
      <c r="K787">
        <v>3</v>
      </c>
      <c r="M787" s="1" t="b">
        <f>Employee__2[[#This Row],[Experience]]&gt;1</f>
        <v>1</v>
      </c>
      <c r="N787" s="1" t="str">
        <f>IF(Employee__2[[#This Row],[City]]="Pune","Yes","No")</f>
        <v>No</v>
      </c>
      <c r="O787" s="1" t="str">
        <f>IF(AND(Employee__2[[#This Row],[Education]]="Bachelors",Employee__2[[#This Row],[City]]="Pune"),"Yes","No")</f>
        <v>No</v>
      </c>
      <c r="P787" s="1" t="str">
        <f>IF(OR(Employee__2[[#This Row],[Age]]&gt;=30,Employee__2[[#This Row],[Gender]]="Male"),"Mached","Not mached")</f>
        <v>Mached</v>
      </c>
    </row>
    <row r="788" spans="4:16" x14ac:dyDescent="0.25">
      <c r="D788" s="6" t="s">
        <v>34</v>
      </c>
      <c r="E788">
        <v>2017</v>
      </c>
      <c r="F788" s="6" t="s">
        <v>35</v>
      </c>
      <c r="G788">
        <v>3</v>
      </c>
      <c r="H788">
        <v>25</v>
      </c>
      <c r="I788" s="6" t="s">
        <v>36</v>
      </c>
      <c r="J788" s="6" t="s">
        <v>37</v>
      </c>
      <c r="K788">
        <v>3</v>
      </c>
      <c r="M788" s="1" t="b">
        <f>Employee__2[[#This Row],[Experience]]&gt;1</f>
        <v>1</v>
      </c>
      <c r="N788" s="1" t="str">
        <f>IF(Employee__2[[#This Row],[City]]="Pune","Yes","No")</f>
        <v>No</v>
      </c>
      <c r="O788" s="1" t="str">
        <f>IF(AND(Employee__2[[#This Row],[Education]]="Bachelors",Employee__2[[#This Row],[City]]="Pune"),"Yes","No")</f>
        <v>No</v>
      </c>
      <c r="P788" s="1" t="str">
        <f>IF(OR(Employee__2[[#This Row],[Age]]&gt;=30,Employee__2[[#This Row],[Gender]]="Male"),"Mached","Not mached")</f>
        <v>Mached</v>
      </c>
    </row>
    <row r="789" spans="4:16" x14ac:dyDescent="0.25">
      <c r="D789" s="6" t="s">
        <v>34</v>
      </c>
      <c r="E789">
        <v>2016</v>
      </c>
      <c r="F789" s="6" t="s">
        <v>38</v>
      </c>
      <c r="G789">
        <v>3</v>
      </c>
      <c r="H789">
        <v>28</v>
      </c>
      <c r="I789" s="6" t="s">
        <v>36</v>
      </c>
      <c r="J789" s="6" t="s">
        <v>37</v>
      </c>
      <c r="K789">
        <v>1</v>
      </c>
      <c r="M789" s="1" t="b">
        <f>Employee__2[[#This Row],[Experience]]&gt;1</f>
        <v>0</v>
      </c>
      <c r="N789" s="1" t="str">
        <f>IF(Employee__2[[#This Row],[City]]="Pune","Yes","No")</f>
        <v>Yes</v>
      </c>
      <c r="O789" s="1" t="str">
        <f>IF(AND(Employee__2[[#This Row],[Education]]="Bachelors",Employee__2[[#This Row],[City]]="Pune"),"Yes","No")</f>
        <v>Yes</v>
      </c>
      <c r="P789" s="1" t="str">
        <f>IF(OR(Employee__2[[#This Row],[Age]]&gt;=30,Employee__2[[#This Row],[Gender]]="Male"),"Mached","Not mached")</f>
        <v>Mached</v>
      </c>
    </row>
    <row r="790" spans="4:16" x14ac:dyDescent="0.25">
      <c r="D790" s="6" t="s">
        <v>34</v>
      </c>
      <c r="E790">
        <v>2018</v>
      </c>
      <c r="F790" s="6" t="s">
        <v>35</v>
      </c>
      <c r="G790">
        <v>3</v>
      </c>
      <c r="H790">
        <v>24</v>
      </c>
      <c r="I790" s="6" t="s">
        <v>36</v>
      </c>
      <c r="J790" s="6" t="s">
        <v>37</v>
      </c>
      <c r="K790">
        <v>2</v>
      </c>
      <c r="M790" s="1" t="b">
        <f>Employee__2[[#This Row],[Experience]]&gt;1</f>
        <v>1</v>
      </c>
      <c r="N790" s="1" t="str">
        <f>IF(Employee__2[[#This Row],[City]]="Pune","Yes","No")</f>
        <v>No</v>
      </c>
      <c r="O790" s="1" t="str">
        <f>IF(AND(Employee__2[[#This Row],[Education]]="Bachelors",Employee__2[[#This Row],[City]]="Pune"),"Yes","No")</f>
        <v>No</v>
      </c>
      <c r="P790" s="1" t="str">
        <f>IF(OR(Employee__2[[#This Row],[Age]]&gt;=30,Employee__2[[#This Row],[Gender]]="Male"),"Mached","Not mached")</f>
        <v>Mached</v>
      </c>
    </row>
    <row r="791" spans="4:16" x14ac:dyDescent="0.25">
      <c r="D791" s="6" t="s">
        <v>41</v>
      </c>
      <c r="E791">
        <v>2015</v>
      </c>
      <c r="F791" s="6" t="s">
        <v>38</v>
      </c>
      <c r="G791">
        <v>3</v>
      </c>
      <c r="H791">
        <v>28</v>
      </c>
      <c r="I791" s="6" t="s">
        <v>39</v>
      </c>
      <c r="J791" s="6" t="s">
        <v>37</v>
      </c>
      <c r="K791">
        <v>3</v>
      </c>
      <c r="M791" s="1" t="b">
        <f>Employee__2[[#This Row],[Experience]]&gt;1</f>
        <v>1</v>
      </c>
      <c r="N791" s="1" t="str">
        <f>IF(Employee__2[[#This Row],[City]]="Pune","Yes","No")</f>
        <v>Yes</v>
      </c>
      <c r="O791" s="1" t="str">
        <f>IF(AND(Employee__2[[#This Row],[Education]]="Bachelors",Employee__2[[#This Row],[City]]="Pune"),"Yes","No")</f>
        <v>No</v>
      </c>
      <c r="P791" s="1" t="str">
        <f>IF(OR(Employee__2[[#This Row],[Age]]&gt;=30,Employee__2[[#This Row],[Gender]]="Male"),"Mached","Not mached")</f>
        <v>Not mached</v>
      </c>
    </row>
    <row r="792" spans="4:16" x14ac:dyDescent="0.25">
      <c r="D792" s="6" t="s">
        <v>34</v>
      </c>
      <c r="E792">
        <v>2017</v>
      </c>
      <c r="F792" s="6" t="s">
        <v>35</v>
      </c>
      <c r="G792">
        <v>3</v>
      </c>
      <c r="H792">
        <v>26</v>
      </c>
      <c r="I792" s="6" t="s">
        <v>36</v>
      </c>
      <c r="J792" s="6" t="s">
        <v>37</v>
      </c>
      <c r="K792">
        <v>4</v>
      </c>
      <c r="M792" s="1" t="b">
        <f>Employee__2[[#This Row],[Experience]]&gt;1</f>
        <v>1</v>
      </c>
      <c r="N792" s="1" t="str">
        <f>IF(Employee__2[[#This Row],[City]]="Pune","Yes","No")</f>
        <v>No</v>
      </c>
      <c r="O792" s="1" t="str">
        <f>IF(AND(Employee__2[[#This Row],[Education]]="Bachelors",Employee__2[[#This Row],[City]]="Pune"),"Yes","No")</f>
        <v>No</v>
      </c>
      <c r="P792" s="1" t="str">
        <f>IF(OR(Employee__2[[#This Row],[Age]]&gt;=30,Employee__2[[#This Row],[Gender]]="Male"),"Mached","Not mached")</f>
        <v>Mached</v>
      </c>
    </row>
    <row r="793" spans="4:16" x14ac:dyDescent="0.25">
      <c r="D793" s="6" t="s">
        <v>41</v>
      </c>
      <c r="E793">
        <v>2017</v>
      </c>
      <c r="F793" s="6" t="s">
        <v>38</v>
      </c>
      <c r="G793">
        <v>2</v>
      </c>
      <c r="H793">
        <v>26</v>
      </c>
      <c r="I793" s="6" t="s">
        <v>36</v>
      </c>
      <c r="J793" s="6" t="s">
        <v>37</v>
      </c>
      <c r="K793">
        <v>4</v>
      </c>
      <c r="M793" s="1" t="b">
        <f>Employee__2[[#This Row],[Experience]]&gt;1</f>
        <v>1</v>
      </c>
      <c r="N793" s="1" t="str">
        <f>IF(Employee__2[[#This Row],[City]]="Pune","Yes","No")</f>
        <v>Yes</v>
      </c>
      <c r="O793" s="1" t="str">
        <f>IF(AND(Employee__2[[#This Row],[Education]]="Bachelors",Employee__2[[#This Row],[City]]="Pune"),"Yes","No")</f>
        <v>No</v>
      </c>
      <c r="P793" s="1" t="str">
        <f>IF(OR(Employee__2[[#This Row],[Age]]&gt;=30,Employee__2[[#This Row],[Gender]]="Male"),"Mached","Not mached")</f>
        <v>Mached</v>
      </c>
    </row>
    <row r="794" spans="4:16" x14ac:dyDescent="0.25">
      <c r="D794" s="6" t="s">
        <v>34</v>
      </c>
      <c r="E794">
        <v>2017</v>
      </c>
      <c r="F794" s="6" t="s">
        <v>40</v>
      </c>
      <c r="G794">
        <v>2</v>
      </c>
      <c r="H794">
        <v>27</v>
      </c>
      <c r="I794" s="6" t="s">
        <v>39</v>
      </c>
      <c r="J794" s="6" t="s">
        <v>37</v>
      </c>
      <c r="K794">
        <v>5</v>
      </c>
      <c r="M794" s="1" t="b">
        <f>Employee__2[[#This Row],[Experience]]&gt;1</f>
        <v>1</v>
      </c>
      <c r="N794" s="1" t="str">
        <f>IF(Employee__2[[#This Row],[City]]="Pune","Yes","No")</f>
        <v>No</v>
      </c>
      <c r="O794" s="1" t="str">
        <f>IF(AND(Employee__2[[#This Row],[Education]]="Bachelors",Employee__2[[#This Row],[City]]="Pune"),"Yes","No")</f>
        <v>No</v>
      </c>
      <c r="P794" s="1" t="str">
        <f>IF(OR(Employee__2[[#This Row],[Age]]&gt;=30,Employee__2[[#This Row],[Gender]]="Male"),"Mached","Not mached")</f>
        <v>Not mached</v>
      </c>
    </row>
    <row r="795" spans="4:16" x14ac:dyDescent="0.25">
      <c r="D795" s="6" t="s">
        <v>34</v>
      </c>
      <c r="E795">
        <v>2013</v>
      </c>
      <c r="F795" s="6" t="s">
        <v>38</v>
      </c>
      <c r="G795">
        <v>2</v>
      </c>
      <c r="H795">
        <v>26</v>
      </c>
      <c r="I795" s="6" t="s">
        <v>39</v>
      </c>
      <c r="J795" s="6" t="s">
        <v>37</v>
      </c>
      <c r="K795">
        <v>4</v>
      </c>
      <c r="M795" s="1" t="b">
        <f>Employee__2[[#This Row],[Experience]]&gt;1</f>
        <v>1</v>
      </c>
      <c r="N795" s="1" t="str">
        <f>IF(Employee__2[[#This Row],[City]]="Pune","Yes","No")</f>
        <v>Yes</v>
      </c>
      <c r="O795" s="1" t="str">
        <f>IF(AND(Employee__2[[#This Row],[Education]]="Bachelors",Employee__2[[#This Row],[City]]="Pune"),"Yes","No")</f>
        <v>Yes</v>
      </c>
      <c r="P795" s="1" t="str">
        <f>IF(OR(Employee__2[[#This Row],[Age]]&gt;=30,Employee__2[[#This Row],[Gender]]="Male"),"Mached","Not mached")</f>
        <v>Not mached</v>
      </c>
    </row>
    <row r="796" spans="4:16" x14ac:dyDescent="0.25">
      <c r="D796" s="6" t="s">
        <v>34</v>
      </c>
      <c r="E796">
        <v>2012</v>
      </c>
      <c r="F796" s="6" t="s">
        <v>35</v>
      </c>
      <c r="G796">
        <v>3</v>
      </c>
      <c r="H796">
        <v>24</v>
      </c>
      <c r="I796" s="6" t="s">
        <v>36</v>
      </c>
      <c r="J796" s="6" t="s">
        <v>37</v>
      </c>
      <c r="K796">
        <v>2</v>
      </c>
      <c r="M796" s="1" t="b">
        <f>Employee__2[[#This Row],[Experience]]&gt;1</f>
        <v>1</v>
      </c>
      <c r="N796" s="1" t="str">
        <f>IF(Employee__2[[#This Row],[City]]="Pune","Yes","No")</f>
        <v>No</v>
      </c>
      <c r="O796" s="1" t="str">
        <f>IF(AND(Employee__2[[#This Row],[Education]]="Bachelors",Employee__2[[#This Row],[City]]="Pune"),"Yes","No")</f>
        <v>No</v>
      </c>
      <c r="P796" s="1" t="str">
        <f>IF(OR(Employee__2[[#This Row],[Age]]&gt;=30,Employee__2[[#This Row],[Gender]]="Male"),"Mached","Not mached")</f>
        <v>Mached</v>
      </c>
    </row>
    <row r="797" spans="4:16" x14ac:dyDescent="0.25">
      <c r="D797" s="6" t="s">
        <v>34</v>
      </c>
      <c r="E797">
        <v>2013</v>
      </c>
      <c r="F797" s="6" t="s">
        <v>40</v>
      </c>
      <c r="G797">
        <v>3</v>
      </c>
      <c r="H797">
        <v>28</v>
      </c>
      <c r="I797" s="6" t="s">
        <v>39</v>
      </c>
      <c r="J797" s="6" t="s">
        <v>42</v>
      </c>
      <c r="K797">
        <v>3</v>
      </c>
      <c r="M797" s="1" t="b">
        <f>Employee__2[[#This Row],[Experience]]&gt;1</f>
        <v>1</v>
      </c>
      <c r="N797" s="1" t="str">
        <f>IF(Employee__2[[#This Row],[City]]="Pune","Yes","No")</f>
        <v>No</v>
      </c>
      <c r="O797" s="1" t="str">
        <f>IF(AND(Employee__2[[#This Row],[Education]]="Bachelors",Employee__2[[#This Row],[City]]="Pune"),"Yes","No")</f>
        <v>No</v>
      </c>
      <c r="P797" s="1" t="str">
        <f>IF(OR(Employee__2[[#This Row],[Age]]&gt;=30,Employee__2[[#This Row],[Gender]]="Male"),"Mached","Not mached")</f>
        <v>Not mached</v>
      </c>
    </row>
    <row r="798" spans="4:16" x14ac:dyDescent="0.25">
      <c r="D798" s="6" t="s">
        <v>41</v>
      </c>
      <c r="E798">
        <v>2015</v>
      </c>
      <c r="F798" s="6" t="s">
        <v>38</v>
      </c>
      <c r="G798">
        <v>2</v>
      </c>
      <c r="H798">
        <v>24</v>
      </c>
      <c r="I798" s="6" t="s">
        <v>39</v>
      </c>
      <c r="J798" s="6" t="s">
        <v>37</v>
      </c>
      <c r="K798">
        <v>2</v>
      </c>
      <c r="M798" s="1" t="b">
        <f>Employee__2[[#This Row],[Experience]]&gt;1</f>
        <v>1</v>
      </c>
      <c r="N798" s="1" t="str">
        <f>IF(Employee__2[[#This Row],[City]]="Pune","Yes","No")</f>
        <v>Yes</v>
      </c>
      <c r="O798" s="1" t="str">
        <f>IF(AND(Employee__2[[#This Row],[Education]]="Bachelors",Employee__2[[#This Row],[City]]="Pune"),"Yes","No")</f>
        <v>No</v>
      </c>
      <c r="P798" s="1" t="str">
        <f>IF(OR(Employee__2[[#This Row],[Age]]&gt;=30,Employee__2[[#This Row],[Gender]]="Male"),"Mached","Not mached")</f>
        <v>Not mached</v>
      </c>
    </row>
    <row r="799" spans="4:16" x14ac:dyDescent="0.25">
      <c r="D799" s="6" t="s">
        <v>34</v>
      </c>
      <c r="E799">
        <v>2016</v>
      </c>
      <c r="F799" s="6" t="s">
        <v>35</v>
      </c>
      <c r="G799">
        <v>3</v>
      </c>
      <c r="H799">
        <v>25</v>
      </c>
      <c r="I799" s="6" t="s">
        <v>36</v>
      </c>
      <c r="J799" s="6" t="s">
        <v>37</v>
      </c>
      <c r="K799">
        <v>3</v>
      </c>
      <c r="M799" s="1" t="b">
        <f>Employee__2[[#This Row],[Experience]]&gt;1</f>
        <v>1</v>
      </c>
      <c r="N799" s="1" t="str">
        <f>IF(Employee__2[[#This Row],[City]]="Pune","Yes","No")</f>
        <v>No</v>
      </c>
      <c r="O799" s="1" t="str">
        <f>IF(AND(Employee__2[[#This Row],[Education]]="Bachelors",Employee__2[[#This Row],[City]]="Pune"),"Yes","No")</f>
        <v>No</v>
      </c>
      <c r="P799" s="1" t="str">
        <f>IF(OR(Employee__2[[#This Row],[Age]]&gt;=30,Employee__2[[#This Row],[Gender]]="Male"),"Mached","Not mached")</f>
        <v>Mached</v>
      </c>
    </row>
    <row r="800" spans="4:16" x14ac:dyDescent="0.25">
      <c r="D800" s="6" t="s">
        <v>41</v>
      </c>
      <c r="E800">
        <v>2017</v>
      </c>
      <c r="F800" s="6" t="s">
        <v>40</v>
      </c>
      <c r="G800">
        <v>2</v>
      </c>
      <c r="H800">
        <v>25</v>
      </c>
      <c r="I800" s="6" t="s">
        <v>36</v>
      </c>
      <c r="J800" s="6" t="s">
        <v>37</v>
      </c>
      <c r="K800">
        <v>3</v>
      </c>
      <c r="M800" s="1" t="b">
        <f>Employee__2[[#This Row],[Experience]]&gt;1</f>
        <v>1</v>
      </c>
      <c r="N800" s="1" t="str">
        <f>IF(Employee__2[[#This Row],[City]]="Pune","Yes","No")</f>
        <v>No</v>
      </c>
      <c r="O800" s="1" t="str">
        <f>IF(AND(Employee__2[[#This Row],[Education]]="Bachelors",Employee__2[[#This Row],[City]]="Pune"),"Yes","No")</f>
        <v>No</v>
      </c>
      <c r="P800" s="1" t="str">
        <f>IF(OR(Employee__2[[#This Row],[Age]]&gt;=30,Employee__2[[#This Row],[Gender]]="Male"),"Mached","Not mached")</f>
        <v>Mached</v>
      </c>
    </row>
    <row r="801" spans="4:16" x14ac:dyDescent="0.25">
      <c r="D801" s="6" t="s">
        <v>34</v>
      </c>
      <c r="E801">
        <v>2016</v>
      </c>
      <c r="F801" s="6" t="s">
        <v>35</v>
      </c>
      <c r="G801">
        <v>3</v>
      </c>
      <c r="H801">
        <v>26</v>
      </c>
      <c r="I801" s="6" t="s">
        <v>36</v>
      </c>
      <c r="J801" s="6" t="s">
        <v>37</v>
      </c>
      <c r="K801">
        <v>4</v>
      </c>
      <c r="M801" s="1" t="b">
        <f>Employee__2[[#This Row],[Experience]]&gt;1</f>
        <v>1</v>
      </c>
      <c r="N801" s="1" t="str">
        <f>IF(Employee__2[[#This Row],[City]]="Pune","Yes","No")</f>
        <v>No</v>
      </c>
      <c r="O801" s="1" t="str">
        <f>IF(AND(Employee__2[[#This Row],[Education]]="Bachelors",Employee__2[[#This Row],[City]]="Pune"),"Yes","No")</f>
        <v>No</v>
      </c>
      <c r="P801" s="1" t="str">
        <f>IF(OR(Employee__2[[#This Row],[Age]]&gt;=30,Employee__2[[#This Row],[Gender]]="Male"),"Mached","Not mached")</f>
        <v>Mached</v>
      </c>
    </row>
    <row r="802" spans="4:16" x14ac:dyDescent="0.25">
      <c r="D802" s="6" t="s">
        <v>34</v>
      </c>
      <c r="E802">
        <v>2013</v>
      </c>
      <c r="F802" s="6" t="s">
        <v>35</v>
      </c>
      <c r="G802">
        <v>3</v>
      </c>
      <c r="H802">
        <v>24</v>
      </c>
      <c r="I802" s="6" t="s">
        <v>36</v>
      </c>
      <c r="J802" s="6" t="s">
        <v>37</v>
      </c>
      <c r="K802">
        <v>2</v>
      </c>
      <c r="M802" s="1" t="b">
        <f>Employee__2[[#This Row],[Experience]]&gt;1</f>
        <v>1</v>
      </c>
      <c r="N802" s="1" t="str">
        <f>IF(Employee__2[[#This Row],[City]]="Pune","Yes","No")</f>
        <v>No</v>
      </c>
      <c r="O802" s="1" t="str">
        <f>IF(AND(Employee__2[[#This Row],[Education]]="Bachelors",Employee__2[[#This Row],[City]]="Pune"),"Yes","No")</f>
        <v>No</v>
      </c>
      <c r="P802" s="1" t="str">
        <f>IF(OR(Employee__2[[#This Row],[Age]]&gt;=30,Employee__2[[#This Row],[Gender]]="Male"),"Mached","Not mached")</f>
        <v>Mached</v>
      </c>
    </row>
    <row r="803" spans="4:16" x14ac:dyDescent="0.25">
      <c r="D803" s="6" t="s">
        <v>34</v>
      </c>
      <c r="E803">
        <v>2012</v>
      </c>
      <c r="F803" s="6" t="s">
        <v>38</v>
      </c>
      <c r="G803">
        <v>2</v>
      </c>
      <c r="H803">
        <v>25</v>
      </c>
      <c r="I803" s="6" t="s">
        <v>36</v>
      </c>
      <c r="J803" s="6" t="s">
        <v>37</v>
      </c>
      <c r="K803">
        <v>3</v>
      </c>
      <c r="M803" s="1" t="b">
        <f>Employee__2[[#This Row],[Experience]]&gt;1</f>
        <v>1</v>
      </c>
      <c r="N803" s="1" t="str">
        <f>IF(Employee__2[[#This Row],[City]]="Pune","Yes","No")</f>
        <v>Yes</v>
      </c>
      <c r="O803" s="1" t="str">
        <f>IF(AND(Employee__2[[#This Row],[Education]]="Bachelors",Employee__2[[#This Row],[City]]="Pune"),"Yes","No")</f>
        <v>Yes</v>
      </c>
      <c r="P803" s="1" t="str">
        <f>IF(OR(Employee__2[[#This Row],[Age]]&gt;=30,Employee__2[[#This Row],[Gender]]="Male"),"Mached","Not mached")</f>
        <v>Mached</v>
      </c>
    </row>
    <row r="804" spans="4:16" x14ac:dyDescent="0.25">
      <c r="D804" s="6" t="s">
        <v>34</v>
      </c>
      <c r="E804">
        <v>2014</v>
      </c>
      <c r="F804" s="6" t="s">
        <v>35</v>
      </c>
      <c r="G804">
        <v>3</v>
      </c>
      <c r="H804">
        <v>24</v>
      </c>
      <c r="I804" s="6" t="s">
        <v>36</v>
      </c>
      <c r="J804" s="6" t="s">
        <v>37</v>
      </c>
      <c r="K804">
        <v>2</v>
      </c>
      <c r="M804" s="1" t="b">
        <f>Employee__2[[#This Row],[Experience]]&gt;1</f>
        <v>1</v>
      </c>
      <c r="N804" s="1" t="str">
        <f>IF(Employee__2[[#This Row],[City]]="Pune","Yes","No")</f>
        <v>No</v>
      </c>
      <c r="O804" s="1" t="str">
        <f>IF(AND(Employee__2[[#This Row],[Education]]="Bachelors",Employee__2[[#This Row],[City]]="Pune"),"Yes","No")</f>
        <v>No</v>
      </c>
      <c r="P804" s="1" t="str">
        <f>IF(OR(Employee__2[[#This Row],[Age]]&gt;=30,Employee__2[[#This Row],[Gender]]="Male"),"Mached","Not mached")</f>
        <v>Mached</v>
      </c>
    </row>
    <row r="805" spans="4:16" x14ac:dyDescent="0.25">
      <c r="D805" s="6" t="s">
        <v>34</v>
      </c>
      <c r="E805">
        <v>2017</v>
      </c>
      <c r="F805" s="6" t="s">
        <v>35</v>
      </c>
      <c r="G805">
        <v>3</v>
      </c>
      <c r="H805">
        <v>27</v>
      </c>
      <c r="I805" s="6" t="s">
        <v>39</v>
      </c>
      <c r="J805" s="6" t="s">
        <v>37</v>
      </c>
      <c r="K805">
        <v>5</v>
      </c>
      <c r="M805" s="1" t="b">
        <f>Employee__2[[#This Row],[Experience]]&gt;1</f>
        <v>1</v>
      </c>
      <c r="N805" s="1" t="str">
        <f>IF(Employee__2[[#This Row],[City]]="Pune","Yes","No")</f>
        <v>No</v>
      </c>
      <c r="O805" s="1" t="str">
        <f>IF(AND(Employee__2[[#This Row],[Education]]="Bachelors",Employee__2[[#This Row],[City]]="Pune"),"Yes","No")</f>
        <v>No</v>
      </c>
      <c r="P805" s="1" t="str">
        <f>IF(OR(Employee__2[[#This Row],[Age]]&gt;=30,Employee__2[[#This Row],[Gender]]="Male"),"Mached","Not mached")</f>
        <v>Not mached</v>
      </c>
    </row>
    <row r="806" spans="4:16" x14ac:dyDescent="0.25">
      <c r="D806" s="6" t="s">
        <v>34</v>
      </c>
      <c r="E806">
        <v>2017</v>
      </c>
      <c r="F806" s="6" t="s">
        <v>40</v>
      </c>
      <c r="G806">
        <v>3</v>
      </c>
      <c r="H806">
        <v>27</v>
      </c>
      <c r="I806" s="6" t="s">
        <v>39</v>
      </c>
      <c r="J806" s="6" t="s">
        <v>37</v>
      </c>
      <c r="K806">
        <v>5</v>
      </c>
      <c r="M806" s="1" t="b">
        <f>Employee__2[[#This Row],[Experience]]&gt;1</f>
        <v>1</v>
      </c>
      <c r="N806" s="1" t="str">
        <f>IF(Employee__2[[#This Row],[City]]="Pune","Yes","No")</f>
        <v>No</v>
      </c>
      <c r="O806" s="1" t="str">
        <f>IF(AND(Employee__2[[#This Row],[Education]]="Bachelors",Employee__2[[#This Row],[City]]="Pune"),"Yes","No")</f>
        <v>No</v>
      </c>
      <c r="P806" s="1" t="str">
        <f>IF(OR(Employee__2[[#This Row],[Age]]&gt;=30,Employee__2[[#This Row],[Gender]]="Male"),"Mached","Not mached")</f>
        <v>Not mached</v>
      </c>
    </row>
    <row r="807" spans="4:16" x14ac:dyDescent="0.25">
      <c r="D807" s="6" t="s">
        <v>34</v>
      </c>
      <c r="E807">
        <v>2013</v>
      </c>
      <c r="F807" s="6" t="s">
        <v>38</v>
      </c>
      <c r="G807">
        <v>3</v>
      </c>
      <c r="H807">
        <v>27</v>
      </c>
      <c r="I807" s="6" t="s">
        <v>36</v>
      </c>
      <c r="J807" s="6" t="s">
        <v>37</v>
      </c>
      <c r="K807">
        <v>5</v>
      </c>
      <c r="M807" s="1" t="b">
        <f>Employee__2[[#This Row],[Experience]]&gt;1</f>
        <v>1</v>
      </c>
      <c r="N807" s="1" t="str">
        <f>IF(Employee__2[[#This Row],[City]]="Pune","Yes","No")</f>
        <v>Yes</v>
      </c>
      <c r="O807" s="1" t="str">
        <f>IF(AND(Employee__2[[#This Row],[Education]]="Bachelors",Employee__2[[#This Row],[City]]="Pune"),"Yes","No")</f>
        <v>Yes</v>
      </c>
      <c r="P807" s="1" t="str">
        <f>IF(OR(Employee__2[[#This Row],[Age]]&gt;=30,Employee__2[[#This Row],[Gender]]="Male"),"Mached","Not mached")</f>
        <v>Mached</v>
      </c>
    </row>
    <row r="808" spans="4:16" x14ac:dyDescent="0.25">
      <c r="D808" s="6" t="s">
        <v>34</v>
      </c>
      <c r="E808">
        <v>2015</v>
      </c>
      <c r="F808" s="6" t="s">
        <v>38</v>
      </c>
      <c r="G808">
        <v>2</v>
      </c>
      <c r="H808">
        <v>24</v>
      </c>
      <c r="I808" s="6" t="s">
        <v>39</v>
      </c>
      <c r="J808" s="6" t="s">
        <v>42</v>
      </c>
      <c r="K808">
        <v>2</v>
      </c>
      <c r="M808" s="1" t="b">
        <f>Employee__2[[#This Row],[Experience]]&gt;1</f>
        <v>1</v>
      </c>
      <c r="N808" s="1" t="str">
        <f>IF(Employee__2[[#This Row],[City]]="Pune","Yes","No")</f>
        <v>Yes</v>
      </c>
      <c r="O808" s="1" t="str">
        <f>IF(AND(Employee__2[[#This Row],[Education]]="Bachelors",Employee__2[[#This Row],[City]]="Pune"),"Yes","No")</f>
        <v>Yes</v>
      </c>
      <c r="P808" s="1" t="str">
        <f>IF(OR(Employee__2[[#This Row],[Age]]&gt;=30,Employee__2[[#This Row],[Gender]]="Male"),"Mached","Not mached")</f>
        <v>Not mached</v>
      </c>
    </row>
    <row r="809" spans="4:16" x14ac:dyDescent="0.25">
      <c r="D809" s="6" t="s">
        <v>34</v>
      </c>
      <c r="E809">
        <v>2017</v>
      </c>
      <c r="F809" s="6" t="s">
        <v>35</v>
      </c>
      <c r="G809">
        <v>3</v>
      </c>
      <c r="H809">
        <v>24</v>
      </c>
      <c r="I809" s="6" t="s">
        <v>39</v>
      </c>
      <c r="J809" s="6" t="s">
        <v>42</v>
      </c>
      <c r="K809">
        <v>2</v>
      </c>
      <c r="M809" s="1" t="b">
        <f>Employee__2[[#This Row],[Experience]]&gt;1</f>
        <v>1</v>
      </c>
      <c r="N809" s="1" t="str">
        <f>IF(Employee__2[[#This Row],[City]]="Pune","Yes","No")</f>
        <v>No</v>
      </c>
      <c r="O809" s="1" t="str">
        <f>IF(AND(Employee__2[[#This Row],[Education]]="Bachelors",Employee__2[[#This Row],[City]]="Pune"),"Yes","No")</f>
        <v>No</v>
      </c>
      <c r="P809" s="1" t="str">
        <f>IF(OR(Employee__2[[#This Row],[Age]]&gt;=30,Employee__2[[#This Row],[Gender]]="Male"),"Mached","Not mached")</f>
        <v>Not mached</v>
      </c>
    </row>
    <row r="810" spans="4:16" x14ac:dyDescent="0.25">
      <c r="D810" s="6" t="s">
        <v>43</v>
      </c>
      <c r="E810">
        <v>2015</v>
      </c>
      <c r="F810" s="6" t="s">
        <v>40</v>
      </c>
      <c r="G810">
        <v>3</v>
      </c>
      <c r="H810">
        <v>28</v>
      </c>
      <c r="I810" s="6" t="s">
        <v>39</v>
      </c>
      <c r="J810" s="6" t="s">
        <v>37</v>
      </c>
      <c r="K810">
        <v>1</v>
      </c>
      <c r="M810" s="1" t="b">
        <f>Employee__2[[#This Row],[Experience]]&gt;1</f>
        <v>0</v>
      </c>
      <c r="N810" s="1" t="str">
        <f>IF(Employee__2[[#This Row],[City]]="Pune","Yes","No")</f>
        <v>No</v>
      </c>
      <c r="O810" s="1" t="str">
        <f>IF(AND(Employee__2[[#This Row],[Education]]="Bachelors",Employee__2[[#This Row],[City]]="Pune"),"Yes","No")</f>
        <v>No</v>
      </c>
      <c r="P810" s="1" t="str">
        <f>IF(OR(Employee__2[[#This Row],[Age]]&gt;=30,Employee__2[[#This Row],[Gender]]="Male"),"Mached","Not mached")</f>
        <v>Not mached</v>
      </c>
    </row>
    <row r="811" spans="4:16" x14ac:dyDescent="0.25">
      <c r="D811" s="6" t="s">
        <v>34</v>
      </c>
      <c r="E811">
        <v>2017</v>
      </c>
      <c r="F811" s="6" t="s">
        <v>35</v>
      </c>
      <c r="G811">
        <v>3</v>
      </c>
      <c r="H811">
        <v>27</v>
      </c>
      <c r="I811" s="6" t="s">
        <v>36</v>
      </c>
      <c r="J811" s="6" t="s">
        <v>37</v>
      </c>
      <c r="K811">
        <v>5</v>
      </c>
      <c r="M811" s="1" t="b">
        <f>Employee__2[[#This Row],[Experience]]&gt;1</f>
        <v>1</v>
      </c>
      <c r="N811" s="1" t="str">
        <f>IF(Employee__2[[#This Row],[City]]="Pune","Yes","No")</f>
        <v>No</v>
      </c>
      <c r="O811" s="1" t="str">
        <f>IF(AND(Employee__2[[#This Row],[Education]]="Bachelors",Employee__2[[#This Row],[City]]="Pune"),"Yes","No")</f>
        <v>No</v>
      </c>
      <c r="P811" s="1" t="str">
        <f>IF(OR(Employee__2[[#This Row],[Age]]&gt;=30,Employee__2[[#This Row],[Gender]]="Male"),"Mached","Not mached")</f>
        <v>Mached</v>
      </c>
    </row>
    <row r="812" spans="4:16" x14ac:dyDescent="0.25">
      <c r="D812" s="6" t="s">
        <v>41</v>
      </c>
      <c r="E812">
        <v>2017</v>
      </c>
      <c r="F812" s="6" t="s">
        <v>40</v>
      </c>
      <c r="G812">
        <v>2</v>
      </c>
      <c r="H812">
        <v>28</v>
      </c>
      <c r="I812" s="6" t="s">
        <v>39</v>
      </c>
      <c r="J812" s="6" t="s">
        <v>37</v>
      </c>
      <c r="K812">
        <v>2</v>
      </c>
      <c r="M812" s="1" t="b">
        <f>Employee__2[[#This Row],[Experience]]&gt;1</f>
        <v>1</v>
      </c>
      <c r="N812" s="1" t="str">
        <f>IF(Employee__2[[#This Row],[City]]="Pune","Yes","No")</f>
        <v>No</v>
      </c>
      <c r="O812" s="1" t="str">
        <f>IF(AND(Employee__2[[#This Row],[Education]]="Bachelors",Employee__2[[#This Row],[City]]="Pune"),"Yes","No")</f>
        <v>No</v>
      </c>
      <c r="P812" s="1" t="str">
        <f>IF(OR(Employee__2[[#This Row],[Age]]&gt;=30,Employee__2[[#This Row],[Gender]]="Male"),"Mached","Not mached")</f>
        <v>Not mached</v>
      </c>
    </row>
    <row r="813" spans="4:16" x14ac:dyDescent="0.25">
      <c r="D813" s="6" t="s">
        <v>34</v>
      </c>
      <c r="E813">
        <v>2017</v>
      </c>
      <c r="F813" s="6" t="s">
        <v>40</v>
      </c>
      <c r="G813">
        <v>2</v>
      </c>
      <c r="H813">
        <v>25</v>
      </c>
      <c r="I813" s="6" t="s">
        <v>39</v>
      </c>
      <c r="J813" s="6" t="s">
        <v>37</v>
      </c>
      <c r="K813">
        <v>3</v>
      </c>
      <c r="M813" s="1" t="b">
        <f>Employee__2[[#This Row],[Experience]]&gt;1</f>
        <v>1</v>
      </c>
      <c r="N813" s="1" t="str">
        <f>IF(Employee__2[[#This Row],[City]]="Pune","Yes","No")</f>
        <v>No</v>
      </c>
      <c r="O813" s="1" t="str">
        <f>IF(AND(Employee__2[[#This Row],[Education]]="Bachelors",Employee__2[[#This Row],[City]]="Pune"),"Yes","No")</f>
        <v>No</v>
      </c>
      <c r="P813" s="1" t="str">
        <f>IF(OR(Employee__2[[#This Row],[Age]]&gt;=30,Employee__2[[#This Row],[Gender]]="Male"),"Mached","Not mached")</f>
        <v>Not mached</v>
      </c>
    </row>
    <row r="814" spans="4:16" x14ac:dyDescent="0.25">
      <c r="D814" s="6" t="s">
        <v>34</v>
      </c>
      <c r="E814">
        <v>2014</v>
      </c>
      <c r="F814" s="6" t="s">
        <v>38</v>
      </c>
      <c r="G814">
        <v>2</v>
      </c>
      <c r="H814">
        <v>25</v>
      </c>
      <c r="I814" s="6" t="s">
        <v>39</v>
      </c>
      <c r="J814" s="6" t="s">
        <v>37</v>
      </c>
      <c r="K814">
        <v>3</v>
      </c>
      <c r="M814" s="1" t="b">
        <f>Employee__2[[#This Row],[Experience]]&gt;1</f>
        <v>1</v>
      </c>
      <c r="N814" s="1" t="str">
        <f>IF(Employee__2[[#This Row],[City]]="Pune","Yes","No")</f>
        <v>Yes</v>
      </c>
      <c r="O814" s="1" t="str">
        <f>IF(AND(Employee__2[[#This Row],[Education]]="Bachelors",Employee__2[[#This Row],[City]]="Pune"),"Yes","No")</f>
        <v>Yes</v>
      </c>
      <c r="P814" s="1" t="str">
        <f>IF(OR(Employee__2[[#This Row],[Age]]&gt;=30,Employee__2[[#This Row],[Gender]]="Male"),"Mached","Not mached")</f>
        <v>Not mached</v>
      </c>
    </row>
    <row r="815" spans="4:16" x14ac:dyDescent="0.25">
      <c r="D815" s="6" t="s">
        <v>34</v>
      </c>
      <c r="E815">
        <v>2016</v>
      </c>
      <c r="F815" s="6" t="s">
        <v>40</v>
      </c>
      <c r="G815">
        <v>3</v>
      </c>
      <c r="H815">
        <v>28</v>
      </c>
      <c r="I815" s="6" t="s">
        <v>39</v>
      </c>
      <c r="J815" s="6" t="s">
        <v>42</v>
      </c>
      <c r="K815">
        <v>3</v>
      </c>
      <c r="M815" s="1" t="b">
        <f>Employee__2[[#This Row],[Experience]]&gt;1</f>
        <v>1</v>
      </c>
      <c r="N815" s="1" t="str">
        <f>IF(Employee__2[[#This Row],[City]]="Pune","Yes","No")</f>
        <v>No</v>
      </c>
      <c r="O815" s="1" t="str">
        <f>IF(AND(Employee__2[[#This Row],[Education]]="Bachelors",Employee__2[[#This Row],[City]]="Pune"),"Yes","No")</f>
        <v>No</v>
      </c>
      <c r="P815" s="1" t="str">
        <f>IF(OR(Employee__2[[#This Row],[Age]]&gt;=30,Employee__2[[#This Row],[Gender]]="Male"),"Mached","Not mached")</f>
        <v>Not mached</v>
      </c>
    </row>
    <row r="816" spans="4:16" x14ac:dyDescent="0.25">
      <c r="D816" s="6" t="s">
        <v>34</v>
      </c>
      <c r="E816">
        <v>2015</v>
      </c>
      <c r="F816" s="6" t="s">
        <v>38</v>
      </c>
      <c r="G816">
        <v>2</v>
      </c>
      <c r="H816">
        <v>27</v>
      </c>
      <c r="I816" s="6" t="s">
        <v>39</v>
      </c>
      <c r="J816" s="6" t="s">
        <v>37</v>
      </c>
      <c r="K816">
        <v>5</v>
      </c>
      <c r="M816" s="1" t="b">
        <f>Employee__2[[#This Row],[Experience]]&gt;1</f>
        <v>1</v>
      </c>
      <c r="N816" s="1" t="str">
        <f>IF(Employee__2[[#This Row],[City]]="Pune","Yes","No")</f>
        <v>Yes</v>
      </c>
      <c r="O816" s="1" t="str">
        <f>IF(AND(Employee__2[[#This Row],[Education]]="Bachelors",Employee__2[[#This Row],[City]]="Pune"),"Yes","No")</f>
        <v>Yes</v>
      </c>
      <c r="P816" s="1" t="str">
        <f>IF(OR(Employee__2[[#This Row],[Age]]&gt;=30,Employee__2[[#This Row],[Gender]]="Male"),"Mached","Not mached")</f>
        <v>Not mached</v>
      </c>
    </row>
    <row r="817" spans="4:16" x14ac:dyDescent="0.25">
      <c r="D817" s="6" t="s">
        <v>41</v>
      </c>
      <c r="E817">
        <v>2017</v>
      </c>
      <c r="F817" s="6" t="s">
        <v>38</v>
      </c>
      <c r="G817">
        <v>2</v>
      </c>
      <c r="H817">
        <v>25</v>
      </c>
      <c r="I817" s="6" t="s">
        <v>36</v>
      </c>
      <c r="J817" s="6" t="s">
        <v>37</v>
      </c>
      <c r="K817">
        <v>3</v>
      </c>
      <c r="M817" s="1" t="b">
        <f>Employee__2[[#This Row],[Experience]]&gt;1</f>
        <v>1</v>
      </c>
      <c r="N817" s="1" t="str">
        <f>IF(Employee__2[[#This Row],[City]]="Pune","Yes","No")</f>
        <v>Yes</v>
      </c>
      <c r="O817" s="1" t="str">
        <f>IF(AND(Employee__2[[#This Row],[Education]]="Bachelors",Employee__2[[#This Row],[City]]="Pune"),"Yes","No")</f>
        <v>No</v>
      </c>
      <c r="P817" s="1" t="str">
        <f>IF(OR(Employee__2[[#This Row],[Age]]&gt;=30,Employee__2[[#This Row],[Gender]]="Male"),"Mached","Not mached")</f>
        <v>Mached</v>
      </c>
    </row>
    <row r="818" spans="4:16" x14ac:dyDescent="0.25">
      <c r="D818" s="6" t="s">
        <v>41</v>
      </c>
      <c r="E818">
        <v>2017</v>
      </c>
      <c r="F818" s="6" t="s">
        <v>35</v>
      </c>
      <c r="G818">
        <v>2</v>
      </c>
      <c r="H818">
        <v>25</v>
      </c>
      <c r="I818" s="6" t="s">
        <v>39</v>
      </c>
      <c r="J818" s="6" t="s">
        <v>42</v>
      </c>
      <c r="K818">
        <v>3</v>
      </c>
      <c r="M818" s="1" t="b">
        <f>Employee__2[[#This Row],[Experience]]&gt;1</f>
        <v>1</v>
      </c>
      <c r="N818" s="1" t="str">
        <f>IF(Employee__2[[#This Row],[City]]="Pune","Yes","No")</f>
        <v>No</v>
      </c>
      <c r="O818" s="1" t="str">
        <f>IF(AND(Employee__2[[#This Row],[Education]]="Bachelors",Employee__2[[#This Row],[City]]="Pune"),"Yes","No")</f>
        <v>No</v>
      </c>
      <c r="P818" s="1" t="str">
        <f>IF(OR(Employee__2[[#This Row],[Age]]&gt;=30,Employee__2[[#This Row],[Gender]]="Male"),"Mached","Not mached")</f>
        <v>Not mached</v>
      </c>
    </row>
    <row r="819" spans="4:16" x14ac:dyDescent="0.25">
      <c r="D819" s="6" t="s">
        <v>34</v>
      </c>
      <c r="E819">
        <v>2017</v>
      </c>
      <c r="F819" s="6" t="s">
        <v>35</v>
      </c>
      <c r="G819">
        <v>3</v>
      </c>
      <c r="H819">
        <v>24</v>
      </c>
      <c r="I819" s="6" t="s">
        <v>39</v>
      </c>
      <c r="J819" s="6" t="s">
        <v>37</v>
      </c>
      <c r="K819">
        <v>2</v>
      </c>
      <c r="M819" s="1" t="b">
        <f>Employee__2[[#This Row],[Experience]]&gt;1</f>
        <v>1</v>
      </c>
      <c r="N819" s="1" t="str">
        <f>IF(Employee__2[[#This Row],[City]]="Pune","Yes","No")</f>
        <v>No</v>
      </c>
      <c r="O819" s="1" t="str">
        <f>IF(AND(Employee__2[[#This Row],[Education]]="Bachelors",Employee__2[[#This Row],[City]]="Pune"),"Yes","No")</f>
        <v>No</v>
      </c>
      <c r="P819" s="1" t="str">
        <f>IF(OR(Employee__2[[#This Row],[Age]]&gt;=30,Employee__2[[#This Row],[Gender]]="Male"),"Mached","Not mached")</f>
        <v>Not mached</v>
      </c>
    </row>
    <row r="820" spans="4:16" x14ac:dyDescent="0.25">
      <c r="D820" s="6" t="s">
        <v>34</v>
      </c>
      <c r="E820">
        <v>2013</v>
      </c>
      <c r="F820" s="6" t="s">
        <v>35</v>
      </c>
      <c r="G820">
        <v>3</v>
      </c>
      <c r="H820">
        <v>26</v>
      </c>
      <c r="I820" s="6" t="s">
        <v>39</v>
      </c>
      <c r="J820" s="6" t="s">
        <v>37</v>
      </c>
      <c r="K820">
        <v>4</v>
      </c>
      <c r="M820" s="1" t="b">
        <f>Employee__2[[#This Row],[Experience]]&gt;1</f>
        <v>1</v>
      </c>
      <c r="N820" s="1" t="str">
        <f>IF(Employee__2[[#This Row],[City]]="Pune","Yes","No")</f>
        <v>No</v>
      </c>
      <c r="O820" s="1" t="str">
        <f>IF(AND(Employee__2[[#This Row],[Education]]="Bachelors",Employee__2[[#This Row],[City]]="Pune"),"Yes","No")</f>
        <v>No</v>
      </c>
      <c r="P820" s="1" t="str">
        <f>IF(OR(Employee__2[[#This Row],[Age]]&gt;=30,Employee__2[[#This Row],[Gender]]="Male"),"Mached","Not mached")</f>
        <v>Not mached</v>
      </c>
    </row>
    <row r="821" spans="4:16" x14ac:dyDescent="0.25">
      <c r="D821" s="6" t="s">
        <v>34</v>
      </c>
      <c r="E821">
        <v>2018</v>
      </c>
      <c r="F821" s="6" t="s">
        <v>35</v>
      </c>
      <c r="G821">
        <v>3</v>
      </c>
      <c r="H821">
        <v>24</v>
      </c>
      <c r="I821" s="6" t="s">
        <v>36</v>
      </c>
      <c r="J821" s="6" t="s">
        <v>42</v>
      </c>
      <c r="K821">
        <v>2</v>
      </c>
      <c r="M821" s="1" t="b">
        <f>Employee__2[[#This Row],[Experience]]&gt;1</f>
        <v>1</v>
      </c>
      <c r="N821" s="1" t="str">
        <f>IF(Employee__2[[#This Row],[City]]="Pune","Yes","No")</f>
        <v>No</v>
      </c>
      <c r="O821" s="1" t="str">
        <f>IF(AND(Employee__2[[#This Row],[Education]]="Bachelors",Employee__2[[#This Row],[City]]="Pune"),"Yes","No")</f>
        <v>No</v>
      </c>
      <c r="P821" s="1" t="str">
        <f>IF(OR(Employee__2[[#This Row],[Age]]&gt;=30,Employee__2[[#This Row],[Gender]]="Male"),"Mached","Not mached")</f>
        <v>Mached</v>
      </c>
    </row>
    <row r="822" spans="4:16" x14ac:dyDescent="0.25">
      <c r="D822" s="6" t="s">
        <v>34</v>
      </c>
      <c r="E822">
        <v>2016</v>
      </c>
      <c r="F822" s="6" t="s">
        <v>40</v>
      </c>
      <c r="G822">
        <v>3</v>
      </c>
      <c r="H822">
        <v>28</v>
      </c>
      <c r="I822" s="6" t="s">
        <v>36</v>
      </c>
      <c r="J822" s="6" t="s">
        <v>37</v>
      </c>
      <c r="K822">
        <v>1</v>
      </c>
      <c r="M822" s="1" t="b">
        <f>Employee__2[[#This Row],[Experience]]&gt;1</f>
        <v>0</v>
      </c>
      <c r="N822" s="1" t="str">
        <f>IF(Employee__2[[#This Row],[City]]="Pune","Yes","No")</f>
        <v>No</v>
      </c>
      <c r="O822" s="1" t="str">
        <f>IF(AND(Employee__2[[#This Row],[Education]]="Bachelors",Employee__2[[#This Row],[City]]="Pune"),"Yes","No")</f>
        <v>No</v>
      </c>
      <c r="P822" s="1" t="str">
        <f>IF(OR(Employee__2[[#This Row],[Age]]&gt;=30,Employee__2[[#This Row],[Gender]]="Male"),"Mached","Not mached")</f>
        <v>Mached</v>
      </c>
    </row>
    <row r="823" spans="4:16" x14ac:dyDescent="0.25">
      <c r="D823" s="6" t="s">
        <v>41</v>
      </c>
      <c r="E823">
        <v>2017</v>
      </c>
      <c r="F823" s="6" t="s">
        <v>40</v>
      </c>
      <c r="G823">
        <v>2</v>
      </c>
      <c r="H823">
        <v>24</v>
      </c>
      <c r="I823" s="6" t="s">
        <v>36</v>
      </c>
      <c r="J823" s="6" t="s">
        <v>37</v>
      </c>
      <c r="K823">
        <v>2</v>
      </c>
      <c r="M823" s="1" t="b">
        <f>Employee__2[[#This Row],[Experience]]&gt;1</f>
        <v>1</v>
      </c>
      <c r="N823" s="1" t="str">
        <f>IF(Employee__2[[#This Row],[City]]="Pune","Yes","No")</f>
        <v>No</v>
      </c>
      <c r="O823" s="1" t="str">
        <f>IF(AND(Employee__2[[#This Row],[Education]]="Bachelors",Employee__2[[#This Row],[City]]="Pune"),"Yes","No")</f>
        <v>No</v>
      </c>
      <c r="P823" s="1" t="str">
        <f>IF(OR(Employee__2[[#This Row],[Age]]&gt;=30,Employee__2[[#This Row],[Gender]]="Male"),"Mached","Not mached")</f>
        <v>Mached</v>
      </c>
    </row>
    <row r="824" spans="4:16" x14ac:dyDescent="0.25">
      <c r="D824" s="6" t="s">
        <v>34</v>
      </c>
      <c r="E824">
        <v>2017</v>
      </c>
      <c r="F824" s="6" t="s">
        <v>35</v>
      </c>
      <c r="G824">
        <v>3</v>
      </c>
      <c r="H824">
        <v>25</v>
      </c>
      <c r="I824" s="6" t="s">
        <v>36</v>
      </c>
      <c r="J824" s="6" t="s">
        <v>37</v>
      </c>
      <c r="K824">
        <v>3</v>
      </c>
      <c r="M824" s="1" t="b">
        <f>Employee__2[[#This Row],[Experience]]&gt;1</f>
        <v>1</v>
      </c>
      <c r="N824" s="1" t="str">
        <f>IF(Employee__2[[#This Row],[City]]="Pune","Yes","No")</f>
        <v>No</v>
      </c>
      <c r="O824" s="1" t="str">
        <f>IF(AND(Employee__2[[#This Row],[Education]]="Bachelors",Employee__2[[#This Row],[City]]="Pune"),"Yes","No")</f>
        <v>No</v>
      </c>
      <c r="P824" s="1" t="str">
        <f>IF(OR(Employee__2[[#This Row],[Age]]&gt;=30,Employee__2[[#This Row],[Gender]]="Male"),"Mached","Not mached")</f>
        <v>Mached</v>
      </c>
    </row>
    <row r="825" spans="4:16" x14ac:dyDescent="0.25">
      <c r="D825" s="6" t="s">
        <v>34</v>
      </c>
      <c r="E825">
        <v>2017</v>
      </c>
      <c r="F825" s="6" t="s">
        <v>35</v>
      </c>
      <c r="G825">
        <v>3</v>
      </c>
      <c r="H825">
        <v>25</v>
      </c>
      <c r="I825" s="6" t="s">
        <v>36</v>
      </c>
      <c r="J825" s="6" t="s">
        <v>37</v>
      </c>
      <c r="K825">
        <v>3</v>
      </c>
      <c r="M825" s="1" t="b">
        <f>Employee__2[[#This Row],[Experience]]&gt;1</f>
        <v>1</v>
      </c>
      <c r="N825" s="1" t="str">
        <f>IF(Employee__2[[#This Row],[City]]="Pune","Yes","No")</f>
        <v>No</v>
      </c>
      <c r="O825" s="1" t="str">
        <f>IF(AND(Employee__2[[#This Row],[Education]]="Bachelors",Employee__2[[#This Row],[City]]="Pune"),"Yes","No")</f>
        <v>No</v>
      </c>
      <c r="P825" s="1" t="str">
        <f>IF(OR(Employee__2[[#This Row],[Age]]&gt;=30,Employee__2[[#This Row],[Gender]]="Male"),"Mached","Not mached")</f>
        <v>Mached</v>
      </c>
    </row>
    <row r="826" spans="4:16" x14ac:dyDescent="0.25">
      <c r="D826" s="6" t="s">
        <v>34</v>
      </c>
      <c r="E826">
        <v>2017</v>
      </c>
      <c r="F826" s="6" t="s">
        <v>35</v>
      </c>
      <c r="G826">
        <v>3</v>
      </c>
      <c r="H826">
        <v>24</v>
      </c>
      <c r="I826" s="6" t="s">
        <v>36</v>
      </c>
      <c r="J826" s="6" t="s">
        <v>37</v>
      </c>
      <c r="K826">
        <v>2</v>
      </c>
      <c r="M826" s="1" t="b">
        <f>Employee__2[[#This Row],[Experience]]&gt;1</f>
        <v>1</v>
      </c>
      <c r="N826" s="1" t="str">
        <f>IF(Employee__2[[#This Row],[City]]="Pune","Yes","No")</f>
        <v>No</v>
      </c>
      <c r="O826" s="1" t="str">
        <f>IF(AND(Employee__2[[#This Row],[Education]]="Bachelors",Employee__2[[#This Row],[City]]="Pune"),"Yes","No")</f>
        <v>No</v>
      </c>
      <c r="P826" s="1" t="str">
        <f>IF(OR(Employee__2[[#This Row],[Age]]&gt;=30,Employee__2[[#This Row],[Gender]]="Male"),"Mached","Not mached")</f>
        <v>Mached</v>
      </c>
    </row>
    <row r="827" spans="4:16" x14ac:dyDescent="0.25">
      <c r="D827" s="6" t="s">
        <v>41</v>
      </c>
      <c r="E827">
        <v>2014</v>
      </c>
      <c r="F827" s="6" t="s">
        <v>40</v>
      </c>
      <c r="G827">
        <v>3</v>
      </c>
      <c r="H827">
        <v>25</v>
      </c>
      <c r="I827" s="6" t="s">
        <v>39</v>
      </c>
      <c r="J827" s="6" t="s">
        <v>37</v>
      </c>
      <c r="K827">
        <v>3</v>
      </c>
      <c r="M827" s="1" t="b">
        <f>Employee__2[[#This Row],[Experience]]&gt;1</f>
        <v>1</v>
      </c>
      <c r="N827" s="1" t="str">
        <f>IF(Employee__2[[#This Row],[City]]="Pune","Yes","No")</f>
        <v>No</v>
      </c>
      <c r="O827" s="1" t="str">
        <f>IF(AND(Employee__2[[#This Row],[Education]]="Bachelors",Employee__2[[#This Row],[City]]="Pune"),"Yes","No")</f>
        <v>No</v>
      </c>
      <c r="P827" s="1" t="str">
        <f>IF(OR(Employee__2[[#This Row],[Age]]&gt;=30,Employee__2[[#This Row],[Gender]]="Male"),"Mached","Not mached")</f>
        <v>Not mached</v>
      </c>
    </row>
    <row r="828" spans="4:16" x14ac:dyDescent="0.25">
      <c r="D828" s="6" t="s">
        <v>34</v>
      </c>
      <c r="E828">
        <v>2012</v>
      </c>
      <c r="F828" s="6" t="s">
        <v>35</v>
      </c>
      <c r="G828">
        <v>3</v>
      </c>
      <c r="H828">
        <v>27</v>
      </c>
      <c r="I828" s="6" t="s">
        <v>39</v>
      </c>
      <c r="J828" s="6" t="s">
        <v>37</v>
      </c>
      <c r="K828">
        <v>5</v>
      </c>
      <c r="M828" s="1" t="b">
        <f>Employee__2[[#This Row],[Experience]]&gt;1</f>
        <v>1</v>
      </c>
      <c r="N828" s="1" t="str">
        <f>IF(Employee__2[[#This Row],[City]]="Pune","Yes","No")</f>
        <v>No</v>
      </c>
      <c r="O828" s="1" t="str">
        <f>IF(AND(Employee__2[[#This Row],[Education]]="Bachelors",Employee__2[[#This Row],[City]]="Pune"),"Yes","No")</f>
        <v>No</v>
      </c>
      <c r="P828" s="1" t="str">
        <f>IF(OR(Employee__2[[#This Row],[Age]]&gt;=30,Employee__2[[#This Row],[Gender]]="Male"),"Mached","Not mached")</f>
        <v>Not mached</v>
      </c>
    </row>
    <row r="829" spans="4:16" x14ac:dyDescent="0.25">
      <c r="D829" s="6" t="s">
        <v>34</v>
      </c>
      <c r="E829">
        <v>2012</v>
      </c>
      <c r="F829" s="6" t="s">
        <v>40</v>
      </c>
      <c r="G829">
        <v>3</v>
      </c>
      <c r="H829">
        <v>27</v>
      </c>
      <c r="I829" s="6" t="s">
        <v>39</v>
      </c>
      <c r="J829" s="6" t="s">
        <v>37</v>
      </c>
      <c r="K829">
        <v>5</v>
      </c>
      <c r="M829" s="1" t="b">
        <f>Employee__2[[#This Row],[Experience]]&gt;1</f>
        <v>1</v>
      </c>
      <c r="N829" s="1" t="str">
        <f>IF(Employee__2[[#This Row],[City]]="Pune","Yes","No")</f>
        <v>No</v>
      </c>
      <c r="O829" s="1" t="str">
        <f>IF(AND(Employee__2[[#This Row],[Education]]="Bachelors",Employee__2[[#This Row],[City]]="Pune"),"Yes","No")</f>
        <v>No</v>
      </c>
      <c r="P829" s="1" t="str">
        <f>IF(OR(Employee__2[[#This Row],[Age]]&gt;=30,Employee__2[[#This Row],[Gender]]="Male"),"Mached","Not mached")</f>
        <v>Not mached</v>
      </c>
    </row>
    <row r="830" spans="4:16" x14ac:dyDescent="0.25">
      <c r="D830" s="6" t="s">
        <v>34</v>
      </c>
      <c r="E830">
        <v>2017</v>
      </c>
      <c r="F830" s="6" t="s">
        <v>35</v>
      </c>
      <c r="G830">
        <v>3</v>
      </c>
      <c r="H830">
        <v>28</v>
      </c>
      <c r="I830" s="6" t="s">
        <v>36</v>
      </c>
      <c r="J830" s="6" t="s">
        <v>37</v>
      </c>
      <c r="K830">
        <v>2</v>
      </c>
      <c r="M830" s="1" t="b">
        <f>Employee__2[[#This Row],[Experience]]&gt;1</f>
        <v>1</v>
      </c>
      <c r="N830" s="1" t="str">
        <f>IF(Employee__2[[#This Row],[City]]="Pune","Yes","No")</f>
        <v>No</v>
      </c>
      <c r="O830" s="1" t="str">
        <f>IF(AND(Employee__2[[#This Row],[Education]]="Bachelors",Employee__2[[#This Row],[City]]="Pune"),"Yes","No")</f>
        <v>No</v>
      </c>
      <c r="P830" s="1" t="str">
        <f>IF(OR(Employee__2[[#This Row],[Age]]&gt;=30,Employee__2[[#This Row],[Gender]]="Male"),"Mached","Not mached")</f>
        <v>Mached</v>
      </c>
    </row>
    <row r="831" spans="4:16" x14ac:dyDescent="0.25">
      <c r="D831" s="6" t="s">
        <v>34</v>
      </c>
      <c r="E831">
        <v>2012</v>
      </c>
      <c r="F831" s="6" t="s">
        <v>35</v>
      </c>
      <c r="G831">
        <v>3</v>
      </c>
      <c r="H831">
        <v>28</v>
      </c>
      <c r="I831" s="6" t="s">
        <v>36</v>
      </c>
      <c r="J831" s="6" t="s">
        <v>42</v>
      </c>
      <c r="K831">
        <v>3</v>
      </c>
      <c r="M831" s="1" t="b">
        <f>Employee__2[[#This Row],[Experience]]&gt;1</f>
        <v>1</v>
      </c>
      <c r="N831" s="1" t="str">
        <f>IF(Employee__2[[#This Row],[City]]="Pune","Yes","No")</f>
        <v>No</v>
      </c>
      <c r="O831" s="1" t="str">
        <f>IF(AND(Employee__2[[#This Row],[Education]]="Bachelors",Employee__2[[#This Row],[City]]="Pune"),"Yes","No")</f>
        <v>No</v>
      </c>
      <c r="P831" s="1" t="str">
        <f>IF(OR(Employee__2[[#This Row],[Age]]&gt;=30,Employee__2[[#This Row],[Gender]]="Male"),"Mached","Not mached")</f>
        <v>Mached</v>
      </c>
    </row>
    <row r="832" spans="4:16" x14ac:dyDescent="0.25">
      <c r="D832" s="6" t="s">
        <v>34</v>
      </c>
      <c r="E832">
        <v>2012</v>
      </c>
      <c r="F832" s="6" t="s">
        <v>38</v>
      </c>
      <c r="G832">
        <v>3</v>
      </c>
      <c r="H832">
        <v>28</v>
      </c>
      <c r="I832" s="6" t="s">
        <v>39</v>
      </c>
      <c r="J832" s="6" t="s">
        <v>37</v>
      </c>
      <c r="K832">
        <v>2</v>
      </c>
      <c r="M832" s="1" t="b">
        <f>Employee__2[[#This Row],[Experience]]&gt;1</f>
        <v>1</v>
      </c>
      <c r="N832" s="1" t="str">
        <f>IF(Employee__2[[#This Row],[City]]="Pune","Yes","No")</f>
        <v>Yes</v>
      </c>
      <c r="O832" s="1" t="str">
        <f>IF(AND(Employee__2[[#This Row],[Education]]="Bachelors",Employee__2[[#This Row],[City]]="Pune"),"Yes","No")</f>
        <v>Yes</v>
      </c>
      <c r="P832" s="1" t="str">
        <f>IF(OR(Employee__2[[#This Row],[Age]]&gt;=30,Employee__2[[#This Row],[Gender]]="Male"),"Mached","Not mached")</f>
        <v>Not mached</v>
      </c>
    </row>
    <row r="833" spans="4:16" x14ac:dyDescent="0.25">
      <c r="D833" s="6" t="s">
        <v>34</v>
      </c>
      <c r="E833">
        <v>2018</v>
      </c>
      <c r="F833" s="6" t="s">
        <v>35</v>
      </c>
      <c r="G833">
        <v>3</v>
      </c>
      <c r="H833">
        <v>24</v>
      </c>
      <c r="I833" s="6" t="s">
        <v>39</v>
      </c>
      <c r="J833" s="6" t="s">
        <v>37</v>
      </c>
      <c r="K833">
        <v>2</v>
      </c>
      <c r="M833" s="1" t="b">
        <f>Employee__2[[#This Row],[Experience]]&gt;1</f>
        <v>1</v>
      </c>
      <c r="N833" s="1" t="str">
        <f>IF(Employee__2[[#This Row],[City]]="Pune","Yes","No")</f>
        <v>No</v>
      </c>
      <c r="O833" s="1" t="str">
        <f>IF(AND(Employee__2[[#This Row],[Education]]="Bachelors",Employee__2[[#This Row],[City]]="Pune"),"Yes","No")</f>
        <v>No</v>
      </c>
      <c r="P833" s="1" t="str">
        <f>IF(OR(Employee__2[[#This Row],[Age]]&gt;=30,Employee__2[[#This Row],[Gender]]="Male"),"Mached","Not mached")</f>
        <v>Not mached</v>
      </c>
    </row>
    <row r="834" spans="4:16" x14ac:dyDescent="0.25">
      <c r="D834" s="6" t="s">
        <v>43</v>
      </c>
      <c r="E834">
        <v>2016</v>
      </c>
      <c r="F834" s="6" t="s">
        <v>40</v>
      </c>
      <c r="G834">
        <v>3</v>
      </c>
      <c r="H834">
        <v>24</v>
      </c>
      <c r="I834" s="6" t="s">
        <v>39</v>
      </c>
      <c r="J834" s="6" t="s">
        <v>37</v>
      </c>
      <c r="K834">
        <v>2</v>
      </c>
      <c r="M834" s="1" t="b">
        <f>Employee__2[[#This Row],[Experience]]&gt;1</f>
        <v>1</v>
      </c>
      <c r="N834" s="1" t="str">
        <f>IF(Employee__2[[#This Row],[City]]="Pune","Yes","No")</f>
        <v>No</v>
      </c>
      <c r="O834" s="1" t="str">
        <f>IF(AND(Employee__2[[#This Row],[Education]]="Bachelors",Employee__2[[#This Row],[City]]="Pune"),"Yes","No")</f>
        <v>No</v>
      </c>
      <c r="P834" s="1" t="str">
        <f>IF(OR(Employee__2[[#This Row],[Age]]&gt;=30,Employee__2[[#This Row],[Gender]]="Male"),"Mached","Not mached")</f>
        <v>Not mached</v>
      </c>
    </row>
    <row r="835" spans="4:16" x14ac:dyDescent="0.25">
      <c r="D835" s="6" t="s">
        <v>41</v>
      </c>
      <c r="E835">
        <v>2017</v>
      </c>
      <c r="F835" s="6" t="s">
        <v>40</v>
      </c>
      <c r="G835">
        <v>2</v>
      </c>
      <c r="H835">
        <v>27</v>
      </c>
      <c r="I835" s="6" t="s">
        <v>39</v>
      </c>
      <c r="J835" s="6" t="s">
        <v>37</v>
      </c>
      <c r="K835">
        <v>5</v>
      </c>
      <c r="M835" s="1" t="b">
        <f>Employee__2[[#This Row],[Experience]]&gt;1</f>
        <v>1</v>
      </c>
      <c r="N835" s="1" t="str">
        <f>IF(Employee__2[[#This Row],[City]]="Pune","Yes","No")</f>
        <v>No</v>
      </c>
      <c r="O835" s="1" t="str">
        <f>IF(AND(Employee__2[[#This Row],[Education]]="Bachelors",Employee__2[[#This Row],[City]]="Pune"),"Yes","No")</f>
        <v>No</v>
      </c>
      <c r="P835" s="1" t="str">
        <f>IF(OR(Employee__2[[#This Row],[Age]]&gt;=30,Employee__2[[#This Row],[Gender]]="Male"),"Mached","Not mached")</f>
        <v>Not mached</v>
      </c>
    </row>
    <row r="836" spans="4:16" x14ac:dyDescent="0.25">
      <c r="D836" s="6" t="s">
        <v>41</v>
      </c>
      <c r="E836">
        <v>2013</v>
      </c>
      <c r="F836" s="6" t="s">
        <v>40</v>
      </c>
      <c r="G836">
        <v>2</v>
      </c>
      <c r="H836">
        <v>27</v>
      </c>
      <c r="I836" s="6" t="s">
        <v>39</v>
      </c>
      <c r="J836" s="6" t="s">
        <v>37</v>
      </c>
      <c r="K836">
        <v>5</v>
      </c>
      <c r="M836" s="1" t="b">
        <f>Employee__2[[#This Row],[Experience]]&gt;1</f>
        <v>1</v>
      </c>
      <c r="N836" s="1" t="str">
        <f>IF(Employee__2[[#This Row],[City]]="Pune","Yes","No")</f>
        <v>No</v>
      </c>
      <c r="O836" s="1" t="str">
        <f>IF(AND(Employee__2[[#This Row],[Education]]="Bachelors",Employee__2[[#This Row],[City]]="Pune"),"Yes","No")</f>
        <v>No</v>
      </c>
      <c r="P836" s="1" t="str">
        <f>IF(OR(Employee__2[[#This Row],[Age]]&gt;=30,Employee__2[[#This Row],[Gender]]="Male"),"Mached","Not mached")</f>
        <v>Not mached</v>
      </c>
    </row>
    <row r="837" spans="4:16" x14ac:dyDescent="0.25">
      <c r="D837" s="6" t="s">
        <v>34</v>
      </c>
      <c r="E837">
        <v>2015</v>
      </c>
      <c r="F837" s="6" t="s">
        <v>35</v>
      </c>
      <c r="G837">
        <v>3</v>
      </c>
      <c r="H837">
        <v>26</v>
      </c>
      <c r="I837" s="6" t="s">
        <v>39</v>
      </c>
      <c r="J837" s="6" t="s">
        <v>37</v>
      </c>
      <c r="K837">
        <v>4</v>
      </c>
      <c r="M837" s="1" t="b">
        <f>Employee__2[[#This Row],[Experience]]&gt;1</f>
        <v>1</v>
      </c>
      <c r="N837" s="1" t="str">
        <f>IF(Employee__2[[#This Row],[City]]="Pune","Yes","No")</f>
        <v>No</v>
      </c>
      <c r="O837" s="1" t="str">
        <f>IF(AND(Employee__2[[#This Row],[Education]]="Bachelors",Employee__2[[#This Row],[City]]="Pune"),"Yes","No")</f>
        <v>No</v>
      </c>
      <c r="P837" s="1" t="str">
        <f>IF(OR(Employee__2[[#This Row],[Age]]&gt;=30,Employee__2[[#This Row],[Gender]]="Male"),"Mached","Not mached")</f>
        <v>Not mached</v>
      </c>
    </row>
    <row r="838" spans="4:16" x14ac:dyDescent="0.25">
      <c r="D838" s="6" t="s">
        <v>41</v>
      </c>
      <c r="E838">
        <v>2015</v>
      </c>
      <c r="F838" s="6" t="s">
        <v>40</v>
      </c>
      <c r="G838">
        <v>3</v>
      </c>
      <c r="H838">
        <v>28</v>
      </c>
      <c r="I838" s="6" t="s">
        <v>39</v>
      </c>
      <c r="J838" s="6" t="s">
        <v>37</v>
      </c>
      <c r="K838">
        <v>1</v>
      </c>
      <c r="M838" s="1" t="b">
        <f>Employee__2[[#This Row],[Experience]]&gt;1</f>
        <v>0</v>
      </c>
      <c r="N838" s="1" t="str">
        <f>IF(Employee__2[[#This Row],[City]]="Pune","Yes","No")</f>
        <v>No</v>
      </c>
      <c r="O838" s="1" t="str">
        <f>IF(AND(Employee__2[[#This Row],[Education]]="Bachelors",Employee__2[[#This Row],[City]]="Pune"),"Yes","No")</f>
        <v>No</v>
      </c>
      <c r="P838" s="1" t="str">
        <f>IF(OR(Employee__2[[#This Row],[Age]]&gt;=30,Employee__2[[#This Row],[Gender]]="Male"),"Mached","Not mached")</f>
        <v>Not mached</v>
      </c>
    </row>
    <row r="839" spans="4:16" x14ac:dyDescent="0.25">
      <c r="D839" s="6" t="s">
        <v>34</v>
      </c>
      <c r="E839">
        <v>2014</v>
      </c>
      <c r="F839" s="6" t="s">
        <v>35</v>
      </c>
      <c r="G839">
        <v>3</v>
      </c>
      <c r="H839">
        <v>27</v>
      </c>
      <c r="I839" s="6" t="s">
        <v>36</v>
      </c>
      <c r="J839" s="6" t="s">
        <v>37</v>
      </c>
      <c r="K839">
        <v>5</v>
      </c>
      <c r="M839" s="1" t="b">
        <f>Employee__2[[#This Row],[Experience]]&gt;1</f>
        <v>1</v>
      </c>
      <c r="N839" s="1" t="str">
        <f>IF(Employee__2[[#This Row],[City]]="Pune","Yes","No")</f>
        <v>No</v>
      </c>
      <c r="O839" s="1" t="str">
        <f>IF(AND(Employee__2[[#This Row],[Education]]="Bachelors",Employee__2[[#This Row],[City]]="Pune"),"Yes","No")</f>
        <v>No</v>
      </c>
      <c r="P839" s="1" t="str">
        <f>IF(OR(Employee__2[[#This Row],[Age]]&gt;=30,Employee__2[[#This Row],[Gender]]="Male"),"Mached","Not mached")</f>
        <v>Mached</v>
      </c>
    </row>
    <row r="840" spans="4:16" x14ac:dyDescent="0.25">
      <c r="D840" s="6" t="s">
        <v>34</v>
      </c>
      <c r="E840">
        <v>2013</v>
      </c>
      <c r="F840" s="6" t="s">
        <v>40</v>
      </c>
      <c r="G840">
        <v>3</v>
      </c>
      <c r="H840">
        <v>25</v>
      </c>
      <c r="I840" s="6" t="s">
        <v>39</v>
      </c>
      <c r="J840" s="6" t="s">
        <v>37</v>
      </c>
      <c r="K840">
        <v>3</v>
      </c>
      <c r="M840" s="1" t="b">
        <f>Employee__2[[#This Row],[Experience]]&gt;1</f>
        <v>1</v>
      </c>
      <c r="N840" s="1" t="str">
        <f>IF(Employee__2[[#This Row],[City]]="Pune","Yes","No")</f>
        <v>No</v>
      </c>
      <c r="O840" s="1" t="str">
        <f>IF(AND(Employee__2[[#This Row],[Education]]="Bachelors",Employee__2[[#This Row],[City]]="Pune"),"Yes","No")</f>
        <v>No</v>
      </c>
      <c r="P840" s="1" t="str">
        <f>IF(OR(Employee__2[[#This Row],[Age]]&gt;=30,Employee__2[[#This Row],[Gender]]="Male"),"Mached","Not mached")</f>
        <v>Not mached</v>
      </c>
    </row>
    <row r="841" spans="4:16" x14ac:dyDescent="0.25">
      <c r="D841" s="6" t="s">
        <v>34</v>
      </c>
      <c r="E841">
        <v>2015</v>
      </c>
      <c r="F841" s="6" t="s">
        <v>35</v>
      </c>
      <c r="G841">
        <v>3</v>
      </c>
      <c r="H841">
        <v>26</v>
      </c>
      <c r="I841" s="6" t="s">
        <v>39</v>
      </c>
      <c r="J841" s="6" t="s">
        <v>37</v>
      </c>
      <c r="K841">
        <v>4</v>
      </c>
      <c r="M841" s="1" t="b">
        <f>Employee__2[[#This Row],[Experience]]&gt;1</f>
        <v>1</v>
      </c>
      <c r="N841" s="1" t="str">
        <f>IF(Employee__2[[#This Row],[City]]="Pune","Yes","No")</f>
        <v>No</v>
      </c>
      <c r="O841" s="1" t="str">
        <f>IF(AND(Employee__2[[#This Row],[Education]]="Bachelors",Employee__2[[#This Row],[City]]="Pune"),"Yes","No")</f>
        <v>No</v>
      </c>
      <c r="P841" s="1" t="str">
        <f>IF(OR(Employee__2[[#This Row],[Age]]&gt;=30,Employee__2[[#This Row],[Gender]]="Male"),"Mached","Not mached")</f>
        <v>Not mached</v>
      </c>
    </row>
    <row r="842" spans="4:16" x14ac:dyDescent="0.25">
      <c r="D842" s="6" t="s">
        <v>34</v>
      </c>
      <c r="E842">
        <v>2012</v>
      </c>
      <c r="F842" s="6" t="s">
        <v>38</v>
      </c>
      <c r="G842">
        <v>3</v>
      </c>
      <c r="H842">
        <v>24</v>
      </c>
      <c r="I842" s="6" t="s">
        <v>36</v>
      </c>
      <c r="J842" s="6" t="s">
        <v>37</v>
      </c>
      <c r="K842">
        <v>2</v>
      </c>
      <c r="M842" s="1" t="b">
        <f>Employee__2[[#This Row],[Experience]]&gt;1</f>
        <v>1</v>
      </c>
      <c r="N842" s="1" t="str">
        <f>IF(Employee__2[[#This Row],[City]]="Pune","Yes","No")</f>
        <v>Yes</v>
      </c>
      <c r="O842" s="1" t="str">
        <f>IF(AND(Employee__2[[#This Row],[Education]]="Bachelors",Employee__2[[#This Row],[City]]="Pune"),"Yes","No")</f>
        <v>Yes</v>
      </c>
      <c r="P842" s="1" t="str">
        <f>IF(OR(Employee__2[[#This Row],[Age]]&gt;=30,Employee__2[[#This Row],[Gender]]="Male"),"Mached","Not mached")</f>
        <v>Mached</v>
      </c>
    </row>
    <row r="843" spans="4:16" x14ac:dyDescent="0.25">
      <c r="D843" s="6" t="s">
        <v>34</v>
      </c>
      <c r="E843">
        <v>2012</v>
      </c>
      <c r="F843" s="6" t="s">
        <v>35</v>
      </c>
      <c r="G843">
        <v>3</v>
      </c>
      <c r="H843">
        <v>26</v>
      </c>
      <c r="I843" s="6" t="s">
        <v>39</v>
      </c>
      <c r="J843" s="6" t="s">
        <v>37</v>
      </c>
      <c r="K843">
        <v>4</v>
      </c>
      <c r="M843" s="1" t="b">
        <f>Employee__2[[#This Row],[Experience]]&gt;1</f>
        <v>1</v>
      </c>
      <c r="N843" s="1" t="str">
        <f>IF(Employee__2[[#This Row],[City]]="Pune","Yes","No")</f>
        <v>No</v>
      </c>
      <c r="O843" s="1" t="str">
        <f>IF(AND(Employee__2[[#This Row],[Education]]="Bachelors",Employee__2[[#This Row],[City]]="Pune"),"Yes","No")</f>
        <v>No</v>
      </c>
      <c r="P843" s="1" t="str">
        <f>IF(OR(Employee__2[[#This Row],[Age]]&gt;=30,Employee__2[[#This Row],[Gender]]="Male"),"Mached","Not mached")</f>
        <v>Not mached</v>
      </c>
    </row>
    <row r="844" spans="4:16" x14ac:dyDescent="0.25">
      <c r="D844" s="6" t="s">
        <v>41</v>
      </c>
      <c r="E844">
        <v>2015</v>
      </c>
      <c r="F844" s="6" t="s">
        <v>38</v>
      </c>
      <c r="G844">
        <v>2</v>
      </c>
      <c r="H844">
        <v>25</v>
      </c>
      <c r="I844" s="6" t="s">
        <v>39</v>
      </c>
      <c r="J844" s="6" t="s">
        <v>37</v>
      </c>
      <c r="K844">
        <v>3</v>
      </c>
      <c r="M844" s="1" t="b">
        <f>Employee__2[[#This Row],[Experience]]&gt;1</f>
        <v>1</v>
      </c>
      <c r="N844" s="1" t="str">
        <f>IF(Employee__2[[#This Row],[City]]="Pune","Yes","No")</f>
        <v>Yes</v>
      </c>
      <c r="O844" s="1" t="str">
        <f>IF(AND(Employee__2[[#This Row],[Education]]="Bachelors",Employee__2[[#This Row],[City]]="Pune"),"Yes","No")</f>
        <v>No</v>
      </c>
      <c r="P844" s="1" t="str">
        <f>IF(OR(Employee__2[[#This Row],[Age]]&gt;=30,Employee__2[[#This Row],[Gender]]="Male"),"Mached","Not mached")</f>
        <v>Not mached</v>
      </c>
    </row>
    <row r="845" spans="4:16" x14ac:dyDescent="0.25">
      <c r="D845" s="6" t="s">
        <v>34</v>
      </c>
      <c r="E845">
        <v>2013</v>
      </c>
      <c r="F845" s="6" t="s">
        <v>40</v>
      </c>
      <c r="G845">
        <v>3</v>
      </c>
      <c r="H845">
        <v>24</v>
      </c>
      <c r="I845" s="6" t="s">
        <v>36</v>
      </c>
      <c r="J845" s="6" t="s">
        <v>37</v>
      </c>
      <c r="K845">
        <v>2</v>
      </c>
      <c r="M845" s="1" t="b">
        <f>Employee__2[[#This Row],[Experience]]&gt;1</f>
        <v>1</v>
      </c>
      <c r="N845" s="1" t="str">
        <f>IF(Employee__2[[#This Row],[City]]="Pune","Yes","No")</f>
        <v>No</v>
      </c>
      <c r="O845" s="1" t="str">
        <f>IF(AND(Employee__2[[#This Row],[Education]]="Bachelors",Employee__2[[#This Row],[City]]="Pune"),"Yes","No")</f>
        <v>No</v>
      </c>
      <c r="P845" s="1" t="str">
        <f>IF(OR(Employee__2[[#This Row],[Age]]&gt;=30,Employee__2[[#This Row],[Gender]]="Male"),"Mached","Not mached")</f>
        <v>Mached</v>
      </c>
    </row>
    <row r="846" spans="4:16" x14ac:dyDescent="0.25">
      <c r="D846" s="6" t="s">
        <v>41</v>
      </c>
      <c r="E846">
        <v>2017</v>
      </c>
      <c r="F846" s="6" t="s">
        <v>40</v>
      </c>
      <c r="G846">
        <v>2</v>
      </c>
      <c r="H846">
        <v>27</v>
      </c>
      <c r="I846" s="6" t="s">
        <v>39</v>
      </c>
      <c r="J846" s="6" t="s">
        <v>37</v>
      </c>
      <c r="K846">
        <v>5</v>
      </c>
      <c r="M846" s="1" t="b">
        <f>Employee__2[[#This Row],[Experience]]&gt;1</f>
        <v>1</v>
      </c>
      <c r="N846" s="1" t="str">
        <f>IF(Employee__2[[#This Row],[City]]="Pune","Yes","No")</f>
        <v>No</v>
      </c>
      <c r="O846" s="1" t="str">
        <f>IF(AND(Employee__2[[#This Row],[Education]]="Bachelors",Employee__2[[#This Row],[City]]="Pune"),"Yes","No")</f>
        <v>No</v>
      </c>
      <c r="P846" s="1" t="str">
        <f>IF(OR(Employee__2[[#This Row],[Age]]&gt;=30,Employee__2[[#This Row],[Gender]]="Male"),"Mached","Not mached")</f>
        <v>Not mached</v>
      </c>
    </row>
    <row r="847" spans="4:16" x14ac:dyDescent="0.25">
      <c r="D847" s="6" t="s">
        <v>41</v>
      </c>
      <c r="E847">
        <v>2017</v>
      </c>
      <c r="F847" s="6" t="s">
        <v>38</v>
      </c>
      <c r="G847">
        <v>2</v>
      </c>
      <c r="H847">
        <v>26</v>
      </c>
      <c r="I847" s="6" t="s">
        <v>36</v>
      </c>
      <c r="J847" s="6" t="s">
        <v>37</v>
      </c>
      <c r="K847">
        <v>4</v>
      </c>
      <c r="M847" s="1" t="b">
        <f>Employee__2[[#This Row],[Experience]]&gt;1</f>
        <v>1</v>
      </c>
      <c r="N847" s="1" t="str">
        <f>IF(Employee__2[[#This Row],[City]]="Pune","Yes","No")</f>
        <v>Yes</v>
      </c>
      <c r="O847" s="1" t="str">
        <f>IF(AND(Employee__2[[#This Row],[Education]]="Bachelors",Employee__2[[#This Row],[City]]="Pune"),"Yes","No")</f>
        <v>No</v>
      </c>
      <c r="P847" s="1" t="str">
        <f>IF(OR(Employee__2[[#This Row],[Age]]&gt;=30,Employee__2[[#This Row],[Gender]]="Male"),"Mached","Not mached")</f>
        <v>Mached</v>
      </c>
    </row>
    <row r="848" spans="4:16" x14ac:dyDescent="0.25">
      <c r="D848" s="6" t="s">
        <v>34</v>
      </c>
      <c r="E848">
        <v>2014</v>
      </c>
      <c r="F848" s="6" t="s">
        <v>38</v>
      </c>
      <c r="G848">
        <v>3</v>
      </c>
      <c r="H848">
        <v>27</v>
      </c>
      <c r="I848" s="6" t="s">
        <v>36</v>
      </c>
      <c r="J848" s="6" t="s">
        <v>37</v>
      </c>
      <c r="K848">
        <v>5</v>
      </c>
      <c r="M848" s="1" t="b">
        <f>Employee__2[[#This Row],[Experience]]&gt;1</f>
        <v>1</v>
      </c>
      <c r="N848" s="1" t="str">
        <f>IF(Employee__2[[#This Row],[City]]="Pune","Yes","No")</f>
        <v>Yes</v>
      </c>
      <c r="O848" s="1" t="str">
        <f>IF(AND(Employee__2[[#This Row],[Education]]="Bachelors",Employee__2[[#This Row],[City]]="Pune"),"Yes","No")</f>
        <v>Yes</v>
      </c>
      <c r="P848" s="1" t="str">
        <f>IF(OR(Employee__2[[#This Row],[Age]]&gt;=30,Employee__2[[#This Row],[Gender]]="Male"),"Mached","Not mached")</f>
        <v>Mached</v>
      </c>
    </row>
    <row r="849" spans="4:16" x14ac:dyDescent="0.25">
      <c r="D849" s="6" t="s">
        <v>34</v>
      </c>
      <c r="E849">
        <v>2018</v>
      </c>
      <c r="F849" s="6" t="s">
        <v>35</v>
      </c>
      <c r="G849">
        <v>3</v>
      </c>
      <c r="H849">
        <v>25</v>
      </c>
      <c r="I849" s="6" t="s">
        <v>36</v>
      </c>
      <c r="J849" s="6" t="s">
        <v>37</v>
      </c>
      <c r="K849">
        <v>3</v>
      </c>
      <c r="M849" s="1" t="b">
        <f>Employee__2[[#This Row],[Experience]]&gt;1</f>
        <v>1</v>
      </c>
      <c r="N849" s="1" t="str">
        <f>IF(Employee__2[[#This Row],[City]]="Pune","Yes","No")</f>
        <v>No</v>
      </c>
      <c r="O849" s="1" t="str">
        <f>IF(AND(Employee__2[[#This Row],[Education]]="Bachelors",Employee__2[[#This Row],[City]]="Pune"),"Yes","No")</f>
        <v>No</v>
      </c>
      <c r="P849" s="1" t="str">
        <f>IF(OR(Employee__2[[#This Row],[Age]]&gt;=30,Employee__2[[#This Row],[Gender]]="Male"),"Mached","Not mached")</f>
        <v>Mached</v>
      </c>
    </row>
    <row r="850" spans="4:16" x14ac:dyDescent="0.25">
      <c r="D850" s="6" t="s">
        <v>34</v>
      </c>
      <c r="E850">
        <v>2014</v>
      </c>
      <c r="F850" s="6" t="s">
        <v>35</v>
      </c>
      <c r="G850">
        <v>3</v>
      </c>
      <c r="H850">
        <v>25</v>
      </c>
      <c r="I850" s="6" t="s">
        <v>39</v>
      </c>
      <c r="J850" s="6" t="s">
        <v>37</v>
      </c>
      <c r="K850">
        <v>3</v>
      </c>
      <c r="M850" s="1" t="b">
        <f>Employee__2[[#This Row],[Experience]]&gt;1</f>
        <v>1</v>
      </c>
      <c r="N850" s="1" t="str">
        <f>IF(Employee__2[[#This Row],[City]]="Pune","Yes","No")</f>
        <v>No</v>
      </c>
      <c r="O850" s="1" t="str">
        <f>IF(AND(Employee__2[[#This Row],[Education]]="Bachelors",Employee__2[[#This Row],[City]]="Pune"),"Yes","No")</f>
        <v>No</v>
      </c>
      <c r="P850" s="1" t="str">
        <f>IF(OR(Employee__2[[#This Row],[Age]]&gt;=30,Employee__2[[#This Row],[Gender]]="Male"),"Mached","Not mached")</f>
        <v>Not mached</v>
      </c>
    </row>
    <row r="851" spans="4:16" x14ac:dyDescent="0.25">
      <c r="D851" s="6" t="s">
        <v>34</v>
      </c>
      <c r="E851">
        <v>2013</v>
      </c>
      <c r="F851" s="6" t="s">
        <v>38</v>
      </c>
      <c r="G851">
        <v>2</v>
      </c>
      <c r="H851">
        <v>27</v>
      </c>
      <c r="I851" s="6" t="s">
        <v>39</v>
      </c>
      <c r="J851" s="6" t="s">
        <v>37</v>
      </c>
      <c r="K851">
        <v>5</v>
      </c>
      <c r="M851" s="1" t="b">
        <f>Employee__2[[#This Row],[Experience]]&gt;1</f>
        <v>1</v>
      </c>
      <c r="N851" s="1" t="str">
        <f>IF(Employee__2[[#This Row],[City]]="Pune","Yes","No")</f>
        <v>Yes</v>
      </c>
      <c r="O851" s="1" t="str">
        <f>IF(AND(Employee__2[[#This Row],[Education]]="Bachelors",Employee__2[[#This Row],[City]]="Pune"),"Yes","No")</f>
        <v>Yes</v>
      </c>
      <c r="P851" s="1" t="str">
        <f>IF(OR(Employee__2[[#This Row],[Age]]&gt;=30,Employee__2[[#This Row],[Gender]]="Male"),"Mached","Not mached")</f>
        <v>Not mached</v>
      </c>
    </row>
    <row r="852" spans="4:16" x14ac:dyDescent="0.25">
      <c r="D852" s="6" t="s">
        <v>34</v>
      </c>
      <c r="E852">
        <v>2015</v>
      </c>
      <c r="F852" s="6" t="s">
        <v>38</v>
      </c>
      <c r="G852">
        <v>3</v>
      </c>
      <c r="H852">
        <v>26</v>
      </c>
      <c r="I852" s="6" t="s">
        <v>36</v>
      </c>
      <c r="J852" s="6" t="s">
        <v>37</v>
      </c>
      <c r="K852">
        <v>4</v>
      </c>
      <c r="M852" s="1" t="b">
        <f>Employee__2[[#This Row],[Experience]]&gt;1</f>
        <v>1</v>
      </c>
      <c r="N852" s="1" t="str">
        <f>IF(Employee__2[[#This Row],[City]]="Pune","Yes","No")</f>
        <v>Yes</v>
      </c>
      <c r="O852" s="1" t="str">
        <f>IF(AND(Employee__2[[#This Row],[Education]]="Bachelors",Employee__2[[#This Row],[City]]="Pune"),"Yes","No")</f>
        <v>Yes</v>
      </c>
      <c r="P852" s="1" t="str">
        <f>IF(OR(Employee__2[[#This Row],[Age]]&gt;=30,Employee__2[[#This Row],[Gender]]="Male"),"Mached","Not mached")</f>
        <v>Mached</v>
      </c>
    </row>
    <row r="853" spans="4:16" x14ac:dyDescent="0.25">
      <c r="D853" s="6" t="s">
        <v>34</v>
      </c>
      <c r="E853">
        <v>2017</v>
      </c>
      <c r="F853" s="6" t="s">
        <v>38</v>
      </c>
      <c r="G853">
        <v>2</v>
      </c>
      <c r="H853">
        <v>24</v>
      </c>
      <c r="I853" s="6" t="s">
        <v>36</v>
      </c>
      <c r="J853" s="6" t="s">
        <v>37</v>
      </c>
      <c r="K853">
        <v>2</v>
      </c>
      <c r="M853" s="1" t="b">
        <f>Employee__2[[#This Row],[Experience]]&gt;1</f>
        <v>1</v>
      </c>
      <c r="N853" s="1" t="str">
        <f>IF(Employee__2[[#This Row],[City]]="Pune","Yes","No")</f>
        <v>Yes</v>
      </c>
      <c r="O853" s="1" t="str">
        <f>IF(AND(Employee__2[[#This Row],[Education]]="Bachelors",Employee__2[[#This Row],[City]]="Pune"),"Yes","No")</f>
        <v>Yes</v>
      </c>
      <c r="P853" s="1" t="str">
        <f>IF(OR(Employee__2[[#This Row],[Age]]&gt;=30,Employee__2[[#This Row],[Gender]]="Male"),"Mached","Not mached")</f>
        <v>Mached</v>
      </c>
    </row>
    <row r="854" spans="4:16" x14ac:dyDescent="0.25">
      <c r="D854" s="6" t="s">
        <v>41</v>
      </c>
      <c r="E854">
        <v>2017</v>
      </c>
      <c r="F854" s="6" t="s">
        <v>40</v>
      </c>
      <c r="G854">
        <v>2</v>
      </c>
      <c r="H854">
        <v>26</v>
      </c>
      <c r="I854" s="6" t="s">
        <v>36</v>
      </c>
      <c r="J854" s="6" t="s">
        <v>37</v>
      </c>
      <c r="K854">
        <v>4</v>
      </c>
      <c r="M854" s="1" t="b">
        <f>Employee__2[[#This Row],[Experience]]&gt;1</f>
        <v>1</v>
      </c>
      <c r="N854" s="1" t="str">
        <f>IF(Employee__2[[#This Row],[City]]="Pune","Yes","No")</f>
        <v>No</v>
      </c>
      <c r="O854" s="1" t="str">
        <f>IF(AND(Employee__2[[#This Row],[Education]]="Bachelors",Employee__2[[#This Row],[City]]="Pune"),"Yes","No")</f>
        <v>No</v>
      </c>
      <c r="P854" s="1" t="str">
        <f>IF(OR(Employee__2[[#This Row],[Age]]&gt;=30,Employee__2[[#This Row],[Gender]]="Male"),"Mached","Not mached")</f>
        <v>Mached</v>
      </c>
    </row>
    <row r="855" spans="4:16" x14ac:dyDescent="0.25">
      <c r="D855" s="6" t="s">
        <v>34</v>
      </c>
      <c r="E855">
        <v>2013</v>
      </c>
      <c r="F855" s="6" t="s">
        <v>38</v>
      </c>
      <c r="G855">
        <v>2</v>
      </c>
      <c r="H855">
        <v>25</v>
      </c>
      <c r="I855" s="6" t="s">
        <v>36</v>
      </c>
      <c r="J855" s="6" t="s">
        <v>42</v>
      </c>
      <c r="K855">
        <v>3</v>
      </c>
      <c r="M855" s="1" t="b">
        <f>Employee__2[[#This Row],[Experience]]&gt;1</f>
        <v>1</v>
      </c>
      <c r="N855" s="1" t="str">
        <f>IF(Employee__2[[#This Row],[City]]="Pune","Yes","No")</f>
        <v>Yes</v>
      </c>
      <c r="O855" s="1" t="str">
        <f>IF(AND(Employee__2[[#This Row],[Education]]="Bachelors",Employee__2[[#This Row],[City]]="Pune"),"Yes","No")</f>
        <v>Yes</v>
      </c>
      <c r="P855" s="1" t="str">
        <f>IF(OR(Employee__2[[#This Row],[Age]]&gt;=30,Employee__2[[#This Row],[Gender]]="Male"),"Mached","Not mached")</f>
        <v>Mached</v>
      </c>
    </row>
    <row r="856" spans="4:16" x14ac:dyDescent="0.25">
      <c r="D856" s="6" t="s">
        <v>41</v>
      </c>
      <c r="E856">
        <v>2017</v>
      </c>
      <c r="F856" s="6" t="s">
        <v>40</v>
      </c>
      <c r="G856">
        <v>2</v>
      </c>
      <c r="H856">
        <v>25</v>
      </c>
      <c r="I856" s="6" t="s">
        <v>39</v>
      </c>
      <c r="J856" s="6" t="s">
        <v>37</v>
      </c>
      <c r="K856">
        <v>3</v>
      </c>
      <c r="M856" s="1" t="b">
        <f>Employee__2[[#This Row],[Experience]]&gt;1</f>
        <v>1</v>
      </c>
      <c r="N856" s="1" t="str">
        <f>IF(Employee__2[[#This Row],[City]]="Pune","Yes","No")</f>
        <v>No</v>
      </c>
      <c r="O856" s="1" t="str">
        <f>IF(AND(Employee__2[[#This Row],[Education]]="Bachelors",Employee__2[[#This Row],[City]]="Pune"),"Yes","No")</f>
        <v>No</v>
      </c>
      <c r="P856" s="1" t="str">
        <f>IF(OR(Employee__2[[#This Row],[Age]]&gt;=30,Employee__2[[#This Row],[Gender]]="Male"),"Mached","Not mached")</f>
        <v>Not mached</v>
      </c>
    </row>
    <row r="857" spans="4:16" x14ac:dyDescent="0.25">
      <c r="D857" s="6" t="s">
        <v>34</v>
      </c>
      <c r="E857">
        <v>2013</v>
      </c>
      <c r="F857" s="6" t="s">
        <v>38</v>
      </c>
      <c r="G857">
        <v>3</v>
      </c>
      <c r="H857">
        <v>26</v>
      </c>
      <c r="I857" s="6" t="s">
        <v>39</v>
      </c>
      <c r="J857" s="6" t="s">
        <v>42</v>
      </c>
      <c r="K857">
        <v>4</v>
      </c>
      <c r="M857" s="1" t="b">
        <f>Employee__2[[#This Row],[Experience]]&gt;1</f>
        <v>1</v>
      </c>
      <c r="N857" s="1" t="str">
        <f>IF(Employee__2[[#This Row],[City]]="Pune","Yes","No")</f>
        <v>Yes</v>
      </c>
      <c r="O857" s="1" t="str">
        <f>IF(AND(Employee__2[[#This Row],[Education]]="Bachelors",Employee__2[[#This Row],[City]]="Pune"),"Yes","No")</f>
        <v>Yes</v>
      </c>
      <c r="P857" s="1" t="str">
        <f>IF(OR(Employee__2[[#This Row],[Age]]&gt;=30,Employee__2[[#This Row],[Gender]]="Male"),"Mached","Not mached")</f>
        <v>Not mached</v>
      </c>
    </row>
    <row r="858" spans="4:16" x14ac:dyDescent="0.25">
      <c r="D858" s="6" t="s">
        <v>34</v>
      </c>
      <c r="E858">
        <v>2014</v>
      </c>
      <c r="F858" s="6" t="s">
        <v>38</v>
      </c>
      <c r="G858">
        <v>3</v>
      </c>
      <c r="H858">
        <v>28</v>
      </c>
      <c r="I858" s="6" t="s">
        <v>36</v>
      </c>
      <c r="J858" s="6" t="s">
        <v>37</v>
      </c>
      <c r="K858">
        <v>2</v>
      </c>
      <c r="M858" s="1" t="b">
        <f>Employee__2[[#This Row],[Experience]]&gt;1</f>
        <v>1</v>
      </c>
      <c r="N858" s="1" t="str">
        <f>IF(Employee__2[[#This Row],[City]]="Pune","Yes","No")</f>
        <v>Yes</v>
      </c>
      <c r="O858" s="1" t="str">
        <f>IF(AND(Employee__2[[#This Row],[Education]]="Bachelors",Employee__2[[#This Row],[City]]="Pune"),"Yes","No")</f>
        <v>Yes</v>
      </c>
      <c r="P858" s="1" t="str">
        <f>IF(OR(Employee__2[[#This Row],[Age]]&gt;=30,Employee__2[[#This Row],[Gender]]="Male"),"Mached","Not mached")</f>
        <v>Mached</v>
      </c>
    </row>
    <row r="859" spans="4:16" x14ac:dyDescent="0.25">
      <c r="D859" s="6" t="s">
        <v>34</v>
      </c>
      <c r="E859">
        <v>2016</v>
      </c>
      <c r="F859" s="6" t="s">
        <v>40</v>
      </c>
      <c r="G859">
        <v>3</v>
      </c>
      <c r="H859">
        <v>27</v>
      </c>
      <c r="I859" s="6" t="s">
        <v>39</v>
      </c>
      <c r="J859" s="6" t="s">
        <v>37</v>
      </c>
      <c r="K859">
        <v>5</v>
      </c>
      <c r="M859" s="1" t="b">
        <f>Employee__2[[#This Row],[Experience]]&gt;1</f>
        <v>1</v>
      </c>
      <c r="N859" s="1" t="str">
        <f>IF(Employee__2[[#This Row],[City]]="Pune","Yes","No")</f>
        <v>No</v>
      </c>
      <c r="O859" s="1" t="str">
        <f>IF(AND(Employee__2[[#This Row],[Education]]="Bachelors",Employee__2[[#This Row],[City]]="Pune"),"Yes","No")</f>
        <v>No</v>
      </c>
      <c r="P859" s="1" t="str">
        <f>IF(OR(Employee__2[[#This Row],[Age]]&gt;=30,Employee__2[[#This Row],[Gender]]="Male"),"Mached","Not mached")</f>
        <v>Not mached</v>
      </c>
    </row>
    <row r="860" spans="4:16" x14ac:dyDescent="0.25">
      <c r="D860" s="6" t="s">
        <v>34</v>
      </c>
      <c r="E860">
        <v>2017</v>
      </c>
      <c r="F860" s="6" t="s">
        <v>40</v>
      </c>
      <c r="G860">
        <v>2</v>
      </c>
      <c r="H860">
        <v>28</v>
      </c>
      <c r="I860" s="6" t="s">
        <v>36</v>
      </c>
      <c r="J860" s="6" t="s">
        <v>37</v>
      </c>
      <c r="K860">
        <v>1</v>
      </c>
      <c r="M860" s="1" t="b">
        <f>Employee__2[[#This Row],[Experience]]&gt;1</f>
        <v>0</v>
      </c>
      <c r="N860" s="1" t="str">
        <f>IF(Employee__2[[#This Row],[City]]="Pune","Yes","No")</f>
        <v>No</v>
      </c>
      <c r="O860" s="1" t="str">
        <f>IF(AND(Employee__2[[#This Row],[Education]]="Bachelors",Employee__2[[#This Row],[City]]="Pune"),"Yes","No")</f>
        <v>No</v>
      </c>
      <c r="P860" s="1" t="str">
        <f>IF(OR(Employee__2[[#This Row],[Age]]&gt;=30,Employee__2[[#This Row],[Gender]]="Male"),"Mached","Not mached")</f>
        <v>Mached</v>
      </c>
    </row>
    <row r="861" spans="4:16" x14ac:dyDescent="0.25">
      <c r="D861" s="6" t="s">
        <v>41</v>
      </c>
      <c r="E861">
        <v>2014</v>
      </c>
      <c r="F861" s="6" t="s">
        <v>40</v>
      </c>
      <c r="G861">
        <v>3</v>
      </c>
      <c r="H861">
        <v>27</v>
      </c>
      <c r="I861" s="6" t="s">
        <v>36</v>
      </c>
      <c r="J861" s="6" t="s">
        <v>37</v>
      </c>
      <c r="K861">
        <v>5</v>
      </c>
      <c r="M861" s="1" t="b">
        <f>Employee__2[[#This Row],[Experience]]&gt;1</f>
        <v>1</v>
      </c>
      <c r="N861" s="1" t="str">
        <f>IF(Employee__2[[#This Row],[City]]="Pune","Yes","No")</f>
        <v>No</v>
      </c>
      <c r="O861" s="1" t="str">
        <f>IF(AND(Employee__2[[#This Row],[Education]]="Bachelors",Employee__2[[#This Row],[City]]="Pune"),"Yes","No")</f>
        <v>No</v>
      </c>
      <c r="P861" s="1" t="str">
        <f>IF(OR(Employee__2[[#This Row],[Age]]&gt;=30,Employee__2[[#This Row],[Gender]]="Male"),"Mached","Not mached")</f>
        <v>Mached</v>
      </c>
    </row>
    <row r="862" spans="4:16" x14ac:dyDescent="0.25">
      <c r="D862" s="6" t="s">
        <v>34</v>
      </c>
      <c r="E862">
        <v>2014</v>
      </c>
      <c r="F862" s="6" t="s">
        <v>40</v>
      </c>
      <c r="G862">
        <v>3</v>
      </c>
      <c r="H862">
        <v>28</v>
      </c>
      <c r="I862" s="6" t="s">
        <v>39</v>
      </c>
      <c r="J862" s="6" t="s">
        <v>37</v>
      </c>
      <c r="K862">
        <v>1</v>
      </c>
      <c r="M862" s="1" t="b">
        <f>Employee__2[[#This Row],[Experience]]&gt;1</f>
        <v>0</v>
      </c>
      <c r="N862" s="1" t="str">
        <f>IF(Employee__2[[#This Row],[City]]="Pune","Yes","No")</f>
        <v>No</v>
      </c>
      <c r="O862" s="1" t="str">
        <f>IF(AND(Employee__2[[#This Row],[Education]]="Bachelors",Employee__2[[#This Row],[City]]="Pune"),"Yes","No")</f>
        <v>No</v>
      </c>
      <c r="P862" s="1" t="str">
        <f>IF(OR(Employee__2[[#This Row],[Age]]&gt;=30,Employee__2[[#This Row],[Gender]]="Male"),"Mached","Not mached")</f>
        <v>Not mached</v>
      </c>
    </row>
    <row r="863" spans="4:16" x14ac:dyDescent="0.25">
      <c r="D863" s="6" t="s">
        <v>34</v>
      </c>
      <c r="E863">
        <v>2015</v>
      </c>
      <c r="F863" s="6" t="s">
        <v>35</v>
      </c>
      <c r="G863">
        <v>3</v>
      </c>
      <c r="H863">
        <v>27</v>
      </c>
      <c r="I863" s="6" t="s">
        <v>36</v>
      </c>
      <c r="J863" s="6" t="s">
        <v>37</v>
      </c>
      <c r="K863">
        <v>5</v>
      </c>
      <c r="M863" s="1" t="b">
        <f>Employee__2[[#This Row],[Experience]]&gt;1</f>
        <v>1</v>
      </c>
      <c r="N863" s="1" t="str">
        <f>IF(Employee__2[[#This Row],[City]]="Pune","Yes","No")</f>
        <v>No</v>
      </c>
      <c r="O863" s="1" t="str">
        <f>IF(AND(Employee__2[[#This Row],[Education]]="Bachelors",Employee__2[[#This Row],[City]]="Pune"),"Yes","No")</f>
        <v>No</v>
      </c>
      <c r="P863" s="1" t="str">
        <f>IF(OR(Employee__2[[#This Row],[Age]]&gt;=30,Employee__2[[#This Row],[Gender]]="Male"),"Mached","Not mached")</f>
        <v>Mached</v>
      </c>
    </row>
    <row r="864" spans="4:16" x14ac:dyDescent="0.25">
      <c r="D864" s="6" t="s">
        <v>34</v>
      </c>
      <c r="E864">
        <v>2015</v>
      </c>
      <c r="F864" s="6" t="s">
        <v>35</v>
      </c>
      <c r="G864">
        <v>3</v>
      </c>
      <c r="H864">
        <v>24</v>
      </c>
      <c r="I864" s="6" t="s">
        <v>36</v>
      </c>
      <c r="J864" s="6" t="s">
        <v>37</v>
      </c>
      <c r="K864">
        <v>2</v>
      </c>
      <c r="M864" s="1" t="b">
        <f>Employee__2[[#This Row],[Experience]]&gt;1</f>
        <v>1</v>
      </c>
      <c r="N864" s="1" t="str">
        <f>IF(Employee__2[[#This Row],[City]]="Pune","Yes","No")</f>
        <v>No</v>
      </c>
      <c r="O864" s="1" t="str">
        <f>IF(AND(Employee__2[[#This Row],[Education]]="Bachelors",Employee__2[[#This Row],[City]]="Pune"),"Yes","No")</f>
        <v>No</v>
      </c>
      <c r="P864" s="1" t="str">
        <f>IF(OR(Employee__2[[#This Row],[Age]]&gt;=30,Employee__2[[#This Row],[Gender]]="Male"),"Mached","Not mached")</f>
        <v>Mached</v>
      </c>
    </row>
    <row r="865" spans="4:16" x14ac:dyDescent="0.25">
      <c r="D865" s="6" t="s">
        <v>34</v>
      </c>
      <c r="E865">
        <v>2018</v>
      </c>
      <c r="F865" s="6" t="s">
        <v>35</v>
      </c>
      <c r="G865">
        <v>3</v>
      </c>
      <c r="H865">
        <v>24</v>
      </c>
      <c r="I865" s="6" t="s">
        <v>36</v>
      </c>
      <c r="J865" s="6" t="s">
        <v>37</v>
      </c>
      <c r="K865">
        <v>2</v>
      </c>
      <c r="M865" s="1" t="b">
        <f>Employee__2[[#This Row],[Experience]]&gt;1</f>
        <v>1</v>
      </c>
      <c r="N865" s="1" t="str">
        <f>IF(Employee__2[[#This Row],[City]]="Pune","Yes","No")</f>
        <v>No</v>
      </c>
      <c r="O865" s="1" t="str">
        <f>IF(AND(Employee__2[[#This Row],[Education]]="Bachelors",Employee__2[[#This Row],[City]]="Pune"),"Yes","No")</f>
        <v>No</v>
      </c>
      <c r="P865" s="1" t="str">
        <f>IF(OR(Employee__2[[#This Row],[Age]]&gt;=30,Employee__2[[#This Row],[Gender]]="Male"),"Mached","Not mached")</f>
        <v>Mached</v>
      </c>
    </row>
    <row r="866" spans="4:16" x14ac:dyDescent="0.25">
      <c r="D866" s="6" t="s">
        <v>34</v>
      </c>
      <c r="E866">
        <v>2013</v>
      </c>
      <c r="F866" s="6" t="s">
        <v>38</v>
      </c>
      <c r="G866">
        <v>3</v>
      </c>
      <c r="H866">
        <v>26</v>
      </c>
      <c r="I866" s="6" t="s">
        <v>36</v>
      </c>
      <c r="J866" s="6" t="s">
        <v>37</v>
      </c>
      <c r="K866">
        <v>4</v>
      </c>
      <c r="M866" s="1" t="b">
        <f>Employee__2[[#This Row],[Experience]]&gt;1</f>
        <v>1</v>
      </c>
      <c r="N866" s="1" t="str">
        <f>IF(Employee__2[[#This Row],[City]]="Pune","Yes","No")</f>
        <v>Yes</v>
      </c>
      <c r="O866" s="1" t="str">
        <f>IF(AND(Employee__2[[#This Row],[Education]]="Bachelors",Employee__2[[#This Row],[City]]="Pune"),"Yes","No")</f>
        <v>Yes</v>
      </c>
      <c r="P866" s="1" t="str">
        <f>IF(OR(Employee__2[[#This Row],[Age]]&gt;=30,Employee__2[[#This Row],[Gender]]="Male"),"Mached","Not mached")</f>
        <v>Mached</v>
      </c>
    </row>
    <row r="867" spans="4:16" x14ac:dyDescent="0.25">
      <c r="D867" s="6" t="s">
        <v>34</v>
      </c>
      <c r="E867">
        <v>2012</v>
      </c>
      <c r="F867" s="6" t="s">
        <v>35</v>
      </c>
      <c r="G867">
        <v>3</v>
      </c>
      <c r="H867">
        <v>28</v>
      </c>
      <c r="I867" s="6" t="s">
        <v>39</v>
      </c>
      <c r="J867" s="6" t="s">
        <v>37</v>
      </c>
      <c r="K867">
        <v>2</v>
      </c>
      <c r="M867" s="1" t="b">
        <f>Employee__2[[#This Row],[Experience]]&gt;1</f>
        <v>1</v>
      </c>
      <c r="N867" s="1" t="str">
        <f>IF(Employee__2[[#This Row],[City]]="Pune","Yes","No")</f>
        <v>No</v>
      </c>
      <c r="O867" s="1" t="str">
        <f>IF(AND(Employee__2[[#This Row],[Education]]="Bachelors",Employee__2[[#This Row],[City]]="Pune"),"Yes","No")</f>
        <v>No</v>
      </c>
      <c r="P867" s="1" t="str">
        <f>IF(OR(Employee__2[[#This Row],[Age]]&gt;=30,Employee__2[[#This Row],[Gender]]="Male"),"Mached","Not mached")</f>
        <v>Not mached</v>
      </c>
    </row>
    <row r="868" spans="4:16" x14ac:dyDescent="0.25">
      <c r="D868" s="6" t="s">
        <v>41</v>
      </c>
      <c r="E868">
        <v>2017</v>
      </c>
      <c r="F868" s="6" t="s">
        <v>38</v>
      </c>
      <c r="G868">
        <v>2</v>
      </c>
      <c r="H868">
        <v>26</v>
      </c>
      <c r="I868" s="6" t="s">
        <v>36</v>
      </c>
      <c r="J868" s="6" t="s">
        <v>37</v>
      </c>
      <c r="K868">
        <v>4</v>
      </c>
      <c r="M868" s="1" t="b">
        <f>Employee__2[[#This Row],[Experience]]&gt;1</f>
        <v>1</v>
      </c>
      <c r="N868" s="1" t="str">
        <f>IF(Employee__2[[#This Row],[City]]="Pune","Yes","No")</f>
        <v>Yes</v>
      </c>
      <c r="O868" s="1" t="str">
        <f>IF(AND(Employee__2[[#This Row],[Education]]="Bachelors",Employee__2[[#This Row],[City]]="Pune"),"Yes","No")</f>
        <v>No</v>
      </c>
      <c r="P868" s="1" t="str">
        <f>IF(OR(Employee__2[[#This Row],[Age]]&gt;=30,Employee__2[[#This Row],[Gender]]="Male"),"Mached","Not mached")</f>
        <v>Mached</v>
      </c>
    </row>
    <row r="869" spans="4:16" x14ac:dyDescent="0.25">
      <c r="D869" s="6" t="s">
        <v>41</v>
      </c>
      <c r="E869">
        <v>2017</v>
      </c>
      <c r="F869" s="6" t="s">
        <v>40</v>
      </c>
      <c r="G869">
        <v>2</v>
      </c>
      <c r="H869">
        <v>25</v>
      </c>
      <c r="I869" s="6" t="s">
        <v>36</v>
      </c>
      <c r="J869" s="6" t="s">
        <v>37</v>
      </c>
      <c r="K869">
        <v>3</v>
      </c>
      <c r="M869" s="1" t="b">
        <f>Employee__2[[#This Row],[Experience]]&gt;1</f>
        <v>1</v>
      </c>
      <c r="N869" s="1" t="str">
        <f>IF(Employee__2[[#This Row],[City]]="Pune","Yes","No")</f>
        <v>No</v>
      </c>
      <c r="O869" s="1" t="str">
        <f>IF(AND(Employee__2[[#This Row],[Education]]="Bachelors",Employee__2[[#This Row],[City]]="Pune"),"Yes","No")</f>
        <v>No</v>
      </c>
      <c r="P869" s="1" t="str">
        <f>IF(OR(Employee__2[[#This Row],[Age]]&gt;=30,Employee__2[[#This Row],[Gender]]="Male"),"Mached","Not mached")</f>
        <v>Mached</v>
      </c>
    </row>
    <row r="870" spans="4:16" x14ac:dyDescent="0.25">
      <c r="D870" s="6" t="s">
        <v>34</v>
      </c>
      <c r="E870">
        <v>2016</v>
      </c>
      <c r="F870" s="6" t="s">
        <v>40</v>
      </c>
      <c r="G870">
        <v>3</v>
      </c>
      <c r="H870">
        <v>27</v>
      </c>
      <c r="I870" s="6" t="s">
        <v>39</v>
      </c>
      <c r="J870" s="6" t="s">
        <v>37</v>
      </c>
      <c r="K870">
        <v>5</v>
      </c>
      <c r="M870" s="1" t="b">
        <f>Employee__2[[#This Row],[Experience]]&gt;1</f>
        <v>1</v>
      </c>
      <c r="N870" s="1" t="str">
        <f>IF(Employee__2[[#This Row],[City]]="Pune","Yes","No")</f>
        <v>No</v>
      </c>
      <c r="O870" s="1" t="str">
        <f>IF(AND(Employee__2[[#This Row],[Education]]="Bachelors",Employee__2[[#This Row],[City]]="Pune"),"Yes","No")</f>
        <v>No</v>
      </c>
      <c r="P870" s="1" t="str">
        <f>IF(OR(Employee__2[[#This Row],[Age]]&gt;=30,Employee__2[[#This Row],[Gender]]="Male"),"Mached","Not mached")</f>
        <v>Not mached</v>
      </c>
    </row>
    <row r="871" spans="4:16" x14ac:dyDescent="0.25">
      <c r="D871" s="6" t="s">
        <v>34</v>
      </c>
      <c r="E871">
        <v>2012</v>
      </c>
      <c r="F871" s="6" t="s">
        <v>35</v>
      </c>
      <c r="G871">
        <v>3</v>
      </c>
      <c r="H871">
        <v>26</v>
      </c>
      <c r="I871" s="6" t="s">
        <v>36</v>
      </c>
      <c r="J871" s="6" t="s">
        <v>37</v>
      </c>
      <c r="K871">
        <v>4</v>
      </c>
      <c r="M871" s="1" t="b">
        <f>Employee__2[[#This Row],[Experience]]&gt;1</f>
        <v>1</v>
      </c>
      <c r="N871" s="1" t="str">
        <f>IF(Employee__2[[#This Row],[City]]="Pune","Yes","No")</f>
        <v>No</v>
      </c>
      <c r="O871" s="1" t="str">
        <f>IF(AND(Employee__2[[#This Row],[Education]]="Bachelors",Employee__2[[#This Row],[City]]="Pune"),"Yes","No")</f>
        <v>No</v>
      </c>
      <c r="P871" s="1" t="str">
        <f>IF(OR(Employee__2[[#This Row],[Age]]&gt;=30,Employee__2[[#This Row],[Gender]]="Male"),"Mached","Not mached")</f>
        <v>Mached</v>
      </c>
    </row>
    <row r="872" spans="4:16" x14ac:dyDescent="0.25">
      <c r="D872" s="6" t="s">
        <v>34</v>
      </c>
      <c r="E872">
        <v>2015</v>
      </c>
      <c r="F872" s="6" t="s">
        <v>38</v>
      </c>
      <c r="G872">
        <v>3</v>
      </c>
      <c r="H872">
        <v>25</v>
      </c>
      <c r="I872" s="6" t="s">
        <v>36</v>
      </c>
      <c r="J872" s="6" t="s">
        <v>37</v>
      </c>
      <c r="K872">
        <v>3</v>
      </c>
      <c r="M872" s="1" t="b">
        <f>Employee__2[[#This Row],[Experience]]&gt;1</f>
        <v>1</v>
      </c>
      <c r="N872" s="1" t="str">
        <f>IF(Employee__2[[#This Row],[City]]="Pune","Yes","No")</f>
        <v>Yes</v>
      </c>
      <c r="O872" s="1" t="str">
        <f>IF(AND(Employee__2[[#This Row],[Education]]="Bachelors",Employee__2[[#This Row],[City]]="Pune"),"Yes","No")</f>
        <v>Yes</v>
      </c>
      <c r="P872" s="1" t="str">
        <f>IF(OR(Employee__2[[#This Row],[Age]]&gt;=30,Employee__2[[#This Row],[Gender]]="Male"),"Mached","Not mached")</f>
        <v>Mached</v>
      </c>
    </row>
    <row r="873" spans="4:16" x14ac:dyDescent="0.25">
      <c r="D873" s="6" t="s">
        <v>34</v>
      </c>
      <c r="E873">
        <v>2012</v>
      </c>
      <c r="F873" s="6" t="s">
        <v>40</v>
      </c>
      <c r="G873">
        <v>3</v>
      </c>
      <c r="H873">
        <v>26</v>
      </c>
      <c r="I873" s="6" t="s">
        <v>39</v>
      </c>
      <c r="J873" s="6" t="s">
        <v>42</v>
      </c>
      <c r="K873">
        <v>4</v>
      </c>
      <c r="M873" s="1" t="b">
        <f>Employee__2[[#This Row],[Experience]]&gt;1</f>
        <v>1</v>
      </c>
      <c r="N873" s="1" t="str">
        <f>IF(Employee__2[[#This Row],[City]]="Pune","Yes","No")</f>
        <v>No</v>
      </c>
      <c r="O873" s="1" t="str">
        <f>IF(AND(Employee__2[[#This Row],[Education]]="Bachelors",Employee__2[[#This Row],[City]]="Pune"),"Yes","No")</f>
        <v>No</v>
      </c>
      <c r="P873" s="1" t="str">
        <f>IF(OR(Employee__2[[#This Row],[Age]]&gt;=30,Employee__2[[#This Row],[Gender]]="Male"),"Mached","Not mached")</f>
        <v>Not mached</v>
      </c>
    </row>
    <row r="874" spans="4:16" x14ac:dyDescent="0.25">
      <c r="D874" s="6" t="s">
        <v>41</v>
      </c>
      <c r="E874">
        <v>2014</v>
      </c>
      <c r="F874" s="6" t="s">
        <v>35</v>
      </c>
      <c r="G874">
        <v>3</v>
      </c>
      <c r="H874">
        <v>27</v>
      </c>
      <c r="I874" s="6" t="s">
        <v>36</v>
      </c>
      <c r="J874" s="6" t="s">
        <v>37</v>
      </c>
      <c r="K874">
        <v>5</v>
      </c>
      <c r="M874" s="1" t="b">
        <f>Employee__2[[#This Row],[Experience]]&gt;1</f>
        <v>1</v>
      </c>
      <c r="N874" s="1" t="str">
        <f>IF(Employee__2[[#This Row],[City]]="Pune","Yes","No")</f>
        <v>No</v>
      </c>
      <c r="O874" s="1" t="str">
        <f>IF(AND(Employee__2[[#This Row],[Education]]="Bachelors",Employee__2[[#This Row],[City]]="Pune"),"Yes","No")</f>
        <v>No</v>
      </c>
      <c r="P874" s="1" t="str">
        <f>IF(OR(Employee__2[[#This Row],[Age]]&gt;=30,Employee__2[[#This Row],[Gender]]="Male"),"Mached","Not mached")</f>
        <v>Mached</v>
      </c>
    </row>
    <row r="875" spans="4:16" x14ac:dyDescent="0.25">
      <c r="D875" s="6" t="s">
        <v>41</v>
      </c>
      <c r="E875">
        <v>2017</v>
      </c>
      <c r="F875" s="6" t="s">
        <v>40</v>
      </c>
      <c r="G875">
        <v>2</v>
      </c>
      <c r="H875">
        <v>26</v>
      </c>
      <c r="I875" s="6" t="s">
        <v>36</v>
      </c>
      <c r="J875" s="6" t="s">
        <v>37</v>
      </c>
      <c r="K875">
        <v>4</v>
      </c>
      <c r="M875" s="1" t="b">
        <f>Employee__2[[#This Row],[Experience]]&gt;1</f>
        <v>1</v>
      </c>
      <c r="N875" s="1" t="str">
        <f>IF(Employee__2[[#This Row],[City]]="Pune","Yes","No")</f>
        <v>No</v>
      </c>
      <c r="O875" s="1" t="str">
        <f>IF(AND(Employee__2[[#This Row],[Education]]="Bachelors",Employee__2[[#This Row],[City]]="Pune"),"Yes","No")</f>
        <v>No</v>
      </c>
      <c r="P875" s="1" t="str">
        <f>IF(OR(Employee__2[[#This Row],[Age]]&gt;=30,Employee__2[[#This Row],[Gender]]="Male"),"Mached","Not mached")</f>
        <v>Mached</v>
      </c>
    </row>
    <row r="876" spans="4:16" x14ac:dyDescent="0.25">
      <c r="D876" s="6" t="s">
        <v>41</v>
      </c>
      <c r="E876">
        <v>2012</v>
      </c>
      <c r="F876" s="6" t="s">
        <v>40</v>
      </c>
      <c r="G876">
        <v>3</v>
      </c>
      <c r="H876">
        <v>26</v>
      </c>
      <c r="I876" s="6" t="s">
        <v>36</v>
      </c>
      <c r="J876" s="6" t="s">
        <v>37</v>
      </c>
      <c r="K876">
        <v>4</v>
      </c>
      <c r="M876" s="1" t="b">
        <f>Employee__2[[#This Row],[Experience]]&gt;1</f>
        <v>1</v>
      </c>
      <c r="N876" s="1" t="str">
        <f>IF(Employee__2[[#This Row],[City]]="Pune","Yes","No")</f>
        <v>No</v>
      </c>
      <c r="O876" s="1" t="str">
        <f>IF(AND(Employee__2[[#This Row],[Education]]="Bachelors",Employee__2[[#This Row],[City]]="Pune"),"Yes","No")</f>
        <v>No</v>
      </c>
      <c r="P876" s="1" t="str">
        <f>IF(OR(Employee__2[[#This Row],[Age]]&gt;=30,Employee__2[[#This Row],[Gender]]="Male"),"Mached","Not mached")</f>
        <v>Mached</v>
      </c>
    </row>
    <row r="877" spans="4:16" x14ac:dyDescent="0.25">
      <c r="D877" s="6" t="s">
        <v>34</v>
      </c>
      <c r="E877">
        <v>2015</v>
      </c>
      <c r="F877" s="6" t="s">
        <v>38</v>
      </c>
      <c r="G877">
        <v>2</v>
      </c>
      <c r="H877">
        <v>26</v>
      </c>
      <c r="I877" s="6" t="s">
        <v>39</v>
      </c>
      <c r="J877" s="6" t="s">
        <v>37</v>
      </c>
      <c r="K877">
        <v>4</v>
      </c>
      <c r="M877" s="1" t="b">
        <f>Employee__2[[#This Row],[Experience]]&gt;1</f>
        <v>1</v>
      </c>
      <c r="N877" s="1" t="str">
        <f>IF(Employee__2[[#This Row],[City]]="Pune","Yes","No")</f>
        <v>Yes</v>
      </c>
      <c r="O877" s="1" t="str">
        <f>IF(AND(Employee__2[[#This Row],[Education]]="Bachelors",Employee__2[[#This Row],[City]]="Pune"),"Yes","No")</f>
        <v>Yes</v>
      </c>
      <c r="P877" s="1" t="str">
        <f>IF(OR(Employee__2[[#This Row],[Age]]&gt;=30,Employee__2[[#This Row],[Gender]]="Male"),"Mached","Not mached")</f>
        <v>Not mached</v>
      </c>
    </row>
    <row r="878" spans="4:16" x14ac:dyDescent="0.25">
      <c r="D878" s="6" t="s">
        <v>41</v>
      </c>
      <c r="E878">
        <v>2014</v>
      </c>
      <c r="F878" s="6" t="s">
        <v>40</v>
      </c>
      <c r="G878">
        <v>3</v>
      </c>
      <c r="H878">
        <v>25</v>
      </c>
      <c r="I878" s="6" t="s">
        <v>36</v>
      </c>
      <c r="J878" s="6" t="s">
        <v>37</v>
      </c>
      <c r="K878">
        <v>3</v>
      </c>
      <c r="M878" s="1" t="b">
        <f>Employee__2[[#This Row],[Experience]]&gt;1</f>
        <v>1</v>
      </c>
      <c r="N878" s="1" t="str">
        <f>IF(Employee__2[[#This Row],[City]]="Pune","Yes","No")</f>
        <v>No</v>
      </c>
      <c r="O878" s="1" t="str">
        <f>IF(AND(Employee__2[[#This Row],[Education]]="Bachelors",Employee__2[[#This Row],[City]]="Pune"),"Yes","No")</f>
        <v>No</v>
      </c>
      <c r="P878" s="1" t="str">
        <f>IF(OR(Employee__2[[#This Row],[Age]]&gt;=30,Employee__2[[#This Row],[Gender]]="Male"),"Mached","Not mached")</f>
        <v>Mached</v>
      </c>
    </row>
    <row r="879" spans="4:16" x14ac:dyDescent="0.25">
      <c r="D879" s="6" t="s">
        <v>34</v>
      </c>
      <c r="E879">
        <v>2015</v>
      </c>
      <c r="F879" s="6" t="s">
        <v>35</v>
      </c>
      <c r="G879">
        <v>3</v>
      </c>
      <c r="H879">
        <v>28</v>
      </c>
      <c r="I879" s="6" t="s">
        <v>36</v>
      </c>
      <c r="J879" s="6" t="s">
        <v>42</v>
      </c>
      <c r="K879">
        <v>2</v>
      </c>
      <c r="M879" s="1" t="b">
        <f>Employee__2[[#This Row],[Experience]]&gt;1</f>
        <v>1</v>
      </c>
      <c r="N879" s="1" t="str">
        <f>IF(Employee__2[[#This Row],[City]]="Pune","Yes","No")</f>
        <v>No</v>
      </c>
      <c r="O879" s="1" t="str">
        <f>IF(AND(Employee__2[[#This Row],[Education]]="Bachelors",Employee__2[[#This Row],[City]]="Pune"),"Yes","No")</f>
        <v>No</v>
      </c>
      <c r="P879" s="1" t="str">
        <f>IF(OR(Employee__2[[#This Row],[Age]]&gt;=30,Employee__2[[#This Row],[Gender]]="Male"),"Mached","Not mached")</f>
        <v>Mached</v>
      </c>
    </row>
    <row r="880" spans="4:16" x14ac:dyDescent="0.25">
      <c r="D880" s="6" t="s">
        <v>41</v>
      </c>
      <c r="E880">
        <v>2012</v>
      </c>
      <c r="F880" s="6" t="s">
        <v>38</v>
      </c>
      <c r="G880">
        <v>3</v>
      </c>
      <c r="H880">
        <v>27</v>
      </c>
      <c r="I880" s="6" t="s">
        <v>36</v>
      </c>
      <c r="J880" s="6" t="s">
        <v>37</v>
      </c>
      <c r="K880">
        <v>5</v>
      </c>
      <c r="M880" s="1" t="b">
        <f>Employee__2[[#This Row],[Experience]]&gt;1</f>
        <v>1</v>
      </c>
      <c r="N880" s="1" t="str">
        <f>IF(Employee__2[[#This Row],[City]]="Pune","Yes","No")</f>
        <v>Yes</v>
      </c>
      <c r="O880" s="1" t="str">
        <f>IF(AND(Employee__2[[#This Row],[Education]]="Bachelors",Employee__2[[#This Row],[City]]="Pune"),"Yes","No")</f>
        <v>No</v>
      </c>
      <c r="P880" s="1" t="str">
        <f>IF(OR(Employee__2[[#This Row],[Age]]&gt;=30,Employee__2[[#This Row],[Gender]]="Male"),"Mached","Not mached")</f>
        <v>Mached</v>
      </c>
    </row>
    <row r="881" spans="4:16" x14ac:dyDescent="0.25">
      <c r="D881" s="6" t="s">
        <v>34</v>
      </c>
      <c r="E881">
        <v>2017</v>
      </c>
      <c r="F881" s="6" t="s">
        <v>35</v>
      </c>
      <c r="G881">
        <v>2</v>
      </c>
      <c r="H881">
        <v>27</v>
      </c>
      <c r="I881" s="6" t="s">
        <v>36</v>
      </c>
      <c r="J881" s="6" t="s">
        <v>37</v>
      </c>
      <c r="K881">
        <v>5</v>
      </c>
      <c r="M881" s="1" t="b">
        <f>Employee__2[[#This Row],[Experience]]&gt;1</f>
        <v>1</v>
      </c>
      <c r="N881" s="1" t="str">
        <f>IF(Employee__2[[#This Row],[City]]="Pune","Yes","No")</f>
        <v>No</v>
      </c>
      <c r="O881" s="1" t="str">
        <f>IF(AND(Employee__2[[#This Row],[Education]]="Bachelors",Employee__2[[#This Row],[City]]="Pune"),"Yes","No")</f>
        <v>No</v>
      </c>
      <c r="P881" s="1" t="str">
        <f>IF(OR(Employee__2[[#This Row],[Age]]&gt;=30,Employee__2[[#This Row],[Gender]]="Male"),"Mached","Not mached")</f>
        <v>Mached</v>
      </c>
    </row>
    <row r="882" spans="4:16" x14ac:dyDescent="0.25">
      <c r="D882" s="6" t="s">
        <v>34</v>
      </c>
      <c r="E882">
        <v>2016</v>
      </c>
      <c r="F882" s="6" t="s">
        <v>35</v>
      </c>
      <c r="G882">
        <v>3</v>
      </c>
      <c r="H882">
        <v>24</v>
      </c>
      <c r="I882" s="6" t="s">
        <v>36</v>
      </c>
      <c r="J882" s="6" t="s">
        <v>37</v>
      </c>
      <c r="K882">
        <v>2</v>
      </c>
      <c r="M882" s="1" t="b">
        <f>Employee__2[[#This Row],[Experience]]&gt;1</f>
        <v>1</v>
      </c>
      <c r="N882" s="1" t="str">
        <f>IF(Employee__2[[#This Row],[City]]="Pune","Yes","No")</f>
        <v>No</v>
      </c>
      <c r="O882" s="1" t="str">
        <f>IF(AND(Employee__2[[#This Row],[Education]]="Bachelors",Employee__2[[#This Row],[City]]="Pune"),"Yes","No")</f>
        <v>No</v>
      </c>
      <c r="P882" s="1" t="str">
        <f>IF(OR(Employee__2[[#This Row],[Age]]&gt;=30,Employee__2[[#This Row],[Gender]]="Male"),"Mached","Not mached")</f>
        <v>Mached</v>
      </c>
    </row>
    <row r="883" spans="4:16" x14ac:dyDescent="0.25">
      <c r="D883" s="6" t="s">
        <v>34</v>
      </c>
      <c r="E883">
        <v>2017</v>
      </c>
      <c r="F883" s="6" t="s">
        <v>35</v>
      </c>
      <c r="G883">
        <v>3</v>
      </c>
      <c r="H883">
        <v>27</v>
      </c>
      <c r="I883" s="6" t="s">
        <v>36</v>
      </c>
      <c r="J883" s="6" t="s">
        <v>37</v>
      </c>
      <c r="K883">
        <v>5</v>
      </c>
      <c r="M883" s="1" t="b">
        <f>Employee__2[[#This Row],[Experience]]&gt;1</f>
        <v>1</v>
      </c>
      <c r="N883" s="1" t="str">
        <f>IF(Employee__2[[#This Row],[City]]="Pune","Yes","No")</f>
        <v>No</v>
      </c>
      <c r="O883" s="1" t="str">
        <f>IF(AND(Employee__2[[#This Row],[Education]]="Bachelors",Employee__2[[#This Row],[City]]="Pune"),"Yes","No")</f>
        <v>No</v>
      </c>
      <c r="P883" s="1" t="str">
        <f>IF(OR(Employee__2[[#This Row],[Age]]&gt;=30,Employee__2[[#This Row],[Gender]]="Male"),"Mached","Not mached")</f>
        <v>Mached</v>
      </c>
    </row>
    <row r="884" spans="4:16" x14ac:dyDescent="0.25">
      <c r="D884" s="6" t="s">
        <v>34</v>
      </c>
      <c r="E884">
        <v>2014</v>
      </c>
      <c r="F884" s="6" t="s">
        <v>35</v>
      </c>
      <c r="G884">
        <v>3</v>
      </c>
      <c r="H884">
        <v>26</v>
      </c>
      <c r="I884" s="6" t="s">
        <v>36</v>
      </c>
      <c r="J884" s="6" t="s">
        <v>37</v>
      </c>
      <c r="K884">
        <v>4</v>
      </c>
      <c r="M884" s="1" t="b">
        <f>Employee__2[[#This Row],[Experience]]&gt;1</f>
        <v>1</v>
      </c>
      <c r="N884" s="1" t="str">
        <f>IF(Employee__2[[#This Row],[City]]="Pune","Yes","No")</f>
        <v>No</v>
      </c>
      <c r="O884" s="1" t="str">
        <f>IF(AND(Employee__2[[#This Row],[Education]]="Bachelors",Employee__2[[#This Row],[City]]="Pune"),"Yes","No")</f>
        <v>No</v>
      </c>
      <c r="P884" s="1" t="str">
        <f>IF(OR(Employee__2[[#This Row],[Age]]&gt;=30,Employee__2[[#This Row],[Gender]]="Male"),"Mached","Not mached")</f>
        <v>Mached</v>
      </c>
    </row>
    <row r="885" spans="4:16" x14ac:dyDescent="0.25">
      <c r="D885" s="6" t="s">
        <v>34</v>
      </c>
      <c r="E885">
        <v>2017</v>
      </c>
      <c r="F885" s="6" t="s">
        <v>35</v>
      </c>
      <c r="G885">
        <v>3</v>
      </c>
      <c r="H885">
        <v>24</v>
      </c>
      <c r="I885" s="6" t="s">
        <v>39</v>
      </c>
      <c r="J885" s="6" t="s">
        <v>37</v>
      </c>
      <c r="K885">
        <v>2</v>
      </c>
      <c r="M885" s="1" t="b">
        <f>Employee__2[[#This Row],[Experience]]&gt;1</f>
        <v>1</v>
      </c>
      <c r="N885" s="1" t="str">
        <f>IF(Employee__2[[#This Row],[City]]="Pune","Yes","No")</f>
        <v>No</v>
      </c>
      <c r="O885" s="1" t="str">
        <f>IF(AND(Employee__2[[#This Row],[Education]]="Bachelors",Employee__2[[#This Row],[City]]="Pune"),"Yes","No")</f>
        <v>No</v>
      </c>
      <c r="P885" s="1" t="str">
        <f>IF(OR(Employee__2[[#This Row],[Age]]&gt;=30,Employee__2[[#This Row],[Gender]]="Male"),"Mached","Not mached")</f>
        <v>Not mached</v>
      </c>
    </row>
    <row r="886" spans="4:16" x14ac:dyDescent="0.25">
      <c r="D886" s="6" t="s">
        <v>34</v>
      </c>
      <c r="E886">
        <v>2017</v>
      </c>
      <c r="F886" s="6" t="s">
        <v>35</v>
      </c>
      <c r="G886">
        <v>3</v>
      </c>
      <c r="H886">
        <v>28</v>
      </c>
      <c r="I886" s="6" t="s">
        <v>36</v>
      </c>
      <c r="J886" s="6" t="s">
        <v>37</v>
      </c>
      <c r="K886">
        <v>1</v>
      </c>
      <c r="M886" s="1" t="b">
        <f>Employee__2[[#This Row],[Experience]]&gt;1</f>
        <v>0</v>
      </c>
      <c r="N886" s="1" t="str">
        <f>IF(Employee__2[[#This Row],[City]]="Pune","Yes","No")</f>
        <v>No</v>
      </c>
      <c r="O886" s="1" t="str">
        <f>IF(AND(Employee__2[[#This Row],[Education]]="Bachelors",Employee__2[[#This Row],[City]]="Pune"),"Yes","No")</f>
        <v>No</v>
      </c>
      <c r="P886" s="1" t="str">
        <f>IF(OR(Employee__2[[#This Row],[Age]]&gt;=30,Employee__2[[#This Row],[Gender]]="Male"),"Mached","Not mached")</f>
        <v>Mached</v>
      </c>
    </row>
    <row r="887" spans="4:16" x14ac:dyDescent="0.25">
      <c r="D887" s="6" t="s">
        <v>34</v>
      </c>
      <c r="E887">
        <v>2014</v>
      </c>
      <c r="F887" s="6" t="s">
        <v>35</v>
      </c>
      <c r="G887">
        <v>3</v>
      </c>
      <c r="H887">
        <v>26</v>
      </c>
      <c r="I887" s="6" t="s">
        <v>36</v>
      </c>
      <c r="J887" s="6" t="s">
        <v>37</v>
      </c>
      <c r="K887">
        <v>4</v>
      </c>
      <c r="M887" s="1" t="b">
        <f>Employee__2[[#This Row],[Experience]]&gt;1</f>
        <v>1</v>
      </c>
      <c r="N887" s="1" t="str">
        <f>IF(Employee__2[[#This Row],[City]]="Pune","Yes","No")</f>
        <v>No</v>
      </c>
      <c r="O887" s="1" t="str">
        <f>IF(AND(Employee__2[[#This Row],[Education]]="Bachelors",Employee__2[[#This Row],[City]]="Pune"),"Yes","No")</f>
        <v>No</v>
      </c>
      <c r="P887" s="1" t="str">
        <f>IF(OR(Employee__2[[#This Row],[Age]]&gt;=30,Employee__2[[#This Row],[Gender]]="Male"),"Mached","Not mached")</f>
        <v>Mached</v>
      </c>
    </row>
    <row r="888" spans="4:16" x14ac:dyDescent="0.25">
      <c r="D888" s="6" t="s">
        <v>34</v>
      </c>
      <c r="E888">
        <v>2018</v>
      </c>
      <c r="F888" s="6" t="s">
        <v>35</v>
      </c>
      <c r="G888">
        <v>3</v>
      </c>
      <c r="H888">
        <v>28</v>
      </c>
      <c r="I888" s="6" t="s">
        <v>39</v>
      </c>
      <c r="J888" s="6" t="s">
        <v>37</v>
      </c>
      <c r="K888">
        <v>3</v>
      </c>
      <c r="M888" s="1" t="b">
        <f>Employee__2[[#This Row],[Experience]]&gt;1</f>
        <v>1</v>
      </c>
      <c r="N888" s="1" t="str">
        <f>IF(Employee__2[[#This Row],[City]]="Pune","Yes","No")</f>
        <v>No</v>
      </c>
      <c r="O888" s="1" t="str">
        <f>IF(AND(Employee__2[[#This Row],[Education]]="Bachelors",Employee__2[[#This Row],[City]]="Pune"),"Yes","No")</f>
        <v>No</v>
      </c>
      <c r="P888" s="1" t="str">
        <f>IF(OR(Employee__2[[#This Row],[Age]]&gt;=30,Employee__2[[#This Row],[Gender]]="Male"),"Mached","Not mached")</f>
        <v>Not mached</v>
      </c>
    </row>
    <row r="889" spans="4:16" x14ac:dyDescent="0.25">
      <c r="D889" s="6" t="s">
        <v>34</v>
      </c>
      <c r="E889">
        <v>2014</v>
      </c>
      <c r="F889" s="6" t="s">
        <v>40</v>
      </c>
      <c r="G889">
        <v>3</v>
      </c>
      <c r="H889">
        <v>24</v>
      </c>
      <c r="I889" s="6" t="s">
        <v>39</v>
      </c>
      <c r="J889" s="6" t="s">
        <v>37</v>
      </c>
      <c r="K889">
        <v>2</v>
      </c>
      <c r="M889" s="1" t="b">
        <f>Employee__2[[#This Row],[Experience]]&gt;1</f>
        <v>1</v>
      </c>
      <c r="N889" s="1" t="str">
        <f>IF(Employee__2[[#This Row],[City]]="Pune","Yes","No")</f>
        <v>No</v>
      </c>
      <c r="O889" s="1" t="str">
        <f>IF(AND(Employee__2[[#This Row],[Education]]="Bachelors",Employee__2[[#This Row],[City]]="Pune"),"Yes","No")</f>
        <v>No</v>
      </c>
      <c r="P889" s="1" t="str">
        <f>IF(OR(Employee__2[[#This Row],[Age]]&gt;=30,Employee__2[[#This Row],[Gender]]="Male"),"Mached","Not mached")</f>
        <v>Not mached</v>
      </c>
    </row>
    <row r="890" spans="4:16" x14ac:dyDescent="0.25">
      <c r="D890" s="6" t="s">
        <v>34</v>
      </c>
      <c r="E890">
        <v>2017</v>
      </c>
      <c r="F890" s="6" t="s">
        <v>35</v>
      </c>
      <c r="G890">
        <v>1</v>
      </c>
      <c r="H890">
        <v>27</v>
      </c>
      <c r="I890" s="6" t="s">
        <v>36</v>
      </c>
      <c r="J890" s="6" t="s">
        <v>37</v>
      </c>
      <c r="K890">
        <v>5</v>
      </c>
      <c r="M890" s="1" t="b">
        <f>Employee__2[[#This Row],[Experience]]&gt;1</f>
        <v>1</v>
      </c>
      <c r="N890" s="1" t="str">
        <f>IF(Employee__2[[#This Row],[City]]="Pune","Yes","No")</f>
        <v>No</v>
      </c>
      <c r="O890" s="1" t="str">
        <f>IF(AND(Employee__2[[#This Row],[Education]]="Bachelors",Employee__2[[#This Row],[City]]="Pune"),"Yes","No")</f>
        <v>No</v>
      </c>
      <c r="P890" s="1" t="str">
        <f>IF(OR(Employee__2[[#This Row],[Age]]&gt;=30,Employee__2[[#This Row],[Gender]]="Male"),"Mached","Not mached")</f>
        <v>Mached</v>
      </c>
    </row>
    <row r="891" spans="4:16" x14ac:dyDescent="0.25">
      <c r="D891" s="6" t="s">
        <v>34</v>
      </c>
      <c r="E891">
        <v>2015</v>
      </c>
      <c r="F891" s="6" t="s">
        <v>40</v>
      </c>
      <c r="G891">
        <v>3</v>
      </c>
      <c r="H891">
        <v>24</v>
      </c>
      <c r="I891" s="6" t="s">
        <v>39</v>
      </c>
      <c r="J891" s="6" t="s">
        <v>37</v>
      </c>
      <c r="K891">
        <v>2</v>
      </c>
      <c r="M891" s="1" t="b">
        <f>Employee__2[[#This Row],[Experience]]&gt;1</f>
        <v>1</v>
      </c>
      <c r="N891" s="1" t="str">
        <f>IF(Employee__2[[#This Row],[City]]="Pune","Yes","No")</f>
        <v>No</v>
      </c>
      <c r="O891" s="1" t="str">
        <f>IF(AND(Employee__2[[#This Row],[Education]]="Bachelors",Employee__2[[#This Row],[City]]="Pune"),"Yes","No")</f>
        <v>No</v>
      </c>
      <c r="P891" s="1" t="str">
        <f>IF(OR(Employee__2[[#This Row],[Age]]&gt;=30,Employee__2[[#This Row],[Gender]]="Male"),"Mached","Not mached")</f>
        <v>Not mached</v>
      </c>
    </row>
    <row r="892" spans="4:16" x14ac:dyDescent="0.25">
      <c r="D892" s="6" t="s">
        <v>34</v>
      </c>
      <c r="E892">
        <v>2017</v>
      </c>
      <c r="F892" s="6" t="s">
        <v>35</v>
      </c>
      <c r="G892">
        <v>3</v>
      </c>
      <c r="H892">
        <v>27</v>
      </c>
      <c r="I892" s="6" t="s">
        <v>36</v>
      </c>
      <c r="J892" s="6" t="s">
        <v>37</v>
      </c>
      <c r="K892">
        <v>5</v>
      </c>
      <c r="M892" s="1" t="b">
        <f>Employee__2[[#This Row],[Experience]]&gt;1</f>
        <v>1</v>
      </c>
      <c r="N892" s="1" t="str">
        <f>IF(Employee__2[[#This Row],[City]]="Pune","Yes","No")</f>
        <v>No</v>
      </c>
      <c r="O892" s="1" t="str">
        <f>IF(AND(Employee__2[[#This Row],[Education]]="Bachelors",Employee__2[[#This Row],[City]]="Pune"),"Yes","No")</f>
        <v>No</v>
      </c>
      <c r="P892" s="1" t="str">
        <f>IF(OR(Employee__2[[#This Row],[Age]]&gt;=30,Employee__2[[#This Row],[Gender]]="Male"),"Mached","Not mached")</f>
        <v>Mached</v>
      </c>
    </row>
    <row r="893" spans="4:16" x14ac:dyDescent="0.25">
      <c r="D893" s="6" t="s">
        <v>34</v>
      </c>
      <c r="E893">
        <v>2017</v>
      </c>
      <c r="F893" s="6" t="s">
        <v>38</v>
      </c>
      <c r="G893">
        <v>3</v>
      </c>
      <c r="H893">
        <v>28</v>
      </c>
      <c r="I893" s="6" t="s">
        <v>36</v>
      </c>
      <c r="J893" s="6" t="s">
        <v>37</v>
      </c>
      <c r="K893">
        <v>3</v>
      </c>
      <c r="M893" s="1" t="b">
        <f>Employee__2[[#This Row],[Experience]]&gt;1</f>
        <v>1</v>
      </c>
      <c r="N893" s="1" t="str">
        <f>IF(Employee__2[[#This Row],[City]]="Pune","Yes","No")</f>
        <v>Yes</v>
      </c>
      <c r="O893" s="1" t="str">
        <f>IF(AND(Employee__2[[#This Row],[Education]]="Bachelors",Employee__2[[#This Row],[City]]="Pune"),"Yes","No")</f>
        <v>Yes</v>
      </c>
      <c r="P893" s="1" t="str">
        <f>IF(OR(Employee__2[[#This Row],[Age]]&gt;=30,Employee__2[[#This Row],[Gender]]="Male"),"Mached","Not mached")</f>
        <v>Mached</v>
      </c>
    </row>
    <row r="894" spans="4:16" x14ac:dyDescent="0.25">
      <c r="D894" s="6" t="s">
        <v>34</v>
      </c>
      <c r="E894">
        <v>2014</v>
      </c>
      <c r="F894" s="6" t="s">
        <v>35</v>
      </c>
      <c r="G894">
        <v>3</v>
      </c>
      <c r="H894">
        <v>25</v>
      </c>
      <c r="I894" s="6" t="s">
        <v>36</v>
      </c>
      <c r="J894" s="6" t="s">
        <v>37</v>
      </c>
      <c r="K894">
        <v>3</v>
      </c>
      <c r="M894" s="1" t="b">
        <f>Employee__2[[#This Row],[Experience]]&gt;1</f>
        <v>1</v>
      </c>
      <c r="N894" s="1" t="str">
        <f>IF(Employee__2[[#This Row],[City]]="Pune","Yes","No")</f>
        <v>No</v>
      </c>
      <c r="O894" s="1" t="str">
        <f>IF(AND(Employee__2[[#This Row],[Education]]="Bachelors",Employee__2[[#This Row],[City]]="Pune"),"Yes","No")</f>
        <v>No</v>
      </c>
      <c r="P894" s="1" t="str">
        <f>IF(OR(Employee__2[[#This Row],[Age]]&gt;=30,Employee__2[[#This Row],[Gender]]="Male"),"Mached","Not mached")</f>
        <v>Mached</v>
      </c>
    </row>
    <row r="895" spans="4:16" x14ac:dyDescent="0.25">
      <c r="D895" s="6" t="s">
        <v>34</v>
      </c>
      <c r="E895">
        <v>2017</v>
      </c>
      <c r="F895" s="6" t="s">
        <v>35</v>
      </c>
      <c r="G895">
        <v>3</v>
      </c>
      <c r="H895">
        <v>25</v>
      </c>
      <c r="I895" s="6" t="s">
        <v>39</v>
      </c>
      <c r="J895" s="6" t="s">
        <v>37</v>
      </c>
      <c r="K895">
        <v>3</v>
      </c>
      <c r="M895" s="1" t="b">
        <f>Employee__2[[#This Row],[Experience]]&gt;1</f>
        <v>1</v>
      </c>
      <c r="N895" s="1" t="str">
        <f>IF(Employee__2[[#This Row],[City]]="Pune","Yes","No")</f>
        <v>No</v>
      </c>
      <c r="O895" s="1" t="str">
        <f>IF(AND(Employee__2[[#This Row],[Education]]="Bachelors",Employee__2[[#This Row],[City]]="Pune"),"Yes","No")</f>
        <v>No</v>
      </c>
      <c r="P895" s="1" t="str">
        <f>IF(OR(Employee__2[[#This Row],[Age]]&gt;=30,Employee__2[[#This Row],[Gender]]="Male"),"Mached","Not mached")</f>
        <v>Not mached</v>
      </c>
    </row>
    <row r="896" spans="4:16" x14ac:dyDescent="0.25">
      <c r="D896" s="6" t="s">
        <v>34</v>
      </c>
      <c r="E896">
        <v>2018</v>
      </c>
      <c r="F896" s="6" t="s">
        <v>35</v>
      </c>
      <c r="G896">
        <v>3</v>
      </c>
      <c r="H896">
        <v>25</v>
      </c>
      <c r="I896" s="6" t="s">
        <v>36</v>
      </c>
      <c r="J896" s="6" t="s">
        <v>37</v>
      </c>
      <c r="K896">
        <v>3</v>
      </c>
      <c r="M896" s="1" t="b">
        <f>Employee__2[[#This Row],[Experience]]&gt;1</f>
        <v>1</v>
      </c>
      <c r="N896" s="1" t="str">
        <f>IF(Employee__2[[#This Row],[City]]="Pune","Yes","No")</f>
        <v>No</v>
      </c>
      <c r="O896" s="1" t="str">
        <f>IF(AND(Employee__2[[#This Row],[Education]]="Bachelors",Employee__2[[#This Row],[City]]="Pune"),"Yes","No")</f>
        <v>No</v>
      </c>
      <c r="P896" s="1" t="str">
        <f>IF(OR(Employee__2[[#This Row],[Age]]&gt;=30,Employee__2[[#This Row],[Gender]]="Male"),"Mached","Not mached")</f>
        <v>Mached</v>
      </c>
    </row>
    <row r="897" spans="4:16" x14ac:dyDescent="0.25">
      <c r="D897" s="6" t="s">
        <v>34</v>
      </c>
      <c r="E897">
        <v>2013</v>
      </c>
      <c r="F897" s="6" t="s">
        <v>35</v>
      </c>
      <c r="G897">
        <v>3</v>
      </c>
      <c r="H897">
        <v>28</v>
      </c>
      <c r="I897" s="6" t="s">
        <v>39</v>
      </c>
      <c r="J897" s="6" t="s">
        <v>37</v>
      </c>
      <c r="K897">
        <v>3</v>
      </c>
      <c r="M897" s="1" t="b">
        <f>Employee__2[[#This Row],[Experience]]&gt;1</f>
        <v>1</v>
      </c>
      <c r="N897" s="1" t="str">
        <f>IF(Employee__2[[#This Row],[City]]="Pune","Yes","No")</f>
        <v>No</v>
      </c>
      <c r="O897" s="1" t="str">
        <f>IF(AND(Employee__2[[#This Row],[Education]]="Bachelors",Employee__2[[#This Row],[City]]="Pune"),"Yes","No")</f>
        <v>No</v>
      </c>
      <c r="P897" s="1" t="str">
        <f>IF(OR(Employee__2[[#This Row],[Age]]&gt;=30,Employee__2[[#This Row],[Gender]]="Male"),"Mached","Not mached")</f>
        <v>Not mached</v>
      </c>
    </row>
    <row r="898" spans="4:16" x14ac:dyDescent="0.25">
      <c r="D898" s="6" t="s">
        <v>34</v>
      </c>
      <c r="E898">
        <v>2017</v>
      </c>
      <c r="F898" s="6" t="s">
        <v>40</v>
      </c>
      <c r="G898">
        <v>3</v>
      </c>
      <c r="H898">
        <v>27</v>
      </c>
      <c r="I898" s="6" t="s">
        <v>36</v>
      </c>
      <c r="J898" s="6" t="s">
        <v>37</v>
      </c>
      <c r="K898">
        <v>5</v>
      </c>
      <c r="M898" s="1" t="b">
        <f>Employee__2[[#This Row],[Experience]]&gt;1</f>
        <v>1</v>
      </c>
      <c r="N898" s="1" t="str">
        <f>IF(Employee__2[[#This Row],[City]]="Pune","Yes","No")</f>
        <v>No</v>
      </c>
      <c r="O898" s="1" t="str">
        <f>IF(AND(Employee__2[[#This Row],[Education]]="Bachelors",Employee__2[[#This Row],[City]]="Pune"),"Yes","No")</f>
        <v>No</v>
      </c>
      <c r="P898" s="1" t="str">
        <f>IF(OR(Employee__2[[#This Row],[Age]]&gt;=30,Employee__2[[#This Row],[Gender]]="Male"),"Mached","Not mached")</f>
        <v>Mached</v>
      </c>
    </row>
    <row r="899" spans="4:16" x14ac:dyDescent="0.25">
      <c r="D899" s="6" t="s">
        <v>34</v>
      </c>
      <c r="E899">
        <v>2013</v>
      </c>
      <c r="F899" s="6" t="s">
        <v>35</v>
      </c>
      <c r="G899">
        <v>3</v>
      </c>
      <c r="H899">
        <v>27</v>
      </c>
      <c r="I899" s="6" t="s">
        <v>36</v>
      </c>
      <c r="J899" s="6" t="s">
        <v>37</v>
      </c>
      <c r="K899">
        <v>5</v>
      </c>
      <c r="M899" s="1" t="b">
        <f>Employee__2[[#This Row],[Experience]]&gt;1</f>
        <v>1</v>
      </c>
      <c r="N899" s="1" t="str">
        <f>IF(Employee__2[[#This Row],[City]]="Pune","Yes","No")</f>
        <v>No</v>
      </c>
      <c r="O899" s="1" t="str">
        <f>IF(AND(Employee__2[[#This Row],[Education]]="Bachelors",Employee__2[[#This Row],[City]]="Pune"),"Yes","No")</f>
        <v>No</v>
      </c>
      <c r="P899" s="1" t="str">
        <f>IF(OR(Employee__2[[#This Row],[Age]]&gt;=30,Employee__2[[#This Row],[Gender]]="Male"),"Mached","Not mached")</f>
        <v>Mached</v>
      </c>
    </row>
    <row r="900" spans="4:16" x14ac:dyDescent="0.25">
      <c r="D900" s="6" t="s">
        <v>41</v>
      </c>
      <c r="E900">
        <v>2017</v>
      </c>
      <c r="F900" s="6" t="s">
        <v>40</v>
      </c>
      <c r="G900">
        <v>2</v>
      </c>
      <c r="H900">
        <v>26</v>
      </c>
      <c r="I900" s="6" t="s">
        <v>39</v>
      </c>
      <c r="J900" s="6" t="s">
        <v>37</v>
      </c>
      <c r="K900">
        <v>4</v>
      </c>
      <c r="M900" s="1" t="b">
        <f>Employee__2[[#This Row],[Experience]]&gt;1</f>
        <v>1</v>
      </c>
      <c r="N900" s="1" t="str">
        <f>IF(Employee__2[[#This Row],[City]]="Pune","Yes","No")</f>
        <v>No</v>
      </c>
      <c r="O900" s="1" t="str">
        <f>IF(AND(Employee__2[[#This Row],[Education]]="Bachelors",Employee__2[[#This Row],[City]]="Pune"),"Yes","No")</f>
        <v>No</v>
      </c>
      <c r="P900" s="1" t="str">
        <f>IF(OR(Employee__2[[#This Row],[Age]]&gt;=30,Employee__2[[#This Row],[Gender]]="Male"),"Mached","Not mached")</f>
        <v>Not mached</v>
      </c>
    </row>
    <row r="901" spans="4:16" x14ac:dyDescent="0.25">
      <c r="D901" s="6" t="s">
        <v>34</v>
      </c>
      <c r="E901">
        <v>2014</v>
      </c>
      <c r="F901" s="6" t="s">
        <v>35</v>
      </c>
      <c r="G901">
        <v>3</v>
      </c>
      <c r="H901">
        <v>24</v>
      </c>
      <c r="I901" s="6" t="s">
        <v>36</v>
      </c>
      <c r="J901" s="6" t="s">
        <v>37</v>
      </c>
      <c r="K901">
        <v>2</v>
      </c>
      <c r="M901" s="1" t="b">
        <f>Employee__2[[#This Row],[Experience]]&gt;1</f>
        <v>1</v>
      </c>
      <c r="N901" s="1" t="str">
        <f>IF(Employee__2[[#This Row],[City]]="Pune","Yes","No")</f>
        <v>No</v>
      </c>
      <c r="O901" s="1" t="str">
        <f>IF(AND(Employee__2[[#This Row],[Education]]="Bachelors",Employee__2[[#This Row],[City]]="Pune"),"Yes","No")</f>
        <v>No</v>
      </c>
      <c r="P901" s="1" t="str">
        <f>IF(OR(Employee__2[[#This Row],[Age]]&gt;=30,Employee__2[[#This Row],[Gender]]="Male"),"Mached","Not mached")</f>
        <v>Mached</v>
      </c>
    </row>
    <row r="902" spans="4:16" x14ac:dyDescent="0.25">
      <c r="D902" s="6" t="s">
        <v>34</v>
      </c>
      <c r="E902">
        <v>2017</v>
      </c>
      <c r="F902" s="6" t="s">
        <v>38</v>
      </c>
      <c r="G902">
        <v>3</v>
      </c>
      <c r="H902">
        <v>27</v>
      </c>
      <c r="I902" s="6" t="s">
        <v>36</v>
      </c>
      <c r="J902" s="6" t="s">
        <v>37</v>
      </c>
      <c r="K902">
        <v>5</v>
      </c>
      <c r="M902" s="1" t="b">
        <f>Employee__2[[#This Row],[Experience]]&gt;1</f>
        <v>1</v>
      </c>
      <c r="N902" s="1" t="str">
        <f>IF(Employee__2[[#This Row],[City]]="Pune","Yes","No")</f>
        <v>Yes</v>
      </c>
      <c r="O902" s="1" t="str">
        <f>IF(AND(Employee__2[[#This Row],[Education]]="Bachelors",Employee__2[[#This Row],[City]]="Pune"),"Yes","No")</f>
        <v>Yes</v>
      </c>
      <c r="P902" s="1" t="str">
        <f>IF(OR(Employee__2[[#This Row],[Age]]&gt;=30,Employee__2[[#This Row],[Gender]]="Male"),"Mached","Not mached")</f>
        <v>Mached</v>
      </c>
    </row>
    <row r="903" spans="4:16" x14ac:dyDescent="0.25">
      <c r="D903" s="6" t="s">
        <v>34</v>
      </c>
      <c r="E903">
        <v>2012</v>
      </c>
      <c r="F903" s="6" t="s">
        <v>38</v>
      </c>
      <c r="G903">
        <v>3</v>
      </c>
      <c r="H903">
        <v>27</v>
      </c>
      <c r="I903" s="6" t="s">
        <v>36</v>
      </c>
      <c r="J903" s="6" t="s">
        <v>37</v>
      </c>
      <c r="K903">
        <v>5</v>
      </c>
      <c r="M903" s="1" t="b">
        <f>Employee__2[[#This Row],[Experience]]&gt;1</f>
        <v>1</v>
      </c>
      <c r="N903" s="1" t="str">
        <f>IF(Employee__2[[#This Row],[City]]="Pune","Yes","No")</f>
        <v>Yes</v>
      </c>
      <c r="O903" s="1" t="str">
        <f>IF(AND(Employee__2[[#This Row],[Education]]="Bachelors",Employee__2[[#This Row],[City]]="Pune"),"Yes","No")</f>
        <v>Yes</v>
      </c>
      <c r="P903" s="1" t="str">
        <f>IF(OR(Employee__2[[#This Row],[Age]]&gt;=30,Employee__2[[#This Row],[Gender]]="Male"),"Mached","Not mached")</f>
        <v>Mached</v>
      </c>
    </row>
    <row r="904" spans="4:16" x14ac:dyDescent="0.25">
      <c r="D904" s="6" t="s">
        <v>34</v>
      </c>
      <c r="E904">
        <v>2017</v>
      </c>
      <c r="F904" s="6" t="s">
        <v>38</v>
      </c>
      <c r="G904">
        <v>3</v>
      </c>
      <c r="H904">
        <v>24</v>
      </c>
      <c r="I904" s="6" t="s">
        <v>36</v>
      </c>
      <c r="J904" s="6" t="s">
        <v>37</v>
      </c>
      <c r="K904">
        <v>2</v>
      </c>
      <c r="M904" s="1" t="b">
        <f>Employee__2[[#This Row],[Experience]]&gt;1</f>
        <v>1</v>
      </c>
      <c r="N904" s="1" t="str">
        <f>IF(Employee__2[[#This Row],[City]]="Pune","Yes","No")</f>
        <v>Yes</v>
      </c>
      <c r="O904" s="1" t="str">
        <f>IF(AND(Employee__2[[#This Row],[Education]]="Bachelors",Employee__2[[#This Row],[City]]="Pune"),"Yes","No")</f>
        <v>Yes</v>
      </c>
      <c r="P904" s="1" t="str">
        <f>IF(OR(Employee__2[[#This Row],[Age]]&gt;=30,Employee__2[[#This Row],[Gender]]="Male"),"Mached","Not mached")</f>
        <v>Mached</v>
      </c>
    </row>
    <row r="905" spans="4:16" x14ac:dyDescent="0.25">
      <c r="D905" s="6" t="s">
        <v>34</v>
      </c>
      <c r="E905">
        <v>2014</v>
      </c>
      <c r="F905" s="6" t="s">
        <v>35</v>
      </c>
      <c r="G905">
        <v>3</v>
      </c>
      <c r="H905">
        <v>25</v>
      </c>
      <c r="I905" s="6" t="s">
        <v>36</v>
      </c>
      <c r="J905" s="6" t="s">
        <v>37</v>
      </c>
      <c r="K905">
        <v>3</v>
      </c>
      <c r="M905" s="1" t="b">
        <f>Employee__2[[#This Row],[Experience]]&gt;1</f>
        <v>1</v>
      </c>
      <c r="N905" s="1" t="str">
        <f>IF(Employee__2[[#This Row],[City]]="Pune","Yes","No")</f>
        <v>No</v>
      </c>
      <c r="O905" s="1" t="str">
        <f>IF(AND(Employee__2[[#This Row],[Education]]="Bachelors",Employee__2[[#This Row],[City]]="Pune"),"Yes","No")</f>
        <v>No</v>
      </c>
      <c r="P905" s="1" t="str">
        <f>IF(OR(Employee__2[[#This Row],[Age]]&gt;=30,Employee__2[[#This Row],[Gender]]="Male"),"Mached","Not mached")</f>
        <v>Mached</v>
      </c>
    </row>
    <row r="906" spans="4:16" x14ac:dyDescent="0.25">
      <c r="D906" s="6" t="s">
        <v>34</v>
      </c>
      <c r="E906">
        <v>2014</v>
      </c>
      <c r="F906" s="6" t="s">
        <v>35</v>
      </c>
      <c r="G906">
        <v>3</v>
      </c>
      <c r="H906">
        <v>28</v>
      </c>
      <c r="I906" s="6" t="s">
        <v>36</v>
      </c>
      <c r="J906" s="6" t="s">
        <v>37</v>
      </c>
      <c r="K906">
        <v>3</v>
      </c>
      <c r="M906" s="1" t="b">
        <f>Employee__2[[#This Row],[Experience]]&gt;1</f>
        <v>1</v>
      </c>
      <c r="N906" s="1" t="str">
        <f>IF(Employee__2[[#This Row],[City]]="Pune","Yes","No")</f>
        <v>No</v>
      </c>
      <c r="O906" s="1" t="str">
        <f>IF(AND(Employee__2[[#This Row],[Education]]="Bachelors",Employee__2[[#This Row],[City]]="Pune"),"Yes","No")</f>
        <v>No</v>
      </c>
      <c r="P906" s="1" t="str">
        <f>IF(OR(Employee__2[[#This Row],[Age]]&gt;=30,Employee__2[[#This Row],[Gender]]="Male"),"Mached","Not mached")</f>
        <v>Mached</v>
      </c>
    </row>
    <row r="907" spans="4:16" x14ac:dyDescent="0.25">
      <c r="D907" s="6" t="s">
        <v>34</v>
      </c>
      <c r="E907">
        <v>2018</v>
      </c>
      <c r="F907" s="6" t="s">
        <v>35</v>
      </c>
      <c r="G907">
        <v>3</v>
      </c>
      <c r="H907">
        <v>26</v>
      </c>
      <c r="I907" s="6" t="s">
        <v>36</v>
      </c>
      <c r="J907" s="6" t="s">
        <v>37</v>
      </c>
      <c r="K907">
        <v>4</v>
      </c>
      <c r="M907" s="1" t="b">
        <f>Employee__2[[#This Row],[Experience]]&gt;1</f>
        <v>1</v>
      </c>
      <c r="N907" s="1" t="str">
        <f>IF(Employee__2[[#This Row],[City]]="Pune","Yes","No")</f>
        <v>No</v>
      </c>
      <c r="O907" s="1" t="str">
        <f>IF(AND(Employee__2[[#This Row],[Education]]="Bachelors",Employee__2[[#This Row],[City]]="Pune"),"Yes","No")</f>
        <v>No</v>
      </c>
      <c r="P907" s="1" t="str">
        <f>IF(OR(Employee__2[[#This Row],[Age]]&gt;=30,Employee__2[[#This Row],[Gender]]="Male"),"Mached","Not mached")</f>
        <v>Mached</v>
      </c>
    </row>
    <row r="908" spans="4:16" x14ac:dyDescent="0.25">
      <c r="D908" s="6" t="s">
        <v>41</v>
      </c>
      <c r="E908">
        <v>2017</v>
      </c>
      <c r="F908" s="6" t="s">
        <v>35</v>
      </c>
      <c r="G908">
        <v>3</v>
      </c>
      <c r="H908">
        <v>28</v>
      </c>
      <c r="I908" s="6" t="s">
        <v>36</v>
      </c>
      <c r="J908" s="6" t="s">
        <v>37</v>
      </c>
      <c r="K908">
        <v>1</v>
      </c>
      <c r="M908" s="1" t="b">
        <f>Employee__2[[#This Row],[Experience]]&gt;1</f>
        <v>0</v>
      </c>
      <c r="N908" s="1" t="str">
        <f>IF(Employee__2[[#This Row],[City]]="Pune","Yes","No")</f>
        <v>No</v>
      </c>
      <c r="O908" s="1" t="str">
        <f>IF(AND(Employee__2[[#This Row],[Education]]="Bachelors",Employee__2[[#This Row],[City]]="Pune"),"Yes","No")</f>
        <v>No</v>
      </c>
      <c r="P908" s="1" t="str">
        <f>IF(OR(Employee__2[[#This Row],[Age]]&gt;=30,Employee__2[[#This Row],[Gender]]="Male"),"Mached","Not mached")</f>
        <v>Mached</v>
      </c>
    </row>
    <row r="909" spans="4:16" x14ac:dyDescent="0.25">
      <c r="D909" s="6" t="s">
        <v>34</v>
      </c>
      <c r="E909">
        <v>2018</v>
      </c>
      <c r="F909" s="6" t="s">
        <v>35</v>
      </c>
      <c r="G909">
        <v>3</v>
      </c>
      <c r="H909">
        <v>27</v>
      </c>
      <c r="I909" s="6" t="s">
        <v>36</v>
      </c>
      <c r="J909" s="6" t="s">
        <v>42</v>
      </c>
      <c r="K909">
        <v>5</v>
      </c>
      <c r="M909" s="1" t="b">
        <f>Employee__2[[#This Row],[Experience]]&gt;1</f>
        <v>1</v>
      </c>
      <c r="N909" s="1" t="str">
        <f>IF(Employee__2[[#This Row],[City]]="Pune","Yes","No")</f>
        <v>No</v>
      </c>
      <c r="O909" s="1" t="str">
        <f>IF(AND(Employee__2[[#This Row],[Education]]="Bachelors",Employee__2[[#This Row],[City]]="Pune"),"Yes","No")</f>
        <v>No</v>
      </c>
      <c r="P909" s="1" t="str">
        <f>IF(OR(Employee__2[[#This Row],[Age]]&gt;=30,Employee__2[[#This Row],[Gender]]="Male"),"Mached","Not mached")</f>
        <v>Mached</v>
      </c>
    </row>
    <row r="910" spans="4:16" x14ac:dyDescent="0.25">
      <c r="D910" s="6" t="s">
        <v>34</v>
      </c>
      <c r="E910">
        <v>2017</v>
      </c>
      <c r="F910" s="6" t="s">
        <v>35</v>
      </c>
      <c r="G910">
        <v>3</v>
      </c>
      <c r="H910">
        <v>28</v>
      </c>
      <c r="I910" s="6" t="s">
        <v>36</v>
      </c>
      <c r="J910" s="6" t="s">
        <v>42</v>
      </c>
      <c r="K910">
        <v>1</v>
      </c>
      <c r="M910" s="1" t="b">
        <f>Employee__2[[#This Row],[Experience]]&gt;1</f>
        <v>0</v>
      </c>
      <c r="N910" s="1" t="str">
        <f>IF(Employee__2[[#This Row],[City]]="Pune","Yes","No")</f>
        <v>No</v>
      </c>
      <c r="O910" s="1" t="str">
        <f>IF(AND(Employee__2[[#This Row],[Education]]="Bachelors",Employee__2[[#This Row],[City]]="Pune"),"Yes","No")</f>
        <v>No</v>
      </c>
      <c r="P910" s="1" t="str">
        <f>IF(OR(Employee__2[[#This Row],[Age]]&gt;=30,Employee__2[[#This Row],[Gender]]="Male"),"Mached","Not mached")</f>
        <v>Mached</v>
      </c>
    </row>
    <row r="911" spans="4:16" x14ac:dyDescent="0.25">
      <c r="D911" s="6" t="s">
        <v>34</v>
      </c>
      <c r="E911">
        <v>2016</v>
      </c>
      <c r="F911" s="6" t="s">
        <v>35</v>
      </c>
      <c r="G911">
        <v>3</v>
      </c>
      <c r="H911">
        <v>25</v>
      </c>
      <c r="I911" s="6" t="s">
        <v>36</v>
      </c>
      <c r="J911" s="6" t="s">
        <v>37</v>
      </c>
      <c r="K911">
        <v>3</v>
      </c>
      <c r="M911" s="1" t="b">
        <f>Employee__2[[#This Row],[Experience]]&gt;1</f>
        <v>1</v>
      </c>
      <c r="N911" s="1" t="str">
        <f>IF(Employee__2[[#This Row],[City]]="Pune","Yes","No")</f>
        <v>No</v>
      </c>
      <c r="O911" s="1" t="str">
        <f>IF(AND(Employee__2[[#This Row],[Education]]="Bachelors",Employee__2[[#This Row],[City]]="Pune"),"Yes","No")</f>
        <v>No</v>
      </c>
      <c r="P911" s="1" t="str">
        <f>IF(OR(Employee__2[[#This Row],[Age]]&gt;=30,Employee__2[[#This Row],[Gender]]="Male"),"Mached","Not mached")</f>
        <v>Mached</v>
      </c>
    </row>
    <row r="912" spans="4:16" x14ac:dyDescent="0.25">
      <c r="D912" s="6" t="s">
        <v>34</v>
      </c>
      <c r="E912">
        <v>2013</v>
      </c>
      <c r="F912" s="6" t="s">
        <v>38</v>
      </c>
      <c r="G912">
        <v>3</v>
      </c>
      <c r="H912">
        <v>24</v>
      </c>
      <c r="I912" s="6" t="s">
        <v>39</v>
      </c>
      <c r="J912" s="6" t="s">
        <v>37</v>
      </c>
      <c r="K912">
        <v>2</v>
      </c>
      <c r="M912" s="1" t="b">
        <f>Employee__2[[#This Row],[Experience]]&gt;1</f>
        <v>1</v>
      </c>
      <c r="N912" s="1" t="str">
        <f>IF(Employee__2[[#This Row],[City]]="Pune","Yes","No")</f>
        <v>Yes</v>
      </c>
      <c r="O912" s="1" t="str">
        <f>IF(AND(Employee__2[[#This Row],[Education]]="Bachelors",Employee__2[[#This Row],[City]]="Pune"),"Yes","No")</f>
        <v>Yes</v>
      </c>
      <c r="P912" s="1" t="str">
        <f>IF(OR(Employee__2[[#This Row],[Age]]&gt;=30,Employee__2[[#This Row],[Gender]]="Male"),"Mached","Not mached")</f>
        <v>Not mached</v>
      </c>
    </row>
    <row r="913" spans="4:16" x14ac:dyDescent="0.25">
      <c r="D913" s="6" t="s">
        <v>34</v>
      </c>
      <c r="E913">
        <v>2018</v>
      </c>
      <c r="F913" s="6" t="s">
        <v>40</v>
      </c>
      <c r="G913">
        <v>3</v>
      </c>
      <c r="H913">
        <v>25</v>
      </c>
      <c r="I913" s="6" t="s">
        <v>39</v>
      </c>
      <c r="J913" s="6" t="s">
        <v>37</v>
      </c>
      <c r="K913">
        <v>3</v>
      </c>
      <c r="M913" s="1" t="b">
        <f>Employee__2[[#This Row],[Experience]]&gt;1</f>
        <v>1</v>
      </c>
      <c r="N913" s="1" t="str">
        <f>IF(Employee__2[[#This Row],[City]]="Pune","Yes","No")</f>
        <v>No</v>
      </c>
      <c r="O913" s="1" t="str">
        <f>IF(AND(Employee__2[[#This Row],[Education]]="Bachelors",Employee__2[[#This Row],[City]]="Pune"),"Yes","No")</f>
        <v>No</v>
      </c>
      <c r="P913" s="1" t="str">
        <f>IF(OR(Employee__2[[#This Row],[Age]]&gt;=30,Employee__2[[#This Row],[Gender]]="Male"),"Mached","Not mached")</f>
        <v>Not mached</v>
      </c>
    </row>
    <row r="914" spans="4:16" x14ac:dyDescent="0.25">
      <c r="D914" s="6" t="s">
        <v>34</v>
      </c>
      <c r="E914">
        <v>2014</v>
      </c>
      <c r="F914" s="6" t="s">
        <v>35</v>
      </c>
      <c r="G914">
        <v>3</v>
      </c>
      <c r="H914">
        <v>24</v>
      </c>
      <c r="I914" s="6" t="s">
        <v>39</v>
      </c>
      <c r="J914" s="6" t="s">
        <v>37</v>
      </c>
      <c r="K914">
        <v>2</v>
      </c>
      <c r="M914" s="1" t="b">
        <f>Employee__2[[#This Row],[Experience]]&gt;1</f>
        <v>1</v>
      </c>
      <c r="N914" s="1" t="str">
        <f>IF(Employee__2[[#This Row],[City]]="Pune","Yes","No")</f>
        <v>No</v>
      </c>
      <c r="O914" s="1" t="str">
        <f>IF(AND(Employee__2[[#This Row],[Education]]="Bachelors",Employee__2[[#This Row],[City]]="Pune"),"Yes","No")</f>
        <v>No</v>
      </c>
      <c r="P914" s="1" t="str">
        <f>IF(OR(Employee__2[[#This Row],[Age]]&gt;=30,Employee__2[[#This Row],[Gender]]="Male"),"Mached","Not mached")</f>
        <v>Not mached</v>
      </c>
    </row>
    <row r="915" spans="4:16" x14ac:dyDescent="0.25">
      <c r="D915" s="6" t="s">
        <v>34</v>
      </c>
      <c r="E915">
        <v>2012</v>
      </c>
      <c r="F915" s="6" t="s">
        <v>35</v>
      </c>
      <c r="G915">
        <v>3</v>
      </c>
      <c r="H915">
        <v>26</v>
      </c>
      <c r="I915" s="6" t="s">
        <v>36</v>
      </c>
      <c r="J915" s="6" t="s">
        <v>37</v>
      </c>
      <c r="K915">
        <v>4</v>
      </c>
      <c r="M915" s="1" t="b">
        <f>Employee__2[[#This Row],[Experience]]&gt;1</f>
        <v>1</v>
      </c>
      <c r="N915" s="1" t="str">
        <f>IF(Employee__2[[#This Row],[City]]="Pune","Yes","No")</f>
        <v>No</v>
      </c>
      <c r="O915" s="1" t="str">
        <f>IF(AND(Employee__2[[#This Row],[Education]]="Bachelors",Employee__2[[#This Row],[City]]="Pune"),"Yes","No")</f>
        <v>No</v>
      </c>
      <c r="P915" s="1" t="str">
        <f>IF(OR(Employee__2[[#This Row],[Age]]&gt;=30,Employee__2[[#This Row],[Gender]]="Male"),"Mached","Not mached")</f>
        <v>Mached</v>
      </c>
    </row>
    <row r="916" spans="4:16" x14ac:dyDescent="0.25">
      <c r="D916" s="6" t="s">
        <v>41</v>
      </c>
      <c r="E916">
        <v>2013</v>
      </c>
      <c r="F916" s="6" t="s">
        <v>40</v>
      </c>
      <c r="G916">
        <v>1</v>
      </c>
      <c r="H916">
        <v>24</v>
      </c>
      <c r="I916" s="6" t="s">
        <v>39</v>
      </c>
      <c r="J916" s="6" t="s">
        <v>37</v>
      </c>
      <c r="K916">
        <v>2</v>
      </c>
      <c r="M916" s="1" t="b">
        <f>Employee__2[[#This Row],[Experience]]&gt;1</f>
        <v>1</v>
      </c>
      <c r="N916" s="1" t="str">
        <f>IF(Employee__2[[#This Row],[City]]="Pune","Yes","No")</f>
        <v>No</v>
      </c>
      <c r="O916" s="1" t="str">
        <f>IF(AND(Employee__2[[#This Row],[Education]]="Bachelors",Employee__2[[#This Row],[City]]="Pune"),"Yes","No")</f>
        <v>No</v>
      </c>
      <c r="P916" s="1" t="str">
        <f>IF(OR(Employee__2[[#This Row],[Age]]&gt;=30,Employee__2[[#This Row],[Gender]]="Male"),"Mached","Not mached")</f>
        <v>Not mached</v>
      </c>
    </row>
    <row r="917" spans="4:16" x14ac:dyDescent="0.25">
      <c r="D917" s="6" t="s">
        <v>41</v>
      </c>
      <c r="E917">
        <v>2013</v>
      </c>
      <c r="F917" s="6" t="s">
        <v>40</v>
      </c>
      <c r="G917">
        <v>1</v>
      </c>
      <c r="H917">
        <v>24</v>
      </c>
      <c r="I917" s="6" t="s">
        <v>36</v>
      </c>
      <c r="J917" s="6" t="s">
        <v>42</v>
      </c>
      <c r="K917">
        <v>2</v>
      </c>
      <c r="M917" s="1" t="b">
        <f>Employee__2[[#This Row],[Experience]]&gt;1</f>
        <v>1</v>
      </c>
      <c r="N917" s="1" t="str">
        <f>IF(Employee__2[[#This Row],[City]]="Pune","Yes","No")</f>
        <v>No</v>
      </c>
      <c r="O917" s="1" t="str">
        <f>IF(AND(Employee__2[[#This Row],[Education]]="Bachelors",Employee__2[[#This Row],[City]]="Pune"),"Yes","No")</f>
        <v>No</v>
      </c>
      <c r="P917" s="1" t="str">
        <f>IF(OR(Employee__2[[#This Row],[Age]]&gt;=30,Employee__2[[#This Row],[Gender]]="Male"),"Mached","Not mached")</f>
        <v>Mached</v>
      </c>
    </row>
    <row r="918" spans="4:16" x14ac:dyDescent="0.25">
      <c r="D918" s="6" t="s">
        <v>34</v>
      </c>
      <c r="E918">
        <v>2014</v>
      </c>
      <c r="F918" s="6" t="s">
        <v>35</v>
      </c>
      <c r="G918">
        <v>3</v>
      </c>
      <c r="H918">
        <v>26</v>
      </c>
      <c r="I918" s="6" t="s">
        <v>36</v>
      </c>
      <c r="J918" s="6" t="s">
        <v>37</v>
      </c>
      <c r="K918">
        <v>4</v>
      </c>
      <c r="M918" s="1" t="b">
        <f>Employee__2[[#This Row],[Experience]]&gt;1</f>
        <v>1</v>
      </c>
      <c r="N918" s="1" t="str">
        <f>IF(Employee__2[[#This Row],[City]]="Pune","Yes","No")</f>
        <v>No</v>
      </c>
      <c r="O918" s="1" t="str">
        <f>IF(AND(Employee__2[[#This Row],[Education]]="Bachelors",Employee__2[[#This Row],[City]]="Pune"),"Yes","No")</f>
        <v>No</v>
      </c>
      <c r="P918" s="1" t="str">
        <f>IF(OR(Employee__2[[#This Row],[Age]]&gt;=30,Employee__2[[#This Row],[Gender]]="Male"),"Mached","Not mached")</f>
        <v>Mached</v>
      </c>
    </row>
    <row r="919" spans="4:16" x14ac:dyDescent="0.25">
      <c r="D919" s="6" t="s">
        <v>34</v>
      </c>
      <c r="E919">
        <v>2017</v>
      </c>
      <c r="F919" s="6" t="s">
        <v>35</v>
      </c>
      <c r="G919">
        <v>3</v>
      </c>
      <c r="H919">
        <v>27</v>
      </c>
      <c r="I919" s="6" t="s">
        <v>36</v>
      </c>
      <c r="J919" s="6" t="s">
        <v>37</v>
      </c>
      <c r="K919">
        <v>5</v>
      </c>
      <c r="M919" s="1" t="b">
        <f>Employee__2[[#This Row],[Experience]]&gt;1</f>
        <v>1</v>
      </c>
      <c r="N919" s="1" t="str">
        <f>IF(Employee__2[[#This Row],[City]]="Pune","Yes","No")</f>
        <v>No</v>
      </c>
      <c r="O919" s="1" t="str">
        <f>IF(AND(Employee__2[[#This Row],[Education]]="Bachelors",Employee__2[[#This Row],[City]]="Pune"),"Yes","No")</f>
        <v>No</v>
      </c>
      <c r="P919" s="1" t="str">
        <f>IF(OR(Employee__2[[#This Row],[Age]]&gt;=30,Employee__2[[#This Row],[Gender]]="Male"),"Mached","Not mached")</f>
        <v>Mached</v>
      </c>
    </row>
    <row r="920" spans="4:16" x14ac:dyDescent="0.25">
      <c r="D920" s="6" t="s">
        <v>34</v>
      </c>
      <c r="E920">
        <v>2017</v>
      </c>
      <c r="F920" s="6" t="s">
        <v>40</v>
      </c>
      <c r="G920">
        <v>2</v>
      </c>
      <c r="H920">
        <v>25</v>
      </c>
      <c r="I920" s="6" t="s">
        <v>36</v>
      </c>
      <c r="J920" s="6" t="s">
        <v>37</v>
      </c>
      <c r="K920">
        <v>3</v>
      </c>
      <c r="M920" s="1" t="b">
        <f>Employee__2[[#This Row],[Experience]]&gt;1</f>
        <v>1</v>
      </c>
      <c r="N920" s="1" t="str">
        <f>IF(Employee__2[[#This Row],[City]]="Pune","Yes","No")</f>
        <v>No</v>
      </c>
      <c r="O920" s="1" t="str">
        <f>IF(AND(Employee__2[[#This Row],[Education]]="Bachelors",Employee__2[[#This Row],[City]]="Pune"),"Yes","No")</f>
        <v>No</v>
      </c>
      <c r="P920" s="1" t="str">
        <f>IF(OR(Employee__2[[#This Row],[Age]]&gt;=30,Employee__2[[#This Row],[Gender]]="Male"),"Mached","Not mached")</f>
        <v>Mached</v>
      </c>
    </row>
    <row r="921" spans="4:16" x14ac:dyDescent="0.25">
      <c r="D921" s="6" t="s">
        <v>34</v>
      </c>
      <c r="E921">
        <v>2015</v>
      </c>
      <c r="F921" s="6" t="s">
        <v>35</v>
      </c>
      <c r="G921">
        <v>3</v>
      </c>
      <c r="H921">
        <v>28</v>
      </c>
      <c r="I921" s="6" t="s">
        <v>39</v>
      </c>
      <c r="J921" s="6" t="s">
        <v>37</v>
      </c>
      <c r="K921">
        <v>1</v>
      </c>
      <c r="M921" s="1" t="b">
        <f>Employee__2[[#This Row],[Experience]]&gt;1</f>
        <v>0</v>
      </c>
      <c r="N921" s="1" t="str">
        <f>IF(Employee__2[[#This Row],[City]]="Pune","Yes","No")</f>
        <v>No</v>
      </c>
      <c r="O921" s="1" t="str">
        <f>IF(AND(Employee__2[[#This Row],[Education]]="Bachelors",Employee__2[[#This Row],[City]]="Pune"),"Yes","No")</f>
        <v>No</v>
      </c>
      <c r="P921" s="1" t="str">
        <f>IF(OR(Employee__2[[#This Row],[Age]]&gt;=30,Employee__2[[#This Row],[Gender]]="Male"),"Mached","Not mached")</f>
        <v>Not mached</v>
      </c>
    </row>
    <row r="922" spans="4:16" x14ac:dyDescent="0.25">
      <c r="D922" s="6" t="s">
        <v>34</v>
      </c>
      <c r="E922">
        <v>2014</v>
      </c>
      <c r="F922" s="6" t="s">
        <v>35</v>
      </c>
      <c r="G922">
        <v>3</v>
      </c>
      <c r="H922">
        <v>24</v>
      </c>
      <c r="I922" s="6" t="s">
        <v>36</v>
      </c>
      <c r="J922" s="6" t="s">
        <v>37</v>
      </c>
      <c r="K922">
        <v>2</v>
      </c>
      <c r="M922" s="1" t="b">
        <f>Employee__2[[#This Row],[Experience]]&gt;1</f>
        <v>1</v>
      </c>
      <c r="N922" s="1" t="str">
        <f>IF(Employee__2[[#This Row],[City]]="Pune","Yes","No")</f>
        <v>No</v>
      </c>
      <c r="O922" s="1" t="str">
        <f>IF(AND(Employee__2[[#This Row],[Education]]="Bachelors",Employee__2[[#This Row],[City]]="Pune"),"Yes","No")</f>
        <v>No</v>
      </c>
      <c r="P922" s="1" t="str">
        <f>IF(OR(Employee__2[[#This Row],[Age]]&gt;=30,Employee__2[[#This Row],[Gender]]="Male"),"Mached","Not mached")</f>
        <v>Mached</v>
      </c>
    </row>
    <row r="923" spans="4:16" x14ac:dyDescent="0.25">
      <c r="D923" s="6" t="s">
        <v>43</v>
      </c>
      <c r="E923">
        <v>2018</v>
      </c>
      <c r="F923" s="6" t="s">
        <v>40</v>
      </c>
      <c r="G923">
        <v>3</v>
      </c>
      <c r="H923">
        <v>24</v>
      </c>
      <c r="I923" s="6" t="s">
        <v>39</v>
      </c>
      <c r="J923" s="6" t="s">
        <v>37</v>
      </c>
      <c r="K923">
        <v>2</v>
      </c>
      <c r="M923" s="1" t="b">
        <f>Employee__2[[#This Row],[Experience]]&gt;1</f>
        <v>1</v>
      </c>
      <c r="N923" s="1" t="str">
        <f>IF(Employee__2[[#This Row],[City]]="Pune","Yes","No")</f>
        <v>No</v>
      </c>
      <c r="O923" s="1" t="str">
        <f>IF(AND(Employee__2[[#This Row],[Education]]="Bachelors",Employee__2[[#This Row],[City]]="Pune"),"Yes","No")</f>
        <v>No</v>
      </c>
      <c r="P923" s="1" t="str">
        <f>IF(OR(Employee__2[[#This Row],[Age]]&gt;=30,Employee__2[[#This Row],[Gender]]="Male"),"Mached","Not mached")</f>
        <v>Not mached</v>
      </c>
    </row>
    <row r="924" spans="4:16" x14ac:dyDescent="0.25">
      <c r="D924" s="6" t="s">
        <v>34</v>
      </c>
      <c r="E924">
        <v>2015</v>
      </c>
      <c r="F924" s="6" t="s">
        <v>38</v>
      </c>
      <c r="G924">
        <v>3</v>
      </c>
      <c r="H924">
        <v>28</v>
      </c>
      <c r="I924" s="6" t="s">
        <v>36</v>
      </c>
      <c r="J924" s="6" t="s">
        <v>37</v>
      </c>
      <c r="K924">
        <v>1</v>
      </c>
      <c r="M924" s="1" t="b">
        <f>Employee__2[[#This Row],[Experience]]&gt;1</f>
        <v>0</v>
      </c>
      <c r="N924" s="1" t="str">
        <f>IF(Employee__2[[#This Row],[City]]="Pune","Yes","No")</f>
        <v>Yes</v>
      </c>
      <c r="O924" s="1" t="str">
        <f>IF(AND(Employee__2[[#This Row],[Education]]="Bachelors",Employee__2[[#This Row],[City]]="Pune"),"Yes","No")</f>
        <v>Yes</v>
      </c>
      <c r="P924" s="1" t="str">
        <f>IF(OR(Employee__2[[#This Row],[Age]]&gt;=30,Employee__2[[#This Row],[Gender]]="Male"),"Mached","Not mached")</f>
        <v>Mached</v>
      </c>
    </row>
    <row r="925" spans="4:16" x14ac:dyDescent="0.25">
      <c r="D925" s="6" t="s">
        <v>34</v>
      </c>
      <c r="E925">
        <v>2015</v>
      </c>
      <c r="F925" s="6" t="s">
        <v>35</v>
      </c>
      <c r="G925">
        <v>3</v>
      </c>
      <c r="H925">
        <v>26</v>
      </c>
      <c r="I925" s="6" t="s">
        <v>36</v>
      </c>
      <c r="J925" s="6" t="s">
        <v>37</v>
      </c>
      <c r="K925">
        <v>4</v>
      </c>
      <c r="M925" s="1" t="b">
        <f>Employee__2[[#This Row],[Experience]]&gt;1</f>
        <v>1</v>
      </c>
      <c r="N925" s="1" t="str">
        <f>IF(Employee__2[[#This Row],[City]]="Pune","Yes","No")</f>
        <v>No</v>
      </c>
      <c r="O925" s="1" t="str">
        <f>IF(AND(Employee__2[[#This Row],[Education]]="Bachelors",Employee__2[[#This Row],[City]]="Pune"),"Yes","No")</f>
        <v>No</v>
      </c>
      <c r="P925" s="1" t="str">
        <f>IF(OR(Employee__2[[#This Row],[Age]]&gt;=30,Employee__2[[#This Row],[Gender]]="Male"),"Mached","Not mached")</f>
        <v>Mached</v>
      </c>
    </row>
    <row r="926" spans="4:16" x14ac:dyDescent="0.25">
      <c r="D926" s="6" t="s">
        <v>43</v>
      </c>
      <c r="E926">
        <v>2015</v>
      </c>
      <c r="F926" s="6" t="s">
        <v>38</v>
      </c>
      <c r="G926">
        <v>2</v>
      </c>
      <c r="H926">
        <v>28</v>
      </c>
      <c r="I926" s="6" t="s">
        <v>39</v>
      </c>
      <c r="J926" s="6" t="s">
        <v>37</v>
      </c>
      <c r="K926">
        <v>1</v>
      </c>
      <c r="M926" s="1" t="b">
        <f>Employee__2[[#This Row],[Experience]]&gt;1</f>
        <v>0</v>
      </c>
      <c r="N926" s="1" t="str">
        <f>IF(Employee__2[[#This Row],[City]]="Pune","Yes","No")</f>
        <v>Yes</v>
      </c>
      <c r="O926" s="1" t="str">
        <f>IF(AND(Employee__2[[#This Row],[Education]]="Bachelors",Employee__2[[#This Row],[City]]="Pune"),"Yes","No")</f>
        <v>No</v>
      </c>
      <c r="P926" s="1" t="str">
        <f>IF(OR(Employee__2[[#This Row],[Age]]&gt;=30,Employee__2[[#This Row],[Gender]]="Male"),"Mached","Not mached")</f>
        <v>Not mached</v>
      </c>
    </row>
    <row r="927" spans="4:16" x14ac:dyDescent="0.25">
      <c r="D927" s="6" t="s">
        <v>34</v>
      </c>
      <c r="E927">
        <v>2018</v>
      </c>
      <c r="F927" s="6" t="s">
        <v>35</v>
      </c>
      <c r="G927">
        <v>3</v>
      </c>
      <c r="H927">
        <v>25</v>
      </c>
      <c r="I927" s="6" t="s">
        <v>36</v>
      </c>
      <c r="J927" s="6" t="s">
        <v>42</v>
      </c>
      <c r="K927">
        <v>3</v>
      </c>
      <c r="M927" s="1" t="b">
        <f>Employee__2[[#This Row],[Experience]]&gt;1</f>
        <v>1</v>
      </c>
      <c r="N927" s="1" t="str">
        <f>IF(Employee__2[[#This Row],[City]]="Pune","Yes","No")</f>
        <v>No</v>
      </c>
      <c r="O927" s="1" t="str">
        <f>IF(AND(Employee__2[[#This Row],[Education]]="Bachelors",Employee__2[[#This Row],[City]]="Pune"),"Yes","No")</f>
        <v>No</v>
      </c>
      <c r="P927" s="1" t="str">
        <f>IF(OR(Employee__2[[#This Row],[Age]]&gt;=30,Employee__2[[#This Row],[Gender]]="Male"),"Mached","Not mached")</f>
        <v>Mached</v>
      </c>
    </row>
    <row r="928" spans="4:16" x14ac:dyDescent="0.25">
      <c r="D928" s="6" t="s">
        <v>34</v>
      </c>
      <c r="E928">
        <v>2016</v>
      </c>
      <c r="F928" s="6" t="s">
        <v>35</v>
      </c>
      <c r="G928">
        <v>3</v>
      </c>
      <c r="H928">
        <v>26</v>
      </c>
      <c r="I928" s="6" t="s">
        <v>36</v>
      </c>
      <c r="J928" s="6" t="s">
        <v>37</v>
      </c>
      <c r="K928">
        <v>4</v>
      </c>
      <c r="M928" s="1" t="b">
        <f>Employee__2[[#This Row],[Experience]]&gt;1</f>
        <v>1</v>
      </c>
      <c r="N928" s="1" t="str">
        <f>IF(Employee__2[[#This Row],[City]]="Pune","Yes","No")</f>
        <v>No</v>
      </c>
      <c r="O928" s="1" t="str">
        <f>IF(AND(Employee__2[[#This Row],[Education]]="Bachelors",Employee__2[[#This Row],[City]]="Pune"),"Yes","No")</f>
        <v>No</v>
      </c>
      <c r="P928" s="1" t="str">
        <f>IF(OR(Employee__2[[#This Row],[Age]]&gt;=30,Employee__2[[#This Row],[Gender]]="Male"),"Mached","Not mached")</f>
        <v>Mached</v>
      </c>
    </row>
    <row r="929" spans="4:16" x14ac:dyDescent="0.25">
      <c r="D929" s="6" t="s">
        <v>34</v>
      </c>
      <c r="E929">
        <v>2015</v>
      </c>
      <c r="F929" s="6" t="s">
        <v>35</v>
      </c>
      <c r="G929">
        <v>3</v>
      </c>
      <c r="H929">
        <v>27</v>
      </c>
      <c r="I929" s="6" t="s">
        <v>39</v>
      </c>
      <c r="J929" s="6" t="s">
        <v>37</v>
      </c>
      <c r="K929">
        <v>5</v>
      </c>
      <c r="M929" s="1" t="b">
        <f>Employee__2[[#This Row],[Experience]]&gt;1</f>
        <v>1</v>
      </c>
      <c r="N929" s="1" t="str">
        <f>IF(Employee__2[[#This Row],[City]]="Pune","Yes","No")</f>
        <v>No</v>
      </c>
      <c r="O929" s="1" t="str">
        <f>IF(AND(Employee__2[[#This Row],[Education]]="Bachelors",Employee__2[[#This Row],[City]]="Pune"),"Yes","No")</f>
        <v>No</v>
      </c>
      <c r="P929" s="1" t="str">
        <f>IF(OR(Employee__2[[#This Row],[Age]]&gt;=30,Employee__2[[#This Row],[Gender]]="Male"),"Mached","Not mached")</f>
        <v>Not mached</v>
      </c>
    </row>
    <row r="930" spans="4:16" x14ac:dyDescent="0.25">
      <c r="D930" s="6" t="s">
        <v>34</v>
      </c>
      <c r="E930">
        <v>2017</v>
      </c>
      <c r="F930" s="6" t="s">
        <v>38</v>
      </c>
      <c r="G930">
        <v>3</v>
      </c>
      <c r="H930">
        <v>24</v>
      </c>
      <c r="I930" s="6" t="s">
        <v>36</v>
      </c>
      <c r="J930" s="6" t="s">
        <v>37</v>
      </c>
      <c r="K930">
        <v>2</v>
      </c>
      <c r="M930" s="1" t="b">
        <f>Employee__2[[#This Row],[Experience]]&gt;1</f>
        <v>1</v>
      </c>
      <c r="N930" s="1" t="str">
        <f>IF(Employee__2[[#This Row],[City]]="Pune","Yes","No")</f>
        <v>Yes</v>
      </c>
      <c r="O930" s="1" t="str">
        <f>IF(AND(Employee__2[[#This Row],[Education]]="Bachelors",Employee__2[[#This Row],[City]]="Pune"),"Yes","No")</f>
        <v>Yes</v>
      </c>
      <c r="P930" s="1" t="str">
        <f>IF(OR(Employee__2[[#This Row],[Age]]&gt;=30,Employee__2[[#This Row],[Gender]]="Male"),"Mached","Not mached")</f>
        <v>Mached</v>
      </c>
    </row>
    <row r="931" spans="4:16" x14ac:dyDescent="0.25">
      <c r="D931" s="6" t="s">
        <v>34</v>
      </c>
      <c r="E931">
        <v>2014</v>
      </c>
      <c r="F931" s="6" t="s">
        <v>35</v>
      </c>
      <c r="G931">
        <v>3</v>
      </c>
      <c r="H931">
        <v>27</v>
      </c>
      <c r="I931" s="6" t="s">
        <v>36</v>
      </c>
      <c r="J931" s="6" t="s">
        <v>37</v>
      </c>
      <c r="K931">
        <v>5</v>
      </c>
      <c r="M931" s="1" t="b">
        <f>Employee__2[[#This Row],[Experience]]&gt;1</f>
        <v>1</v>
      </c>
      <c r="N931" s="1" t="str">
        <f>IF(Employee__2[[#This Row],[City]]="Pune","Yes","No")</f>
        <v>No</v>
      </c>
      <c r="O931" s="1" t="str">
        <f>IF(AND(Employee__2[[#This Row],[Education]]="Bachelors",Employee__2[[#This Row],[City]]="Pune"),"Yes","No")</f>
        <v>No</v>
      </c>
      <c r="P931" s="1" t="str">
        <f>IF(OR(Employee__2[[#This Row],[Age]]&gt;=30,Employee__2[[#This Row],[Gender]]="Male"),"Mached","Not mached")</f>
        <v>Mached</v>
      </c>
    </row>
    <row r="932" spans="4:16" x14ac:dyDescent="0.25">
      <c r="D932" s="6" t="s">
        <v>41</v>
      </c>
      <c r="E932">
        <v>2012</v>
      </c>
      <c r="F932" s="6" t="s">
        <v>40</v>
      </c>
      <c r="G932">
        <v>3</v>
      </c>
      <c r="H932">
        <v>28</v>
      </c>
      <c r="I932" s="6" t="s">
        <v>36</v>
      </c>
      <c r="J932" s="6" t="s">
        <v>37</v>
      </c>
      <c r="K932">
        <v>2</v>
      </c>
      <c r="M932" s="1" t="b">
        <f>Employee__2[[#This Row],[Experience]]&gt;1</f>
        <v>1</v>
      </c>
      <c r="N932" s="1" t="str">
        <f>IF(Employee__2[[#This Row],[City]]="Pune","Yes","No")</f>
        <v>No</v>
      </c>
      <c r="O932" s="1" t="str">
        <f>IF(AND(Employee__2[[#This Row],[Education]]="Bachelors",Employee__2[[#This Row],[City]]="Pune"),"Yes","No")</f>
        <v>No</v>
      </c>
      <c r="P932" s="1" t="str">
        <f>IF(OR(Employee__2[[#This Row],[Age]]&gt;=30,Employee__2[[#This Row],[Gender]]="Male"),"Mached","Not mached")</f>
        <v>Mached</v>
      </c>
    </row>
    <row r="933" spans="4:16" x14ac:dyDescent="0.25">
      <c r="D933" s="6" t="s">
        <v>34</v>
      </c>
      <c r="E933">
        <v>2012</v>
      </c>
      <c r="F933" s="6" t="s">
        <v>35</v>
      </c>
      <c r="G933">
        <v>3</v>
      </c>
      <c r="H933">
        <v>28</v>
      </c>
      <c r="I933" s="6" t="s">
        <v>36</v>
      </c>
      <c r="J933" s="6" t="s">
        <v>37</v>
      </c>
      <c r="K933">
        <v>3</v>
      </c>
      <c r="M933" s="1" t="b">
        <f>Employee__2[[#This Row],[Experience]]&gt;1</f>
        <v>1</v>
      </c>
      <c r="N933" s="1" t="str">
        <f>IF(Employee__2[[#This Row],[City]]="Pune","Yes","No")</f>
        <v>No</v>
      </c>
      <c r="O933" s="1" t="str">
        <f>IF(AND(Employee__2[[#This Row],[Education]]="Bachelors",Employee__2[[#This Row],[City]]="Pune"),"Yes","No")</f>
        <v>No</v>
      </c>
      <c r="P933" s="1" t="str">
        <f>IF(OR(Employee__2[[#This Row],[Age]]&gt;=30,Employee__2[[#This Row],[Gender]]="Male"),"Mached","Not mached")</f>
        <v>Mached</v>
      </c>
    </row>
    <row r="934" spans="4:16" x14ac:dyDescent="0.25">
      <c r="D934" s="6" t="s">
        <v>34</v>
      </c>
      <c r="E934">
        <v>2012</v>
      </c>
      <c r="F934" s="6" t="s">
        <v>38</v>
      </c>
      <c r="G934">
        <v>2</v>
      </c>
      <c r="H934">
        <v>27</v>
      </c>
      <c r="I934" s="6" t="s">
        <v>39</v>
      </c>
      <c r="J934" s="6" t="s">
        <v>37</v>
      </c>
      <c r="K934">
        <v>5</v>
      </c>
      <c r="M934" s="1" t="b">
        <f>Employee__2[[#This Row],[Experience]]&gt;1</f>
        <v>1</v>
      </c>
      <c r="N934" s="1" t="str">
        <f>IF(Employee__2[[#This Row],[City]]="Pune","Yes","No")</f>
        <v>Yes</v>
      </c>
      <c r="O934" s="1" t="str">
        <f>IF(AND(Employee__2[[#This Row],[Education]]="Bachelors",Employee__2[[#This Row],[City]]="Pune"),"Yes","No")</f>
        <v>Yes</v>
      </c>
      <c r="P934" s="1" t="str">
        <f>IF(OR(Employee__2[[#This Row],[Age]]&gt;=30,Employee__2[[#This Row],[Gender]]="Male"),"Mached","Not mached")</f>
        <v>Not mached</v>
      </c>
    </row>
    <row r="935" spans="4:16" x14ac:dyDescent="0.25">
      <c r="D935" s="6" t="s">
        <v>34</v>
      </c>
      <c r="E935">
        <v>2012</v>
      </c>
      <c r="F935" s="6" t="s">
        <v>40</v>
      </c>
      <c r="G935">
        <v>2</v>
      </c>
      <c r="H935">
        <v>27</v>
      </c>
      <c r="I935" s="6" t="s">
        <v>39</v>
      </c>
      <c r="J935" s="6" t="s">
        <v>37</v>
      </c>
      <c r="K935">
        <v>5</v>
      </c>
      <c r="M935" s="1" t="b">
        <f>Employee__2[[#This Row],[Experience]]&gt;1</f>
        <v>1</v>
      </c>
      <c r="N935" s="1" t="str">
        <f>IF(Employee__2[[#This Row],[City]]="Pune","Yes","No")</f>
        <v>No</v>
      </c>
      <c r="O935" s="1" t="str">
        <f>IF(AND(Employee__2[[#This Row],[Education]]="Bachelors",Employee__2[[#This Row],[City]]="Pune"),"Yes","No")</f>
        <v>No</v>
      </c>
      <c r="P935" s="1" t="str">
        <f>IF(OR(Employee__2[[#This Row],[Age]]&gt;=30,Employee__2[[#This Row],[Gender]]="Male"),"Mached","Not mached")</f>
        <v>Not mached</v>
      </c>
    </row>
    <row r="936" spans="4:16" x14ac:dyDescent="0.25">
      <c r="D936" s="6" t="s">
        <v>41</v>
      </c>
      <c r="E936">
        <v>2012</v>
      </c>
      <c r="F936" s="6" t="s">
        <v>35</v>
      </c>
      <c r="G936">
        <v>3</v>
      </c>
      <c r="H936">
        <v>27</v>
      </c>
      <c r="I936" s="6" t="s">
        <v>36</v>
      </c>
      <c r="J936" s="6" t="s">
        <v>37</v>
      </c>
      <c r="K936">
        <v>5</v>
      </c>
      <c r="M936" s="1" t="b">
        <f>Employee__2[[#This Row],[Experience]]&gt;1</f>
        <v>1</v>
      </c>
      <c r="N936" s="1" t="str">
        <f>IF(Employee__2[[#This Row],[City]]="Pune","Yes","No")</f>
        <v>No</v>
      </c>
      <c r="O936" s="1" t="str">
        <f>IF(AND(Employee__2[[#This Row],[Education]]="Bachelors",Employee__2[[#This Row],[City]]="Pune"),"Yes","No")</f>
        <v>No</v>
      </c>
      <c r="P936" s="1" t="str">
        <f>IF(OR(Employee__2[[#This Row],[Age]]&gt;=30,Employee__2[[#This Row],[Gender]]="Male"),"Mached","Not mached")</f>
        <v>Mached</v>
      </c>
    </row>
    <row r="937" spans="4:16" x14ac:dyDescent="0.25">
      <c r="D937" s="6" t="s">
        <v>34</v>
      </c>
      <c r="E937">
        <v>2018</v>
      </c>
      <c r="F937" s="6" t="s">
        <v>35</v>
      </c>
      <c r="G937">
        <v>3</v>
      </c>
      <c r="H937">
        <v>25</v>
      </c>
      <c r="I937" s="6" t="s">
        <v>39</v>
      </c>
      <c r="J937" s="6" t="s">
        <v>37</v>
      </c>
      <c r="K937">
        <v>3</v>
      </c>
      <c r="M937" s="1" t="b">
        <f>Employee__2[[#This Row],[Experience]]&gt;1</f>
        <v>1</v>
      </c>
      <c r="N937" s="1" t="str">
        <f>IF(Employee__2[[#This Row],[City]]="Pune","Yes","No")</f>
        <v>No</v>
      </c>
      <c r="O937" s="1" t="str">
        <f>IF(AND(Employee__2[[#This Row],[Education]]="Bachelors",Employee__2[[#This Row],[City]]="Pune"),"Yes","No")</f>
        <v>No</v>
      </c>
      <c r="P937" s="1" t="str">
        <f>IF(OR(Employee__2[[#This Row],[Age]]&gt;=30,Employee__2[[#This Row],[Gender]]="Male"),"Mached","Not mached")</f>
        <v>Not mached</v>
      </c>
    </row>
    <row r="938" spans="4:16" x14ac:dyDescent="0.25">
      <c r="D938" s="6" t="s">
        <v>41</v>
      </c>
      <c r="E938">
        <v>2018</v>
      </c>
      <c r="F938" s="6" t="s">
        <v>38</v>
      </c>
      <c r="G938">
        <v>3</v>
      </c>
      <c r="H938">
        <v>27</v>
      </c>
      <c r="I938" s="6" t="s">
        <v>36</v>
      </c>
      <c r="J938" s="6" t="s">
        <v>37</v>
      </c>
      <c r="K938">
        <v>5</v>
      </c>
      <c r="M938" s="1" t="b">
        <f>Employee__2[[#This Row],[Experience]]&gt;1</f>
        <v>1</v>
      </c>
      <c r="N938" s="1" t="str">
        <f>IF(Employee__2[[#This Row],[City]]="Pune","Yes","No")</f>
        <v>Yes</v>
      </c>
      <c r="O938" s="1" t="str">
        <f>IF(AND(Employee__2[[#This Row],[Education]]="Bachelors",Employee__2[[#This Row],[City]]="Pune"),"Yes","No")</f>
        <v>No</v>
      </c>
      <c r="P938" s="1" t="str">
        <f>IF(OR(Employee__2[[#This Row],[Age]]&gt;=30,Employee__2[[#This Row],[Gender]]="Male"),"Mached","Not mached")</f>
        <v>Mached</v>
      </c>
    </row>
    <row r="939" spans="4:16" x14ac:dyDescent="0.25">
      <c r="D939" s="6" t="s">
        <v>41</v>
      </c>
      <c r="E939">
        <v>2017</v>
      </c>
      <c r="F939" s="6" t="s">
        <v>40</v>
      </c>
      <c r="G939">
        <v>2</v>
      </c>
      <c r="H939">
        <v>28</v>
      </c>
      <c r="I939" s="6" t="s">
        <v>36</v>
      </c>
      <c r="J939" s="6" t="s">
        <v>37</v>
      </c>
      <c r="K939">
        <v>2</v>
      </c>
      <c r="M939" s="1" t="b">
        <f>Employee__2[[#This Row],[Experience]]&gt;1</f>
        <v>1</v>
      </c>
      <c r="N939" s="1" t="str">
        <f>IF(Employee__2[[#This Row],[City]]="Pune","Yes","No")</f>
        <v>No</v>
      </c>
      <c r="O939" s="1" t="str">
        <f>IF(AND(Employee__2[[#This Row],[Education]]="Bachelors",Employee__2[[#This Row],[City]]="Pune"),"Yes","No")</f>
        <v>No</v>
      </c>
      <c r="P939" s="1" t="str">
        <f>IF(OR(Employee__2[[#This Row],[Age]]&gt;=30,Employee__2[[#This Row],[Gender]]="Male"),"Mached","Not mached")</f>
        <v>Mached</v>
      </c>
    </row>
    <row r="940" spans="4:16" x14ac:dyDescent="0.25">
      <c r="D940" s="6" t="s">
        <v>34</v>
      </c>
      <c r="E940">
        <v>2013</v>
      </c>
      <c r="F940" s="6" t="s">
        <v>35</v>
      </c>
      <c r="G940">
        <v>3</v>
      </c>
      <c r="H940">
        <v>27</v>
      </c>
      <c r="I940" s="6" t="s">
        <v>36</v>
      </c>
      <c r="J940" s="6" t="s">
        <v>37</v>
      </c>
      <c r="K940">
        <v>5</v>
      </c>
      <c r="M940" s="1" t="b">
        <f>Employee__2[[#This Row],[Experience]]&gt;1</f>
        <v>1</v>
      </c>
      <c r="N940" s="1" t="str">
        <f>IF(Employee__2[[#This Row],[City]]="Pune","Yes","No")</f>
        <v>No</v>
      </c>
      <c r="O940" s="1" t="str">
        <f>IF(AND(Employee__2[[#This Row],[Education]]="Bachelors",Employee__2[[#This Row],[City]]="Pune"),"Yes","No")</f>
        <v>No</v>
      </c>
      <c r="P940" s="1" t="str">
        <f>IF(OR(Employee__2[[#This Row],[Age]]&gt;=30,Employee__2[[#This Row],[Gender]]="Male"),"Mached","Not mached")</f>
        <v>Mached</v>
      </c>
    </row>
    <row r="941" spans="4:16" x14ac:dyDescent="0.25">
      <c r="D941" s="6" t="s">
        <v>41</v>
      </c>
      <c r="E941">
        <v>2017</v>
      </c>
      <c r="F941" s="6" t="s">
        <v>35</v>
      </c>
      <c r="G941">
        <v>2</v>
      </c>
      <c r="H941">
        <v>28</v>
      </c>
      <c r="I941" s="6" t="s">
        <v>36</v>
      </c>
      <c r="J941" s="6" t="s">
        <v>42</v>
      </c>
      <c r="K941">
        <v>2</v>
      </c>
      <c r="M941" s="1" t="b">
        <f>Employee__2[[#This Row],[Experience]]&gt;1</f>
        <v>1</v>
      </c>
      <c r="N941" s="1" t="str">
        <f>IF(Employee__2[[#This Row],[City]]="Pune","Yes","No")</f>
        <v>No</v>
      </c>
      <c r="O941" s="1" t="str">
        <f>IF(AND(Employee__2[[#This Row],[Education]]="Bachelors",Employee__2[[#This Row],[City]]="Pune"),"Yes","No")</f>
        <v>No</v>
      </c>
      <c r="P941" s="1" t="str">
        <f>IF(OR(Employee__2[[#This Row],[Age]]&gt;=30,Employee__2[[#This Row],[Gender]]="Male"),"Mached","Not mached")</f>
        <v>Mached</v>
      </c>
    </row>
    <row r="942" spans="4:16" x14ac:dyDescent="0.25">
      <c r="D942" s="6" t="s">
        <v>34</v>
      </c>
      <c r="E942">
        <v>2017</v>
      </c>
      <c r="F942" s="6" t="s">
        <v>38</v>
      </c>
      <c r="G942">
        <v>3</v>
      </c>
      <c r="H942">
        <v>27</v>
      </c>
      <c r="I942" s="6" t="s">
        <v>36</v>
      </c>
      <c r="J942" s="6" t="s">
        <v>37</v>
      </c>
      <c r="K942">
        <v>5</v>
      </c>
      <c r="M942" s="1" t="b">
        <f>Employee__2[[#This Row],[Experience]]&gt;1</f>
        <v>1</v>
      </c>
      <c r="N942" s="1" t="str">
        <f>IF(Employee__2[[#This Row],[City]]="Pune","Yes","No")</f>
        <v>Yes</v>
      </c>
      <c r="O942" s="1" t="str">
        <f>IF(AND(Employee__2[[#This Row],[Education]]="Bachelors",Employee__2[[#This Row],[City]]="Pune"),"Yes","No")</f>
        <v>Yes</v>
      </c>
      <c r="P942" s="1" t="str">
        <f>IF(OR(Employee__2[[#This Row],[Age]]&gt;=30,Employee__2[[#This Row],[Gender]]="Male"),"Mached","Not mached")</f>
        <v>Mached</v>
      </c>
    </row>
    <row r="943" spans="4:16" x14ac:dyDescent="0.25">
      <c r="D943" s="6" t="s">
        <v>34</v>
      </c>
      <c r="E943">
        <v>2017</v>
      </c>
      <c r="F943" s="6" t="s">
        <v>38</v>
      </c>
      <c r="G943">
        <v>3</v>
      </c>
      <c r="H943">
        <v>28</v>
      </c>
      <c r="I943" s="6" t="s">
        <v>39</v>
      </c>
      <c r="J943" s="6" t="s">
        <v>37</v>
      </c>
      <c r="K943">
        <v>1</v>
      </c>
      <c r="M943" s="1" t="b">
        <f>Employee__2[[#This Row],[Experience]]&gt;1</f>
        <v>0</v>
      </c>
      <c r="N943" s="1" t="str">
        <f>IF(Employee__2[[#This Row],[City]]="Pune","Yes","No")</f>
        <v>Yes</v>
      </c>
      <c r="O943" s="1" t="str">
        <f>IF(AND(Employee__2[[#This Row],[Education]]="Bachelors",Employee__2[[#This Row],[City]]="Pune"),"Yes","No")</f>
        <v>Yes</v>
      </c>
      <c r="P943" s="1" t="str">
        <f>IF(OR(Employee__2[[#This Row],[Age]]&gt;=30,Employee__2[[#This Row],[Gender]]="Male"),"Mached","Not mached")</f>
        <v>Not mached</v>
      </c>
    </row>
    <row r="944" spans="4:16" x14ac:dyDescent="0.25">
      <c r="D944" s="6" t="s">
        <v>34</v>
      </c>
      <c r="E944">
        <v>2016</v>
      </c>
      <c r="F944" s="6" t="s">
        <v>35</v>
      </c>
      <c r="G944">
        <v>3</v>
      </c>
      <c r="H944">
        <v>28</v>
      </c>
      <c r="I944" s="6" t="s">
        <v>36</v>
      </c>
      <c r="J944" s="6" t="s">
        <v>37</v>
      </c>
      <c r="K944">
        <v>3</v>
      </c>
      <c r="M944" s="1" t="b">
        <f>Employee__2[[#This Row],[Experience]]&gt;1</f>
        <v>1</v>
      </c>
      <c r="N944" s="1" t="str">
        <f>IF(Employee__2[[#This Row],[City]]="Pune","Yes","No")</f>
        <v>No</v>
      </c>
      <c r="O944" s="1" t="str">
        <f>IF(AND(Employee__2[[#This Row],[Education]]="Bachelors",Employee__2[[#This Row],[City]]="Pune"),"Yes","No")</f>
        <v>No</v>
      </c>
      <c r="P944" s="1" t="str">
        <f>IF(OR(Employee__2[[#This Row],[Age]]&gt;=30,Employee__2[[#This Row],[Gender]]="Male"),"Mached","Not mached")</f>
        <v>Mached</v>
      </c>
    </row>
    <row r="945" spans="4:16" x14ac:dyDescent="0.25">
      <c r="D945" s="6" t="s">
        <v>34</v>
      </c>
      <c r="E945">
        <v>2014</v>
      </c>
      <c r="F945" s="6" t="s">
        <v>40</v>
      </c>
      <c r="G945">
        <v>3</v>
      </c>
      <c r="H945">
        <v>26</v>
      </c>
      <c r="I945" s="6" t="s">
        <v>39</v>
      </c>
      <c r="J945" s="6" t="s">
        <v>37</v>
      </c>
      <c r="K945">
        <v>4</v>
      </c>
      <c r="M945" s="1" t="b">
        <f>Employee__2[[#This Row],[Experience]]&gt;1</f>
        <v>1</v>
      </c>
      <c r="N945" s="1" t="str">
        <f>IF(Employee__2[[#This Row],[City]]="Pune","Yes","No")</f>
        <v>No</v>
      </c>
      <c r="O945" s="1" t="str">
        <f>IF(AND(Employee__2[[#This Row],[Education]]="Bachelors",Employee__2[[#This Row],[City]]="Pune"),"Yes","No")</f>
        <v>No</v>
      </c>
      <c r="P945" s="1" t="str">
        <f>IF(OR(Employee__2[[#This Row],[Age]]&gt;=30,Employee__2[[#This Row],[Gender]]="Male"),"Mached","Not mached")</f>
        <v>Not mached</v>
      </c>
    </row>
    <row r="946" spans="4:16" x14ac:dyDescent="0.25">
      <c r="D946" s="6" t="s">
        <v>34</v>
      </c>
      <c r="E946">
        <v>2018</v>
      </c>
      <c r="F946" s="6" t="s">
        <v>35</v>
      </c>
      <c r="G946">
        <v>3</v>
      </c>
      <c r="H946">
        <v>25</v>
      </c>
      <c r="I946" s="6" t="s">
        <v>36</v>
      </c>
      <c r="J946" s="6" t="s">
        <v>37</v>
      </c>
      <c r="K946">
        <v>3</v>
      </c>
      <c r="M946" s="1" t="b">
        <f>Employee__2[[#This Row],[Experience]]&gt;1</f>
        <v>1</v>
      </c>
      <c r="N946" s="1" t="str">
        <f>IF(Employee__2[[#This Row],[City]]="Pune","Yes","No")</f>
        <v>No</v>
      </c>
      <c r="O946" s="1" t="str">
        <f>IF(AND(Employee__2[[#This Row],[Education]]="Bachelors",Employee__2[[#This Row],[City]]="Pune"),"Yes","No")</f>
        <v>No</v>
      </c>
      <c r="P946" s="1" t="str">
        <f>IF(OR(Employee__2[[#This Row],[Age]]&gt;=30,Employee__2[[#This Row],[Gender]]="Male"),"Mached","Not mached")</f>
        <v>Mached</v>
      </c>
    </row>
    <row r="947" spans="4:16" x14ac:dyDescent="0.25">
      <c r="D947" s="6" t="s">
        <v>34</v>
      </c>
      <c r="E947">
        <v>2017</v>
      </c>
      <c r="F947" s="6" t="s">
        <v>40</v>
      </c>
      <c r="G947">
        <v>3</v>
      </c>
      <c r="H947">
        <v>26</v>
      </c>
      <c r="I947" s="6" t="s">
        <v>39</v>
      </c>
      <c r="J947" s="6" t="s">
        <v>37</v>
      </c>
      <c r="K947">
        <v>4</v>
      </c>
      <c r="M947" s="1" t="b">
        <f>Employee__2[[#This Row],[Experience]]&gt;1</f>
        <v>1</v>
      </c>
      <c r="N947" s="1" t="str">
        <f>IF(Employee__2[[#This Row],[City]]="Pune","Yes","No")</f>
        <v>No</v>
      </c>
      <c r="O947" s="1" t="str">
        <f>IF(AND(Employee__2[[#This Row],[Education]]="Bachelors",Employee__2[[#This Row],[City]]="Pune"),"Yes","No")</f>
        <v>No</v>
      </c>
      <c r="P947" s="1" t="str">
        <f>IF(OR(Employee__2[[#This Row],[Age]]&gt;=30,Employee__2[[#This Row],[Gender]]="Male"),"Mached","Not mached")</f>
        <v>Not mached</v>
      </c>
    </row>
    <row r="948" spans="4:16" x14ac:dyDescent="0.25">
      <c r="D948" s="6" t="s">
        <v>34</v>
      </c>
      <c r="E948">
        <v>2015</v>
      </c>
      <c r="F948" s="6" t="s">
        <v>38</v>
      </c>
      <c r="G948">
        <v>2</v>
      </c>
      <c r="H948">
        <v>26</v>
      </c>
      <c r="I948" s="6" t="s">
        <v>39</v>
      </c>
      <c r="J948" s="6" t="s">
        <v>37</v>
      </c>
      <c r="K948">
        <v>4</v>
      </c>
      <c r="M948" s="1" t="b">
        <f>Employee__2[[#This Row],[Experience]]&gt;1</f>
        <v>1</v>
      </c>
      <c r="N948" s="1" t="str">
        <f>IF(Employee__2[[#This Row],[City]]="Pune","Yes","No")</f>
        <v>Yes</v>
      </c>
      <c r="O948" s="1" t="str">
        <f>IF(AND(Employee__2[[#This Row],[Education]]="Bachelors",Employee__2[[#This Row],[City]]="Pune"),"Yes","No")</f>
        <v>Yes</v>
      </c>
      <c r="P948" s="1" t="str">
        <f>IF(OR(Employee__2[[#This Row],[Age]]&gt;=30,Employee__2[[#This Row],[Gender]]="Male"),"Mached","Not mached")</f>
        <v>Not mached</v>
      </c>
    </row>
    <row r="949" spans="4:16" x14ac:dyDescent="0.25">
      <c r="D949" s="6" t="s">
        <v>34</v>
      </c>
      <c r="E949">
        <v>2017</v>
      </c>
      <c r="F949" s="6" t="s">
        <v>40</v>
      </c>
      <c r="G949">
        <v>3</v>
      </c>
      <c r="H949">
        <v>26</v>
      </c>
      <c r="I949" s="6" t="s">
        <v>36</v>
      </c>
      <c r="J949" s="6" t="s">
        <v>37</v>
      </c>
      <c r="K949">
        <v>4</v>
      </c>
      <c r="M949" s="1" t="b">
        <f>Employee__2[[#This Row],[Experience]]&gt;1</f>
        <v>1</v>
      </c>
      <c r="N949" s="1" t="str">
        <f>IF(Employee__2[[#This Row],[City]]="Pune","Yes","No")</f>
        <v>No</v>
      </c>
      <c r="O949" s="1" t="str">
        <f>IF(AND(Employee__2[[#This Row],[Education]]="Bachelors",Employee__2[[#This Row],[City]]="Pune"),"Yes","No")</f>
        <v>No</v>
      </c>
      <c r="P949" s="1" t="str">
        <f>IF(OR(Employee__2[[#This Row],[Age]]&gt;=30,Employee__2[[#This Row],[Gender]]="Male"),"Mached","Not mached")</f>
        <v>Mached</v>
      </c>
    </row>
    <row r="950" spans="4:16" x14ac:dyDescent="0.25">
      <c r="D950" s="6" t="s">
        <v>34</v>
      </c>
      <c r="E950">
        <v>2012</v>
      </c>
      <c r="F950" s="6" t="s">
        <v>35</v>
      </c>
      <c r="G950">
        <v>3</v>
      </c>
      <c r="H950">
        <v>25</v>
      </c>
      <c r="I950" s="6" t="s">
        <v>39</v>
      </c>
      <c r="J950" s="6" t="s">
        <v>42</v>
      </c>
      <c r="K950">
        <v>3</v>
      </c>
      <c r="M950" s="1" t="b">
        <f>Employee__2[[#This Row],[Experience]]&gt;1</f>
        <v>1</v>
      </c>
      <c r="N950" s="1" t="str">
        <f>IF(Employee__2[[#This Row],[City]]="Pune","Yes","No")</f>
        <v>No</v>
      </c>
      <c r="O950" s="1" t="str">
        <f>IF(AND(Employee__2[[#This Row],[Education]]="Bachelors",Employee__2[[#This Row],[City]]="Pune"),"Yes","No")</f>
        <v>No</v>
      </c>
      <c r="P950" s="1" t="str">
        <f>IF(OR(Employee__2[[#This Row],[Age]]&gt;=30,Employee__2[[#This Row],[Gender]]="Male"),"Mached","Not mached")</f>
        <v>Not mached</v>
      </c>
    </row>
    <row r="951" spans="4:16" x14ac:dyDescent="0.25">
      <c r="D951" s="6" t="s">
        <v>34</v>
      </c>
      <c r="E951">
        <v>2017</v>
      </c>
      <c r="F951" s="6" t="s">
        <v>35</v>
      </c>
      <c r="G951">
        <v>3</v>
      </c>
      <c r="H951">
        <v>25</v>
      </c>
      <c r="I951" s="6" t="s">
        <v>36</v>
      </c>
      <c r="J951" s="6" t="s">
        <v>42</v>
      </c>
      <c r="K951">
        <v>3</v>
      </c>
      <c r="M951" s="1" t="b">
        <f>Employee__2[[#This Row],[Experience]]&gt;1</f>
        <v>1</v>
      </c>
      <c r="N951" s="1" t="str">
        <f>IF(Employee__2[[#This Row],[City]]="Pune","Yes","No")</f>
        <v>No</v>
      </c>
      <c r="O951" s="1" t="str">
        <f>IF(AND(Employee__2[[#This Row],[Education]]="Bachelors",Employee__2[[#This Row],[City]]="Pune"),"Yes","No")</f>
        <v>No</v>
      </c>
      <c r="P951" s="1" t="str">
        <f>IF(OR(Employee__2[[#This Row],[Age]]&gt;=30,Employee__2[[#This Row],[Gender]]="Male"),"Mached","Not mached")</f>
        <v>Mached</v>
      </c>
    </row>
    <row r="952" spans="4:16" x14ac:dyDescent="0.25">
      <c r="D952" s="6" t="s">
        <v>34</v>
      </c>
      <c r="E952">
        <v>2013</v>
      </c>
      <c r="F952" s="6" t="s">
        <v>35</v>
      </c>
      <c r="G952">
        <v>3</v>
      </c>
      <c r="H952">
        <v>28</v>
      </c>
      <c r="I952" s="6" t="s">
        <v>39</v>
      </c>
      <c r="J952" s="6" t="s">
        <v>37</v>
      </c>
      <c r="K952">
        <v>1</v>
      </c>
      <c r="M952" s="1" t="b">
        <f>Employee__2[[#This Row],[Experience]]&gt;1</f>
        <v>0</v>
      </c>
      <c r="N952" s="1" t="str">
        <f>IF(Employee__2[[#This Row],[City]]="Pune","Yes","No")</f>
        <v>No</v>
      </c>
      <c r="O952" s="1" t="str">
        <f>IF(AND(Employee__2[[#This Row],[Education]]="Bachelors",Employee__2[[#This Row],[City]]="Pune"),"Yes","No")</f>
        <v>No</v>
      </c>
      <c r="P952" s="1" t="str">
        <f>IF(OR(Employee__2[[#This Row],[Age]]&gt;=30,Employee__2[[#This Row],[Gender]]="Male"),"Mached","Not mached")</f>
        <v>Not mached</v>
      </c>
    </row>
    <row r="953" spans="4:16" x14ac:dyDescent="0.25">
      <c r="D953" s="6" t="s">
        <v>34</v>
      </c>
      <c r="E953">
        <v>2013</v>
      </c>
      <c r="F953" s="6" t="s">
        <v>38</v>
      </c>
      <c r="G953">
        <v>3</v>
      </c>
      <c r="H953">
        <v>24</v>
      </c>
      <c r="I953" s="6" t="s">
        <v>39</v>
      </c>
      <c r="J953" s="6" t="s">
        <v>37</v>
      </c>
      <c r="K953">
        <v>2</v>
      </c>
      <c r="M953" s="1" t="b">
        <f>Employee__2[[#This Row],[Experience]]&gt;1</f>
        <v>1</v>
      </c>
      <c r="N953" s="1" t="str">
        <f>IF(Employee__2[[#This Row],[City]]="Pune","Yes","No")</f>
        <v>Yes</v>
      </c>
      <c r="O953" s="1" t="str">
        <f>IF(AND(Employee__2[[#This Row],[Education]]="Bachelors",Employee__2[[#This Row],[City]]="Pune"),"Yes","No")</f>
        <v>Yes</v>
      </c>
      <c r="P953" s="1" t="str">
        <f>IF(OR(Employee__2[[#This Row],[Age]]&gt;=30,Employee__2[[#This Row],[Gender]]="Male"),"Mached","Not mached")</f>
        <v>Not mached</v>
      </c>
    </row>
    <row r="954" spans="4:16" x14ac:dyDescent="0.25">
      <c r="D954" s="6" t="s">
        <v>34</v>
      </c>
      <c r="E954">
        <v>2014</v>
      </c>
      <c r="F954" s="6" t="s">
        <v>35</v>
      </c>
      <c r="G954">
        <v>3</v>
      </c>
      <c r="H954">
        <v>25</v>
      </c>
      <c r="I954" s="6" t="s">
        <v>36</v>
      </c>
      <c r="J954" s="6" t="s">
        <v>37</v>
      </c>
      <c r="K954">
        <v>3</v>
      </c>
      <c r="M954" s="1" t="b">
        <f>Employee__2[[#This Row],[Experience]]&gt;1</f>
        <v>1</v>
      </c>
      <c r="N954" s="1" t="str">
        <f>IF(Employee__2[[#This Row],[City]]="Pune","Yes","No")</f>
        <v>No</v>
      </c>
      <c r="O954" s="1" t="str">
        <f>IF(AND(Employee__2[[#This Row],[Education]]="Bachelors",Employee__2[[#This Row],[City]]="Pune"),"Yes","No")</f>
        <v>No</v>
      </c>
      <c r="P954" s="1" t="str">
        <f>IF(OR(Employee__2[[#This Row],[Age]]&gt;=30,Employee__2[[#This Row],[Gender]]="Male"),"Mached","Not mached")</f>
        <v>Mached</v>
      </c>
    </row>
    <row r="955" spans="4:16" x14ac:dyDescent="0.25">
      <c r="D955" s="6" t="s">
        <v>41</v>
      </c>
      <c r="E955">
        <v>2017</v>
      </c>
      <c r="F955" s="6" t="s">
        <v>40</v>
      </c>
      <c r="G955">
        <v>3</v>
      </c>
      <c r="H955">
        <v>25</v>
      </c>
      <c r="I955" s="6" t="s">
        <v>36</v>
      </c>
      <c r="J955" s="6" t="s">
        <v>37</v>
      </c>
      <c r="K955">
        <v>3</v>
      </c>
      <c r="M955" s="1" t="b">
        <f>Employee__2[[#This Row],[Experience]]&gt;1</f>
        <v>1</v>
      </c>
      <c r="N955" s="1" t="str">
        <f>IF(Employee__2[[#This Row],[City]]="Pune","Yes","No")</f>
        <v>No</v>
      </c>
      <c r="O955" s="1" t="str">
        <f>IF(AND(Employee__2[[#This Row],[Education]]="Bachelors",Employee__2[[#This Row],[City]]="Pune"),"Yes","No")</f>
        <v>No</v>
      </c>
      <c r="P955" s="1" t="str">
        <f>IF(OR(Employee__2[[#This Row],[Age]]&gt;=30,Employee__2[[#This Row],[Gender]]="Male"),"Mached","Not mached")</f>
        <v>Mached</v>
      </c>
    </row>
    <row r="956" spans="4:16" x14ac:dyDescent="0.25">
      <c r="D956" s="6" t="s">
        <v>34</v>
      </c>
      <c r="E956">
        <v>2015</v>
      </c>
      <c r="F956" s="6" t="s">
        <v>38</v>
      </c>
      <c r="G956">
        <v>2</v>
      </c>
      <c r="H956">
        <v>27</v>
      </c>
      <c r="I956" s="6" t="s">
        <v>39</v>
      </c>
      <c r="J956" s="6" t="s">
        <v>37</v>
      </c>
      <c r="K956">
        <v>5</v>
      </c>
      <c r="M956" s="1" t="b">
        <f>Employee__2[[#This Row],[Experience]]&gt;1</f>
        <v>1</v>
      </c>
      <c r="N956" s="1" t="str">
        <f>IF(Employee__2[[#This Row],[City]]="Pune","Yes","No")</f>
        <v>Yes</v>
      </c>
      <c r="O956" s="1" t="str">
        <f>IF(AND(Employee__2[[#This Row],[Education]]="Bachelors",Employee__2[[#This Row],[City]]="Pune"),"Yes","No")</f>
        <v>Yes</v>
      </c>
      <c r="P956" s="1" t="str">
        <f>IF(OR(Employee__2[[#This Row],[Age]]&gt;=30,Employee__2[[#This Row],[Gender]]="Male"),"Mached","Not mached")</f>
        <v>Not mached</v>
      </c>
    </row>
    <row r="957" spans="4:16" x14ac:dyDescent="0.25">
      <c r="D957" s="6" t="s">
        <v>41</v>
      </c>
      <c r="E957">
        <v>2017</v>
      </c>
      <c r="F957" s="6" t="s">
        <v>38</v>
      </c>
      <c r="G957">
        <v>2</v>
      </c>
      <c r="H957">
        <v>28</v>
      </c>
      <c r="I957" s="6" t="s">
        <v>36</v>
      </c>
      <c r="J957" s="6" t="s">
        <v>37</v>
      </c>
      <c r="K957">
        <v>3</v>
      </c>
      <c r="M957" s="1" t="b">
        <f>Employee__2[[#This Row],[Experience]]&gt;1</f>
        <v>1</v>
      </c>
      <c r="N957" s="1" t="str">
        <f>IF(Employee__2[[#This Row],[City]]="Pune","Yes","No")</f>
        <v>Yes</v>
      </c>
      <c r="O957" s="1" t="str">
        <f>IF(AND(Employee__2[[#This Row],[Education]]="Bachelors",Employee__2[[#This Row],[City]]="Pune"),"Yes","No")</f>
        <v>No</v>
      </c>
      <c r="P957" s="1" t="str">
        <f>IF(OR(Employee__2[[#This Row],[Age]]&gt;=30,Employee__2[[#This Row],[Gender]]="Male"),"Mached","Not mached")</f>
        <v>Mached</v>
      </c>
    </row>
    <row r="958" spans="4:16" x14ac:dyDescent="0.25">
      <c r="D958" s="6" t="s">
        <v>41</v>
      </c>
      <c r="E958">
        <v>2017</v>
      </c>
      <c r="F958" s="6" t="s">
        <v>40</v>
      </c>
      <c r="G958">
        <v>3</v>
      </c>
      <c r="H958">
        <v>26</v>
      </c>
      <c r="I958" s="6" t="s">
        <v>36</v>
      </c>
      <c r="J958" s="6" t="s">
        <v>37</v>
      </c>
      <c r="K958">
        <v>4</v>
      </c>
      <c r="M958" s="1" t="b">
        <f>Employee__2[[#This Row],[Experience]]&gt;1</f>
        <v>1</v>
      </c>
      <c r="N958" s="1" t="str">
        <f>IF(Employee__2[[#This Row],[City]]="Pune","Yes","No")</f>
        <v>No</v>
      </c>
      <c r="O958" s="1" t="str">
        <f>IF(AND(Employee__2[[#This Row],[Education]]="Bachelors",Employee__2[[#This Row],[City]]="Pune"),"Yes","No")</f>
        <v>No</v>
      </c>
      <c r="P958" s="1" t="str">
        <f>IF(OR(Employee__2[[#This Row],[Age]]&gt;=30,Employee__2[[#This Row],[Gender]]="Male"),"Mached","Not mached")</f>
        <v>Mached</v>
      </c>
    </row>
    <row r="959" spans="4:16" x14ac:dyDescent="0.25">
      <c r="D959" s="6" t="s">
        <v>41</v>
      </c>
      <c r="E959">
        <v>2017</v>
      </c>
      <c r="F959" s="6" t="s">
        <v>38</v>
      </c>
      <c r="G959">
        <v>2</v>
      </c>
      <c r="H959">
        <v>24</v>
      </c>
      <c r="I959" s="6" t="s">
        <v>39</v>
      </c>
      <c r="J959" s="6" t="s">
        <v>37</v>
      </c>
      <c r="K959">
        <v>2</v>
      </c>
      <c r="M959" s="1" t="b">
        <f>Employee__2[[#This Row],[Experience]]&gt;1</f>
        <v>1</v>
      </c>
      <c r="N959" s="1" t="str">
        <f>IF(Employee__2[[#This Row],[City]]="Pune","Yes","No")</f>
        <v>Yes</v>
      </c>
      <c r="O959" s="1" t="str">
        <f>IF(AND(Employee__2[[#This Row],[Education]]="Bachelors",Employee__2[[#This Row],[City]]="Pune"),"Yes","No")</f>
        <v>No</v>
      </c>
      <c r="P959" s="1" t="str">
        <f>IF(OR(Employee__2[[#This Row],[Age]]&gt;=30,Employee__2[[#This Row],[Gender]]="Male"),"Mached","Not mached")</f>
        <v>Not mached</v>
      </c>
    </row>
    <row r="960" spans="4:16" x14ac:dyDescent="0.25">
      <c r="D960" s="6" t="s">
        <v>41</v>
      </c>
      <c r="E960">
        <v>2015</v>
      </c>
      <c r="F960" s="6" t="s">
        <v>38</v>
      </c>
      <c r="G960">
        <v>1</v>
      </c>
      <c r="H960">
        <v>26</v>
      </c>
      <c r="I960" s="6" t="s">
        <v>39</v>
      </c>
      <c r="J960" s="6" t="s">
        <v>37</v>
      </c>
      <c r="K960">
        <v>4</v>
      </c>
      <c r="M960" s="1" t="b">
        <f>Employee__2[[#This Row],[Experience]]&gt;1</f>
        <v>1</v>
      </c>
      <c r="N960" s="1" t="str">
        <f>IF(Employee__2[[#This Row],[City]]="Pune","Yes","No")</f>
        <v>Yes</v>
      </c>
      <c r="O960" s="1" t="str">
        <f>IF(AND(Employee__2[[#This Row],[Education]]="Bachelors",Employee__2[[#This Row],[City]]="Pune"),"Yes","No")</f>
        <v>No</v>
      </c>
      <c r="P960" s="1" t="str">
        <f>IF(OR(Employee__2[[#This Row],[Age]]&gt;=30,Employee__2[[#This Row],[Gender]]="Male"),"Mached","Not mached")</f>
        <v>Not mached</v>
      </c>
    </row>
    <row r="961" spans="4:16" x14ac:dyDescent="0.25">
      <c r="D961" s="6" t="s">
        <v>41</v>
      </c>
      <c r="E961">
        <v>2013</v>
      </c>
      <c r="F961" s="6" t="s">
        <v>38</v>
      </c>
      <c r="G961">
        <v>3</v>
      </c>
      <c r="H961">
        <v>26</v>
      </c>
      <c r="I961" s="6" t="s">
        <v>36</v>
      </c>
      <c r="J961" s="6" t="s">
        <v>37</v>
      </c>
      <c r="K961">
        <v>4</v>
      </c>
      <c r="M961" s="1" t="b">
        <f>Employee__2[[#This Row],[Experience]]&gt;1</f>
        <v>1</v>
      </c>
      <c r="N961" s="1" t="str">
        <f>IF(Employee__2[[#This Row],[City]]="Pune","Yes","No")</f>
        <v>Yes</v>
      </c>
      <c r="O961" s="1" t="str">
        <f>IF(AND(Employee__2[[#This Row],[Education]]="Bachelors",Employee__2[[#This Row],[City]]="Pune"),"Yes","No")</f>
        <v>No</v>
      </c>
      <c r="P961" s="1" t="str">
        <f>IF(OR(Employee__2[[#This Row],[Age]]&gt;=30,Employee__2[[#This Row],[Gender]]="Male"),"Mached","Not mached")</f>
        <v>Mached</v>
      </c>
    </row>
    <row r="962" spans="4:16" x14ac:dyDescent="0.25">
      <c r="D962" s="6" t="s">
        <v>34</v>
      </c>
      <c r="E962">
        <v>2015</v>
      </c>
      <c r="F962" s="6" t="s">
        <v>35</v>
      </c>
      <c r="G962">
        <v>3</v>
      </c>
      <c r="H962">
        <v>26</v>
      </c>
      <c r="I962" s="6" t="s">
        <v>36</v>
      </c>
      <c r="J962" s="6" t="s">
        <v>37</v>
      </c>
      <c r="K962">
        <v>4</v>
      </c>
      <c r="M962" s="1" t="b">
        <f>Employee__2[[#This Row],[Experience]]&gt;1</f>
        <v>1</v>
      </c>
      <c r="N962" s="1" t="str">
        <f>IF(Employee__2[[#This Row],[City]]="Pune","Yes","No")</f>
        <v>No</v>
      </c>
      <c r="O962" s="1" t="str">
        <f>IF(AND(Employee__2[[#This Row],[Education]]="Bachelors",Employee__2[[#This Row],[City]]="Pune"),"Yes","No")</f>
        <v>No</v>
      </c>
      <c r="P962" s="1" t="str">
        <f>IF(OR(Employee__2[[#This Row],[Age]]&gt;=30,Employee__2[[#This Row],[Gender]]="Male"),"Mached","Not mached")</f>
        <v>Mached</v>
      </c>
    </row>
    <row r="963" spans="4:16" x14ac:dyDescent="0.25">
      <c r="D963" s="6" t="s">
        <v>34</v>
      </c>
      <c r="E963">
        <v>2017</v>
      </c>
      <c r="F963" s="6" t="s">
        <v>38</v>
      </c>
      <c r="G963">
        <v>3</v>
      </c>
      <c r="H963">
        <v>24</v>
      </c>
      <c r="I963" s="6" t="s">
        <v>36</v>
      </c>
      <c r="J963" s="6" t="s">
        <v>37</v>
      </c>
      <c r="K963">
        <v>2</v>
      </c>
      <c r="M963" s="1" t="b">
        <f>Employee__2[[#This Row],[Experience]]&gt;1</f>
        <v>1</v>
      </c>
      <c r="N963" s="1" t="str">
        <f>IF(Employee__2[[#This Row],[City]]="Pune","Yes","No")</f>
        <v>Yes</v>
      </c>
      <c r="O963" s="1" t="str">
        <f>IF(AND(Employee__2[[#This Row],[Education]]="Bachelors",Employee__2[[#This Row],[City]]="Pune"),"Yes","No")</f>
        <v>Yes</v>
      </c>
      <c r="P963" s="1" t="str">
        <f>IF(OR(Employee__2[[#This Row],[Age]]&gt;=30,Employee__2[[#This Row],[Gender]]="Male"),"Mached","Not mached")</f>
        <v>Mached</v>
      </c>
    </row>
    <row r="964" spans="4:16" x14ac:dyDescent="0.25">
      <c r="D964" s="6" t="s">
        <v>43</v>
      </c>
      <c r="E964">
        <v>2016</v>
      </c>
      <c r="F964" s="6" t="s">
        <v>35</v>
      </c>
      <c r="G964">
        <v>3</v>
      </c>
      <c r="H964">
        <v>27</v>
      </c>
      <c r="I964" s="6" t="s">
        <v>36</v>
      </c>
      <c r="J964" s="6" t="s">
        <v>37</v>
      </c>
      <c r="K964">
        <v>5</v>
      </c>
      <c r="M964" s="1" t="b">
        <f>Employee__2[[#This Row],[Experience]]&gt;1</f>
        <v>1</v>
      </c>
      <c r="N964" s="1" t="str">
        <f>IF(Employee__2[[#This Row],[City]]="Pune","Yes","No")</f>
        <v>No</v>
      </c>
      <c r="O964" s="1" t="str">
        <f>IF(AND(Employee__2[[#This Row],[Education]]="Bachelors",Employee__2[[#This Row],[City]]="Pune"),"Yes","No")</f>
        <v>No</v>
      </c>
      <c r="P964" s="1" t="str">
        <f>IF(OR(Employee__2[[#This Row],[Age]]&gt;=30,Employee__2[[#This Row],[Gender]]="Male"),"Mached","Not mached")</f>
        <v>Mached</v>
      </c>
    </row>
    <row r="965" spans="4:16" x14ac:dyDescent="0.25">
      <c r="D965" s="6" t="s">
        <v>34</v>
      </c>
      <c r="E965">
        <v>2018</v>
      </c>
      <c r="F965" s="6" t="s">
        <v>35</v>
      </c>
      <c r="G965">
        <v>3</v>
      </c>
      <c r="H965">
        <v>24</v>
      </c>
      <c r="I965" s="6" t="s">
        <v>36</v>
      </c>
      <c r="J965" s="6" t="s">
        <v>37</v>
      </c>
      <c r="K965">
        <v>2</v>
      </c>
      <c r="M965" s="1" t="b">
        <f>Employee__2[[#This Row],[Experience]]&gt;1</f>
        <v>1</v>
      </c>
      <c r="N965" s="1" t="str">
        <f>IF(Employee__2[[#This Row],[City]]="Pune","Yes","No")</f>
        <v>No</v>
      </c>
      <c r="O965" s="1" t="str">
        <f>IF(AND(Employee__2[[#This Row],[Education]]="Bachelors",Employee__2[[#This Row],[City]]="Pune"),"Yes","No")</f>
        <v>No</v>
      </c>
      <c r="P965" s="1" t="str">
        <f>IF(OR(Employee__2[[#This Row],[Age]]&gt;=30,Employee__2[[#This Row],[Gender]]="Male"),"Mached","Not mached")</f>
        <v>Mached</v>
      </c>
    </row>
    <row r="966" spans="4:16" x14ac:dyDescent="0.25">
      <c r="D966" s="6" t="s">
        <v>34</v>
      </c>
      <c r="E966">
        <v>2014</v>
      </c>
      <c r="F966" s="6" t="s">
        <v>38</v>
      </c>
      <c r="G966">
        <v>3</v>
      </c>
      <c r="H966">
        <v>25</v>
      </c>
      <c r="I966" s="6" t="s">
        <v>36</v>
      </c>
      <c r="J966" s="6" t="s">
        <v>37</v>
      </c>
      <c r="K966">
        <v>3</v>
      </c>
      <c r="M966" s="1" t="b">
        <f>Employee__2[[#This Row],[Experience]]&gt;1</f>
        <v>1</v>
      </c>
      <c r="N966" s="1" t="str">
        <f>IF(Employee__2[[#This Row],[City]]="Pune","Yes","No")</f>
        <v>Yes</v>
      </c>
      <c r="O966" s="1" t="str">
        <f>IF(AND(Employee__2[[#This Row],[Education]]="Bachelors",Employee__2[[#This Row],[City]]="Pune"),"Yes","No")</f>
        <v>Yes</v>
      </c>
      <c r="P966" s="1" t="str">
        <f>IF(OR(Employee__2[[#This Row],[Age]]&gt;=30,Employee__2[[#This Row],[Gender]]="Male"),"Mached","Not mached")</f>
        <v>Mached</v>
      </c>
    </row>
    <row r="967" spans="4:16" x14ac:dyDescent="0.25">
      <c r="D967" s="6" t="s">
        <v>34</v>
      </c>
      <c r="E967">
        <v>2012</v>
      </c>
      <c r="F967" s="6" t="s">
        <v>35</v>
      </c>
      <c r="G967">
        <v>3</v>
      </c>
      <c r="H967">
        <v>26</v>
      </c>
      <c r="I967" s="6" t="s">
        <v>36</v>
      </c>
      <c r="J967" s="6" t="s">
        <v>37</v>
      </c>
      <c r="K967">
        <v>4</v>
      </c>
      <c r="M967" s="1" t="b">
        <f>Employee__2[[#This Row],[Experience]]&gt;1</f>
        <v>1</v>
      </c>
      <c r="N967" s="1" t="str">
        <f>IF(Employee__2[[#This Row],[City]]="Pune","Yes","No")</f>
        <v>No</v>
      </c>
      <c r="O967" s="1" t="str">
        <f>IF(AND(Employee__2[[#This Row],[Education]]="Bachelors",Employee__2[[#This Row],[City]]="Pune"),"Yes","No")</f>
        <v>No</v>
      </c>
      <c r="P967" s="1" t="str">
        <f>IF(OR(Employee__2[[#This Row],[Age]]&gt;=30,Employee__2[[#This Row],[Gender]]="Male"),"Mached","Not mached")</f>
        <v>Mached</v>
      </c>
    </row>
    <row r="968" spans="4:16" x14ac:dyDescent="0.25">
      <c r="D968" s="6" t="s">
        <v>34</v>
      </c>
      <c r="E968">
        <v>2017</v>
      </c>
      <c r="F968" s="6" t="s">
        <v>35</v>
      </c>
      <c r="G968">
        <v>3</v>
      </c>
      <c r="H968">
        <v>28</v>
      </c>
      <c r="I968" s="6" t="s">
        <v>36</v>
      </c>
      <c r="J968" s="6" t="s">
        <v>37</v>
      </c>
      <c r="K968">
        <v>3</v>
      </c>
      <c r="M968" s="1" t="b">
        <f>Employee__2[[#This Row],[Experience]]&gt;1</f>
        <v>1</v>
      </c>
      <c r="N968" s="1" t="str">
        <f>IF(Employee__2[[#This Row],[City]]="Pune","Yes","No")</f>
        <v>No</v>
      </c>
      <c r="O968" s="1" t="str">
        <f>IF(AND(Employee__2[[#This Row],[Education]]="Bachelors",Employee__2[[#This Row],[City]]="Pune"),"Yes","No")</f>
        <v>No</v>
      </c>
      <c r="P968" s="1" t="str">
        <f>IF(OR(Employee__2[[#This Row],[Age]]&gt;=30,Employee__2[[#This Row],[Gender]]="Male"),"Mached","Not mached")</f>
        <v>Mached</v>
      </c>
    </row>
    <row r="969" spans="4:16" x14ac:dyDescent="0.25">
      <c r="D969" s="6" t="s">
        <v>34</v>
      </c>
      <c r="E969">
        <v>2014</v>
      </c>
      <c r="F969" s="6" t="s">
        <v>38</v>
      </c>
      <c r="G969">
        <v>3</v>
      </c>
      <c r="H969">
        <v>25</v>
      </c>
      <c r="I969" s="6" t="s">
        <v>36</v>
      </c>
      <c r="J969" s="6" t="s">
        <v>37</v>
      </c>
      <c r="K969">
        <v>3</v>
      </c>
      <c r="M969" s="1" t="b">
        <f>Employee__2[[#This Row],[Experience]]&gt;1</f>
        <v>1</v>
      </c>
      <c r="N969" s="1" t="str">
        <f>IF(Employee__2[[#This Row],[City]]="Pune","Yes","No")</f>
        <v>Yes</v>
      </c>
      <c r="O969" s="1" t="str">
        <f>IF(AND(Employee__2[[#This Row],[Education]]="Bachelors",Employee__2[[#This Row],[City]]="Pune"),"Yes","No")</f>
        <v>Yes</v>
      </c>
      <c r="P969" s="1" t="str">
        <f>IF(OR(Employee__2[[#This Row],[Age]]&gt;=30,Employee__2[[#This Row],[Gender]]="Male"),"Mached","Not mached")</f>
        <v>Mached</v>
      </c>
    </row>
    <row r="970" spans="4:16" x14ac:dyDescent="0.25">
      <c r="D970" s="6" t="s">
        <v>41</v>
      </c>
      <c r="E970">
        <v>2018</v>
      </c>
      <c r="F970" s="6" t="s">
        <v>40</v>
      </c>
      <c r="G970">
        <v>3</v>
      </c>
      <c r="H970">
        <v>25</v>
      </c>
      <c r="I970" s="6" t="s">
        <v>39</v>
      </c>
      <c r="J970" s="6" t="s">
        <v>37</v>
      </c>
      <c r="K970">
        <v>3</v>
      </c>
      <c r="M970" s="1" t="b">
        <f>Employee__2[[#This Row],[Experience]]&gt;1</f>
        <v>1</v>
      </c>
      <c r="N970" s="1" t="str">
        <f>IF(Employee__2[[#This Row],[City]]="Pune","Yes","No")</f>
        <v>No</v>
      </c>
      <c r="O970" s="1" t="str">
        <f>IF(AND(Employee__2[[#This Row],[Education]]="Bachelors",Employee__2[[#This Row],[City]]="Pune"),"Yes","No")</f>
        <v>No</v>
      </c>
      <c r="P970" s="1" t="str">
        <f>IF(OR(Employee__2[[#This Row],[Age]]&gt;=30,Employee__2[[#This Row],[Gender]]="Male"),"Mached","Not mached")</f>
        <v>Not mached</v>
      </c>
    </row>
    <row r="971" spans="4:16" x14ac:dyDescent="0.25">
      <c r="D971" s="6" t="s">
        <v>34</v>
      </c>
      <c r="E971">
        <v>2013</v>
      </c>
      <c r="F971" s="6" t="s">
        <v>38</v>
      </c>
      <c r="G971">
        <v>2</v>
      </c>
      <c r="H971">
        <v>25</v>
      </c>
      <c r="I971" s="6" t="s">
        <v>39</v>
      </c>
      <c r="J971" s="6" t="s">
        <v>37</v>
      </c>
      <c r="K971">
        <v>3</v>
      </c>
      <c r="M971" s="1" t="b">
        <f>Employee__2[[#This Row],[Experience]]&gt;1</f>
        <v>1</v>
      </c>
      <c r="N971" s="1" t="str">
        <f>IF(Employee__2[[#This Row],[City]]="Pune","Yes","No")</f>
        <v>Yes</v>
      </c>
      <c r="O971" s="1" t="str">
        <f>IF(AND(Employee__2[[#This Row],[Education]]="Bachelors",Employee__2[[#This Row],[City]]="Pune"),"Yes","No")</f>
        <v>Yes</v>
      </c>
      <c r="P971" s="1" t="str">
        <f>IF(OR(Employee__2[[#This Row],[Age]]&gt;=30,Employee__2[[#This Row],[Gender]]="Male"),"Mached","Not mached")</f>
        <v>Not mached</v>
      </c>
    </row>
    <row r="972" spans="4:16" x14ac:dyDescent="0.25">
      <c r="D972" s="6" t="s">
        <v>43</v>
      </c>
      <c r="E972">
        <v>2013</v>
      </c>
      <c r="F972" s="6" t="s">
        <v>40</v>
      </c>
      <c r="G972">
        <v>3</v>
      </c>
      <c r="H972">
        <v>26</v>
      </c>
      <c r="I972" s="6" t="s">
        <v>36</v>
      </c>
      <c r="J972" s="6" t="s">
        <v>37</v>
      </c>
      <c r="K972">
        <v>4</v>
      </c>
      <c r="M972" s="1" t="b">
        <f>Employee__2[[#This Row],[Experience]]&gt;1</f>
        <v>1</v>
      </c>
      <c r="N972" s="1" t="str">
        <f>IF(Employee__2[[#This Row],[City]]="Pune","Yes","No")</f>
        <v>No</v>
      </c>
      <c r="O972" s="1" t="str">
        <f>IF(AND(Employee__2[[#This Row],[Education]]="Bachelors",Employee__2[[#This Row],[City]]="Pune"),"Yes","No")</f>
        <v>No</v>
      </c>
      <c r="P972" s="1" t="str">
        <f>IF(OR(Employee__2[[#This Row],[Age]]&gt;=30,Employee__2[[#This Row],[Gender]]="Male"),"Mached","Not mached")</f>
        <v>Mached</v>
      </c>
    </row>
    <row r="973" spans="4:16" x14ac:dyDescent="0.25">
      <c r="D973" s="6" t="s">
        <v>34</v>
      </c>
      <c r="E973">
        <v>2015</v>
      </c>
      <c r="F973" s="6" t="s">
        <v>40</v>
      </c>
      <c r="G973">
        <v>3</v>
      </c>
      <c r="H973">
        <v>28</v>
      </c>
      <c r="I973" s="6" t="s">
        <v>39</v>
      </c>
      <c r="J973" s="6" t="s">
        <v>37</v>
      </c>
      <c r="K973">
        <v>3</v>
      </c>
      <c r="M973" s="1" t="b">
        <f>Employee__2[[#This Row],[Experience]]&gt;1</f>
        <v>1</v>
      </c>
      <c r="N973" s="1" t="str">
        <f>IF(Employee__2[[#This Row],[City]]="Pune","Yes","No")</f>
        <v>No</v>
      </c>
      <c r="O973" s="1" t="str">
        <f>IF(AND(Employee__2[[#This Row],[Education]]="Bachelors",Employee__2[[#This Row],[City]]="Pune"),"Yes","No")</f>
        <v>No</v>
      </c>
      <c r="P973" s="1" t="str">
        <f>IF(OR(Employee__2[[#This Row],[Age]]&gt;=30,Employee__2[[#This Row],[Gender]]="Male"),"Mached","Not mached")</f>
        <v>Not mached</v>
      </c>
    </row>
    <row r="974" spans="4:16" x14ac:dyDescent="0.25">
      <c r="D974" s="6" t="s">
        <v>34</v>
      </c>
      <c r="E974">
        <v>2017</v>
      </c>
      <c r="F974" s="6" t="s">
        <v>35</v>
      </c>
      <c r="G974">
        <v>3</v>
      </c>
      <c r="H974">
        <v>24</v>
      </c>
      <c r="I974" s="6" t="s">
        <v>36</v>
      </c>
      <c r="J974" s="6" t="s">
        <v>37</v>
      </c>
      <c r="K974">
        <v>2</v>
      </c>
      <c r="M974" s="1" t="b">
        <f>Employee__2[[#This Row],[Experience]]&gt;1</f>
        <v>1</v>
      </c>
      <c r="N974" s="1" t="str">
        <f>IF(Employee__2[[#This Row],[City]]="Pune","Yes","No")</f>
        <v>No</v>
      </c>
      <c r="O974" s="1" t="str">
        <f>IF(AND(Employee__2[[#This Row],[Education]]="Bachelors",Employee__2[[#This Row],[City]]="Pune"),"Yes","No")</f>
        <v>No</v>
      </c>
      <c r="P974" s="1" t="str">
        <f>IF(OR(Employee__2[[#This Row],[Age]]&gt;=30,Employee__2[[#This Row],[Gender]]="Male"),"Mached","Not mached")</f>
        <v>Mached</v>
      </c>
    </row>
    <row r="975" spans="4:16" x14ac:dyDescent="0.25">
      <c r="D975" s="6" t="s">
        <v>41</v>
      </c>
      <c r="E975">
        <v>2018</v>
      </c>
      <c r="F975" s="6" t="s">
        <v>40</v>
      </c>
      <c r="G975">
        <v>1</v>
      </c>
      <c r="H975">
        <v>26</v>
      </c>
      <c r="I975" s="6" t="s">
        <v>39</v>
      </c>
      <c r="J975" s="6" t="s">
        <v>37</v>
      </c>
      <c r="K975">
        <v>4</v>
      </c>
      <c r="M975" s="1" t="b">
        <f>Employee__2[[#This Row],[Experience]]&gt;1</f>
        <v>1</v>
      </c>
      <c r="N975" s="1" t="str">
        <f>IF(Employee__2[[#This Row],[City]]="Pune","Yes","No")</f>
        <v>No</v>
      </c>
      <c r="O975" s="1" t="str">
        <f>IF(AND(Employee__2[[#This Row],[Education]]="Bachelors",Employee__2[[#This Row],[City]]="Pune"),"Yes","No")</f>
        <v>No</v>
      </c>
      <c r="P975" s="1" t="str">
        <f>IF(OR(Employee__2[[#This Row],[Age]]&gt;=30,Employee__2[[#This Row],[Gender]]="Male"),"Mached","Not mached")</f>
        <v>Not mached</v>
      </c>
    </row>
    <row r="976" spans="4:16" x14ac:dyDescent="0.25">
      <c r="D976" s="6" t="s">
        <v>34</v>
      </c>
      <c r="E976">
        <v>2013</v>
      </c>
      <c r="F976" s="6" t="s">
        <v>38</v>
      </c>
      <c r="G976">
        <v>2</v>
      </c>
      <c r="H976">
        <v>24</v>
      </c>
      <c r="I976" s="6" t="s">
        <v>39</v>
      </c>
      <c r="J976" s="6" t="s">
        <v>37</v>
      </c>
      <c r="K976">
        <v>2</v>
      </c>
      <c r="M976" s="1" t="b">
        <f>Employee__2[[#This Row],[Experience]]&gt;1</f>
        <v>1</v>
      </c>
      <c r="N976" s="1" t="str">
        <f>IF(Employee__2[[#This Row],[City]]="Pune","Yes","No")</f>
        <v>Yes</v>
      </c>
      <c r="O976" s="1" t="str">
        <f>IF(AND(Employee__2[[#This Row],[Education]]="Bachelors",Employee__2[[#This Row],[City]]="Pune"),"Yes","No")</f>
        <v>Yes</v>
      </c>
      <c r="P976" s="1" t="str">
        <f>IF(OR(Employee__2[[#This Row],[Age]]&gt;=30,Employee__2[[#This Row],[Gender]]="Male"),"Mached","Not mached")</f>
        <v>Not mached</v>
      </c>
    </row>
    <row r="977" spans="4:16" x14ac:dyDescent="0.25">
      <c r="D977" s="6" t="s">
        <v>34</v>
      </c>
      <c r="E977">
        <v>2018</v>
      </c>
      <c r="F977" s="6" t="s">
        <v>35</v>
      </c>
      <c r="G977">
        <v>3</v>
      </c>
      <c r="H977">
        <v>24</v>
      </c>
      <c r="I977" s="6" t="s">
        <v>36</v>
      </c>
      <c r="J977" s="6" t="s">
        <v>37</v>
      </c>
      <c r="K977">
        <v>2</v>
      </c>
      <c r="M977" s="1" t="b">
        <f>Employee__2[[#This Row],[Experience]]&gt;1</f>
        <v>1</v>
      </c>
      <c r="N977" s="1" t="str">
        <f>IF(Employee__2[[#This Row],[City]]="Pune","Yes","No")</f>
        <v>No</v>
      </c>
      <c r="O977" s="1" t="str">
        <f>IF(AND(Employee__2[[#This Row],[Education]]="Bachelors",Employee__2[[#This Row],[City]]="Pune"),"Yes","No")</f>
        <v>No</v>
      </c>
      <c r="P977" s="1" t="str">
        <f>IF(OR(Employee__2[[#This Row],[Age]]&gt;=30,Employee__2[[#This Row],[Gender]]="Male"),"Mached","Not mached")</f>
        <v>Mached</v>
      </c>
    </row>
    <row r="978" spans="4:16" x14ac:dyDescent="0.25">
      <c r="D978" s="6" t="s">
        <v>43</v>
      </c>
      <c r="E978">
        <v>2016</v>
      </c>
      <c r="F978" s="6" t="s">
        <v>38</v>
      </c>
      <c r="G978">
        <v>1</v>
      </c>
      <c r="H978">
        <v>25</v>
      </c>
      <c r="I978" s="6" t="s">
        <v>39</v>
      </c>
      <c r="J978" s="6" t="s">
        <v>37</v>
      </c>
      <c r="K978">
        <v>3</v>
      </c>
      <c r="M978" s="1" t="b">
        <f>Employee__2[[#This Row],[Experience]]&gt;1</f>
        <v>1</v>
      </c>
      <c r="N978" s="1" t="str">
        <f>IF(Employee__2[[#This Row],[City]]="Pune","Yes","No")</f>
        <v>Yes</v>
      </c>
      <c r="O978" s="1" t="str">
        <f>IF(AND(Employee__2[[#This Row],[Education]]="Bachelors",Employee__2[[#This Row],[City]]="Pune"),"Yes","No")</f>
        <v>No</v>
      </c>
      <c r="P978" s="1" t="str">
        <f>IF(OR(Employee__2[[#This Row],[Age]]&gt;=30,Employee__2[[#This Row],[Gender]]="Male"),"Mached","Not mached")</f>
        <v>Not mached</v>
      </c>
    </row>
    <row r="979" spans="4:16" x14ac:dyDescent="0.25">
      <c r="D979" s="6" t="s">
        <v>34</v>
      </c>
      <c r="E979">
        <v>2014</v>
      </c>
      <c r="F979" s="6" t="s">
        <v>38</v>
      </c>
      <c r="G979">
        <v>3</v>
      </c>
      <c r="H979">
        <v>26</v>
      </c>
      <c r="I979" s="6" t="s">
        <v>36</v>
      </c>
      <c r="J979" s="6" t="s">
        <v>37</v>
      </c>
      <c r="K979">
        <v>4</v>
      </c>
      <c r="M979" s="1" t="b">
        <f>Employee__2[[#This Row],[Experience]]&gt;1</f>
        <v>1</v>
      </c>
      <c r="N979" s="1" t="str">
        <f>IF(Employee__2[[#This Row],[City]]="Pune","Yes","No")</f>
        <v>Yes</v>
      </c>
      <c r="O979" s="1" t="str">
        <f>IF(AND(Employee__2[[#This Row],[Education]]="Bachelors",Employee__2[[#This Row],[City]]="Pune"),"Yes","No")</f>
        <v>Yes</v>
      </c>
      <c r="P979" s="1" t="str">
        <f>IF(OR(Employee__2[[#This Row],[Age]]&gt;=30,Employee__2[[#This Row],[Gender]]="Male"),"Mached","Not mached")</f>
        <v>Mached</v>
      </c>
    </row>
    <row r="980" spans="4:16" x14ac:dyDescent="0.25">
      <c r="D980" s="6" t="s">
        <v>41</v>
      </c>
      <c r="E980">
        <v>2015</v>
      </c>
      <c r="F980" s="6" t="s">
        <v>38</v>
      </c>
      <c r="G980">
        <v>1</v>
      </c>
      <c r="H980">
        <v>27</v>
      </c>
      <c r="I980" s="6" t="s">
        <v>39</v>
      </c>
      <c r="J980" s="6" t="s">
        <v>37</v>
      </c>
      <c r="K980">
        <v>5</v>
      </c>
      <c r="M980" s="1" t="b">
        <f>Employee__2[[#This Row],[Experience]]&gt;1</f>
        <v>1</v>
      </c>
      <c r="N980" s="1" t="str">
        <f>IF(Employee__2[[#This Row],[City]]="Pune","Yes","No")</f>
        <v>Yes</v>
      </c>
      <c r="O980" s="1" t="str">
        <f>IF(AND(Employee__2[[#This Row],[Education]]="Bachelors",Employee__2[[#This Row],[City]]="Pune"),"Yes","No")</f>
        <v>No</v>
      </c>
      <c r="P980" s="1" t="str">
        <f>IF(OR(Employee__2[[#This Row],[Age]]&gt;=30,Employee__2[[#This Row],[Gender]]="Male"),"Mached","Not mached")</f>
        <v>Not mached</v>
      </c>
    </row>
    <row r="981" spans="4:16" x14ac:dyDescent="0.25">
      <c r="D981" s="6" t="s">
        <v>34</v>
      </c>
      <c r="E981">
        <v>2013</v>
      </c>
      <c r="F981" s="6" t="s">
        <v>38</v>
      </c>
      <c r="G981">
        <v>3</v>
      </c>
      <c r="H981">
        <v>28</v>
      </c>
      <c r="I981" s="6" t="s">
        <v>39</v>
      </c>
      <c r="J981" s="6" t="s">
        <v>37</v>
      </c>
      <c r="K981">
        <v>2</v>
      </c>
      <c r="M981" s="1" t="b">
        <f>Employee__2[[#This Row],[Experience]]&gt;1</f>
        <v>1</v>
      </c>
      <c r="N981" s="1" t="str">
        <f>IF(Employee__2[[#This Row],[City]]="Pune","Yes","No")</f>
        <v>Yes</v>
      </c>
      <c r="O981" s="1" t="str">
        <f>IF(AND(Employee__2[[#This Row],[Education]]="Bachelors",Employee__2[[#This Row],[City]]="Pune"),"Yes","No")</f>
        <v>Yes</v>
      </c>
      <c r="P981" s="1" t="str">
        <f>IF(OR(Employee__2[[#This Row],[Age]]&gt;=30,Employee__2[[#This Row],[Gender]]="Male"),"Mached","Not mached")</f>
        <v>Not mached</v>
      </c>
    </row>
    <row r="982" spans="4:16" x14ac:dyDescent="0.25">
      <c r="D982" s="6" t="s">
        <v>34</v>
      </c>
      <c r="E982">
        <v>2016</v>
      </c>
      <c r="F982" s="6" t="s">
        <v>35</v>
      </c>
      <c r="G982">
        <v>1</v>
      </c>
      <c r="H982">
        <v>27</v>
      </c>
      <c r="I982" s="6" t="s">
        <v>39</v>
      </c>
      <c r="J982" s="6" t="s">
        <v>37</v>
      </c>
      <c r="K982">
        <v>5</v>
      </c>
      <c r="M982" s="1" t="b">
        <f>Employee__2[[#This Row],[Experience]]&gt;1</f>
        <v>1</v>
      </c>
      <c r="N982" s="1" t="str">
        <f>IF(Employee__2[[#This Row],[City]]="Pune","Yes","No")</f>
        <v>No</v>
      </c>
      <c r="O982" s="1" t="str">
        <f>IF(AND(Employee__2[[#This Row],[Education]]="Bachelors",Employee__2[[#This Row],[City]]="Pune"),"Yes","No")</f>
        <v>No</v>
      </c>
      <c r="P982" s="1" t="str">
        <f>IF(OR(Employee__2[[#This Row],[Age]]&gt;=30,Employee__2[[#This Row],[Gender]]="Male"),"Mached","Not mached")</f>
        <v>Not mached</v>
      </c>
    </row>
    <row r="983" spans="4:16" x14ac:dyDescent="0.25">
      <c r="D983" s="6" t="s">
        <v>34</v>
      </c>
      <c r="E983">
        <v>2014</v>
      </c>
      <c r="F983" s="6" t="s">
        <v>40</v>
      </c>
      <c r="G983">
        <v>3</v>
      </c>
      <c r="H983">
        <v>24</v>
      </c>
      <c r="I983" s="6" t="s">
        <v>36</v>
      </c>
      <c r="J983" s="6" t="s">
        <v>37</v>
      </c>
      <c r="K983">
        <v>2</v>
      </c>
      <c r="M983" s="1" t="b">
        <f>Employee__2[[#This Row],[Experience]]&gt;1</f>
        <v>1</v>
      </c>
      <c r="N983" s="1" t="str">
        <f>IF(Employee__2[[#This Row],[City]]="Pune","Yes","No")</f>
        <v>No</v>
      </c>
      <c r="O983" s="1" t="str">
        <f>IF(AND(Employee__2[[#This Row],[Education]]="Bachelors",Employee__2[[#This Row],[City]]="Pune"),"Yes","No")</f>
        <v>No</v>
      </c>
      <c r="P983" s="1" t="str">
        <f>IF(OR(Employee__2[[#This Row],[Age]]&gt;=30,Employee__2[[#This Row],[Gender]]="Male"),"Mached","Not mached")</f>
        <v>Mached</v>
      </c>
    </row>
    <row r="984" spans="4:16" x14ac:dyDescent="0.25">
      <c r="D984" s="6" t="s">
        <v>34</v>
      </c>
      <c r="E984">
        <v>2016</v>
      </c>
      <c r="F984" s="6" t="s">
        <v>35</v>
      </c>
      <c r="G984">
        <v>3</v>
      </c>
      <c r="H984">
        <v>26</v>
      </c>
      <c r="I984" s="6" t="s">
        <v>36</v>
      </c>
      <c r="J984" s="6" t="s">
        <v>42</v>
      </c>
      <c r="K984">
        <v>4</v>
      </c>
      <c r="M984" s="1" t="b">
        <f>Employee__2[[#This Row],[Experience]]&gt;1</f>
        <v>1</v>
      </c>
      <c r="N984" s="1" t="str">
        <f>IF(Employee__2[[#This Row],[City]]="Pune","Yes","No")</f>
        <v>No</v>
      </c>
      <c r="O984" s="1" t="str">
        <f>IF(AND(Employee__2[[#This Row],[Education]]="Bachelors",Employee__2[[#This Row],[City]]="Pune"),"Yes","No")</f>
        <v>No</v>
      </c>
      <c r="P984" s="1" t="str">
        <f>IF(OR(Employee__2[[#This Row],[Age]]&gt;=30,Employee__2[[#This Row],[Gender]]="Male"),"Mached","Not mached")</f>
        <v>Mached</v>
      </c>
    </row>
    <row r="985" spans="4:16" x14ac:dyDescent="0.25">
      <c r="D985" s="6" t="s">
        <v>34</v>
      </c>
      <c r="E985">
        <v>2015</v>
      </c>
      <c r="F985" s="6" t="s">
        <v>38</v>
      </c>
      <c r="G985">
        <v>3</v>
      </c>
      <c r="H985">
        <v>25</v>
      </c>
      <c r="I985" s="6" t="s">
        <v>39</v>
      </c>
      <c r="J985" s="6" t="s">
        <v>37</v>
      </c>
      <c r="K985">
        <v>3</v>
      </c>
      <c r="M985" s="1" t="b">
        <f>Employee__2[[#This Row],[Experience]]&gt;1</f>
        <v>1</v>
      </c>
      <c r="N985" s="1" t="str">
        <f>IF(Employee__2[[#This Row],[City]]="Pune","Yes","No")</f>
        <v>Yes</v>
      </c>
      <c r="O985" s="1" t="str">
        <f>IF(AND(Employee__2[[#This Row],[Education]]="Bachelors",Employee__2[[#This Row],[City]]="Pune"),"Yes","No")</f>
        <v>Yes</v>
      </c>
      <c r="P985" s="1" t="str">
        <f>IF(OR(Employee__2[[#This Row],[Age]]&gt;=30,Employee__2[[#This Row],[Gender]]="Male"),"Mached","Not mached")</f>
        <v>Not mached</v>
      </c>
    </row>
    <row r="986" spans="4:16" x14ac:dyDescent="0.25">
      <c r="D986" s="6" t="s">
        <v>34</v>
      </c>
      <c r="E986">
        <v>2013</v>
      </c>
      <c r="F986" s="6" t="s">
        <v>35</v>
      </c>
      <c r="G986">
        <v>3</v>
      </c>
      <c r="H986">
        <v>24</v>
      </c>
      <c r="I986" s="6" t="s">
        <v>36</v>
      </c>
      <c r="J986" s="6" t="s">
        <v>37</v>
      </c>
      <c r="K986">
        <v>2</v>
      </c>
      <c r="M986" s="1" t="b">
        <f>Employee__2[[#This Row],[Experience]]&gt;1</f>
        <v>1</v>
      </c>
      <c r="N986" s="1" t="str">
        <f>IF(Employee__2[[#This Row],[City]]="Pune","Yes","No")</f>
        <v>No</v>
      </c>
      <c r="O986" s="1" t="str">
        <f>IF(AND(Employee__2[[#This Row],[Education]]="Bachelors",Employee__2[[#This Row],[City]]="Pune"),"Yes","No")</f>
        <v>No</v>
      </c>
      <c r="P986" s="1" t="str">
        <f>IF(OR(Employee__2[[#This Row],[Age]]&gt;=30,Employee__2[[#This Row],[Gender]]="Male"),"Mached","Not mached")</f>
        <v>Mached</v>
      </c>
    </row>
    <row r="987" spans="4:16" x14ac:dyDescent="0.25">
      <c r="D987" s="6" t="s">
        <v>34</v>
      </c>
      <c r="E987">
        <v>2015</v>
      </c>
      <c r="F987" s="6" t="s">
        <v>35</v>
      </c>
      <c r="G987">
        <v>3</v>
      </c>
      <c r="H987">
        <v>25</v>
      </c>
      <c r="I987" s="6" t="s">
        <v>39</v>
      </c>
      <c r="J987" s="6" t="s">
        <v>37</v>
      </c>
      <c r="K987">
        <v>3</v>
      </c>
      <c r="M987" s="1" t="b">
        <f>Employee__2[[#This Row],[Experience]]&gt;1</f>
        <v>1</v>
      </c>
      <c r="N987" s="1" t="str">
        <f>IF(Employee__2[[#This Row],[City]]="Pune","Yes","No")</f>
        <v>No</v>
      </c>
      <c r="O987" s="1" t="str">
        <f>IF(AND(Employee__2[[#This Row],[Education]]="Bachelors",Employee__2[[#This Row],[City]]="Pune"),"Yes","No")</f>
        <v>No</v>
      </c>
      <c r="P987" s="1" t="str">
        <f>IF(OR(Employee__2[[#This Row],[Age]]&gt;=30,Employee__2[[#This Row],[Gender]]="Male"),"Mached","Not mached")</f>
        <v>Not mached</v>
      </c>
    </row>
    <row r="988" spans="4:16" x14ac:dyDescent="0.25">
      <c r="D988" s="6" t="s">
        <v>34</v>
      </c>
      <c r="E988">
        <v>2015</v>
      </c>
      <c r="F988" s="6" t="s">
        <v>35</v>
      </c>
      <c r="G988">
        <v>3</v>
      </c>
      <c r="H988">
        <v>26</v>
      </c>
      <c r="I988" s="6" t="s">
        <v>36</v>
      </c>
      <c r="J988" s="6" t="s">
        <v>37</v>
      </c>
      <c r="K988">
        <v>4</v>
      </c>
      <c r="M988" s="1" t="b">
        <f>Employee__2[[#This Row],[Experience]]&gt;1</f>
        <v>1</v>
      </c>
      <c r="N988" s="1" t="str">
        <f>IF(Employee__2[[#This Row],[City]]="Pune","Yes","No")</f>
        <v>No</v>
      </c>
      <c r="O988" s="1" t="str">
        <f>IF(AND(Employee__2[[#This Row],[Education]]="Bachelors",Employee__2[[#This Row],[City]]="Pune"),"Yes","No")</f>
        <v>No</v>
      </c>
      <c r="P988" s="1" t="str">
        <f>IF(OR(Employee__2[[#This Row],[Age]]&gt;=30,Employee__2[[#This Row],[Gender]]="Male"),"Mached","Not mached")</f>
        <v>Mached</v>
      </c>
    </row>
    <row r="989" spans="4:16" x14ac:dyDescent="0.25">
      <c r="D989" s="6" t="s">
        <v>34</v>
      </c>
      <c r="E989">
        <v>2016</v>
      </c>
      <c r="F989" s="6" t="s">
        <v>35</v>
      </c>
      <c r="G989">
        <v>3</v>
      </c>
      <c r="H989">
        <v>26</v>
      </c>
      <c r="I989" s="6" t="s">
        <v>36</v>
      </c>
      <c r="J989" s="6" t="s">
        <v>37</v>
      </c>
      <c r="K989">
        <v>4</v>
      </c>
      <c r="M989" s="1" t="b">
        <f>Employee__2[[#This Row],[Experience]]&gt;1</f>
        <v>1</v>
      </c>
      <c r="N989" s="1" t="str">
        <f>IF(Employee__2[[#This Row],[City]]="Pune","Yes","No")</f>
        <v>No</v>
      </c>
      <c r="O989" s="1" t="str">
        <f>IF(AND(Employee__2[[#This Row],[Education]]="Bachelors",Employee__2[[#This Row],[City]]="Pune"),"Yes","No")</f>
        <v>No</v>
      </c>
      <c r="P989" s="1" t="str">
        <f>IF(OR(Employee__2[[#This Row],[Age]]&gt;=30,Employee__2[[#This Row],[Gender]]="Male"),"Mached","Not mached")</f>
        <v>Mached</v>
      </c>
    </row>
    <row r="990" spans="4:16" x14ac:dyDescent="0.25">
      <c r="D990" s="6" t="s">
        <v>34</v>
      </c>
      <c r="E990">
        <v>2013</v>
      </c>
      <c r="F990" s="6" t="s">
        <v>38</v>
      </c>
      <c r="G990">
        <v>3</v>
      </c>
      <c r="H990">
        <v>26</v>
      </c>
      <c r="I990" s="6" t="s">
        <v>36</v>
      </c>
      <c r="J990" s="6" t="s">
        <v>37</v>
      </c>
      <c r="K990">
        <v>4</v>
      </c>
      <c r="M990" s="1" t="b">
        <f>Employee__2[[#This Row],[Experience]]&gt;1</f>
        <v>1</v>
      </c>
      <c r="N990" s="1" t="str">
        <f>IF(Employee__2[[#This Row],[City]]="Pune","Yes","No")</f>
        <v>Yes</v>
      </c>
      <c r="O990" s="1" t="str">
        <f>IF(AND(Employee__2[[#This Row],[Education]]="Bachelors",Employee__2[[#This Row],[City]]="Pune"),"Yes","No")</f>
        <v>Yes</v>
      </c>
      <c r="P990" s="1" t="str">
        <f>IF(OR(Employee__2[[#This Row],[Age]]&gt;=30,Employee__2[[#This Row],[Gender]]="Male"),"Mached","Not mached")</f>
        <v>Mached</v>
      </c>
    </row>
    <row r="991" spans="4:16" x14ac:dyDescent="0.25">
      <c r="D991" s="6" t="s">
        <v>41</v>
      </c>
      <c r="E991">
        <v>2016</v>
      </c>
      <c r="F991" s="6" t="s">
        <v>35</v>
      </c>
      <c r="G991">
        <v>3</v>
      </c>
      <c r="H991">
        <v>26</v>
      </c>
      <c r="I991" s="6" t="s">
        <v>39</v>
      </c>
      <c r="J991" s="6" t="s">
        <v>37</v>
      </c>
      <c r="K991">
        <v>4</v>
      </c>
      <c r="M991" s="1" t="b">
        <f>Employee__2[[#This Row],[Experience]]&gt;1</f>
        <v>1</v>
      </c>
      <c r="N991" s="1" t="str">
        <f>IF(Employee__2[[#This Row],[City]]="Pune","Yes","No")</f>
        <v>No</v>
      </c>
      <c r="O991" s="1" t="str">
        <f>IF(AND(Employee__2[[#This Row],[Education]]="Bachelors",Employee__2[[#This Row],[City]]="Pune"),"Yes","No")</f>
        <v>No</v>
      </c>
      <c r="P991" s="1" t="str">
        <f>IF(OR(Employee__2[[#This Row],[Age]]&gt;=30,Employee__2[[#This Row],[Gender]]="Male"),"Mached","Not mached")</f>
        <v>Not mached</v>
      </c>
    </row>
    <row r="992" spans="4:16" x14ac:dyDescent="0.25">
      <c r="D992" s="6" t="s">
        <v>34</v>
      </c>
      <c r="E992">
        <v>2018</v>
      </c>
      <c r="F992" s="6" t="s">
        <v>35</v>
      </c>
      <c r="G992">
        <v>3</v>
      </c>
      <c r="H992">
        <v>27</v>
      </c>
      <c r="I992" s="6" t="s">
        <v>39</v>
      </c>
      <c r="J992" s="6" t="s">
        <v>37</v>
      </c>
      <c r="K992">
        <v>5</v>
      </c>
      <c r="M992" s="1" t="b">
        <f>Employee__2[[#This Row],[Experience]]&gt;1</f>
        <v>1</v>
      </c>
      <c r="N992" s="1" t="str">
        <f>IF(Employee__2[[#This Row],[City]]="Pune","Yes","No")</f>
        <v>No</v>
      </c>
      <c r="O992" s="1" t="str">
        <f>IF(AND(Employee__2[[#This Row],[Education]]="Bachelors",Employee__2[[#This Row],[City]]="Pune"),"Yes","No")</f>
        <v>No</v>
      </c>
      <c r="P992" s="1" t="str">
        <f>IF(OR(Employee__2[[#This Row],[Age]]&gt;=30,Employee__2[[#This Row],[Gender]]="Male"),"Mached","Not mached")</f>
        <v>Not mached</v>
      </c>
    </row>
    <row r="993" spans="4:16" x14ac:dyDescent="0.25">
      <c r="D993" s="6" t="s">
        <v>34</v>
      </c>
      <c r="E993">
        <v>2017</v>
      </c>
      <c r="F993" s="6" t="s">
        <v>35</v>
      </c>
      <c r="G993">
        <v>3</v>
      </c>
      <c r="H993">
        <v>24</v>
      </c>
      <c r="I993" s="6" t="s">
        <v>39</v>
      </c>
      <c r="J993" s="6" t="s">
        <v>37</v>
      </c>
      <c r="K993">
        <v>2</v>
      </c>
      <c r="M993" s="1" t="b">
        <f>Employee__2[[#This Row],[Experience]]&gt;1</f>
        <v>1</v>
      </c>
      <c r="N993" s="1" t="str">
        <f>IF(Employee__2[[#This Row],[City]]="Pune","Yes","No")</f>
        <v>No</v>
      </c>
      <c r="O993" s="1" t="str">
        <f>IF(AND(Employee__2[[#This Row],[Education]]="Bachelors",Employee__2[[#This Row],[City]]="Pune"),"Yes","No")</f>
        <v>No</v>
      </c>
      <c r="P993" s="1" t="str">
        <f>IF(OR(Employee__2[[#This Row],[Age]]&gt;=30,Employee__2[[#This Row],[Gender]]="Male"),"Mached","Not mached")</f>
        <v>Not mached</v>
      </c>
    </row>
    <row r="994" spans="4:16" x14ac:dyDescent="0.25">
      <c r="D994" s="6" t="s">
        <v>34</v>
      </c>
      <c r="E994">
        <v>2014</v>
      </c>
      <c r="F994" s="6" t="s">
        <v>40</v>
      </c>
      <c r="G994">
        <v>3</v>
      </c>
      <c r="H994">
        <v>24</v>
      </c>
      <c r="I994" s="6" t="s">
        <v>39</v>
      </c>
      <c r="J994" s="6" t="s">
        <v>37</v>
      </c>
      <c r="K994">
        <v>2</v>
      </c>
      <c r="M994" s="1" t="b">
        <f>Employee__2[[#This Row],[Experience]]&gt;1</f>
        <v>1</v>
      </c>
      <c r="N994" s="1" t="str">
        <f>IF(Employee__2[[#This Row],[City]]="Pune","Yes","No")</f>
        <v>No</v>
      </c>
      <c r="O994" s="1" t="str">
        <f>IF(AND(Employee__2[[#This Row],[Education]]="Bachelors",Employee__2[[#This Row],[City]]="Pune"),"Yes","No")</f>
        <v>No</v>
      </c>
      <c r="P994" s="1" t="str">
        <f>IF(OR(Employee__2[[#This Row],[Age]]&gt;=30,Employee__2[[#This Row],[Gender]]="Male"),"Mached","Not mached")</f>
        <v>Not mached</v>
      </c>
    </row>
    <row r="995" spans="4:16" x14ac:dyDescent="0.25">
      <c r="D995" s="6" t="s">
        <v>34</v>
      </c>
      <c r="E995">
        <v>2013</v>
      </c>
      <c r="F995" s="6" t="s">
        <v>38</v>
      </c>
      <c r="G995">
        <v>3</v>
      </c>
      <c r="H995">
        <v>26</v>
      </c>
      <c r="I995" s="6" t="s">
        <v>36</v>
      </c>
      <c r="J995" s="6" t="s">
        <v>42</v>
      </c>
      <c r="K995">
        <v>4</v>
      </c>
      <c r="M995" s="1" t="b">
        <f>Employee__2[[#This Row],[Experience]]&gt;1</f>
        <v>1</v>
      </c>
      <c r="N995" s="1" t="str">
        <f>IF(Employee__2[[#This Row],[City]]="Pune","Yes","No")</f>
        <v>Yes</v>
      </c>
      <c r="O995" s="1" t="str">
        <f>IF(AND(Employee__2[[#This Row],[Education]]="Bachelors",Employee__2[[#This Row],[City]]="Pune"),"Yes","No")</f>
        <v>Yes</v>
      </c>
      <c r="P995" s="1" t="str">
        <f>IF(OR(Employee__2[[#This Row],[Age]]&gt;=30,Employee__2[[#This Row],[Gender]]="Male"),"Mached","Not mached")</f>
        <v>Mached</v>
      </c>
    </row>
    <row r="996" spans="4:16" x14ac:dyDescent="0.25">
      <c r="D996" s="6" t="s">
        <v>34</v>
      </c>
      <c r="E996">
        <v>2014</v>
      </c>
      <c r="F996" s="6" t="s">
        <v>35</v>
      </c>
      <c r="G996">
        <v>3</v>
      </c>
      <c r="H996">
        <v>26</v>
      </c>
      <c r="I996" s="6" t="s">
        <v>36</v>
      </c>
      <c r="J996" s="6" t="s">
        <v>37</v>
      </c>
      <c r="K996">
        <v>4</v>
      </c>
      <c r="M996" s="1" t="b">
        <f>Employee__2[[#This Row],[Experience]]&gt;1</f>
        <v>1</v>
      </c>
      <c r="N996" s="1" t="str">
        <f>IF(Employee__2[[#This Row],[City]]="Pune","Yes","No")</f>
        <v>No</v>
      </c>
      <c r="O996" s="1" t="str">
        <f>IF(AND(Employee__2[[#This Row],[Education]]="Bachelors",Employee__2[[#This Row],[City]]="Pune"),"Yes","No")</f>
        <v>No</v>
      </c>
      <c r="P996" s="1" t="str">
        <f>IF(OR(Employee__2[[#This Row],[Age]]&gt;=30,Employee__2[[#This Row],[Gender]]="Male"),"Mached","Not mached")</f>
        <v>Mached</v>
      </c>
    </row>
    <row r="997" spans="4:16" x14ac:dyDescent="0.25">
      <c r="D997" s="6" t="s">
        <v>34</v>
      </c>
      <c r="E997">
        <v>2014</v>
      </c>
      <c r="F997" s="6" t="s">
        <v>35</v>
      </c>
      <c r="G997">
        <v>3</v>
      </c>
      <c r="H997">
        <v>24</v>
      </c>
      <c r="I997" s="6" t="s">
        <v>36</v>
      </c>
      <c r="J997" s="6" t="s">
        <v>37</v>
      </c>
      <c r="K997">
        <v>2</v>
      </c>
      <c r="M997" s="1" t="b">
        <f>Employee__2[[#This Row],[Experience]]&gt;1</f>
        <v>1</v>
      </c>
      <c r="N997" s="1" t="str">
        <f>IF(Employee__2[[#This Row],[City]]="Pune","Yes","No")</f>
        <v>No</v>
      </c>
      <c r="O997" s="1" t="str">
        <f>IF(AND(Employee__2[[#This Row],[Education]]="Bachelors",Employee__2[[#This Row],[City]]="Pune"),"Yes","No")</f>
        <v>No</v>
      </c>
      <c r="P997" s="1" t="str">
        <f>IF(OR(Employee__2[[#This Row],[Age]]&gt;=30,Employee__2[[#This Row],[Gender]]="Male"),"Mached","Not mached")</f>
        <v>Mached</v>
      </c>
    </row>
    <row r="998" spans="4:16" x14ac:dyDescent="0.25">
      <c r="D998" s="6" t="s">
        <v>34</v>
      </c>
      <c r="E998">
        <v>2012</v>
      </c>
      <c r="F998" s="6" t="s">
        <v>35</v>
      </c>
      <c r="G998">
        <v>3</v>
      </c>
      <c r="H998">
        <v>26</v>
      </c>
      <c r="I998" s="6" t="s">
        <v>36</v>
      </c>
      <c r="J998" s="6" t="s">
        <v>37</v>
      </c>
      <c r="K998">
        <v>4</v>
      </c>
      <c r="M998" s="1" t="b">
        <f>Employee__2[[#This Row],[Experience]]&gt;1</f>
        <v>1</v>
      </c>
      <c r="N998" s="1" t="str">
        <f>IF(Employee__2[[#This Row],[City]]="Pune","Yes","No")</f>
        <v>No</v>
      </c>
      <c r="O998" s="1" t="str">
        <f>IF(AND(Employee__2[[#This Row],[Education]]="Bachelors",Employee__2[[#This Row],[City]]="Pune"),"Yes","No")</f>
        <v>No</v>
      </c>
      <c r="P998" s="1" t="str">
        <f>IF(OR(Employee__2[[#This Row],[Age]]&gt;=30,Employee__2[[#This Row],[Gender]]="Male"),"Mached","Not mached")</f>
        <v>Mached</v>
      </c>
    </row>
    <row r="999" spans="4:16" x14ac:dyDescent="0.25">
      <c r="D999" s="6" t="s">
        <v>34</v>
      </c>
      <c r="E999">
        <v>2014</v>
      </c>
      <c r="F999" s="6" t="s">
        <v>38</v>
      </c>
      <c r="G999">
        <v>2</v>
      </c>
      <c r="H999">
        <v>26</v>
      </c>
      <c r="I999" s="6" t="s">
        <v>39</v>
      </c>
      <c r="J999" s="6" t="s">
        <v>37</v>
      </c>
      <c r="K999">
        <v>4</v>
      </c>
      <c r="M999" s="1" t="b">
        <f>Employee__2[[#This Row],[Experience]]&gt;1</f>
        <v>1</v>
      </c>
      <c r="N999" s="1" t="str">
        <f>IF(Employee__2[[#This Row],[City]]="Pune","Yes","No")</f>
        <v>Yes</v>
      </c>
      <c r="O999" s="1" t="str">
        <f>IF(AND(Employee__2[[#This Row],[Education]]="Bachelors",Employee__2[[#This Row],[City]]="Pune"),"Yes","No")</f>
        <v>Yes</v>
      </c>
      <c r="P999" s="1" t="str">
        <f>IF(OR(Employee__2[[#This Row],[Age]]&gt;=30,Employee__2[[#This Row],[Gender]]="Male"),"Mached","Not mached")</f>
        <v>Not mached</v>
      </c>
    </row>
    <row r="1000" spans="4:16" x14ac:dyDescent="0.25">
      <c r="D1000" s="6" t="s">
        <v>34</v>
      </c>
      <c r="E1000">
        <v>2016</v>
      </c>
      <c r="F1000" s="6" t="s">
        <v>40</v>
      </c>
      <c r="G1000">
        <v>3</v>
      </c>
      <c r="H1000">
        <v>28</v>
      </c>
      <c r="I1000" s="6" t="s">
        <v>39</v>
      </c>
      <c r="J1000" s="6" t="s">
        <v>37</v>
      </c>
      <c r="K1000">
        <v>5</v>
      </c>
      <c r="M1000" s="1" t="b">
        <f>Employee__2[[#This Row],[Experience]]&gt;1</f>
        <v>1</v>
      </c>
      <c r="N1000" s="1" t="str">
        <f>IF(Employee__2[[#This Row],[City]]="Pune","Yes","No")</f>
        <v>No</v>
      </c>
      <c r="O1000" s="1" t="str">
        <f>IF(AND(Employee__2[[#This Row],[Education]]="Bachelors",Employee__2[[#This Row],[City]]="Pune"),"Yes","No")</f>
        <v>No</v>
      </c>
      <c r="P1000" s="1" t="str">
        <f>IF(OR(Employee__2[[#This Row],[Age]]&gt;=30,Employee__2[[#This Row],[Gender]]="Male"),"Mached","Not mached")</f>
        <v>Not mached</v>
      </c>
    </row>
    <row r="1001" spans="4:16" x14ac:dyDescent="0.25">
      <c r="D1001" s="6" t="s">
        <v>34</v>
      </c>
      <c r="E1001">
        <v>2015</v>
      </c>
      <c r="F1001" s="6" t="s">
        <v>35</v>
      </c>
      <c r="G1001">
        <v>3</v>
      </c>
      <c r="H1001">
        <v>28</v>
      </c>
      <c r="I1001" s="6" t="s">
        <v>36</v>
      </c>
      <c r="J1001" s="6" t="s">
        <v>37</v>
      </c>
      <c r="K1001">
        <v>5</v>
      </c>
      <c r="M1001" s="1" t="b">
        <f>Employee__2[[#This Row],[Experience]]&gt;1</f>
        <v>1</v>
      </c>
      <c r="N1001" s="1" t="str">
        <f>IF(Employee__2[[#This Row],[City]]="Pune","Yes","No")</f>
        <v>No</v>
      </c>
      <c r="O1001" s="1" t="str">
        <f>IF(AND(Employee__2[[#This Row],[Education]]="Bachelors",Employee__2[[#This Row],[City]]="Pune"),"Yes","No")</f>
        <v>No</v>
      </c>
      <c r="P1001" s="1" t="str">
        <f>IF(OR(Employee__2[[#This Row],[Age]]&gt;=30,Employee__2[[#This Row],[Gender]]="Male"),"Mached","Not mached")</f>
        <v>Mached</v>
      </c>
    </row>
    <row r="1002" spans="4:16" x14ac:dyDescent="0.25">
      <c r="D1002" s="6" t="s">
        <v>34</v>
      </c>
      <c r="E1002">
        <v>2012</v>
      </c>
      <c r="F1002" s="6" t="s">
        <v>38</v>
      </c>
      <c r="G1002">
        <v>2</v>
      </c>
      <c r="H1002">
        <v>26</v>
      </c>
      <c r="I1002" s="6" t="s">
        <v>39</v>
      </c>
      <c r="J1002" s="6" t="s">
        <v>37</v>
      </c>
      <c r="K1002">
        <v>4</v>
      </c>
      <c r="M1002" s="1" t="b">
        <f>Employee__2[[#This Row],[Experience]]&gt;1</f>
        <v>1</v>
      </c>
      <c r="N1002" s="1" t="str">
        <f>IF(Employee__2[[#This Row],[City]]="Pune","Yes","No")</f>
        <v>Yes</v>
      </c>
      <c r="O1002" s="1" t="str">
        <f>IF(AND(Employee__2[[#This Row],[Education]]="Bachelors",Employee__2[[#This Row],[City]]="Pune"),"Yes","No")</f>
        <v>Yes</v>
      </c>
      <c r="P1002" s="1" t="str">
        <f>IF(OR(Employee__2[[#This Row],[Age]]&gt;=30,Employee__2[[#This Row],[Gender]]="Male"),"Mached","Not mached")</f>
        <v>Not mached</v>
      </c>
    </row>
    <row r="1003" spans="4:16" x14ac:dyDescent="0.25">
      <c r="D1003" s="6" t="s">
        <v>34</v>
      </c>
      <c r="E1003">
        <v>2013</v>
      </c>
      <c r="F1003" s="6" t="s">
        <v>40</v>
      </c>
      <c r="G1003">
        <v>3</v>
      </c>
      <c r="H1003">
        <v>26</v>
      </c>
      <c r="I1003" s="6" t="s">
        <v>39</v>
      </c>
      <c r="J1003" s="6" t="s">
        <v>37</v>
      </c>
      <c r="K1003">
        <v>4</v>
      </c>
      <c r="M1003" s="1" t="b">
        <f>Employee__2[[#This Row],[Experience]]&gt;1</f>
        <v>1</v>
      </c>
      <c r="N1003" s="1" t="str">
        <f>IF(Employee__2[[#This Row],[City]]="Pune","Yes","No")</f>
        <v>No</v>
      </c>
      <c r="O1003" s="1" t="str">
        <f>IF(AND(Employee__2[[#This Row],[Education]]="Bachelors",Employee__2[[#This Row],[City]]="Pune"),"Yes","No")</f>
        <v>No</v>
      </c>
      <c r="P1003" s="1" t="str">
        <f>IF(OR(Employee__2[[#This Row],[Age]]&gt;=30,Employee__2[[#This Row],[Gender]]="Male"),"Mached","Not mached")</f>
        <v>Not mached</v>
      </c>
    </row>
    <row r="1004" spans="4:16" x14ac:dyDescent="0.25">
      <c r="D1004" s="6" t="s">
        <v>34</v>
      </c>
      <c r="E1004">
        <v>2013</v>
      </c>
      <c r="F1004" s="6" t="s">
        <v>38</v>
      </c>
      <c r="G1004">
        <v>3</v>
      </c>
      <c r="H1004">
        <v>24</v>
      </c>
      <c r="I1004" s="6" t="s">
        <v>36</v>
      </c>
      <c r="J1004" s="6" t="s">
        <v>37</v>
      </c>
      <c r="K1004">
        <v>2</v>
      </c>
      <c r="M1004" s="1" t="b">
        <f>Employee__2[[#This Row],[Experience]]&gt;1</f>
        <v>1</v>
      </c>
      <c r="N1004" s="1" t="str">
        <f>IF(Employee__2[[#This Row],[City]]="Pune","Yes","No")</f>
        <v>Yes</v>
      </c>
      <c r="O1004" s="1" t="str">
        <f>IF(AND(Employee__2[[#This Row],[Education]]="Bachelors",Employee__2[[#This Row],[City]]="Pune"),"Yes","No")</f>
        <v>Yes</v>
      </c>
      <c r="P1004" s="1" t="str">
        <f>IF(OR(Employee__2[[#This Row],[Age]]&gt;=30,Employee__2[[#This Row],[Gender]]="Male"),"Mached","Not mached")</f>
        <v>Mached</v>
      </c>
    </row>
    <row r="1005" spans="4:16" x14ac:dyDescent="0.25">
      <c r="D1005" s="6" t="s">
        <v>41</v>
      </c>
      <c r="E1005">
        <v>2017</v>
      </c>
      <c r="F1005" s="6" t="s">
        <v>40</v>
      </c>
      <c r="G1005">
        <v>3</v>
      </c>
      <c r="H1005">
        <v>28</v>
      </c>
      <c r="I1005" s="6" t="s">
        <v>39</v>
      </c>
      <c r="J1005" s="6" t="s">
        <v>37</v>
      </c>
      <c r="K1005">
        <v>3</v>
      </c>
      <c r="M1005" s="1" t="b">
        <f>Employee__2[[#This Row],[Experience]]&gt;1</f>
        <v>1</v>
      </c>
      <c r="N1005" s="1" t="str">
        <f>IF(Employee__2[[#This Row],[City]]="Pune","Yes","No")</f>
        <v>No</v>
      </c>
      <c r="O1005" s="1" t="str">
        <f>IF(AND(Employee__2[[#This Row],[Education]]="Bachelors",Employee__2[[#This Row],[City]]="Pune"),"Yes","No")</f>
        <v>No</v>
      </c>
      <c r="P1005" s="1" t="str">
        <f>IF(OR(Employee__2[[#This Row],[Age]]&gt;=30,Employee__2[[#This Row],[Gender]]="Male"),"Mached","Not mached")</f>
        <v>Not mached</v>
      </c>
    </row>
    <row r="1006" spans="4:16" x14ac:dyDescent="0.25">
      <c r="D1006" s="6" t="s">
        <v>34</v>
      </c>
      <c r="E1006">
        <v>2012</v>
      </c>
      <c r="F1006" s="6" t="s">
        <v>40</v>
      </c>
      <c r="G1006">
        <v>3</v>
      </c>
      <c r="H1006">
        <v>27</v>
      </c>
      <c r="I1006" s="6" t="s">
        <v>39</v>
      </c>
      <c r="J1006" s="6" t="s">
        <v>37</v>
      </c>
      <c r="K1006">
        <v>5</v>
      </c>
      <c r="M1006" s="1" t="b">
        <f>Employee__2[[#This Row],[Experience]]&gt;1</f>
        <v>1</v>
      </c>
      <c r="N1006" s="1" t="str">
        <f>IF(Employee__2[[#This Row],[City]]="Pune","Yes","No")</f>
        <v>No</v>
      </c>
      <c r="O1006" s="1" t="str">
        <f>IF(AND(Employee__2[[#This Row],[Education]]="Bachelors",Employee__2[[#This Row],[City]]="Pune"),"Yes","No")</f>
        <v>No</v>
      </c>
      <c r="P1006" s="1" t="str">
        <f>IF(OR(Employee__2[[#This Row],[Age]]&gt;=30,Employee__2[[#This Row],[Gender]]="Male"),"Mached","Not mached")</f>
        <v>Not mached</v>
      </c>
    </row>
    <row r="1007" spans="4:16" x14ac:dyDescent="0.25">
      <c r="D1007" s="6" t="s">
        <v>34</v>
      </c>
      <c r="E1007">
        <v>2017</v>
      </c>
      <c r="F1007" s="6" t="s">
        <v>35</v>
      </c>
      <c r="G1007">
        <v>3</v>
      </c>
      <c r="H1007">
        <v>25</v>
      </c>
      <c r="I1007" s="6" t="s">
        <v>36</v>
      </c>
      <c r="J1007" s="6" t="s">
        <v>37</v>
      </c>
      <c r="K1007">
        <v>3</v>
      </c>
      <c r="M1007" s="1" t="b">
        <f>Employee__2[[#This Row],[Experience]]&gt;1</f>
        <v>1</v>
      </c>
      <c r="N1007" s="1" t="str">
        <f>IF(Employee__2[[#This Row],[City]]="Pune","Yes","No")</f>
        <v>No</v>
      </c>
      <c r="O1007" s="1" t="str">
        <f>IF(AND(Employee__2[[#This Row],[Education]]="Bachelors",Employee__2[[#This Row],[City]]="Pune"),"Yes","No")</f>
        <v>No</v>
      </c>
      <c r="P1007" s="1" t="str">
        <f>IF(OR(Employee__2[[#This Row],[Age]]&gt;=30,Employee__2[[#This Row],[Gender]]="Male"),"Mached","Not mached")</f>
        <v>Mached</v>
      </c>
    </row>
    <row r="1008" spans="4:16" x14ac:dyDescent="0.25">
      <c r="D1008" s="6" t="s">
        <v>34</v>
      </c>
      <c r="E1008">
        <v>2012</v>
      </c>
      <c r="F1008" s="6" t="s">
        <v>40</v>
      </c>
      <c r="G1008">
        <v>3</v>
      </c>
      <c r="H1008">
        <v>24</v>
      </c>
      <c r="I1008" s="6" t="s">
        <v>39</v>
      </c>
      <c r="J1008" s="6" t="s">
        <v>37</v>
      </c>
      <c r="K1008">
        <v>2</v>
      </c>
      <c r="M1008" s="1" t="b">
        <f>Employee__2[[#This Row],[Experience]]&gt;1</f>
        <v>1</v>
      </c>
      <c r="N1008" s="1" t="str">
        <f>IF(Employee__2[[#This Row],[City]]="Pune","Yes","No")</f>
        <v>No</v>
      </c>
      <c r="O1008" s="1" t="str">
        <f>IF(AND(Employee__2[[#This Row],[Education]]="Bachelors",Employee__2[[#This Row],[City]]="Pune"),"Yes","No")</f>
        <v>No</v>
      </c>
      <c r="P1008" s="1" t="str">
        <f>IF(OR(Employee__2[[#This Row],[Age]]&gt;=30,Employee__2[[#This Row],[Gender]]="Male"),"Mached","Not mached")</f>
        <v>Not mached</v>
      </c>
    </row>
    <row r="1009" spans="4:16" x14ac:dyDescent="0.25">
      <c r="D1009" s="6" t="s">
        <v>41</v>
      </c>
      <c r="E1009">
        <v>2015</v>
      </c>
      <c r="F1009" s="6" t="s">
        <v>38</v>
      </c>
      <c r="G1009">
        <v>1</v>
      </c>
      <c r="H1009">
        <v>24</v>
      </c>
      <c r="I1009" s="6" t="s">
        <v>36</v>
      </c>
      <c r="J1009" s="6" t="s">
        <v>37</v>
      </c>
      <c r="K1009">
        <v>2</v>
      </c>
      <c r="M1009" s="1" t="b">
        <f>Employee__2[[#This Row],[Experience]]&gt;1</f>
        <v>1</v>
      </c>
      <c r="N1009" s="1" t="str">
        <f>IF(Employee__2[[#This Row],[City]]="Pune","Yes","No")</f>
        <v>Yes</v>
      </c>
      <c r="O1009" s="1" t="str">
        <f>IF(AND(Employee__2[[#This Row],[Education]]="Bachelors",Employee__2[[#This Row],[City]]="Pune"),"Yes","No")</f>
        <v>No</v>
      </c>
      <c r="P1009" s="1" t="str">
        <f>IF(OR(Employee__2[[#This Row],[Age]]&gt;=30,Employee__2[[#This Row],[Gender]]="Male"),"Mached","Not mached")</f>
        <v>Mached</v>
      </c>
    </row>
    <row r="1010" spans="4:16" x14ac:dyDescent="0.25">
      <c r="D1010" s="6" t="s">
        <v>41</v>
      </c>
      <c r="E1010">
        <v>2013</v>
      </c>
      <c r="F1010" s="6" t="s">
        <v>40</v>
      </c>
      <c r="G1010">
        <v>3</v>
      </c>
      <c r="H1010">
        <v>27</v>
      </c>
      <c r="I1010" s="6" t="s">
        <v>36</v>
      </c>
      <c r="J1010" s="6" t="s">
        <v>37</v>
      </c>
      <c r="K1010">
        <v>5</v>
      </c>
      <c r="M1010" s="1" t="b">
        <f>Employee__2[[#This Row],[Experience]]&gt;1</f>
        <v>1</v>
      </c>
      <c r="N1010" s="1" t="str">
        <f>IF(Employee__2[[#This Row],[City]]="Pune","Yes","No")</f>
        <v>No</v>
      </c>
      <c r="O1010" s="1" t="str">
        <f>IF(AND(Employee__2[[#This Row],[Education]]="Bachelors",Employee__2[[#This Row],[City]]="Pune"),"Yes","No")</f>
        <v>No</v>
      </c>
      <c r="P1010" s="1" t="str">
        <f>IF(OR(Employee__2[[#This Row],[Age]]&gt;=30,Employee__2[[#This Row],[Gender]]="Male"),"Mached","Not mached")</f>
        <v>Mached</v>
      </c>
    </row>
    <row r="1011" spans="4:16" x14ac:dyDescent="0.25">
      <c r="D1011" s="6" t="s">
        <v>34</v>
      </c>
      <c r="E1011">
        <v>2017</v>
      </c>
      <c r="F1011" s="6" t="s">
        <v>40</v>
      </c>
      <c r="G1011">
        <v>3</v>
      </c>
      <c r="H1011">
        <v>24</v>
      </c>
      <c r="I1011" s="6" t="s">
        <v>39</v>
      </c>
      <c r="J1011" s="6" t="s">
        <v>37</v>
      </c>
      <c r="K1011">
        <v>2</v>
      </c>
      <c r="M1011" s="1" t="b">
        <f>Employee__2[[#This Row],[Experience]]&gt;1</f>
        <v>1</v>
      </c>
      <c r="N1011" s="1" t="str">
        <f>IF(Employee__2[[#This Row],[City]]="Pune","Yes","No")</f>
        <v>No</v>
      </c>
      <c r="O1011" s="1" t="str">
        <f>IF(AND(Employee__2[[#This Row],[Education]]="Bachelors",Employee__2[[#This Row],[City]]="Pune"),"Yes","No")</f>
        <v>No</v>
      </c>
      <c r="P1011" s="1" t="str">
        <f>IF(OR(Employee__2[[#This Row],[Age]]&gt;=30,Employee__2[[#This Row],[Gender]]="Male"),"Mached","Not mached")</f>
        <v>Not mached</v>
      </c>
    </row>
    <row r="1012" spans="4:16" x14ac:dyDescent="0.25">
      <c r="D1012" s="6" t="s">
        <v>34</v>
      </c>
      <c r="E1012">
        <v>2014</v>
      </c>
      <c r="F1012" s="6" t="s">
        <v>35</v>
      </c>
      <c r="G1012">
        <v>3</v>
      </c>
      <c r="H1012">
        <v>28</v>
      </c>
      <c r="I1012" s="6" t="s">
        <v>36</v>
      </c>
      <c r="J1012" s="6" t="s">
        <v>37</v>
      </c>
      <c r="K1012">
        <v>1</v>
      </c>
      <c r="M1012" s="1" t="b">
        <f>Employee__2[[#This Row],[Experience]]&gt;1</f>
        <v>0</v>
      </c>
      <c r="N1012" s="1" t="str">
        <f>IF(Employee__2[[#This Row],[City]]="Pune","Yes","No")</f>
        <v>No</v>
      </c>
      <c r="O1012" s="1" t="str">
        <f>IF(AND(Employee__2[[#This Row],[Education]]="Bachelors",Employee__2[[#This Row],[City]]="Pune"),"Yes","No")</f>
        <v>No</v>
      </c>
      <c r="P1012" s="1" t="str">
        <f>IF(OR(Employee__2[[#This Row],[Age]]&gt;=30,Employee__2[[#This Row],[Gender]]="Male"),"Mached","Not mached")</f>
        <v>Mached</v>
      </c>
    </row>
    <row r="1013" spans="4:16" x14ac:dyDescent="0.25">
      <c r="D1013" s="6" t="s">
        <v>34</v>
      </c>
      <c r="E1013">
        <v>2015</v>
      </c>
      <c r="F1013" s="6" t="s">
        <v>35</v>
      </c>
      <c r="G1013">
        <v>3</v>
      </c>
      <c r="H1013">
        <v>28</v>
      </c>
      <c r="I1013" s="6" t="s">
        <v>39</v>
      </c>
      <c r="J1013" s="6" t="s">
        <v>37</v>
      </c>
      <c r="K1013">
        <v>1</v>
      </c>
      <c r="M1013" s="1" t="b">
        <f>Employee__2[[#This Row],[Experience]]&gt;1</f>
        <v>0</v>
      </c>
      <c r="N1013" s="1" t="str">
        <f>IF(Employee__2[[#This Row],[City]]="Pune","Yes","No")</f>
        <v>No</v>
      </c>
      <c r="O1013" s="1" t="str">
        <f>IF(AND(Employee__2[[#This Row],[Education]]="Bachelors",Employee__2[[#This Row],[City]]="Pune"),"Yes","No")</f>
        <v>No</v>
      </c>
      <c r="P1013" s="1" t="str">
        <f>IF(OR(Employee__2[[#This Row],[Age]]&gt;=30,Employee__2[[#This Row],[Gender]]="Male"),"Mached","Not mached")</f>
        <v>Not mached</v>
      </c>
    </row>
    <row r="1014" spans="4:16" x14ac:dyDescent="0.25">
      <c r="D1014" s="6" t="s">
        <v>41</v>
      </c>
      <c r="E1014">
        <v>2013</v>
      </c>
      <c r="F1014" s="6" t="s">
        <v>40</v>
      </c>
      <c r="G1014">
        <v>3</v>
      </c>
      <c r="H1014">
        <v>27</v>
      </c>
      <c r="I1014" s="6" t="s">
        <v>36</v>
      </c>
      <c r="J1014" s="6" t="s">
        <v>37</v>
      </c>
      <c r="K1014">
        <v>5</v>
      </c>
      <c r="M1014" s="1" t="b">
        <f>Employee__2[[#This Row],[Experience]]&gt;1</f>
        <v>1</v>
      </c>
      <c r="N1014" s="1" t="str">
        <f>IF(Employee__2[[#This Row],[City]]="Pune","Yes","No")</f>
        <v>No</v>
      </c>
      <c r="O1014" s="1" t="str">
        <f>IF(AND(Employee__2[[#This Row],[Education]]="Bachelors",Employee__2[[#This Row],[City]]="Pune"),"Yes","No")</f>
        <v>No</v>
      </c>
      <c r="P1014" s="1" t="str">
        <f>IF(OR(Employee__2[[#This Row],[Age]]&gt;=30,Employee__2[[#This Row],[Gender]]="Male"),"Mached","Not mached")</f>
        <v>Mached</v>
      </c>
    </row>
    <row r="1015" spans="4:16" x14ac:dyDescent="0.25">
      <c r="D1015" s="6" t="s">
        <v>34</v>
      </c>
      <c r="E1015">
        <v>2014</v>
      </c>
      <c r="F1015" s="6" t="s">
        <v>35</v>
      </c>
      <c r="G1015">
        <v>3</v>
      </c>
      <c r="H1015">
        <v>26</v>
      </c>
      <c r="I1015" s="6" t="s">
        <v>36</v>
      </c>
      <c r="J1015" s="6" t="s">
        <v>37</v>
      </c>
      <c r="K1015">
        <v>4</v>
      </c>
      <c r="M1015" s="1" t="b">
        <f>Employee__2[[#This Row],[Experience]]&gt;1</f>
        <v>1</v>
      </c>
      <c r="N1015" s="1" t="str">
        <f>IF(Employee__2[[#This Row],[City]]="Pune","Yes","No")</f>
        <v>No</v>
      </c>
      <c r="O1015" s="1" t="str">
        <f>IF(AND(Employee__2[[#This Row],[Education]]="Bachelors",Employee__2[[#This Row],[City]]="Pune"),"Yes","No")</f>
        <v>No</v>
      </c>
      <c r="P1015" s="1" t="str">
        <f>IF(OR(Employee__2[[#This Row],[Age]]&gt;=30,Employee__2[[#This Row],[Gender]]="Male"),"Mached","Not mached")</f>
        <v>Mached</v>
      </c>
    </row>
    <row r="1016" spans="4:16" x14ac:dyDescent="0.25">
      <c r="D1016" s="6" t="s">
        <v>34</v>
      </c>
      <c r="E1016">
        <v>2017</v>
      </c>
      <c r="F1016" s="6" t="s">
        <v>35</v>
      </c>
      <c r="G1016">
        <v>3</v>
      </c>
      <c r="H1016">
        <v>25</v>
      </c>
      <c r="I1016" s="6" t="s">
        <v>36</v>
      </c>
      <c r="J1016" s="6" t="s">
        <v>37</v>
      </c>
      <c r="K1016">
        <v>3</v>
      </c>
      <c r="M1016" s="1" t="b">
        <f>Employee__2[[#This Row],[Experience]]&gt;1</f>
        <v>1</v>
      </c>
      <c r="N1016" s="1" t="str">
        <f>IF(Employee__2[[#This Row],[City]]="Pune","Yes","No")</f>
        <v>No</v>
      </c>
      <c r="O1016" s="1" t="str">
        <f>IF(AND(Employee__2[[#This Row],[Education]]="Bachelors",Employee__2[[#This Row],[City]]="Pune"),"Yes","No")</f>
        <v>No</v>
      </c>
      <c r="P1016" s="1" t="str">
        <f>IF(OR(Employee__2[[#This Row],[Age]]&gt;=30,Employee__2[[#This Row],[Gender]]="Male"),"Mached","Not mached")</f>
        <v>Mached</v>
      </c>
    </row>
    <row r="1017" spans="4:16" x14ac:dyDescent="0.25">
      <c r="D1017" s="6" t="s">
        <v>41</v>
      </c>
      <c r="E1017">
        <v>2015</v>
      </c>
      <c r="F1017" s="6" t="s">
        <v>40</v>
      </c>
      <c r="G1017">
        <v>3</v>
      </c>
      <c r="H1017">
        <v>24</v>
      </c>
      <c r="I1017" s="6" t="s">
        <v>36</v>
      </c>
      <c r="J1017" s="6" t="s">
        <v>37</v>
      </c>
      <c r="K1017">
        <v>2</v>
      </c>
      <c r="M1017" s="1" t="b">
        <f>Employee__2[[#This Row],[Experience]]&gt;1</f>
        <v>1</v>
      </c>
      <c r="N1017" s="1" t="str">
        <f>IF(Employee__2[[#This Row],[City]]="Pune","Yes","No")</f>
        <v>No</v>
      </c>
      <c r="O1017" s="1" t="str">
        <f>IF(AND(Employee__2[[#This Row],[Education]]="Bachelors",Employee__2[[#This Row],[City]]="Pune"),"Yes","No")</f>
        <v>No</v>
      </c>
      <c r="P1017" s="1" t="str">
        <f>IF(OR(Employee__2[[#This Row],[Age]]&gt;=30,Employee__2[[#This Row],[Gender]]="Male"),"Mached","Not mached")</f>
        <v>Mached</v>
      </c>
    </row>
    <row r="1018" spans="4:16" x14ac:dyDescent="0.25">
      <c r="D1018" s="6" t="s">
        <v>34</v>
      </c>
      <c r="E1018">
        <v>2014</v>
      </c>
      <c r="F1018" s="6" t="s">
        <v>35</v>
      </c>
      <c r="G1018">
        <v>3</v>
      </c>
      <c r="H1018">
        <v>25</v>
      </c>
      <c r="I1018" s="6" t="s">
        <v>36</v>
      </c>
      <c r="J1018" s="6" t="s">
        <v>37</v>
      </c>
      <c r="K1018">
        <v>3</v>
      </c>
      <c r="M1018" s="1" t="b">
        <f>Employee__2[[#This Row],[Experience]]&gt;1</f>
        <v>1</v>
      </c>
      <c r="N1018" s="1" t="str">
        <f>IF(Employee__2[[#This Row],[City]]="Pune","Yes","No")</f>
        <v>No</v>
      </c>
      <c r="O1018" s="1" t="str">
        <f>IF(AND(Employee__2[[#This Row],[Education]]="Bachelors",Employee__2[[#This Row],[City]]="Pune"),"Yes","No")</f>
        <v>No</v>
      </c>
      <c r="P1018" s="1" t="str">
        <f>IF(OR(Employee__2[[#This Row],[Age]]&gt;=30,Employee__2[[#This Row],[Gender]]="Male"),"Mached","Not mached")</f>
        <v>Mached</v>
      </c>
    </row>
    <row r="1019" spans="4:16" x14ac:dyDescent="0.25">
      <c r="D1019" s="6" t="s">
        <v>34</v>
      </c>
      <c r="E1019">
        <v>2014</v>
      </c>
      <c r="F1019" s="6" t="s">
        <v>35</v>
      </c>
      <c r="G1019">
        <v>3</v>
      </c>
      <c r="H1019">
        <v>25</v>
      </c>
      <c r="I1019" s="6" t="s">
        <v>39</v>
      </c>
      <c r="J1019" s="6" t="s">
        <v>37</v>
      </c>
      <c r="K1019">
        <v>3</v>
      </c>
      <c r="M1019" s="1" t="b">
        <f>Employee__2[[#This Row],[Experience]]&gt;1</f>
        <v>1</v>
      </c>
      <c r="N1019" s="1" t="str">
        <f>IF(Employee__2[[#This Row],[City]]="Pune","Yes","No")</f>
        <v>No</v>
      </c>
      <c r="O1019" s="1" t="str">
        <f>IF(AND(Employee__2[[#This Row],[Education]]="Bachelors",Employee__2[[#This Row],[City]]="Pune"),"Yes","No")</f>
        <v>No</v>
      </c>
      <c r="P1019" s="1" t="str">
        <f>IF(OR(Employee__2[[#This Row],[Age]]&gt;=30,Employee__2[[#This Row],[Gender]]="Male"),"Mached","Not mached")</f>
        <v>Not mached</v>
      </c>
    </row>
    <row r="1020" spans="4:16" x14ac:dyDescent="0.25">
      <c r="D1020" s="6" t="s">
        <v>34</v>
      </c>
      <c r="E1020">
        <v>2017</v>
      </c>
      <c r="F1020" s="6" t="s">
        <v>35</v>
      </c>
      <c r="G1020">
        <v>1</v>
      </c>
      <c r="H1020">
        <v>24</v>
      </c>
      <c r="I1020" s="6" t="s">
        <v>36</v>
      </c>
      <c r="J1020" s="6" t="s">
        <v>37</v>
      </c>
      <c r="K1020">
        <v>2</v>
      </c>
      <c r="M1020" s="1" t="b">
        <f>Employee__2[[#This Row],[Experience]]&gt;1</f>
        <v>1</v>
      </c>
      <c r="N1020" s="1" t="str">
        <f>IF(Employee__2[[#This Row],[City]]="Pune","Yes","No")</f>
        <v>No</v>
      </c>
      <c r="O1020" s="1" t="str">
        <f>IF(AND(Employee__2[[#This Row],[Education]]="Bachelors",Employee__2[[#This Row],[City]]="Pune"),"Yes","No")</f>
        <v>No</v>
      </c>
      <c r="P1020" s="1" t="str">
        <f>IF(OR(Employee__2[[#This Row],[Age]]&gt;=30,Employee__2[[#This Row],[Gender]]="Male"),"Mached","Not mached")</f>
        <v>Mached</v>
      </c>
    </row>
    <row r="1021" spans="4:16" x14ac:dyDescent="0.25">
      <c r="D1021" s="6" t="s">
        <v>34</v>
      </c>
      <c r="E1021">
        <v>2014</v>
      </c>
      <c r="F1021" s="6" t="s">
        <v>40</v>
      </c>
      <c r="G1021">
        <v>3</v>
      </c>
      <c r="H1021">
        <v>27</v>
      </c>
      <c r="I1021" s="6" t="s">
        <v>39</v>
      </c>
      <c r="J1021" s="6" t="s">
        <v>37</v>
      </c>
      <c r="K1021">
        <v>5</v>
      </c>
      <c r="M1021" s="1" t="b">
        <f>Employee__2[[#This Row],[Experience]]&gt;1</f>
        <v>1</v>
      </c>
      <c r="N1021" s="1" t="str">
        <f>IF(Employee__2[[#This Row],[City]]="Pune","Yes","No")</f>
        <v>No</v>
      </c>
      <c r="O1021" s="1" t="str">
        <f>IF(AND(Employee__2[[#This Row],[Education]]="Bachelors",Employee__2[[#This Row],[City]]="Pune"),"Yes","No")</f>
        <v>No</v>
      </c>
      <c r="P1021" s="1" t="str">
        <f>IF(OR(Employee__2[[#This Row],[Age]]&gt;=30,Employee__2[[#This Row],[Gender]]="Male"),"Mached","Not mached")</f>
        <v>Not mached</v>
      </c>
    </row>
    <row r="1022" spans="4:16" x14ac:dyDescent="0.25">
      <c r="D1022" s="6" t="s">
        <v>34</v>
      </c>
      <c r="E1022">
        <v>2013</v>
      </c>
      <c r="F1022" s="6" t="s">
        <v>35</v>
      </c>
      <c r="G1022">
        <v>3</v>
      </c>
      <c r="H1022">
        <v>27</v>
      </c>
      <c r="I1022" s="6" t="s">
        <v>39</v>
      </c>
      <c r="J1022" s="6" t="s">
        <v>37</v>
      </c>
      <c r="K1022">
        <v>5</v>
      </c>
      <c r="M1022" s="1" t="b">
        <f>Employee__2[[#This Row],[Experience]]&gt;1</f>
        <v>1</v>
      </c>
      <c r="N1022" s="1" t="str">
        <f>IF(Employee__2[[#This Row],[City]]="Pune","Yes","No")</f>
        <v>No</v>
      </c>
      <c r="O1022" s="1" t="str">
        <f>IF(AND(Employee__2[[#This Row],[Education]]="Bachelors",Employee__2[[#This Row],[City]]="Pune"),"Yes","No")</f>
        <v>No</v>
      </c>
      <c r="P1022" s="1" t="str">
        <f>IF(OR(Employee__2[[#This Row],[Age]]&gt;=30,Employee__2[[#This Row],[Gender]]="Male"),"Mached","Not mached")</f>
        <v>Not mached</v>
      </c>
    </row>
    <row r="1023" spans="4:16" x14ac:dyDescent="0.25">
      <c r="D1023" s="6" t="s">
        <v>34</v>
      </c>
      <c r="E1023">
        <v>2012</v>
      </c>
      <c r="F1023" s="6" t="s">
        <v>35</v>
      </c>
      <c r="G1023">
        <v>3</v>
      </c>
      <c r="H1023">
        <v>28</v>
      </c>
      <c r="I1023" s="6" t="s">
        <v>39</v>
      </c>
      <c r="J1023" s="6" t="s">
        <v>37</v>
      </c>
      <c r="K1023">
        <v>2</v>
      </c>
      <c r="M1023" s="1" t="b">
        <f>Employee__2[[#This Row],[Experience]]&gt;1</f>
        <v>1</v>
      </c>
      <c r="N1023" s="1" t="str">
        <f>IF(Employee__2[[#This Row],[City]]="Pune","Yes","No")</f>
        <v>No</v>
      </c>
      <c r="O1023" s="1" t="str">
        <f>IF(AND(Employee__2[[#This Row],[Education]]="Bachelors",Employee__2[[#This Row],[City]]="Pune"),"Yes","No")</f>
        <v>No</v>
      </c>
      <c r="P1023" s="1" t="str">
        <f>IF(OR(Employee__2[[#This Row],[Age]]&gt;=30,Employee__2[[#This Row],[Gender]]="Male"),"Mached","Not mached")</f>
        <v>Not mached</v>
      </c>
    </row>
    <row r="1024" spans="4:16" x14ac:dyDescent="0.25">
      <c r="D1024" s="6" t="s">
        <v>34</v>
      </c>
      <c r="E1024">
        <v>2015</v>
      </c>
      <c r="F1024" s="6" t="s">
        <v>35</v>
      </c>
      <c r="G1024">
        <v>3</v>
      </c>
      <c r="H1024">
        <v>27</v>
      </c>
      <c r="I1024" s="6" t="s">
        <v>36</v>
      </c>
      <c r="J1024" s="6" t="s">
        <v>37</v>
      </c>
      <c r="K1024">
        <v>5</v>
      </c>
      <c r="M1024" s="1" t="b">
        <f>Employee__2[[#This Row],[Experience]]&gt;1</f>
        <v>1</v>
      </c>
      <c r="N1024" s="1" t="str">
        <f>IF(Employee__2[[#This Row],[City]]="Pune","Yes","No")</f>
        <v>No</v>
      </c>
      <c r="O1024" s="1" t="str">
        <f>IF(AND(Employee__2[[#This Row],[Education]]="Bachelors",Employee__2[[#This Row],[City]]="Pune"),"Yes","No")</f>
        <v>No</v>
      </c>
      <c r="P1024" s="1" t="str">
        <f>IF(OR(Employee__2[[#This Row],[Age]]&gt;=30,Employee__2[[#This Row],[Gender]]="Male"),"Mached","Not mached")</f>
        <v>Mached</v>
      </c>
    </row>
    <row r="1025" spans="4:16" x14ac:dyDescent="0.25">
      <c r="D1025" s="6" t="s">
        <v>34</v>
      </c>
      <c r="E1025">
        <v>2012</v>
      </c>
      <c r="F1025" s="6" t="s">
        <v>35</v>
      </c>
      <c r="G1025">
        <v>3</v>
      </c>
      <c r="H1025">
        <v>26</v>
      </c>
      <c r="I1025" s="6" t="s">
        <v>36</v>
      </c>
      <c r="J1025" s="6" t="s">
        <v>37</v>
      </c>
      <c r="K1025">
        <v>4</v>
      </c>
      <c r="M1025" s="1" t="b">
        <f>Employee__2[[#This Row],[Experience]]&gt;1</f>
        <v>1</v>
      </c>
      <c r="N1025" s="1" t="str">
        <f>IF(Employee__2[[#This Row],[City]]="Pune","Yes","No")</f>
        <v>No</v>
      </c>
      <c r="O1025" s="1" t="str">
        <f>IF(AND(Employee__2[[#This Row],[Education]]="Bachelors",Employee__2[[#This Row],[City]]="Pune"),"Yes","No")</f>
        <v>No</v>
      </c>
      <c r="P1025" s="1" t="str">
        <f>IF(OR(Employee__2[[#This Row],[Age]]&gt;=30,Employee__2[[#This Row],[Gender]]="Male"),"Mached","Not mached")</f>
        <v>Mached</v>
      </c>
    </row>
    <row r="1026" spans="4:16" x14ac:dyDescent="0.25">
      <c r="D1026" s="6" t="s">
        <v>34</v>
      </c>
      <c r="E1026">
        <v>2013</v>
      </c>
      <c r="F1026" s="6" t="s">
        <v>38</v>
      </c>
      <c r="G1026">
        <v>1</v>
      </c>
      <c r="H1026">
        <v>27</v>
      </c>
      <c r="I1026" s="6" t="s">
        <v>39</v>
      </c>
      <c r="J1026" s="6" t="s">
        <v>37</v>
      </c>
      <c r="K1026">
        <v>5</v>
      </c>
      <c r="M1026" s="1" t="b">
        <f>Employee__2[[#This Row],[Experience]]&gt;1</f>
        <v>1</v>
      </c>
      <c r="N1026" s="1" t="str">
        <f>IF(Employee__2[[#This Row],[City]]="Pune","Yes","No")</f>
        <v>Yes</v>
      </c>
      <c r="O1026" s="1" t="str">
        <f>IF(AND(Employee__2[[#This Row],[Education]]="Bachelors",Employee__2[[#This Row],[City]]="Pune"),"Yes","No")</f>
        <v>Yes</v>
      </c>
      <c r="P1026" s="1" t="str">
        <f>IF(OR(Employee__2[[#This Row],[Age]]&gt;=30,Employee__2[[#This Row],[Gender]]="Male"),"Mached","Not mached")</f>
        <v>Not mached</v>
      </c>
    </row>
    <row r="1027" spans="4:16" x14ac:dyDescent="0.25">
      <c r="D1027" s="6" t="s">
        <v>34</v>
      </c>
      <c r="E1027">
        <v>2014</v>
      </c>
      <c r="F1027" s="6" t="s">
        <v>40</v>
      </c>
      <c r="G1027">
        <v>3</v>
      </c>
      <c r="H1027">
        <v>27</v>
      </c>
      <c r="I1027" s="6" t="s">
        <v>39</v>
      </c>
      <c r="J1027" s="6" t="s">
        <v>42</v>
      </c>
      <c r="K1027">
        <v>5</v>
      </c>
      <c r="M1027" s="1" t="b">
        <f>Employee__2[[#This Row],[Experience]]&gt;1</f>
        <v>1</v>
      </c>
      <c r="N1027" s="1" t="str">
        <f>IF(Employee__2[[#This Row],[City]]="Pune","Yes","No")</f>
        <v>No</v>
      </c>
      <c r="O1027" s="1" t="str">
        <f>IF(AND(Employee__2[[#This Row],[Education]]="Bachelors",Employee__2[[#This Row],[City]]="Pune"),"Yes","No")</f>
        <v>No</v>
      </c>
      <c r="P1027" s="1" t="str">
        <f>IF(OR(Employee__2[[#This Row],[Age]]&gt;=30,Employee__2[[#This Row],[Gender]]="Male"),"Mached","Not mached")</f>
        <v>Not mached</v>
      </c>
    </row>
    <row r="1028" spans="4:16" x14ac:dyDescent="0.25">
      <c r="D1028" s="6" t="s">
        <v>34</v>
      </c>
      <c r="E1028">
        <v>2014</v>
      </c>
      <c r="F1028" s="6" t="s">
        <v>35</v>
      </c>
      <c r="G1028">
        <v>3</v>
      </c>
      <c r="H1028">
        <v>28</v>
      </c>
      <c r="I1028" s="6" t="s">
        <v>36</v>
      </c>
      <c r="J1028" s="6" t="s">
        <v>37</v>
      </c>
      <c r="K1028">
        <v>4</v>
      </c>
      <c r="M1028" s="1" t="b">
        <f>Employee__2[[#This Row],[Experience]]&gt;1</f>
        <v>1</v>
      </c>
      <c r="N1028" s="1" t="str">
        <f>IF(Employee__2[[#This Row],[City]]="Pune","Yes","No")</f>
        <v>No</v>
      </c>
      <c r="O1028" s="1" t="str">
        <f>IF(AND(Employee__2[[#This Row],[Education]]="Bachelors",Employee__2[[#This Row],[City]]="Pune"),"Yes","No")</f>
        <v>No</v>
      </c>
      <c r="P1028" s="1" t="str">
        <f>IF(OR(Employee__2[[#This Row],[Age]]&gt;=30,Employee__2[[#This Row],[Gender]]="Male"),"Mached","Not mached")</f>
        <v>Mached</v>
      </c>
    </row>
    <row r="1029" spans="4:16" x14ac:dyDescent="0.25">
      <c r="D1029" s="6" t="s">
        <v>34</v>
      </c>
      <c r="E1029">
        <v>2014</v>
      </c>
      <c r="F1029" s="6" t="s">
        <v>35</v>
      </c>
      <c r="G1029">
        <v>3</v>
      </c>
      <c r="H1029">
        <v>27</v>
      </c>
      <c r="I1029" s="6" t="s">
        <v>36</v>
      </c>
      <c r="J1029" s="6" t="s">
        <v>37</v>
      </c>
      <c r="K1029">
        <v>5</v>
      </c>
      <c r="M1029" s="1" t="b">
        <f>Employee__2[[#This Row],[Experience]]&gt;1</f>
        <v>1</v>
      </c>
      <c r="N1029" s="1" t="str">
        <f>IF(Employee__2[[#This Row],[City]]="Pune","Yes","No")</f>
        <v>No</v>
      </c>
      <c r="O1029" s="1" t="str">
        <f>IF(AND(Employee__2[[#This Row],[Education]]="Bachelors",Employee__2[[#This Row],[City]]="Pune"),"Yes","No")</f>
        <v>No</v>
      </c>
      <c r="P1029" s="1" t="str">
        <f>IF(OR(Employee__2[[#This Row],[Age]]&gt;=30,Employee__2[[#This Row],[Gender]]="Male"),"Mached","Not mached")</f>
        <v>Mached</v>
      </c>
    </row>
    <row r="1030" spans="4:16" x14ac:dyDescent="0.25">
      <c r="D1030" s="6" t="s">
        <v>34</v>
      </c>
      <c r="E1030">
        <v>2014</v>
      </c>
      <c r="F1030" s="6" t="s">
        <v>35</v>
      </c>
      <c r="G1030">
        <v>3</v>
      </c>
      <c r="H1030">
        <v>28</v>
      </c>
      <c r="I1030" s="6" t="s">
        <v>39</v>
      </c>
      <c r="J1030" s="6" t="s">
        <v>37</v>
      </c>
      <c r="K1030">
        <v>1</v>
      </c>
      <c r="M1030" s="1" t="b">
        <f>Employee__2[[#This Row],[Experience]]&gt;1</f>
        <v>0</v>
      </c>
      <c r="N1030" s="1" t="str">
        <f>IF(Employee__2[[#This Row],[City]]="Pune","Yes","No")</f>
        <v>No</v>
      </c>
      <c r="O1030" s="1" t="str">
        <f>IF(AND(Employee__2[[#This Row],[Education]]="Bachelors",Employee__2[[#This Row],[City]]="Pune"),"Yes","No")</f>
        <v>No</v>
      </c>
      <c r="P1030" s="1" t="str">
        <f>IF(OR(Employee__2[[#This Row],[Age]]&gt;=30,Employee__2[[#This Row],[Gender]]="Male"),"Mached","Not mached")</f>
        <v>Not mached</v>
      </c>
    </row>
    <row r="1031" spans="4:16" x14ac:dyDescent="0.25">
      <c r="D1031" s="6" t="s">
        <v>41</v>
      </c>
      <c r="E1031">
        <v>2018</v>
      </c>
      <c r="F1031" s="6" t="s">
        <v>40</v>
      </c>
      <c r="G1031">
        <v>3</v>
      </c>
      <c r="H1031">
        <v>25</v>
      </c>
      <c r="I1031" s="6" t="s">
        <v>39</v>
      </c>
      <c r="J1031" s="6" t="s">
        <v>37</v>
      </c>
      <c r="K1031">
        <v>3</v>
      </c>
      <c r="M1031" s="1" t="b">
        <f>Employee__2[[#This Row],[Experience]]&gt;1</f>
        <v>1</v>
      </c>
      <c r="N1031" s="1" t="str">
        <f>IF(Employee__2[[#This Row],[City]]="Pune","Yes","No")</f>
        <v>No</v>
      </c>
      <c r="O1031" s="1" t="str">
        <f>IF(AND(Employee__2[[#This Row],[Education]]="Bachelors",Employee__2[[#This Row],[City]]="Pune"),"Yes","No")</f>
        <v>No</v>
      </c>
      <c r="P1031" s="1" t="str">
        <f>IF(OR(Employee__2[[#This Row],[Age]]&gt;=30,Employee__2[[#This Row],[Gender]]="Male"),"Mached","Not mached")</f>
        <v>Not mached</v>
      </c>
    </row>
    <row r="1032" spans="4:16" x14ac:dyDescent="0.25">
      <c r="D1032" s="6" t="s">
        <v>34</v>
      </c>
      <c r="E1032">
        <v>2017</v>
      </c>
      <c r="F1032" s="6" t="s">
        <v>35</v>
      </c>
      <c r="G1032">
        <v>3</v>
      </c>
      <c r="H1032">
        <v>27</v>
      </c>
      <c r="I1032" s="6" t="s">
        <v>36</v>
      </c>
      <c r="J1032" s="6" t="s">
        <v>37</v>
      </c>
      <c r="K1032">
        <v>5</v>
      </c>
      <c r="M1032" s="1" t="b">
        <f>Employee__2[[#This Row],[Experience]]&gt;1</f>
        <v>1</v>
      </c>
      <c r="N1032" s="1" t="str">
        <f>IF(Employee__2[[#This Row],[City]]="Pune","Yes","No")</f>
        <v>No</v>
      </c>
      <c r="O1032" s="1" t="str">
        <f>IF(AND(Employee__2[[#This Row],[Education]]="Bachelors",Employee__2[[#This Row],[City]]="Pune"),"Yes","No")</f>
        <v>No</v>
      </c>
      <c r="P1032" s="1" t="str">
        <f>IF(OR(Employee__2[[#This Row],[Age]]&gt;=30,Employee__2[[#This Row],[Gender]]="Male"),"Mached","Not mached")</f>
        <v>Mached</v>
      </c>
    </row>
    <row r="1033" spans="4:16" x14ac:dyDescent="0.25">
      <c r="D1033" s="6" t="s">
        <v>34</v>
      </c>
      <c r="E1033">
        <v>2015</v>
      </c>
      <c r="F1033" s="6" t="s">
        <v>35</v>
      </c>
      <c r="G1033">
        <v>3</v>
      </c>
      <c r="H1033">
        <v>24</v>
      </c>
      <c r="I1033" s="6" t="s">
        <v>36</v>
      </c>
      <c r="J1033" s="6" t="s">
        <v>42</v>
      </c>
      <c r="K1033">
        <v>2</v>
      </c>
      <c r="M1033" s="1" t="b">
        <f>Employee__2[[#This Row],[Experience]]&gt;1</f>
        <v>1</v>
      </c>
      <c r="N1033" s="1" t="str">
        <f>IF(Employee__2[[#This Row],[City]]="Pune","Yes","No")</f>
        <v>No</v>
      </c>
      <c r="O1033" s="1" t="str">
        <f>IF(AND(Employee__2[[#This Row],[Education]]="Bachelors",Employee__2[[#This Row],[City]]="Pune"),"Yes","No")</f>
        <v>No</v>
      </c>
      <c r="P1033" s="1" t="str">
        <f>IF(OR(Employee__2[[#This Row],[Age]]&gt;=30,Employee__2[[#This Row],[Gender]]="Male"),"Mached","Not mached")</f>
        <v>Mached</v>
      </c>
    </row>
    <row r="1034" spans="4:16" x14ac:dyDescent="0.25">
      <c r="D1034" s="6" t="s">
        <v>41</v>
      </c>
      <c r="E1034">
        <v>2017</v>
      </c>
      <c r="F1034" s="6" t="s">
        <v>38</v>
      </c>
      <c r="G1034">
        <v>2</v>
      </c>
      <c r="H1034">
        <v>25</v>
      </c>
      <c r="I1034" s="6" t="s">
        <v>39</v>
      </c>
      <c r="J1034" s="6" t="s">
        <v>37</v>
      </c>
      <c r="K1034">
        <v>3</v>
      </c>
      <c r="M1034" s="1" t="b">
        <f>Employee__2[[#This Row],[Experience]]&gt;1</f>
        <v>1</v>
      </c>
      <c r="N1034" s="1" t="str">
        <f>IF(Employee__2[[#This Row],[City]]="Pune","Yes","No")</f>
        <v>Yes</v>
      </c>
      <c r="O1034" s="1" t="str">
        <f>IF(AND(Employee__2[[#This Row],[Education]]="Bachelors",Employee__2[[#This Row],[City]]="Pune"),"Yes","No")</f>
        <v>No</v>
      </c>
      <c r="P1034" s="1" t="str">
        <f>IF(OR(Employee__2[[#This Row],[Age]]&gt;=30,Employee__2[[#This Row],[Gender]]="Male"),"Mached","Not mached")</f>
        <v>Not mached</v>
      </c>
    </row>
    <row r="1035" spans="4:16" x14ac:dyDescent="0.25">
      <c r="D1035" s="6" t="s">
        <v>34</v>
      </c>
      <c r="E1035">
        <v>2017</v>
      </c>
      <c r="F1035" s="6" t="s">
        <v>40</v>
      </c>
      <c r="G1035">
        <v>2</v>
      </c>
      <c r="H1035">
        <v>27</v>
      </c>
      <c r="I1035" s="6" t="s">
        <v>39</v>
      </c>
      <c r="J1035" s="6" t="s">
        <v>37</v>
      </c>
      <c r="K1035">
        <v>5</v>
      </c>
      <c r="M1035" s="1" t="b">
        <f>Employee__2[[#This Row],[Experience]]&gt;1</f>
        <v>1</v>
      </c>
      <c r="N1035" s="1" t="str">
        <f>IF(Employee__2[[#This Row],[City]]="Pune","Yes","No")</f>
        <v>No</v>
      </c>
      <c r="O1035" s="1" t="str">
        <f>IF(AND(Employee__2[[#This Row],[Education]]="Bachelors",Employee__2[[#This Row],[City]]="Pune"),"Yes","No")</f>
        <v>No</v>
      </c>
      <c r="P1035" s="1" t="str">
        <f>IF(OR(Employee__2[[#This Row],[Age]]&gt;=30,Employee__2[[#This Row],[Gender]]="Male"),"Mached","Not mached")</f>
        <v>Not mached</v>
      </c>
    </row>
    <row r="1036" spans="4:16" x14ac:dyDescent="0.25">
      <c r="D1036" s="6" t="s">
        <v>34</v>
      </c>
      <c r="E1036">
        <v>2016</v>
      </c>
      <c r="F1036" s="6" t="s">
        <v>35</v>
      </c>
      <c r="G1036">
        <v>3</v>
      </c>
      <c r="H1036">
        <v>28</v>
      </c>
      <c r="I1036" s="6" t="s">
        <v>36</v>
      </c>
      <c r="J1036" s="6" t="s">
        <v>37</v>
      </c>
      <c r="K1036">
        <v>3</v>
      </c>
      <c r="M1036" s="1" t="b">
        <f>Employee__2[[#This Row],[Experience]]&gt;1</f>
        <v>1</v>
      </c>
      <c r="N1036" s="1" t="str">
        <f>IF(Employee__2[[#This Row],[City]]="Pune","Yes","No")</f>
        <v>No</v>
      </c>
      <c r="O1036" s="1" t="str">
        <f>IF(AND(Employee__2[[#This Row],[Education]]="Bachelors",Employee__2[[#This Row],[City]]="Pune"),"Yes","No")</f>
        <v>No</v>
      </c>
      <c r="P1036" s="1" t="str">
        <f>IF(OR(Employee__2[[#This Row],[Age]]&gt;=30,Employee__2[[#This Row],[Gender]]="Male"),"Mached","Not mached")</f>
        <v>Mached</v>
      </c>
    </row>
    <row r="1037" spans="4:16" x14ac:dyDescent="0.25">
      <c r="D1037" s="6" t="s">
        <v>34</v>
      </c>
      <c r="E1037">
        <v>2015</v>
      </c>
      <c r="F1037" s="6" t="s">
        <v>38</v>
      </c>
      <c r="G1037">
        <v>2</v>
      </c>
      <c r="H1037">
        <v>25</v>
      </c>
      <c r="I1037" s="6" t="s">
        <v>39</v>
      </c>
      <c r="J1037" s="6" t="s">
        <v>42</v>
      </c>
      <c r="K1037">
        <v>3</v>
      </c>
      <c r="M1037" s="1" t="b">
        <f>Employee__2[[#This Row],[Experience]]&gt;1</f>
        <v>1</v>
      </c>
      <c r="N1037" s="1" t="str">
        <f>IF(Employee__2[[#This Row],[City]]="Pune","Yes","No")</f>
        <v>Yes</v>
      </c>
      <c r="O1037" s="1" t="str">
        <f>IF(AND(Employee__2[[#This Row],[Education]]="Bachelors",Employee__2[[#This Row],[City]]="Pune"),"Yes","No")</f>
        <v>Yes</v>
      </c>
      <c r="P1037" s="1" t="str">
        <f>IF(OR(Employee__2[[#This Row],[Age]]&gt;=30,Employee__2[[#This Row],[Gender]]="Male"),"Mached","Not mached")</f>
        <v>Not mached</v>
      </c>
    </row>
    <row r="1038" spans="4:16" x14ac:dyDescent="0.25">
      <c r="D1038" s="6" t="s">
        <v>41</v>
      </c>
      <c r="E1038">
        <v>2017</v>
      </c>
      <c r="F1038" s="6" t="s">
        <v>40</v>
      </c>
      <c r="G1038">
        <v>3</v>
      </c>
      <c r="H1038">
        <v>24</v>
      </c>
      <c r="I1038" s="6" t="s">
        <v>36</v>
      </c>
      <c r="J1038" s="6" t="s">
        <v>37</v>
      </c>
      <c r="K1038">
        <v>2</v>
      </c>
      <c r="M1038" s="1" t="b">
        <f>Employee__2[[#This Row],[Experience]]&gt;1</f>
        <v>1</v>
      </c>
      <c r="N1038" s="1" t="str">
        <f>IF(Employee__2[[#This Row],[City]]="Pune","Yes","No")</f>
        <v>No</v>
      </c>
      <c r="O1038" s="1" t="str">
        <f>IF(AND(Employee__2[[#This Row],[Education]]="Bachelors",Employee__2[[#This Row],[City]]="Pune"),"Yes","No")</f>
        <v>No</v>
      </c>
      <c r="P1038" s="1" t="str">
        <f>IF(OR(Employee__2[[#This Row],[Age]]&gt;=30,Employee__2[[#This Row],[Gender]]="Male"),"Mached","Not mached")</f>
        <v>Mached</v>
      </c>
    </row>
    <row r="1039" spans="4:16" x14ac:dyDescent="0.25">
      <c r="D1039" s="6" t="s">
        <v>34</v>
      </c>
      <c r="E1039">
        <v>2015</v>
      </c>
      <c r="F1039" s="6" t="s">
        <v>35</v>
      </c>
      <c r="G1039">
        <v>3</v>
      </c>
      <c r="H1039">
        <v>28</v>
      </c>
      <c r="I1039" s="6" t="s">
        <v>36</v>
      </c>
      <c r="J1039" s="6" t="s">
        <v>37</v>
      </c>
      <c r="K1039">
        <v>4</v>
      </c>
      <c r="M1039" s="1" t="b">
        <f>Employee__2[[#This Row],[Experience]]&gt;1</f>
        <v>1</v>
      </c>
      <c r="N1039" s="1" t="str">
        <f>IF(Employee__2[[#This Row],[City]]="Pune","Yes","No")</f>
        <v>No</v>
      </c>
      <c r="O1039" s="1" t="str">
        <f>IF(AND(Employee__2[[#This Row],[Education]]="Bachelors",Employee__2[[#This Row],[City]]="Pune"),"Yes","No")</f>
        <v>No</v>
      </c>
      <c r="P1039" s="1" t="str">
        <f>IF(OR(Employee__2[[#This Row],[Age]]&gt;=30,Employee__2[[#This Row],[Gender]]="Male"),"Mached","Not mached")</f>
        <v>Mached</v>
      </c>
    </row>
    <row r="1040" spans="4:16" x14ac:dyDescent="0.25">
      <c r="D1040" s="6" t="s">
        <v>41</v>
      </c>
      <c r="E1040">
        <v>2014</v>
      </c>
      <c r="F1040" s="6" t="s">
        <v>38</v>
      </c>
      <c r="G1040">
        <v>3</v>
      </c>
      <c r="H1040">
        <v>26</v>
      </c>
      <c r="I1040" s="6" t="s">
        <v>36</v>
      </c>
      <c r="J1040" s="6" t="s">
        <v>37</v>
      </c>
      <c r="K1040">
        <v>4</v>
      </c>
      <c r="M1040" s="1" t="b">
        <f>Employee__2[[#This Row],[Experience]]&gt;1</f>
        <v>1</v>
      </c>
      <c r="N1040" s="1" t="str">
        <f>IF(Employee__2[[#This Row],[City]]="Pune","Yes","No")</f>
        <v>Yes</v>
      </c>
      <c r="O1040" s="1" t="str">
        <f>IF(AND(Employee__2[[#This Row],[Education]]="Bachelors",Employee__2[[#This Row],[City]]="Pune"),"Yes","No")</f>
        <v>No</v>
      </c>
      <c r="P1040" s="1" t="str">
        <f>IF(OR(Employee__2[[#This Row],[Age]]&gt;=30,Employee__2[[#This Row],[Gender]]="Male"),"Mached","Not mached")</f>
        <v>Mached</v>
      </c>
    </row>
    <row r="1041" spans="4:16" x14ac:dyDescent="0.25">
      <c r="D1041" s="6" t="s">
        <v>34</v>
      </c>
      <c r="E1041">
        <v>2013</v>
      </c>
      <c r="F1041" s="6" t="s">
        <v>38</v>
      </c>
      <c r="G1041">
        <v>3</v>
      </c>
      <c r="H1041">
        <v>26</v>
      </c>
      <c r="I1041" s="6" t="s">
        <v>36</v>
      </c>
      <c r="J1041" s="6" t="s">
        <v>37</v>
      </c>
      <c r="K1041">
        <v>4</v>
      </c>
      <c r="M1041" s="1" t="b">
        <f>Employee__2[[#This Row],[Experience]]&gt;1</f>
        <v>1</v>
      </c>
      <c r="N1041" s="1" t="str">
        <f>IF(Employee__2[[#This Row],[City]]="Pune","Yes","No")</f>
        <v>Yes</v>
      </c>
      <c r="O1041" s="1" t="str">
        <f>IF(AND(Employee__2[[#This Row],[Education]]="Bachelors",Employee__2[[#This Row],[City]]="Pune"),"Yes","No")</f>
        <v>Yes</v>
      </c>
      <c r="P1041" s="1" t="str">
        <f>IF(OR(Employee__2[[#This Row],[Age]]&gt;=30,Employee__2[[#This Row],[Gender]]="Male"),"Mached","Not mached")</f>
        <v>Mached</v>
      </c>
    </row>
    <row r="1042" spans="4:16" x14ac:dyDescent="0.25">
      <c r="D1042" s="6" t="s">
        <v>34</v>
      </c>
      <c r="E1042">
        <v>2016</v>
      </c>
      <c r="F1042" s="6" t="s">
        <v>35</v>
      </c>
      <c r="G1042">
        <v>3</v>
      </c>
      <c r="H1042">
        <v>26</v>
      </c>
      <c r="I1042" s="6" t="s">
        <v>36</v>
      </c>
      <c r="J1042" s="6" t="s">
        <v>37</v>
      </c>
      <c r="K1042">
        <v>4</v>
      </c>
      <c r="M1042" s="1" t="b">
        <f>Employee__2[[#This Row],[Experience]]&gt;1</f>
        <v>1</v>
      </c>
      <c r="N1042" s="1" t="str">
        <f>IF(Employee__2[[#This Row],[City]]="Pune","Yes","No")</f>
        <v>No</v>
      </c>
      <c r="O1042" s="1" t="str">
        <f>IF(AND(Employee__2[[#This Row],[Education]]="Bachelors",Employee__2[[#This Row],[City]]="Pune"),"Yes","No")</f>
        <v>No</v>
      </c>
      <c r="P1042" s="1" t="str">
        <f>IF(OR(Employee__2[[#This Row],[Age]]&gt;=30,Employee__2[[#This Row],[Gender]]="Male"),"Mached","Not mached")</f>
        <v>Mached</v>
      </c>
    </row>
    <row r="1043" spans="4:16" x14ac:dyDescent="0.25">
      <c r="D1043" s="6" t="s">
        <v>34</v>
      </c>
      <c r="E1043">
        <v>2013</v>
      </c>
      <c r="F1043" s="6" t="s">
        <v>35</v>
      </c>
      <c r="G1043">
        <v>3</v>
      </c>
      <c r="H1043">
        <v>26</v>
      </c>
      <c r="I1043" s="6" t="s">
        <v>36</v>
      </c>
      <c r="J1043" s="6" t="s">
        <v>37</v>
      </c>
      <c r="K1043">
        <v>4</v>
      </c>
      <c r="M1043" s="1" t="b">
        <f>Employee__2[[#This Row],[Experience]]&gt;1</f>
        <v>1</v>
      </c>
      <c r="N1043" s="1" t="str">
        <f>IF(Employee__2[[#This Row],[City]]="Pune","Yes","No")</f>
        <v>No</v>
      </c>
      <c r="O1043" s="1" t="str">
        <f>IF(AND(Employee__2[[#This Row],[Education]]="Bachelors",Employee__2[[#This Row],[City]]="Pune"),"Yes","No")</f>
        <v>No</v>
      </c>
      <c r="P1043" s="1" t="str">
        <f>IF(OR(Employee__2[[#This Row],[Age]]&gt;=30,Employee__2[[#This Row],[Gender]]="Male"),"Mached","Not mached")</f>
        <v>Mached</v>
      </c>
    </row>
    <row r="1044" spans="4:16" x14ac:dyDescent="0.25">
      <c r="D1044" s="6" t="s">
        <v>41</v>
      </c>
      <c r="E1044">
        <v>2013</v>
      </c>
      <c r="F1044" s="6" t="s">
        <v>40</v>
      </c>
      <c r="G1044">
        <v>1</v>
      </c>
      <c r="H1044">
        <v>24</v>
      </c>
      <c r="I1044" s="6" t="s">
        <v>39</v>
      </c>
      <c r="J1044" s="6" t="s">
        <v>37</v>
      </c>
      <c r="K1044">
        <v>2</v>
      </c>
      <c r="M1044" s="1" t="b">
        <f>Employee__2[[#This Row],[Experience]]&gt;1</f>
        <v>1</v>
      </c>
      <c r="N1044" s="1" t="str">
        <f>IF(Employee__2[[#This Row],[City]]="Pune","Yes","No")</f>
        <v>No</v>
      </c>
      <c r="O1044" s="1" t="str">
        <f>IF(AND(Employee__2[[#This Row],[Education]]="Bachelors",Employee__2[[#This Row],[City]]="Pune"),"Yes","No")</f>
        <v>No</v>
      </c>
      <c r="P1044" s="1" t="str">
        <f>IF(OR(Employee__2[[#This Row],[Age]]&gt;=30,Employee__2[[#This Row],[Gender]]="Male"),"Mached","Not mached")</f>
        <v>Not mached</v>
      </c>
    </row>
    <row r="1045" spans="4:16" x14ac:dyDescent="0.25">
      <c r="D1045" s="6" t="s">
        <v>34</v>
      </c>
      <c r="E1045">
        <v>2014</v>
      </c>
      <c r="F1045" s="6" t="s">
        <v>35</v>
      </c>
      <c r="G1045">
        <v>3</v>
      </c>
      <c r="H1045">
        <v>25</v>
      </c>
      <c r="I1045" s="6" t="s">
        <v>36</v>
      </c>
      <c r="J1045" s="6" t="s">
        <v>37</v>
      </c>
      <c r="K1045">
        <v>3</v>
      </c>
      <c r="M1045" s="1" t="b">
        <f>Employee__2[[#This Row],[Experience]]&gt;1</f>
        <v>1</v>
      </c>
      <c r="N1045" s="1" t="str">
        <f>IF(Employee__2[[#This Row],[City]]="Pune","Yes","No")</f>
        <v>No</v>
      </c>
      <c r="O1045" s="1" t="str">
        <f>IF(AND(Employee__2[[#This Row],[Education]]="Bachelors",Employee__2[[#This Row],[City]]="Pune"),"Yes","No")</f>
        <v>No</v>
      </c>
      <c r="P1045" s="1" t="str">
        <f>IF(OR(Employee__2[[#This Row],[Age]]&gt;=30,Employee__2[[#This Row],[Gender]]="Male"),"Mached","Not mached")</f>
        <v>Mached</v>
      </c>
    </row>
    <row r="1046" spans="4:16" x14ac:dyDescent="0.25">
      <c r="D1046" s="6" t="s">
        <v>34</v>
      </c>
      <c r="E1046">
        <v>2018</v>
      </c>
      <c r="F1046" s="6" t="s">
        <v>35</v>
      </c>
      <c r="G1046">
        <v>3</v>
      </c>
      <c r="H1046">
        <v>27</v>
      </c>
      <c r="I1046" s="6" t="s">
        <v>36</v>
      </c>
      <c r="J1046" s="6" t="s">
        <v>37</v>
      </c>
      <c r="K1046">
        <v>5</v>
      </c>
      <c r="M1046" s="1" t="b">
        <f>Employee__2[[#This Row],[Experience]]&gt;1</f>
        <v>1</v>
      </c>
      <c r="N1046" s="1" t="str">
        <f>IF(Employee__2[[#This Row],[City]]="Pune","Yes","No")</f>
        <v>No</v>
      </c>
      <c r="O1046" s="1" t="str">
        <f>IF(AND(Employee__2[[#This Row],[Education]]="Bachelors",Employee__2[[#This Row],[City]]="Pune"),"Yes","No")</f>
        <v>No</v>
      </c>
      <c r="P1046" s="1" t="str">
        <f>IF(OR(Employee__2[[#This Row],[Age]]&gt;=30,Employee__2[[#This Row],[Gender]]="Male"),"Mached","Not mached")</f>
        <v>Mached</v>
      </c>
    </row>
    <row r="1047" spans="4:16" x14ac:dyDescent="0.25">
      <c r="D1047" s="6" t="s">
        <v>34</v>
      </c>
      <c r="E1047">
        <v>2013</v>
      </c>
      <c r="F1047" s="6" t="s">
        <v>35</v>
      </c>
      <c r="G1047">
        <v>3</v>
      </c>
      <c r="H1047">
        <v>28</v>
      </c>
      <c r="I1047" s="6" t="s">
        <v>36</v>
      </c>
      <c r="J1047" s="6" t="s">
        <v>37</v>
      </c>
      <c r="K1047">
        <v>1</v>
      </c>
      <c r="M1047" s="1" t="b">
        <f>Employee__2[[#This Row],[Experience]]&gt;1</f>
        <v>0</v>
      </c>
      <c r="N1047" s="1" t="str">
        <f>IF(Employee__2[[#This Row],[City]]="Pune","Yes","No")</f>
        <v>No</v>
      </c>
      <c r="O1047" s="1" t="str">
        <f>IF(AND(Employee__2[[#This Row],[Education]]="Bachelors",Employee__2[[#This Row],[City]]="Pune"),"Yes","No")</f>
        <v>No</v>
      </c>
      <c r="P1047" s="1" t="str">
        <f>IF(OR(Employee__2[[#This Row],[Age]]&gt;=30,Employee__2[[#This Row],[Gender]]="Male"),"Mached","Not mached")</f>
        <v>Mached</v>
      </c>
    </row>
    <row r="1048" spans="4:16" x14ac:dyDescent="0.25">
      <c r="D1048" s="6" t="s">
        <v>34</v>
      </c>
      <c r="E1048">
        <v>2016</v>
      </c>
      <c r="F1048" s="6" t="s">
        <v>38</v>
      </c>
      <c r="G1048">
        <v>2</v>
      </c>
      <c r="H1048">
        <v>28</v>
      </c>
      <c r="I1048" s="6" t="s">
        <v>39</v>
      </c>
      <c r="J1048" s="6" t="s">
        <v>37</v>
      </c>
      <c r="K1048">
        <v>4</v>
      </c>
      <c r="M1048" s="1" t="b">
        <f>Employee__2[[#This Row],[Experience]]&gt;1</f>
        <v>1</v>
      </c>
      <c r="N1048" s="1" t="str">
        <f>IF(Employee__2[[#This Row],[City]]="Pune","Yes","No")</f>
        <v>Yes</v>
      </c>
      <c r="O1048" s="1" t="str">
        <f>IF(AND(Employee__2[[#This Row],[Education]]="Bachelors",Employee__2[[#This Row],[City]]="Pune"),"Yes","No")</f>
        <v>Yes</v>
      </c>
      <c r="P1048" s="1" t="str">
        <f>IF(OR(Employee__2[[#This Row],[Age]]&gt;=30,Employee__2[[#This Row],[Gender]]="Male"),"Mached","Not mached")</f>
        <v>Not mached</v>
      </c>
    </row>
    <row r="1049" spans="4:16" x14ac:dyDescent="0.25">
      <c r="D1049" s="6" t="s">
        <v>34</v>
      </c>
      <c r="E1049">
        <v>2012</v>
      </c>
      <c r="F1049" s="6" t="s">
        <v>35</v>
      </c>
      <c r="G1049">
        <v>3</v>
      </c>
      <c r="H1049">
        <v>28</v>
      </c>
      <c r="I1049" s="6" t="s">
        <v>36</v>
      </c>
      <c r="J1049" s="6" t="s">
        <v>37</v>
      </c>
      <c r="K1049">
        <v>1</v>
      </c>
      <c r="M1049" s="1" t="b">
        <f>Employee__2[[#This Row],[Experience]]&gt;1</f>
        <v>0</v>
      </c>
      <c r="N1049" s="1" t="str">
        <f>IF(Employee__2[[#This Row],[City]]="Pune","Yes","No")</f>
        <v>No</v>
      </c>
      <c r="O1049" s="1" t="str">
        <f>IF(AND(Employee__2[[#This Row],[Education]]="Bachelors",Employee__2[[#This Row],[City]]="Pune"),"Yes","No")</f>
        <v>No</v>
      </c>
      <c r="P1049" s="1" t="str">
        <f>IF(OR(Employee__2[[#This Row],[Age]]&gt;=30,Employee__2[[#This Row],[Gender]]="Male"),"Mached","Not mached")</f>
        <v>Mached</v>
      </c>
    </row>
    <row r="1050" spans="4:16" x14ac:dyDescent="0.25">
      <c r="D1050" s="6" t="s">
        <v>34</v>
      </c>
      <c r="E1050">
        <v>2017</v>
      </c>
      <c r="F1050" s="6" t="s">
        <v>40</v>
      </c>
      <c r="G1050">
        <v>3</v>
      </c>
      <c r="H1050">
        <v>25</v>
      </c>
      <c r="I1050" s="6" t="s">
        <v>39</v>
      </c>
      <c r="J1050" s="6" t="s">
        <v>37</v>
      </c>
      <c r="K1050">
        <v>3</v>
      </c>
      <c r="M1050" s="1" t="b">
        <f>Employee__2[[#This Row],[Experience]]&gt;1</f>
        <v>1</v>
      </c>
      <c r="N1050" s="1" t="str">
        <f>IF(Employee__2[[#This Row],[City]]="Pune","Yes","No")</f>
        <v>No</v>
      </c>
      <c r="O1050" s="1" t="str">
        <f>IF(AND(Employee__2[[#This Row],[Education]]="Bachelors",Employee__2[[#This Row],[City]]="Pune"),"Yes","No")</f>
        <v>No</v>
      </c>
      <c r="P1050" s="1" t="str">
        <f>IF(OR(Employee__2[[#This Row],[Age]]&gt;=30,Employee__2[[#This Row],[Gender]]="Male"),"Mached","Not mached")</f>
        <v>Not mached</v>
      </c>
    </row>
    <row r="1051" spans="4:16" x14ac:dyDescent="0.25">
      <c r="D1051" s="6" t="s">
        <v>34</v>
      </c>
      <c r="E1051">
        <v>2018</v>
      </c>
      <c r="F1051" s="6" t="s">
        <v>35</v>
      </c>
      <c r="G1051">
        <v>3</v>
      </c>
      <c r="H1051">
        <v>25</v>
      </c>
      <c r="I1051" s="6" t="s">
        <v>36</v>
      </c>
      <c r="J1051" s="6" t="s">
        <v>42</v>
      </c>
      <c r="K1051">
        <v>3</v>
      </c>
      <c r="M1051" s="1" t="b">
        <f>Employee__2[[#This Row],[Experience]]&gt;1</f>
        <v>1</v>
      </c>
      <c r="N1051" s="1" t="str">
        <f>IF(Employee__2[[#This Row],[City]]="Pune","Yes","No")</f>
        <v>No</v>
      </c>
      <c r="O1051" s="1" t="str">
        <f>IF(AND(Employee__2[[#This Row],[Education]]="Bachelors",Employee__2[[#This Row],[City]]="Pune"),"Yes","No")</f>
        <v>No</v>
      </c>
      <c r="P1051" s="1" t="str">
        <f>IF(OR(Employee__2[[#This Row],[Age]]&gt;=30,Employee__2[[#This Row],[Gender]]="Male"),"Mached","Not mached")</f>
        <v>Mached</v>
      </c>
    </row>
    <row r="1052" spans="4:16" x14ac:dyDescent="0.25">
      <c r="D1052" s="6" t="s">
        <v>34</v>
      </c>
      <c r="E1052">
        <v>2012</v>
      </c>
      <c r="F1052" s="6" t="s">
        <v>38</v>
      </c>
      <c r="G1052">
        <v>1</v>
      </c>
      <c r="H1052">
        <v>27</v>
      </c>
      <c r="I1052" s="6" t="s">
        <v>39</v>
      </c>
      <c r="J1052" s="6" t="s">
        <v>37</v>
      </c>
      <c r="K1052">
        <v>5</v>
      </c>
      <c r="M1052" s="1" t="b">
        <f>Employee__2[[#This Row],[Experience]]&gt;1</f>
        <v>1</v>
      </c>
      <c r="N1052" s="1" t="str">
        <f>IF(Employee__2[[#This Row],[City]]="Pune","Yes","No")</f>
        <v>Yes</v>
      </c>
      <c r="O1052" s="1" t="str">
        <f>IF(AND(Employee__2[[#This Row],[Education]]="Bachelors",Employee__2[[#This Row],[City]]="Pune"),"Yes","No")</f>
        <v>Yes</v>
      </c>
      <c r="P1052" s="1" t="str">
        <f>IF(OR(Employee__2[[#This Row],[Age]]&gt;=30,Employee__2[[#This Row],[Gender]]="Male"),"Mached","Not mached")</f>
        <v>Not mached</v>
      </c>
    </row>
    <row r="1053" spans="4:16" x14ac:dyDescent="0.25">
      <c r="D1053" s="6" t="s">
        <v>41</v>
      </c>
      <c r="E1053">
        <v>2017</v>
      </c>
      <c r="F1053" s="6" t="s">
        <v>40</v>
      </c>
      <c r="G1053">
        <v>3</v>
      </c>
      <c r="H1053">
        <v>24</v>
      </c>
      <c r="I1053" s="6" t="s">
        <v>36</v>
      </c>
      <c r="J1053" s="6" t="s">
        <v>37</v>
      </c>
      <c r="K1053">
        <v>2</v>
      </c>
      <c r="M1053" s="1" t="b">
        <f>Employee__2[[#This Row],[Experience]]&gt;1</f>
        <v>1</v>
      </c>
      <c r="N1053" s="1" t="str">
        <f>IF(Employee__2[[#This Row],[City]]="Pune","Yes","No")</f>
        <v>No</v>
      </c>
      <c r="O1053" s="1" t="str">
        <f>IF(AND(Employee__2[[#This Row],[Education]]="Bachelors",Employee__2[[#This Row],[City]]="Pune"),"Yes","No")</f>
        <v>No</v>
      </c>
      <c r="P1053" s="1" t="str">
        <f>IF(OR(Employee__2[[#This Row],[Age]]&gt;=30,Employee__2[[#This Row],[Gender]]="Male"),"Mached","Not mached")</f>
        <v>Mached</v>
      </c>
    </row>
    <row r="1054" spans="4:16" x14ac:dyDescent="0.25">
      <c r="D1054" s="6" t="s">
        <v>34</v>
      </c>
      <c r="E1054">
        <v>2014</v>
      </c>
      <c r="F1054" s="6" t="s">
        <v>35</v>
      </c>
      <c r="G1054">
        <v>3</v>
      </c>
      <c r="H1054">
        <v>24</v>
      </c>
      <c r="I1054" s="6" t="s">
        <v>36</v>
      </c>
      <c r="J1054" s="6" t="s">
        <v>37</v>
      </c>
      <c r="K1054">
        <v>2</v>
      </c>
      <c r="M1054" s="1" t="b">
        <f>Employee__2[[#This Row],[Experience]]&gt;1</f>
        <v>1</v>
      </c>
      <c r="N1054" s="1" t="str">
        <f>IF(Employee__2[[#This Row],[City]]="Pune","Yes","No")</f>
        <v>No</v>
      </c>
      <c r="O1054" s="1" t="str">
        <f>IF(AND(Employee__2[[#This Row],[Education]]="Bachelors",Employee__2[[#This Row],[City]]="Pune"),"Yes","No")</f>
        <v>No</v>
      </c>
      <c r="P1054" s="1" t="str">
        <f>IF(OR(Employee__2[[#This Row],[Age]]&gt;=30,Employee__2[[#This Row],[Gender]]="Male"),"Mached","Not mached")</f>
        <v>Mached</v>
      </c>
    </row>
    <row r="1055" spans="4:16" x14ac:dyDescent="0.25">
      <c r="D1055" s="6" t="s">
        <v>34</v>
      </c>
      <c r="E1055">
        <v>2014</v>
      </c>
      <c r="F1055" s="6" t="s">
        <v>38</v>
      </c>
      <c r="G1055">
        <v>3</v>
      </c>
      <c r="H1055">
        <v>26</v>
      </c>
      <c r="I1055" s="6" t="s">
        <v>36</v>
      </c>
      <c r="J1055" s="6" t="s">
        <v>37</v>
      </c>
      <c r="K1055">
        <v>4</v>
      </c>
      <c r="M1055" s="1" t="b">
        <f>Employee__2[[#This Row],[Experience]]&gt;1</f>
        <v>1</v>
      </c>
      <c r="N1055" s="1" t="str">
        <f>IF(Employee__2[[#This Row],[City]]="Pune","Yes","No")</f>
        <v>Yes</v>
      </c>
      <c r="O1055" s="1" t="str">
        <f>IF(AND(Employee__2[[#This Row],[Education]]="Bachelors",Employee__2[[#This Row],[City]]="Pune"),"Yes","No")</f>
        <v>Yes</v>
      </c>
      <c r="P1055" s="1" t="str">
        <f>IF(OR(Employee__2[[#This Row],[Age]]&gt;=30,Employee__2[[#This Row],[Gender]]="Male"),"Mached","Not mached")</f>
        <v>Mached</v>
      </c>
    </row>
    <row r="1056" spans="4:16" x14ac:dyDescent="0.25">
      <c r="D1056" s="6" t="s">
        <v>34</v>
      </c>
      <c r="E1056">
        <v>2013</v>
      </c>
      <c r="F1056" s="6" t="s">
        <v>35</v>
      </c>
      <c r="G1056">
        <v>3</v>
      </c>
      <c r="H1056">
        <v>25</v>
      </c>
      <c r="I1056" s="6" t="s">
        <v>39</v>
      </c>
      <c r="J1056" s="6" t="s">
        <v>37</v>
      </c>
      <c r="K1056">
        <v>3</v>
      </c>
      <c r="M1056" s="1" t="b">
        <f>Employee__2[[#This Row],[Experience]]&gt;1</f>
        <v>1</v>
      </c>
      <c r="N1056" s="1" t="str">
        <f>IF(Employee__2[[#This Row],[City]]="Pune","Yes","No")</f>
        <v>No</v>
      </c>
      <c r="O1056" s="1" t="str">
        <f>IF(AND(Employee__2[[#This Row],[Education]]="Bachelors",Employee__2[[#This Row],[City]]="Pune"),"Yes","No")</f>
        <v>No</v>
      </c>
      <c r="P1056" s="1" t="str">
        <f>IF(OR(Employee__2[[#This Row],[Age]]&gt;=30,Employee__2[[#This Row],[Gender]]="Male"),"Mached","Not mached")</f>
        <v>Not mached</v>
      </c>
    </row>
    <row r="1057" spans="4:16" x14ac:dyDescent="0.25">
      <c r="D1057" s="6" t="s">
        <v>34</v>
      </c>
      <c r="E1057">
        <v>2017</v>
      </c>
      <c r="F1057" s="6" t="s">
        <v>35</v>
      </c>
      <c r="G1057">
        <v>3</v>
      </c>
      <c r="H1057">
        <v>28</v>
      </c>
      <c r="I1057" s="6" t="s">
        <v>36</v>
      </c>
      <c r="J1057" s="6" t="s">
        <v>37</v>
      </c>
      <c r="K1057">
        <v>2</v>
      </c>
      <c r="M1057" s="1" t="b">
        <f>Employee__2[[#This Row],[Experience]]&gt;1</f>
        <v>1</v>
      </c>
      <c r="N1057" s="1" t="str">
        <f>IF(Employee__2[[#This Row],[City]]="Pune","Yes","No")</f>
        <v>No</v>
      </c>
      <c r="O1057" s="1" t="str">
        <f>IF(AND(Employee__2[[#This Row],[Education]]="Bachelors",Employee__2[[#This Row],[City]]="Pune"),"Yes","No")</f>
        <v>No</v>
      </c>
      <c r="P1057" s="1" t="str">
        <f>IF(OR(Employee__2[[#This Row],[Age]]&gt;=30,Employee__2[[#This Row],[Gender]]="Male"),"Mached","Not mached")</f>
        <v>Mached</v>
      </c>
    </row>
    <row r="1058" spans="4:16" x14ac:dyDescent="0.25">
      <c r="D1058" s="6" t="s">
        <v>34</v>
      </c>
      <c r="E1058">
        <v>2015</v>
      </c>
      <c r="F1058" s="6" t="s">
        <v>38</v>
      </c>
      <c r="G1058">
        <v>3</v>
      </c>
      <c r="H1058">
        <v>25</v>
      </c>
      <c r="I1058" s="6" t="s">
        <v>39</v>
      </c>
      <c r="J1058" s="6" t="s">
        <v>37</v>
      </c>
      <c r="K1058">
        <v>3</v>
      </c>
      <c r="M1058" s="1" t="b">
        <f>Employee__2[[#This Row],[Experience]]&gt;1</f>
        <v>1</v>
      </c>
      <c r="N1058" s="1" t="str">
        <f>IF(Employee__2[[#This Row],[City]]="Pune","Yes","No")</f>
        <v>Yes</v>
      </c>
      <c r="O1058" s="1" t="str">
        <f>IF(AND(Employee__2[[#This Row],[Education]]="Bachelors",Employee__2[[#This Row],[City]]="Pune"),"Yes","No")</f>
        <v>Yes</v>
      </c>
      <c r="P1058" s="1" t="str">
        <f>IF(OR(Employee__2[[#This Row],[Age]]&gt;=30,Employee__2[[#This Row],[Gender]]="Male"),"Mached","Not mached")</f>
        <v>Not mached</v>
      </c>
    </row>
    <row r="1059" spans="4:16" x14ac:dyDescent="0.25">
      <c r="D1059" s="6" t="s">
        <v>34</v>
      </c>
      <c r="E1059">
        <v>2017</v>
      </c>
      <c r="F1059" s="6" t="s">
        <v>35</v>
      </c>
      <c r="G1059">
        <v>3</v>
      </c>
      <c r="H1059">
        <v>24</v>
      </c>
      <c r="I1059" s="6" t="s">
        <v>36</v>
      </c>
      <c r="J1059" s="6" t="s">
        <v>37</v>
      </c>
      <c r="K1059">
        <v>2</v>
      </c>
      <c r="M1059" s="1" t="b">
        <f>Employee__2[[#This Row],[Experience]]&gt;1</f>
        <v>1</v>
      </c>
      <c r="N1059" s="1" t="str">
        <f>IF(Employee__2[[#This Row],[City]]="Pune","Yes","No")</f>
        <v>No</v>
      </c>
      <c r="O1059" s="1" t="str">
        <f>IF(AND(Employee__2[[#This Row],[Education]]="Bachelors",Employee__2[[#This Row],[City]]="Pune"),"Yes","No")</f>
        <v>No</v>
      </c>
      <c r="P1059" s="1" t="str">
        <f>IF(OR(Employee__2[[#This Row],[Age]]&gt;=30,Employee__2[[#This Row],[Gender]]="Male"),"Mached","Not mached")</f>
        <v>Mached</v>
      </c>
    </row>
    <row r="1060" spans="4:16" x14ac:dyDescent="0.25">
      <c r="D1060" s="6" t="s">
        <v>34</v>
      </c>
      <c r="E1060">
        <v>2018</v>
      </c>
      <c r="F1060" s="6" t="s">
        <v>35</v>
      </c>
      <c r="G1060">
        <v>3</v>
      </c>
      <c r="H1060">
        <v>24</v>
      </c>
      <c r="I1060" s="6" t="s">
        <v>36</v>
      </c>
      <c r="J1060" s="6" t="s">
        <v>42</v>
      </c>
      <c r="K1060">
        <v>2</v>
      </c>
      <c r="M1060" s="1" t="b">
        <f>Employee__2[[#This Row],[Experience]]&gt;1</f>
        <v>1</v>
      </c>
      <c r="N1060" s="1" t="str">
        <f>IF(Employee__2[[#This Row],[City]]="Pune","Yes","No")</f>
        <v>No</v>
      </c>
      <c r="O1060" s="1" t="str">
        <f>IF(AND(Employee__2[[#This Row],[Education]]="Bachelors",Employee__2[[#This Row],[City]]="Pune"),"Yes","No")</f>
        <v>No</v>
      </c>
      <c r="P1060" s="1" t="str">
        <f>IF(OR(Employee__2[[#This Row],[Age]]&gt;=30,Employee__2[[#This Row],[Gender]]="Male"),"Mached","Not mached")</f>
        <v>Mached</v>
      </c>
    </row>
    <row r="1061" spans="4:16" x14ac:dyDescent="0.25">
      <c r="D1061" s="6" t="s">
        <v>34</v>
      </c>
      <c r="E1061">
        <v>2016</v>
      </c>
      <c r="F1061" s="6" t="s">
        <v>35</v>
      </c>
      <c r="G1061">
        <v>3</v>
      </c>
      <c r="H1061">
        <v>28</v>
      </c>
      <c r="I1061" s="6" t="s">
        <v>36</v>
      </c>
      <c r="J1061" s="6" t="s">
        <v>42</v>
      </c>
      <c r="K1061">
        <v>4</v>
      </c>
      <c r="M1061" s="1" t="b">
        <f>Employee__2[[#This Row],[Experience]]&gt;1</f>
        <v>1</v>
      </c>
      <c r="N1061" s="1" t="str">
        <f>IF(Employee__2[[#This Row],[City]]="Pune","Yes","No")</f>
        <v>No</v>
      </c>
      <c r="O1061" s="1" t="str">
        <f>IF(AND(Employee__2[[#This Row],[Education]]="Bachelors",Employee__2[[#This Row],[City]]="Pune"),"Yes","No")</f>
        <v>No</v>
      </c>
      <c r="P1061" s="1" t="str">
        <f>IF(OR(Employee__2[[#This Row],[Age]]&gt;=30,Employee__2[[#This Row],[Gender]]="Male"),"Mached","Not mached")</f>
        <v>Mached</v>
      </c>
    </row>
    <row r="1062" spans="4:16" x14ac:dyDescent="0.25">
      <c r="D1062" s="6" t="s">
        <v>34</v>
      </c>
      <c r="E1062">
        <v>2014</v>
      </c>
      <c r="F1062" s="6" t="s">
        <v>35</v>
      </c>
      <c r="G1062">
        <v>3</v>
      </c>
      <c r="H1062">
        <v>26</v>
      </c>
      <c r="I1062" s="6" t="s">
        <v>39</v>
      </c>
      <c r="J1062" s="6" t="s">
        <v>37</v>
      </c>
      <c r="K1062">
        <v>4</v>
      </c>
      <c r="M1062" s="1" t="b">
        <f>Employee__2[[#This Row],[Experience]]&gt;1</f>
        <v>1</v>
      </c>
      <c r="N1062" s="1" t="str">
        <f>IF(Employee__2[[#This Row],[City]]="Pune","Yes","No")</f>
        <v>No</v>
      </c>
      <c r="O1062" s="1" t="str">
        <f>IF(AND(Employee__2[[#This Row],[Education]]="Bachelors",Employee__2[[#This Row],[City]]="Pune"),"Yes","No")</f>
        <v>No</v>
      </c>
      <c r="P1062" s="1" t="str">
        <f>IF(OR(Employee__2[[#This Row],[Age]]&gt;=30,Employee__2[[#This Row],[Gender]]="Male"),"Mached","Not mached")</f>
        <v>Not mached</v>
      </c>
    </row>
    <row r="1063" spans="4:16" x14ac:dyDescent="0.25">
      <c r="D1063" s="6" t="s">
        <v>34</v>
      </c>
      <c r="E1063">
        <v>2017</v>
      </c>
      <c r="F1063" s="6" t="s">
        <v>35</v>
      </c>
      <c r="G1063">
        <v>3</v>
      </c>
      <c r="H1063">
        <v>28</v>
      </c>
      <c r="I1063" s="6" t="s">
        <v>36</v>
      </c>
      <c r="J1063" s="6" t="s">
        <v>37</v>
      </c>
      <c r="K1063">
        <v>1</v>
      </c>
      <c r="M1063" s="1" t="b">
        <f>Employee__2[[#This Row],[Experience]]&gt;1</f>
        <v>0</v>
      </c>
      <c r="N1063" s="1" t="str">
        <f>IF(Employee__2[[#This Row],[City]]="Pune","Yes","No")</f>
        <v>No</v>
      </c>
      <c r="O1063" s="1" t="str">
        <f>IF(AND(Employee__2[[#This Row],[Education]]="Bachelors",Employee__2[[#This Row],[City]]="Pune"),"Yes","No")</f>
        <v>No</v>
      </c>
      <c r="P1063" s="1" t="str">
        <f>IF(OR(Employee__2[[#This Row],[Age]]&gt;=30,Employee__2[[#This Row],[Gender]]="Male"),"Mached","Not mached")</f>
        <v>Mached</v>
      </c>
    </row>
    <row r="1064" spans="4:16" x14ac:dyDescent="0.25">
      <c r="D1064" s="6" t="s">
        <v>34</v>
      </c>
      <c r="E1064">
        <v>2012</v>
      </c>
      <c r="F1064" s="6" t="s">
        <v>35</v>
      </c>
      <c r="G1064">
        <v>3</v>
      </c>
      <c r="H1064">
        <v>27</v>
      </c>
      <c r="I1064" s="6" t="s">
        <v>36</v>
      </c>
      <c r="J1064" s="6" t="s">
        <v>37</v>
      </c>
      <c r="K1064">
        <v>5</v>
      </c>
      <c r="M1064" s="1" t="b">
        <f>Employee__2[[#This Row],[Experience]]&gt;1</f>
        <v>1</v>
      </c>
      <c r="N1064" s="1" t="str">
        <f>IF(Employee__2[[#This Row],[City]]="Pune","Yes","No")</f>
        <v>No</v>
      </c>
      <c r="O1064" s="1" t="str">
        <f>IF(AND(Employee__2[[#This Row],[Education]]="Bachelors",Employee__2[[#This Row],[City]]="Pune"),"Yes","No")</f>
        <v>No</v>
      </c>
      <c r="P1064" s="1" t="str">
        <f>IF(OR(Employee__2[[#This Row],[Age]]&gt;=30,Employee__2[[#This Row],[Gender]]="Male"),"Mached","Not mached")</f>
        <v>Mached</v>
      </c>
    </row>
    <row r="1065" spans="4:16" x14ac:dyDescent="0.25">
      <c r="D1065" s="6" t="s">
        <v>34</v>
      </c>
      <c r="E1065">
        <v>2016</v>
      </c>
      <c r="F1065" s="6" t="s">
        <v>40</v>
      </c>
      <c r="G1065">
        <v>3</v>
      </c>
      <c r="H1065">
        <v>26</v>
      </c>
      <c r="I1065" s="6" t="s">
        <v>36</v>
      </c>
      <c r="J1065" s="6" t="s">
        <v>37</v>
      </c>
      <c r="K1065">
        <v>4</v>
      </c>
      <c r="M1065" s="1" t="b">
        <f>Employee__2[[#This Row],[Experience]]&gt;1</f>
        <v>1</v>
      </c>
      <c r="N1065" s="1" t="str">
        <f>IF(Employee__2[[#This Row],[City]]="Pune","Yes","No")</f>
        <v>No</v>
      </c>
      <c r="O1065" s="1" t="str">
        <f>IF(AND(Employee__2[[#This Row],[Education]]="Bachelors",Employee__2[[#This Row],[City]]="Pune"),"Yes","No")</f>
        <v>No</v>
      </c>
      <c r="P1065" s="1" t="str">
        <f>IF(OR(Employee__2[[#This Row],[Age]]&gt;=30,Employee__2[[#This Row],[Gender]]="Male"),"Mached","Not mached")</f>
        <v>Mached</v>
      </c>
    </row>
    <row r="1066" spans="4:16" x14ac:dyDescent="0.25">
      <c r="D1066" s="6" t="s">
        <v>34</v>
      </c>
      <c r="E1066">
        <v>2014</v>
      </c>
      <c r="F1066" s="6" t="s">
        <v>35</v>
      </c>
      <c r="G1066">
        <v>3</v>
      </c>
      <c r="H1066">
        <v>27</v>
      </c>
      <c r="I1066" s="6" t="s">
        <v>39</v>
      </c>
      <c r="J1066" s="6" t="s">
        <v>37</v>
      </c>
      <c r="K1066">
        <v>5</v>
      </c>
      <c r="M1066" s="1" t="b">
        <f>Employee__2[[#This Row],[Experience]]&gt;1</f>
        <v>1</v>
      </c>
      <c r="N1066" s="1" t="str">
        <f>IF(Employee__2[[#This Row],[City]]="Pune","Yes","No")</f>
        <v>No</v>
      </c>
      <c r="O1066" s="1" t="str">
        <f>IF(AND(Employee__2[[#This Row],[Education]]="Bachelors",Employee__2[[#This Row],[City]]="Pune"),"Yes","No")</f>
        <v>No</v>
      </c>
      <c r="P1066" s="1" t="str">
        <f>IF(OR(Employee__2[[#This Row],[Age]]&gt;=30,Employee__2[[#This Row],[Gender]]="Male"),"Mached","Not mached")</f>
        <v>Not mached</v>
      </c>
    </row>
    <row r="1067" spans="4:16" x14ac:dyDescent="0.25">
      <c r="D1067" s="6" t="s">
        <v>34</v>
      </c>
      <c r="E1067">
        <v>2014</v>
      </c>
      <c r="F1067" s="6" t="s">
        <v>35</v>
      </c>
      <c r="G1067">
        <v>3</v>
      </c>
      <c r="H1067">
        <v>27</v>
      </c>
      <c r="I1067" s="6" t="s">
        <v>39</v>
      </c>
      <c r="J1067" s="6" t="s">
        <v>42</v>
      </c>
      <c r="K1067">
        <v>5</v>
      </c>
      <c r="M1067" s="1" t="b">
        <f>Employee__2[[#This Row],[Experience]]&gt;1</f>
        <v>1</v>
      </c>
      <c r="N1067" s="1" t="str">
        <f>IF(Employee__2[[#This Row],[City]]="Pune","Yes","No")</f>
        <v>No</v>
      </c>
      <c r="O1067" s="1" t="str">
        <f>IF(AND(Employee__2[[#This Row],[Education]]="Bachelors",Employee__2[[#This Row],[City]]="Pune"),"Yes","No")</f>
        <v>No</v>
      </c>
      <c r="P1067" s="1" t="str">
        <f>IF(OR(Employee__2[[#This Row],[Age]]&gt;=30,Employee__2[[#This Row],[Gender]]="Male"),"Mached","Not mached")</f>
        <v>Not mached</v>
      </c>
    </row>
    <row r="1068" spans="4:16" x14ac:dyDescent="0.25">
      <c r="D1068" s="6" t="s">
        <v>34</v>
      </c>
      <c r="E1068">
        <v>2013</v>
      </c>
      <c r="F1068" s="6" t="s">
        <v>35</v>
      </c>
      <c r="G1068">
        <v>3</v>
      </c>
      <c r="H1068">
        <v>26</v>
      </c>
      <c r="I1068" s="6" t="s">
        <v>36</v>
      </c>
      <c r="J1068" s="6" t="s">
        <v>37</v>
      </c>
      <c r="K1068">
        <v>4</v>
      </c>
      <c r="M1068" s="1" t="b">
        <f>Employee__2[[#This Row],[Experience]]&gt;1</f>
        <v>1</v>
      </c>
      <c r="N1068" s="1" t="str">
        <f>IF(Employee__2[[#This Row],[City]]="Pune","Yes","No")</f>
        <v>No</v>
      </c>
      <c r="O1068" s="1" t="str">
        <f>IF(AND(Employee__2[[#This Row],[Education]]="Bachelors",Employee__2[[#This Row],[City]]="Pune"),"Yes","No")</f>
        <v>No</v>
      </c>
      <c r="P1068" s="1" t="str">
        <f>IF(OR(Employee__2[[#This Row],[Age]]&gt;=30,Employee__2[[#This Row],[Gender]]="Male"),"Mached","Not mached")</f>
        <v>Mached</v>
      </c>
    </row>
    <row r="1069" spans="4:16" x14ac:dyDescent="0.25">
      <c r="D1069" s="6" t="s">
        <v>43</v>
      </c>
      <c r="E1069">
        <v>2015</v>
      </c>
      <c r="F1069" s="6" t="s">
        <v>40</v>
      </c>
      <c r="G1069">
        <v>2</v>
      </c>
      <c r="H1069">
        <v>24</v>
      </c>
      <c r="I1069" s="6" t="s">
        <v>39</v>
      </c>
      <c r="J1069" s="6" t="s">
        <v>37</v>
      </c>
      <c r="K1069">
        <v>2</v>
      </c>
      <c r="M1069" s="1" t="b">
        <f>Employee__2[[#This Row],[Experience]]&gt;1</f>
        <v>1</v>
      </c>
      <c r="N1069" s="1" t="str">
        <f>IF(Employee__2[[#This Row],[City]]="Pune","Yes","No")</f>
        <v>No</v>
      </c>
      <c r="O1069" s="1" t="str">
        <f>IF(AND(Employee__2[[#This Row],[Education]]="Bachelors",Employee__2[[#This Row],[City]]="Pune"),"Yes","No")</f>
        <v>No</v>
      </c>
      <c r="P1069" s="1" t="str">
        <f>IF(OR(Employee__2[[#This Row],[Age]]&gt;=30,Employee__2[[#This Row],[Gender]]="Male"),"Mached","Not mached")</f>
        <v>Not mached</v>
      </c>
    </row>
    <row r="1070" spans="4:16" x14ac:dyDescent="0.25">
      <c r="D1070" s="6" t="s">
        <v>34</v>
      </c>
      <c r="E1070">
        <v>2018</v>
      </c>
      <c r="F1070" s="6" t="s">
        <v>35</v>
      </c>
      <c r="G1070">
        <v>3</v>
      </c>
      <c r="H1070">
        <v>26</v>
      </c>
      <c r="I1070" s="6" t="s">
        <v>36</v>
      </c>
      <c r="J1070" s="6" t="s">
        <v>37</v>
      </c>
      <c r="K1070">
        <v>4</v>
      </c>
      <c r="M1070" s="1" t="b">
        <f>Employee__2[[#This Row],[Experience]]&gt;1</f>
        <v>1</v>
      </c>
      <c r="N1070" s="1" t="str">
        <f>IF(Employee__2[[#This Row],[City]]="Pune","Yes","No")</f>
        <v>No</v>
      </c>
      <c r="O1070" s="1" t="str">
        <f>IF(AND(Employee__2[[#This Row],[Education]]="Bachelors",Employee__2[[#This Row],[City]]="Pune"),"Yes","No")</f>
        <v>No</v>
      </c>
      <c r="P1070" s="1" t="str">
        <f>IF(OR(Employee__2[[#This Row],[Age]]&gt;=30,Employee__2[[#This Row],[Gender]]="Male"),"Mached","Not mached")</f>
        <v>Mached</v>
      </c>
    </row>
    <row r="1071" spans="4:16" x14ac:dyDescent="0.25">
      <c r="D1071" s="6" t="s">
        <v>34</v>
      </c>
      <c r="E1071">
        <v>2017</v>
      </c>
      <c r="F1071" s="6" t="s">
        <v>40</v>
      </c>
      <c r="G1071">
        <v>2</v>
      </c>
      <c r="H1071">
        <v>24</v>
      </c>
      <c r="I1071" s="6" t="s">
        <v>39</v>
      </c>
      <c r="J1071" s="6" t="s">
        <v>37</v>
      </c>
      <c r="K1071">
        <v>2</v>
      </c>
      <c r="M1071" s="1" t="b">
        <f>Employee__2[[#This Row],[Experience]]&gt;1</f>
        <v>1</v>
      </c>
      <c r="N1071" s="1" t="str">
        <f>IF(Employee__2[[#This Row],[City]]="Pune","Yes","No")</f>
        <v>No</v>
      </c>
      <c r="O1071" s="1" t="str">
        <f>IF(AND(Employee__2[[#This Row],[Education]]="Bachelors",Employee__2[[#This Row],[City]]="Pune"),"Yes","No")</f>
        <v>No</v>
      </c>
      <c r="P1071" s="1" t="str">
        <f>IF(OR(Employee__2[[#This Row],[Age]]&gt;=30,Employee__2[[#This Row],[Gender]]="Male"),"Mached","Not mached")</f>
        <v>Not mached</v>
      </c>
    </row>
    <row r="1072" spans="4:16" x14ac:dyDescent="0.25">
      <c r="D1072" s="6" t="s">
        <v>43</v>
      </c>
      <c r="E1072">
        <v>2015</v>
      </c>
      <c r="F1072" s="6" t="s">
        <v>38</v>
      </c>
      <c r="G1072">
        <v>1</v>
      </c>
      <c r="H1072">
        <v>25</v>
      </c>
      <c r="I1072" s="6" t="s">
        <v>39</v>
      </c>
      <c r="J1072" s="6" t="s">
        <v>37</v>
      </c>
      <c r="K1072">
        <v>3</v>
      </c>
      <c r="M1072" s="1" t="b">
        <f>Employee__2[[#This Row],[Experience]]&gt;1</f>
        <v>1</v>
      </c>
      <c r="N1072" s="1" t="str">
        <f>IF(Employee__2[[#This Row],[City]]="Pune","Yes","No")</f>
        <v>Yes</v>
      </c>
      <c r="O1072" s="1" t="str">
        <f>IF(AND(Employee__2[[#This Row],[Education]]="Bachelors",Employee__2[[#This Row],[City]]="Pune"),"Yes","No")</f>
        <v>No</v>
      </c>
      <c r="P1072" s="1" t="str">
        <f>IF(OR(Employee__2[[#This Row],[Age]]&gt;=30,Employee__2[[#This Row],[Gender]]="Male"),"Mached","Not mached")</f>
        <v>Not mached</v>
      </c>
    </row>
    <row r="1073" spans="4:16" x14ac:dyDescent="0.25">
      <c r="D1073" s="6" t="s">
        <v>34</v>
      </c>
      <c r="E1073">
        <v>2017</v>
      </c>
      <c r="F1073" s="6" t="s">
        <v>40</v>
      </c>
      <c r="G1073">
        <v>3</v>
      </c>
      <c r="H1073">
        <v>24</v>
      </c>
      <c r="I1073" s="6" t="s">
        <v>36</v>
      </c>
      <c r="J1073" s="6" t="s">
        <v>37</v>
      </c>
      <c r="K1073">
        <v>2</v>
      </c>
      <c r="M1073" s="1" t="b">
        <f>Employee__2[[#This Row],[Experience]]&gt;1</f>
        <v>1</v>
      </c>
      <c r="N1073" s="1" t="str">
        <f>IF(Employee__2[[#This Row],[City]]="Pune","Yes","No")</f>
        <v>No</v>
      </c>
      <c r="O1073" s="1" t="str">
        <f>IF(AND(Employee__2[[#This Row],[Education]]="Bachelors",Employee__2[[#This Row],[City]]="Pune"),"Yes","No")</f>
        <v>No</v>
      </c>
      <c r="P1073" s="1" t="str">
        <f>IF(OR(Employee__2[[#This Row],[Age]]&gt;=30,Employee__2[[#This Row],[Gender]]="Male"),"Mached","Not mached")</f>
        <v>Mached</v>
      </c>
    </row>
    <row r="1074" spans="4:16" x14ac:dyDescent="0.25">
      <c r="D1074" s="6" t="s">
        <v>34</v>
      </c>
      <c r="E1074">
        <v>2013</v>
      </c>
      <c r="F1074" s="6" t="s">
        <v>35</v>
      </c>
      <c r="G1074">
        <v>3</v>
      </c>
      <c r="H1074">
        <v>25</v>
      </c>
      <c r="I1074" s="6" t="s">
        <v>39</v>
      </c>
      <c r="J1074" s="6" t="s">
        <v>37</v>
      </c>
      <c r="K1074">
        <v>3</v>
      </c>
      <c r="M1074" s="1" t="b">
        <f>Employee__2[[#This Row],[Experience]]&gt;1</f>
        <v>1</v>
      </c>
      <c r="N1074" s="1" t="str">
        <f>IF(Employee__2[[#This Row],[City]]="Pune","Yes","No")</f>
        <v>No</v>
      </c>
      <c r="O1074" s="1" t="str">
        <f>IF(AND(Employee__2[[#This Row],[Education]]="Bachelors",Employee__2[[#This Row],[City]]="Pune"),"Yes","No")</f>
        <v>No</v>
      </c>
      <c r="P1074" s="1" t="str">
        <f>IF(OR(Employee__2[[#This Row],[Age]]&gt;=30,Employee__2[[#This Row],[Gender]]="Male"),"Mached","Not mached")</f>
        <v>Not mached</v>
      </c>
    </row>
    <row r="1075" spans="4:16" x14ac:dyDescent="0.25">
      <c r="D1075" s="6" t="s">
        <v>34</v>
      </c>
      <c r="E1075">
        <v>2014</v>
      </c>
      <c r="F1075" s="6" t="s">
        <v>35</v>
      </c>
      <c r="G1075">
        <v>3</v>
      </c>
      <c r="H1075">
        <v>24</v>
      </c>
      <c r="I1075" s="6" t="s">
        <v>36</v>
      </c>
      <c r="J1075" s="6" t="s">
        <v>42</v>
      </c>
      <c r="K1075">
        <v>2</v>
      </c>
      <c r="M1075" s="1" t="b">
        <f>Employee__2[[#This Row],[Experience]]&gt;1</f>
        <v>1</v>
      </c>
      <c r="N1075" s="1" t="str">
        <f>IF(Employee__2[[#This Row],[City]]="Pune","Yes","No")</f>
        <v>No</v>
      </c>
      <c r="O1075" s="1" t="str">
        <f>IF(AND(Employee__2[[#This Row],[Education]]="Bachelors",Employee__2[[#This Row],[City]]="Pune"),"Yes","No")</f>
        <v>No</v>
      </c>
      <c r="P1075" s="1" t="str">
        <f>IF(OR(Employee__2[[#This Row],[Age]]&gt;=30,Employee__2[[#This Row],[Gender]]="Male"),"Mached","Not mached")</f>
        <v>Mached</v>
      </c>
    </row>
    <row r="1076" spans="4:16" x14ac:dyDescent="0.25">
      <c r="D1076" s="6" t="s">
        <v>41</v>
      </c>
      <c r="E1076">
        <v>2018</v>
      </c>
      <c r="F1076" s="6" t="s">
        <v>40</v>
      </c>
      <c r="G1076">
        <v>3</v>
      </c>
      <c r="H1076">
        <v>26</v>
      </c>
      <c r="I1076" s="6" t="s">
        <v>36</v>
      </c>
      <c r="J1076" s="6" t="s">
        <v>42</v>
      </c>
      <c r="K1076">
        <v>4</v>
      </c>
      <c r="M1076" s="1" t="b">
        <f>Employee__2[[#This Row],[Experience]]&gt;1</f>
        <v>1</v>
      </c>
      <c r="N1076" s="1" t="str">
        <f>IF(Employee__2[[#This Row],[City]]="Pune","Yes","No")</f>
        <v>No</v>
      </c>
      <c r="O1076" s="1" t="str">
        <f>IF(AND(Employee__2[[#This Row],[Education]]="Bachelors",Employee__2[[#This Row],[City]]="Pune"),"Yes","No")</f>
        <v>No</v>
      </c>
      <c r="P1076" s="1" t="str">
        <f>IF(OR(Employee__2[[#This Row],[Age]]&gt;=30,Employee__2[[#This Row],[Gender]]="Male"),"Mached","Not mached")</f>
        <v>Mached</v>
      </c>
    </row>
    <row r="1077" spans="4:16" x14ac:dyDescent="0.25">
      <c r="D1077" s="6" t="s">
        <v>34</v>
      </c>
      <c r="E1077">
        <v>2015</v>
      </c>
      <c r="F1077" s="6" t="s">
        <v>35</v>
      </c>
      <c r="G1077">
        <v>2</v>
      </c>
      <c r="H1077">
        <v>25</v>
      </c>
      <c r="I1077" s="6" t="s">
        <v>39</v>
      </c>
      <c r="J1077" s="6" t="s">
        <v>37</v>
      </c>
      <c r="K1077">
        <v>3</v>
      </c>
      <c r="M1077" s="1" t="b">
        <f>Employee__2[[#This Row],[Experience]]&gt;1</f>
        <v>1</v>
      </c>
      <c r="N1077" s="1" t="str">
        <f>IF(Employee__2[[#This Row],[City]]="Pune","Yes","No")</f>
        <v>No</v>
      </c>
      <c r="O1077" s="1" t="str">
        <f>IF(AND(Employee__2[[#This Row],[Education]]="Bachelors",Employee__2[[#This Row],[City]]="Pune"),"Yes","No")</f>
        <v>No</v>
      </c>
      <c r="P1077" s="1" t="str">
        <f>IF(OR(Employee__2[[#This Row],[Age]]&gt;=30,Employee__2[[#This Row],[Gender]]="Male"),"Mached","Not mached")</f>
        <v>Not mached</v>
      </c>
    </row>
    <row r="1078" spans="4:16" x14ac:dyDescent="0.25">
      <c r="D1078" s="6" t="s">
        <v>34</v>
      </c>
      <c r="E1078">
        <v>2012</v>
      </c>
      <c r="F1078" s="6" t="s">
        <v>35</v>
      </c>
      <c r="G1078">
        <v>3</v>
      </c>
      <c r="H1078">
        <v>25</v>
      </c>
      <c r="I1078" s="6" t="s">
        <v>36</v>
      </c>
      <c r="J1078" s="6" t="s">
        <v>37</v>
      </c>
      <c r="K1078">
        <v>3</v>
      </c>
      <c r="M1078" s="1" t="b">
        <f>Employee__2[[#This Row],[Experience]]&gt;1</f>
        <v>1</v>
      </c>
      <c r="N1078" s="1" t="str">
        <f>IF(Employee__2[[#This Row],[City]]="Pune","Yes","No")</f>
        <v>No</v>
      </c>
      <c r="O1078" s="1" t="str">
        <f>IF(AND(Employee__2[[#This Row],[Education]]="Bachelors",Employee__2[[#This Row],[City]]="Pune"),"Yes","No")</f>
        <v>No</v>
      </c>
      <c r="P1078" s="1" t="str">
        <f>IF(OR(Employee__2[[#This Row],[Age]]&gt;=30,Employee__2[[#This Row],[Gender]]="Male"),"Mached","Not mached")</f>
        <v>Mached</v>
      </c>
    </row>
    <row r="1079" spans="4:16" x14ac:dyDescent="0.25">
      <c r="D1079" s="6" t="s">
        <v>41</v>
      </c>
      <c r="E1079">
        <v>2012</v>
      </c>
      <c r="F1079" s="6" t="s">
        <v>40</v>
      </c>
      <c r="G1079">
        <v>3</v>
      </c>
      <c r="H1079">
        <v>28</v>
      </c>
      <c r="I1079" s="6" t="s">
        <v>36</v>
      </c>
      <c r="J1079" s="6" t="s">
        <v>42</v>
      </c>
      <c r="K1079">
        <v>2</v>
      </c>
      <c r="M1079" s="1" t="b">
        <f>Employee__2[[#This Row],[Experience]]&gt;1</f>
        <v>1</v>
      </c>
      <c r="N1079" s="1" t="str">
        <f>IF(Employee__2[[#This Row],[City]]="Pune","Yes","No")</f>
        <v>No</v>
      </c>
      <c r="O1079" s="1" t="str">
        <f>IF(AND(Employee__2[[#This Row],[Education]]="Bachelors",Employee__2[[#This Row],[City]]="Pune"),"Yes","No")</f>
        <v>No</v>
      </c>
      <c r="P1079" s="1" t="str">
        <f>IF(OR(Employee__2[[#This Row],[Age]]&gt;=30,Employee__2[[#This Row],[Gender]]="Male"),"Mached","Not mached")</f>
        <v>Mached</v>
      </c>
    </row>
    <row r="1080" spans="4:16" x14ac:dyDescent="0.25">
      <c r="D1080" s="6" t="s">
        <v>34</v>
      </c>
      <c r="E1080">
        <v>2015</v>
      </c>
      <c r="F1080" s="6" t="s">
        <v>35</v>
      </c>
      <c r="G1080">
        <v>3</v>
      </c>
      <c r="H1080">
        <v>24</v>
      </c>
      <c r="I1080" s="6" t="s">
        <v>39</v>
      </c>
      <c r="J1080" s="6" t="s">
        <v>37</v>
      </c>
      <c r="K1080">
        <v>2</v>
      </c>
      <c r="M1080" s="1" t="b">
        <f>Employee__2[[#This Row],[Experience]]&gt;1</f>
        <v>1</v>
      </c>
      <c r="N1080" s="1" t="str">
        <f>IF(Employee__2[[#This Row],[City]]="Pune","Yes","No")</f>
        <v>No</v>
      </c>
      <c r="O1080" s="1" t="str">
        <f>IF(AND(Employee__2[[#This Row],[Education]]="Bachelors",Employee__2[[#This Row],[City]]="Pune"),"Yes","No")</f>
        <v>No</v>
      </c>
      <c r="P1080" s="1" t="str">
        <f>IF(OR(Employee__2[[#This Row],[Age]]&gt;=30,Employee__2[[#This Row],[Gender]]="Male"),"Mached","Not mached")</f>
        <v>Not mached</v>
      </c>
    </row>
    <row r="1081" spans="4:16" x14ac:dyDescent="0.25">
      <c r="D1081" s="6" t="s">
        <v>34</v>
      </c>
      <c r="E1081">
        <v>2012</v>
      </c>
      <c r="F1081" s="6" t="s">
        <v>35</v>
      </c>
      <c r="G1081">
        <v>3</v>
      </c>
      <c r="H1081">
        <v>24</v>
      </c>
      <c r="I1081" s="6" t="s">
        <v>36</v>
      </c>
      <c r="J1081" s="6" t="s">
        <v>37</v>
      </c>
      <c r="K1081">
        <v>2</v>
      </c>
      <c r="M1081" s="1" t="b">
        <f>Employee__2[[#This Row],[Experience]]&gt;1</f>
        <v>1</v>
      </c>
      <c r="N1081" s="1" t="str">
        <f>IF(Employee__2[[#This Row],[City]]="Pune","Yes","No")</f>
        <v>No</v>
      </c>
      <c r="O1081" s="1" t="str">
        <f>IF(AND(Employee__2[[#This Row],[Education]]="Bachelors",Employee__2[[#This Row],[City]]="Pune"),"Yes","No")</f>
        <v>No</v>
      </c>
      <c r="P1081" s="1" t="str">
        <f>IF(OR(Employee__2[[#This Row],[Age]]&gt;=30,Employee__2[[#This Row],[Gender]]="Male"),"Mached","Not mached")</f>
        <v>Mached</v>
      </c>
    </row>
    <row r="1082" spans="4:16" x14ac:dyDescent="0.25">
      <c r="D1082" s="6" t="s">
        <v>43</v>
      </c>
      <c r="E1082">
        <v>2018</v>
      </c>
      <c r="F1082" s="6" t="s">
        <v>40</v>
      </c>
      <c r="G1082">
        <v>3</v>
      </c>
      <c r="H1082">
        <v>27</v>
      </c>
      <c r="I1082" s="6" t="s">
        <v>39</v>
      </c>
      <c r="J1082" s="6" t="s">
        <v>37</v>
      </c>
      <c r="K1082">
        <v>5</v>
      </c>
      <c r="M1082" s="1" t="b">
        <f>Employee__2[[#This Row],[Experience]]&gt;1</f>
        <v>1</v>
      </c>
      <c r="N1082" s="1" t="str">
        <f>IF(Employee__2[[#This Row],[City]]="Pune","Yes","No")</f>
        <v>No</v>
      </c>
      <c r="O1082" s="1" t="str">
        <f>IF(AND(Employee__2[[#This Row],[Education]]="Bachelors",Employee__2[[#This Row],[City]]="Pune"),"Yes","No")</f>
        <v>No</v>
      </c>
      <c r="P1082" s="1" t="str">
        <f>IF(OR(Employee__2[[#This Row],[Age]]&gt;=30,Employee__2[[#This Row],[Gender]]="Male"),"Mached","Not mached")</f>
        <v>Not mached</v>
      </c>
    </row>
    <row r="1083" spans="4:16" x14ac:dyDescent="0.25">
      <c r="D1083" s="6" t="s">
        <v>34</v>
      </c>
      <c r="E1083">
        <v>2014</v>
      </c>
      <c r="F1083" s="6" t="s">
        <v>35</v>
      </c>
      <c r="G1083">
        <v>3</v>
      </c>
      <c r="H1083">
        <v>25</v>
      </c>
      <c r="I1083" s="6" t="s">
        <v>36</v>
      </c>
      <c r="J1083" s="6" t="s">
        <v>37</v>
      </c>
      <c r="K1083">
        <v>3</v>
      </c>
      <c r="M1083" s="1" t="b">
        <f>Employee__2[[#This Row],[Experience]]&gt;1</f>
        <v>1</v>
      </c>
      <c r="N1083" s="1" t="str">
        <f>IF(Employee__2[[#This Row],[City]]="Pune","Yes","No")</f>
        <v>No</v>
      </c>
      <c r="O1083" s="1" t="str">
        <f>IF(AND(Employee__2[[#This Row],[Education]]="Bachelors",Employee__2[[#This Row],[City]]="Pune"),"Yes","No")</f>
        <v>No</v>
      </c>
      <c r="P1083" s="1" t="str">
        <f>IF(OR(Employee__2[[#This Row],[Age]]&gt;=30,Employee__2[[#This Row],[Gender]]="Male"),"Mached","Not mached")</f>
        <v>Mached</v>
      </c>
    </row>
    <row r="1084" spans="4:16" x14ac:dyDescent="0.25">
      <c r="D1084" s="6" t="s">
        <v>34</v>
      </c>
      <c r="E1084">
        <v>2012</v>
      </c>
      <c r="F1084" s="6" t="s">
        <v>35</v>
      </c>
      <c r="G1084">
        <v>3</v>
      </c>
      <c r="H1084">
        <v>25</v>
      </c>
      <c r="I1084" s="6" t="s">
        <v>36</v>
      </c>
      <c r="J1084" s="6" t="s">
        <v>37</v>
      </c>
      <c r="K1084">
        <v>3</v>
      </c>
      <c r="M1084" s="1" t="b">
        <f>Employee__2[[#This Row],[Experience]]&gt;1</f>
        <v>1</v>
      </c>
      <c r="N1084" s="1" t="str">
        <f>IF(Employee__2[[#This Row],[City]]="Pune","Yes","No")</f>
        <v>No</v>
      </c>
      <c r="O1084" s="1" t="str">
        <f>IF(AND(Employee__2[[#This Row],[Education]]="Bachelors",Employee__2[[#This Row],[City]]="Pune"),"Yes","No")</f>
        <v>No</v>
      </c>
      <c r="P1084" s="1" t="str">
        <f>IF(OR(Employee__2[[#This Row],[Age]]&gt;=30,Employee__2[[#This Row],[Gender]]="Male"),"Mached","Not mached")</f>
        <v>Mached</v>
      </c>
    </row>
    <row r="1085" spans="4:16" x14ac:dyDescent="0.25">
      <c r="D1085" s="6" t="s">
        <v>34</v>
      </c>
      <c r="E1085">
        <v>2012</v>
      </c>
      <c r="F1085" s="6" t="s">
        <v>35</v>
      </c>
      <c r="G1085">
        <v>3</v>
      </c>
      <c r="H1085">
        <v>28</v>
      </c>
      <c r="I1085" s="6" t="s">
        <v>36</v>
      </c>
      <c r="J1085" s="6" t="s">
        <v>37</v>
      </c>
      <c r="K1085">
        <v>5</v>
      </c>
      <c r="M1085" s="1" t="b">
        <f>Employee__2[[#This Row],[Experience]]&gt;1</f>
        <v>1</v>
      </c>
      <c r="N1085" s="1" t="str">
        <f>IF(Employee__2[[#This Row],[City]]="Pune","Yes","No")</f>
        <v>No</v>
      </c>
      <c r="O1085" s="1" t="str">
        <f>IF(AND(Employee__2[[#This Row],[Education]]="Bachelors",Employee__2[[#This Row],[City]]="Pune"),"Yes","No")</f>
        <v>No</v>
      </c>
      <c r="P1085" s="1" t="str">
        <f>IF(OR(Employee__2[[#This Row],[Age]]&gt;=30,Employee__2[[#This Row],[Gender]]="Male"),"Mached","Not mached")</f>
        <v>Mached</v>
      </c>
    </row>
    <row r="1086" spans="4:16" x14ac:dyDescent="0.25">
      <c r="D1086" s="6" t="s">
        <v>34</v>
      </c>
      <c r="E1086">
        <v>2017</v>
      </c>
      <c r="F1086" s="6" t="s">
        <v>40</v>
      </c>
      <c r="G1086">
        <v>2</v>
      </c>
      <c r="H1086">
        <v>26</v>
      </c>
      <c r="I1086" s="6" t="s">
        <v>39</v>
      </c>
      <c r="J1086" s="6" t="s">
        <v>37</v>
      </c>
      <c r="K1086">
        <v>4</v>
      </c>
      <c r="M1086" s="1" t="b">
        <f>Employee__2[[#This Row],[Experience]]&gt;1</f>
        <v>1</v>
      </c>
      <c r="N1086" s="1" t="str">
        <f>IF(Employee__2[[#This Row],[City]]="Pune","Yes","No")</f>
        <v>No</v>
      </c>
      <c r="O1086" s="1" t="str">
        <f>IF(AND(Employee__2[[#This Row],[Education]]="Bachelors",Employee__2[[#This Row],[City]]="Pune"),"Yes","No")</f>
        <v>No</v>
      </c>
      <c r="P1086" s="1" t="str">
        <f>IF(OR(Employee__2[[#This Row],[Age]]&gt;=30,Employee__2[[#This Row],[Gender]]="Male"),"Mached","Not mached")</f>
        <v>Not mached</v>
      </c>
    </row>
    <row r="1087" spans="4:16" x14ac:dyDescent="0.25">
      <c r="D1087" s="6" t="s">
        <v>34</v>
      </c>
      <c r="E1087">
        <v>2013</v>
      </c>
      <c r="F1087" s="6" t="s">
        <v>35</v>
      </c>
      <c r="G1087">
        <v>3</v>
      </c>
      <c r="H1087">
        <v>25</v>
      </c>
      <c r="I1087" s="6" t="s">
        <v>36</v>
      </c>
      <c r="J1087" s="6" t="s">
        <v>37</v>
      </c>
      <c r="K1087">
        <v>3</v>
      </c>
      <c r="M1087" s="1" t="b">
        <f>Employee__2[[#This Row],[Experience]]&gt;1</f>
        <v>1</v>
      </c>
      <c r="N1087" s="1" t="str">
        <f>IF(Employee__2[[#This Row],[City]]="Pune","Yes","No")</f>
        <v>No</v>
      </c>
      <c r="O1087" s="1" t="str">
        <f>IF(AND(Employee__2[[#This Row],[Education]]="Bachelors",Employee__2[[#This Row],[City]]="Pune"),"Yes","No")</f>
        <v>No</v>
      </c>
      <c r="P1087" s="1" t="str">
        <f>IF(OR(Employee__2[[#This Row],[Age]]&gt;=30,Employee__2[[#This Row],[Gender]]="Male"),"Mached","Not mached")</f>
        <v>Mached</v>
      </c>
    </row>
    <row r="1088" spans="4:16" x14ac:dyDescent="0.25">
      <c r="D1088" s="6" t="s">
        <v>41</v>
      </c>
      <c r="E1088">
        <v>2018</v>
      </c>
      <c r="F1088" s="6" t="s">
        <v>38</v>
      </c>
      <c r="G1088">
        <v>3</v>
      </c>
      <c r="H1088">
        <v>24</v>
      </c>
      <c r="I1088" s="6" t="s">
        <v>36</v>
      </c>
      <c r="J1088" s="6" t="s">
        <v>37</v>
      </c>
      <c r="K1088">
        <v>2</v>
      </c>
      <c r="M1088" s="1" t="b">
        <f>Employee__2[[#This Row],[Experience]]&gt;1</f>
        <v>1</v>
      </c>
      <c r="N1088" s="1" t="str">
        <f>IF(Employee__2[[#This Row],[City]]="Pune","Yes","No")</f>
        <v>Yes</v>
      </c>
      <c r="O1088" s="1" t="str">
        <f>IF(AND(Employee__2[[#This Row],[Education]]="Bachelors",Employee__2[[#This Row],[City]]="Pune"),"Yes","No")</f>
        <v>No</v>
      </c>
      <c r="P1088" s="1" t="str">
        <f>IF(OR(Employee__2[[#This Row],[Age]]&gt;=30,Employee__2[[#This Row],[Gender]]="Male"),"Mached","Not mached")</f>
        <v>Mached</v>
      </c>
    </row>
    <row r="1089" spans="4:16" x14ac:dyDescent="0.25">
      <c r="D1089" s="6" t="s">
        <v>34</v>
      </c>
      <c r="E1089">
        <v>2016</v>
      </c>
      <c r="F1089" s="6" t="s">
        <v>35</v>
      </c>
      <c r="G1089">
        <v>3</v>
      </c>
      <c r="H1089">
        <v>26</v>
      </c>
      <c r="I1089" s="6" t="s">
        <v>36</v>
      </c>
      <c r="J1089" s="6" t="s">
        <v>37</v>
      </c>
      <c r="K1089">
        <v>4</v>
      </c>
      <c r="M1089" s="1" t="b">
        <f>Employee__2[[#This Row],[Experience]]&gt;1</f>
        <v>1</v>
      </c>
      <c r="N1089" s="1" t="str">
        <f>IF(Employee__2[[#This Row],[City]]="Pune","Yes","No")</f>
        <v>No</v>
      </c>
      <c r="O1089" s="1" t="str">
        <f>IF(AND(Employee__2[[#This Row],[Education]]="Bachelors",Employee__2[[#This Row],[City]]="Pune"),"Yes","No")</f>
        <v>No</v>
      </c>
      <c r="P1089" s="1" t="str">
        <f>IF(OR(Employee__2[[#This Row],[Age]]&gt;=30,Employee__2[[#This Row],[Gender]]="Male"),"Mached","Not mached")</f>
        <v>Mached</v>
      </c>
    </row>
    <row r="1090" spans="4:16" x14ac:dyDescent="0.25">
      <c r="D1090" s="6" t="s">
        <v>34</v>
      </c>
      <c r="E1090">
        <v>2013</v>
      </c>
      <c r="F1090" s="6" t="s">
        <v>35</v>
      </c>
      <c r="G1090">
        <v>3</v>
      </c>
      <c r="H1090">
        <v>26</v>
      </c>
      <c r="I1090" s="6" t="s">
        <v>36</v>
      </c>
      <c r="J1090" s="6" t="s">
        <v>37</v>
      </c>
      <c r="K1090">
        <v>4</v>
      </c>
      <c r="M1090" s="1" t="b">
        <f>Employee__2[[#This Row],[Experience]]&gt;1</f>
        <v>1</v>
      </c>
      <c r="N1090" s="1" t="str">
        <f>IF(Employee__2[[#This Row],[City]]="Pune","Yes","No")</f>
        <v>No</v>
      </c>
      <c r="O1090" s="1" t="str">
        <f>IF(AND(Employee__2[[#This Row],[Education]]="Bachelors",Employee__2[[#This Row],[City]]="Pune"),"Yes","No")</f>
        <v>No</v>
      </c>
      <c r="P1090" s="1" t="str">
        <f>IF(OR(Employee__2[[#This Row],[Age]]&gt;=30,Employee__2[[#This Row],[Gender]]="Male"),"Mached","Not mached")</f>
        <v>Mached</v>
      </c>
    </row>
    <row r="1091" spans="4:16" x14ac:dyDescent="0.25">
      <c r="D1091" s="6" t="s">
        <v>34</v>
      </c>
      <c r="E1091">
        <v>2016</v>
      </c>
      <c r="F1091" s="6" t="s">
        <v>40</v>
      </c>
      <c r="G1091">
        <v>3</v>
      </c>
      <c r="H1091">
        <v>28</v>
      </c>
      <c r="I1091" s="6" t="s">
        <v>39</v>
      </c>
      <c r="J1091" s="6" t="s">
        <v>37</v>
      </c>
      <c r="K1091">
        <v>2</v>
      </c>
      <c r="M1091" s="1" t="b">
        <f>Employee__2[[#This Row],[Experience]]&gt;1</f>
        <v>1</v>
      </c>
      <c r="N1091" s="1" t="str">
        <f>IF(Employee__2[[#This Row],[City]]="Pune","Yes","No")</f>
        <v>No</v>
      </c>
      <c r="O1091" s="1" t="str">
        <f>IF(AND(Employee__2[[#This Row],[Education]]="Bachelors",Employee__2[[#This Row],[City]]="Pune"),"Yes","No")</f>
        <v>No</v>
      </c>
      <c r="P1091" s="1" t="str">
        <f>IF(OR(Employee__2[[#This Row],[Age]]&gt;=30,Employee__2[[#This Row],[Gender]]="Male"),"Mached","Not mached")</f>
        <v>Not mached</v>
      </c>
    </row>
    <row r="1092" spans="4:16" x14ac:dyDescent="0.25">
      <c r="D1092" s="6" t="s">
        <v>41</v>
      </c>
      <c r="E1092">
        <v>2017</v>
      </c>
      <c r="F1092" s="6" t="s">
        <v>40</v>
      </c>
      <c r="G1092">
        <v>2</v>
      </c>
      <c r="H1092">
        <v>27</v>
      </c>
      <c r="I1092" s="6" t="s">
        <v>36</v>
      </c>
      <c r="J1092" s="6" t="s">
        <v>42</v>
      </c>
      <c r="K1092">
        <v>5</v>
      </c>
      <c r="M1092" s="1" t="b">
        <f>Employee__2[[#This Row],[Experience]]&gt;1</f>
        <v>1</v>
      </c>
      <c r="N1092" s="1" t="str">
        <f>IF(Employee__2[[#This Row],[City]]="Pune","Yes","No")</f>
        <v>No</v>
      </c>
      <c r="O1092" s="1" t="str">
        <f>IF(AND(Employee__2[[#This Row],[Education]]="Bachelors",Employee__2[[#This Row],[City]]="Pune"),"Yes","No")</f>
        <v>No</v>
      </c>
      <c r="P1092" s="1" t="str">
        <f>IF(OR(Employee__2[[#This Row],[Age]]&gt;=30,Employee__2[[#This Row],[Gender]]="Male"),"Mached","Not mached")</f>
        <v>Mached</v>
      </c>
    </row>
    <row r="1093" spans="4:16" x14ac:dyDescent="0.25">
      <c r="D1093" s="6" t="s">
        <v>34</v>
      </c>
      <c r="E1093">
        <v>2018</v>
      </c>
      <c r="F1093" s="6" t="s">
        <v>38</v>
      </c>
      <c r="G1093">
        <v>2</v>
      </c>
      <c r="H1093">
        <v>27</v>
      </c>
      <c r="I1093" s="6" t="s">
        <v>39</v>
      </c>
      <c r="J1093" s="6" t="s">
        <v>37</v>
      </c>
      <c r="K1093">
        <v>5</v>
      </c>
      <c r="M1093" s="1" t="b">
        <f>Employee__2[[#This Row],[Experience]]&gt;1</f>
        <v>1</v>
      </c>
      <c r="N1093" s="1" t="str">
        <f>IF(Employee__2[[#This Row],[City]]="Pune","Yes","No")</f>
        <v>Yes</v>
      </c>
      <c r="O1093" s="1" t="str">
        <f>IF(AND(Employee__2[[#This Row],[Education]]="Bachelors",Employee__2[[#This Row],[City]]="Pune"),"Yes","No")</f>
        <v>Yes</v>
      </c>
      <c r="P1093" s="1" t="str">
        <f>IF(OR(Employee__2[[#This Row],[Age]]&gt;=30,Employee__2[[#This Row],[Gender]]="Male"),"Mached","Not mached")</f>
        <v>Not mached</v>
      </c>
    </row>
    <row r="1094" spans="4:16" x14ac:dyDescent="0.25">
      <c r="D1094" s="6" t="s">
        <v>41</v>
      </c>
      <c r="E1094">
        <v>2014</v>
      </c>
      <c r="F1094" s="6" t="s">
        <v>40</v>
      </c>
      <c r="G1094">
        <v>3</v>
      </c>
      <c r="H1094">
        <v>28</v>
      </c>
      <c r="I1094" s="6" t="s">
        <v>39</v>
      </c>
      <c r="J1094" s="6" t="s">
        <v>37</v>
      </c>
      <c r="K1094">
        <v>4</v>
      </c>
      <c r="M1094" s="1" t="b">
        <f>Employee__2[[#This Row],[Experience]]&gt;1</f>
        <v>1</v>
      </c>
      <c r="N1094" s="1" t="str">
        <f>IF(Employee__2[[#This Row],[City]]="Pune","Yes","No")</f>
        <v>No</v>
      </c>
      <c r="O1094" s="1" t="str">
        <f>IF(AND(Employee__2[[#This Row],[Education]]="Bachelors",Employee__2[[#This Row],[City]]="Pune"),"Yes","No")</f>
        <v>No</v>
      </c>
      <c r="P1094" s="1" t="str">
        <f>IF(OR(Employee__2[[#This Row],[Age]]&gt;=30,Employee__2[[#This Row],[Gender]]="Male"),"Mached","Not mached")</f>
        <v>Not mached</v>
      </c>
    </row>
    <row r="1095" spans="4:16" x14ac:dyDescent="0.25">
      <c r="D1095" s="6" t="s">
        <v>41</v>
      </c>
      <c r="E1095">
        <v>2017</v>
      </c>
      <c r="F1095" s="6" t="s">
        <v>40</v>
      </c>
      <c r="G1095">
        <v>3</v>
      </c>
      <c r="H1095">
        <v>25</v>
      </c>
      <c r="I1095" s="6" t="s">
        <v>39</v>
      </c>
      <c r="J1095" s="6" t="s">
        <v>37</v>
      </c>
      <c r="K1095">
        <v>3</v>
      </c>
      <c r="M1095" s="1" t="b">
        <f>Employee__2[[#This Row],[Experience]]&gt;1</f>
        <v>1</v>
      </c>
      <c r="N1095" s="1" t="str">
        <f>IF(Employee__2[[#This Row],[City]]="Pune","Yes","No")</f>
        <v>No</v>
      </c>
      <c r="O1095" s="1" t="str">
        <f>IF(AND(Employee__2[[#This Row],[Education]]="Bachelors",Employee__2[[#This Row],[City]]="Pune"),"Yes","No")</f>
        <v>No</v>
      </c>
      <c r="P1095" s="1" t="str">
        <f>IF(OR(Employee__2[[#This Row],[Age]]&gt;=30,Employee__2[[#This Row],[Gender]]="Male"),"Mached","Not mached")</f>
        <v>Not mached</v>
      </c>
    </row>
    <row r="1096" spans="4:16" x14ac:dyDescent="0.25">
      <c r="D1096" s="6" t="s">
        <v>41</v>
      </c>
      <c r="E1096">
        <v>2017</v>
      </c>
      <c r="F1096" s="6" t="s">
        <v>35</v>
      </c>
      <c r="G1096">
        <v>3</v>
      </c>
      <c r="H1096">
        <v>26</v>
      </c>
      <c r="I1096" s="6" t="s">
        <v>39</v>
      </c>
      <c r="J1096" s="6" t="s">
        <v>37</v>
      </c>
      <c r="K1096">
        <v>4</v>
      </c>
      <c r="M1096" s="1" t="b">
        <f>Employee__2[[#This Row],[Experience]]&gt;1</f>
        <v>1</v>
      </c>
      <c r="N1096" s="1" t="str">
        <f>IF(Employee__2[[#This Row],[City]]="Pune","Yes","No")</f>
        <v>No</v>
      </c>
      <c r="O1096" s="1" t="str">
        <f>IF(AND(Employee__2[[#This Row],[Education]]="Bachelors",Employee__2[[#This Row],[City]]="Pune"),"Yes","No")</f>
        <v>No</v>
      </c>
      <c r="P1096" s="1" t="str">
        <f>IF(OR(Employee__2[[#This Row],[Age]]&gt;=30,Employee__2[[#This Row],[Gender]]="Male"),"Mached","Not mached")</f>
        <v>Not mached</v>
      </c>
    </row>
    <row r="1097" spans="4:16" x14ac:dyDescent="0.25">
      <c r="D1097" s="6" t="s">
        <v>34</v>
      </c>
      <c r="E1097">
        <v>2015</v>
      </c>
      <c r="F1097" s="6" t="s">
        <v>38</v>
      </c>
      <c r="G1097">
        <v>2</v>
      </c>
      <c r="H1097">
        <v>27</v>
      </c>
      <c r="I1097" s="6" t="s">
        <v>39</v>
      </c>
      <c r="J1097" s="6" t="s">
        <v>37</v>
      </c>
      <c r="K1097">
        <v>5</v>
      </c>
      <c r="M1097" s="1" t="b">
        <f>Employee__2[[#This Row],[Experience]]&gt;1</f>
        <v>1</v>
      </c>
      <c r="N1097" s="1" t="str">
        <f>IF(Employee__2[[#This Row],[City]]="Pune","Yes","No")</f>
        <v>Yes</v>
      </c>
      <c r="O1097" s="1" t="str">
        <f>IF(AND(Employee__2[[#This Row],[Education]]="Bachelors",Employee__2[[#This Row],[City]]="Pune"),"Yes","No")</f>
        <v>Yes</v>
      </c>
      <c r="P1097" s="1" t="str">
        <f>IF(OR(Employee__2[[#This Row],[Age]]&gt;=30,Employee__2[[#This Row],[Gender]]="Male"),"Mached","Not mached")</f>
        <v>Not mached</v>
      </c>
    </row>
    <row r="1098" spans="4:16" x14ac:dyDescent="0.25">
      <c r="D1098" s="6" t="s">
        <v>34</v>
      </c>
      <c r="E1098">
        <v>2013</v>
      </c>
      <c r="F1098" s="6" t="s">
        <v>40</v>
      </c>
      <c r="G1098">
        <v>3</v>
      </c>
      <c r="H1098">
        <v>27</v>
      </c>
      <c r="I1098" s="6" t="s">
        <v>39</v>
      </c>
      <c r="J1098" s="6" t="s">
        <v>37</v>
      </c>
      <c r="K1098">
        <v>5</v>
      </c>
      <c r="M1098" s="1" t="b">
        <f>Employee__2[[#This Row],[Experience]]&gt;1</f>
        <v>1</v>
      </c>
      <c r="N1098" s="1" t="str">
        <f>IF(Employee__2[[#This Row],[City]]="Pune","Yes","No")</f>
        <v>No</v>
      </c>
      <c r="O1098" s="1" t="str">
        <f>IF(AND(Employee__2[[#This Row],[Education]]="Bachelors",Employee__2[[#This Row],[City]]="Pune"),"Yes","No")</f>
        <v>No</v>
      </c>
      <c r="P1098" s="1" t="str">
        <f>IF(OR(Employee__2[[#This Row],[Age]]&gt;=30,Employee__2[[#This Row],[Gender]]="Male"),"Mached","Not mached")</f>
        <v>Not mached</v>
      </c>
    </row>
    <row r="1099" spans="4:16" x14ac:dyDescent="0.25">
      <c r="D1099" s="6" t="s">
        <v>41</v>
      </c>
      <c r="E1099">
        <v>2017</v>
      </c>
      <c r="F1099" s="6" t="s">
        <v>40</v>
      </c>
      <c r="G1099">
        <v>1</v>
      </c>
      <c r="H1099">
        <v>26</v>
      </c>
      <c r="I1099" s="6" t="s">
        <v>39</v>
      </c>
      <c r="J1099" s="6" t="s">
        <v>37</v>
      </c>
      <c r="K1099">
        <v>4</v>
      </c>
      <c r="M1099" s="1" t="b">
        <f>Employee__2[[#This Row],[Experience]]&gt;1</f>
        <v>1</v>
      </c>
      <c r="N1099" s="1" t="str">
        <f>IF(Employee__2[[#This Row],[City]]="Pune","Yes","No")</f>
        <v>No</v>
      </c>
      <c r="O1099" s="1" t="str">
        <f>IF(AND(Employee__2[[#This Row],[Education]]="Bachelors",Employee__2[[#This Row],[City]]="Pune"),"Yes","No")</f>
        <v>No</v>
      </c>
      <c r="P1099" s="1" t="str">
        <f>IF(OR(Employee__2[[#This Row],[Age]]&gt;=30,Employee__2[[#This Row],[Gender]]="Male"),"Mached","Not mached")</f>
        <v>Not mached</v>
      </c>
    </row>
    <row r="1100" spans="4:16" x14ac:dyDescent="0.25">
      <c r="D1100" s="6" t="s">
        <v>34</v>
      </c>
      <c r="E1100">
        <v>2013</v>
      </c>
      <c r="F1100" s="6" t="s">
        <v>40</v>
      </c>
      <c r="G1100">
        <v>3</v>
      </c>
      <c r="H1100">
        <v>27</v>
      </c>
      <c r="I1100" s="6" t="s">
        <v>39</v>
      </c>
      <c r="J1100" s="6" t="s">
        <v>37</v>
      </c>
      <c r="K1100">
        <v>5</v>
      </c>
      <c r="M1100" s="1" t="b">
        <f>Employee__2[[#This Row],[Experience]]&gt;1</f>
        <v>1</v>
      </c>
      <c r="N1100" s="1" t="str">
        <f>IF(Employee__2[[#This Row],[City]]="Pune","Yes","No")</f>
        <v>No</v>
      </c>
      <c r="O1100" s="1" t="str">
        <f>IF(AND(Employee__2[[#This Row],[Education]]="Bachelors",Employee__2[[#This Row],[City]]="Pune"),"Yes","No")</f>
        <v>No</v>
      </c>
      <c r="P1100" s="1" t="str">
        <f>IF(OR(Employee__2[[#This Row],[Age]]&gt;=30,Employee__2[[#This Row],[Gender]]="Male"),"Mached","Not mached")</f>
        <v>Not mached</v>
      </c>
    </row>
    <row r="1101" spans="4:16" x14ac:dyDescent="0.25">
      <c r="D1101" s="6" t="s">
        <v>34</v>
      </c>
      <c r="E1101">
        <v>2012</v>
      </c>
      <c r="F1101" s="6" t="s">
        <v>40</v>
      </c>
      <c r="G1101">
        <v>3</v>
      </c>
      <c r="H1101">
        <v>28</v>
      </c>
      <c r="I1101" s="6" t="s">
        <v>36</v>
      </c>
      <c r="J1101" s="6" t="s">
        <v>37</v>
      </c>
      <c r="K1101">
        <v>3</v>
      </c>
      <c r="M1101" s="1" t="b">
        <f>Employee__2[[#This Row],[Experience]]&gt;1</f>
        <v>1</v>
      </c>
      <c r="N1101" s="1" t="str">
        <f>IF(Employee__2[[#This Row],[City]]="Pune","Yes","No")</f>
        <v>No</v>
      </c>
      <c r="O1101" s="1" t="str">
        <f>IF(AND(Employee__2[[#This Row],[Education]]="Bachelors",Employee__2[[#This Row],[City]]="Pune"),"Yes","No")</f>
        <v>No</v>
      </c>
      <c r="P1101" s="1" t="str">
        <f>IF(OR(Employee__2[[#This Row],[Age]]&gt;=30,Employee__2[[#This Row],[Gender]]="Male"),"Mached","Not mached")</f>
        <v>Mached</v>
      </c>
    </row>
    <row r="1102" spans="4:16" x14ac:dyDescent="0.25">
      <c r="D1102" s="6" t="s">
        <v>41</v>
      </c>
      <c r="E1102">
        <v>2017</v>
      </c>
      <c r="F1102" s="6" t="s">
        <v>38</v>
      </c>
      <c r="G1102">
        <v>2</v>
      </c>
      <c r="H1102">
        <v>27</v>
      </c>
      <c r="I1102" s="6" t="s">
        <v>36</v>
      </c>
      <c r="J1102" s="6" t="s">
        <v>37</v>
      </c>
      <c r="K1102">
        <v>5</v>
      </c>
      <c r="M1102" s="1" t="b">
        <f>Employee__2[[#This Row],[Experience]]&gt;1</f>
        <v>1</v>
      </c>
      <c r="N1102" s="1" t="str">
        <f>IF(Employee__2[[#This Row],[City]]="Pune","Yes","No")</f>
        <v>Yes</v>
      </c>
      <c r="O1102" s="1" t="str">
        <f>IF(AND(Employee__2[[#This Row],[Education]]="Bachelors",Employee__2[[#This Row],[City]]="Pune"),"Yes","No")</f>
        <v>No</v>
      </c>
      <c r="P1102" s="1" t="str">
        <f>IF(OR(Employee__2[[#This Row],[Age]]&gt;=30,Employee__2[[#This Row],[Gender]]="Male"),"Mached","Not mached")</f>
        <v>Mached</v>
      </c>
    </row>
    <row r="1103" spans="4:16" x14ac:dyDescent="0.25">
      <c r="D1103" s="6" t="s">
        <v>34</v>
      </c>
      <c r="E1103">
        <v>2017</v>
      </c>
      <c r="F1103" s="6" t="s">
        <v>40</v>
      </c>
      <c r="G1103">
        <v>3</v>
      </c>
      <c r="H1103">
        <v>26</v>
      </c>
      <c r="I1103" s="6" t="s">
        <v>39</v>
      </c>
      <c r="J1103" s="6" t="s">
        <v>37</v>
      </c>
      <c r="K1103">
        <v>4</v>
      </c>
      <c r="M1103" s="1" t="b">
        <f>Employee__2[[#This Row],[Experience]]&gt;1</f>
        <v>1</v>
      </c>
      <c r="N1103" s="1" t="str">
        <f>IF(Employee__2[[#This Row],[City]]="Pune","Yes","No")</f>
        <v>No</v>
      </c>
      <c r="O1103" s="1" t="str">
        <f>IF(AND(Employee__2[[#This Row],[Education]]="Bachelors",Employee__2[[#This Row],[City]]="Pune"),"Yes","No")</f>
        <v>No</v>
      </c>
      <c r="P1103" s="1" t="str">
        <f>IF(OR(Employee__2[[#This Row],[Age]]&gt;=30,Employee__2[[#This Row],[Gender]]="Male"),"Mached","Not mached")</f>
        <v>Not mached</v>
      </c>
    </row>
    <row r="1104" spans="4:16" x14ac:dyDescent="0.25">
      <c r="D1104" s="6" t="s">
        <v>34</v>
      </c>
      <c r="E1104">
        <v>2013</v>
      </c>
      <c r="F1104" s="6" t="s">
        <v>35</v>
      </c>
      <c r="G1104">
        <v>3</v>
      </c>
      <c r="H1104">
        <v>28</v>
      </c>
      <c r="I1104" s="6" t="s">
        <v>39</v>
      </c>
      <c r="J1104" s="6" t="s">
        <v>37</v>
      </c>
      <c r="K1104">
        <v>4</v>
      </c>
      <c r="M1104" s="1" t="b">
        <f>Employee__2[[#This Row],[Experience]]&gt;1</f>
        <v>1</v>
      </c>
      <c r="N1104" s="1" t="str">
        <f>IF(Employee__2[[#This Row],[City]]="Pune","Yes","No")</f>
        <v>No</v>
      </c>
      <c r="O1104" s="1" t="str">
        <f>IF(AND(Employee__2[[#This Row],[Education]]="Bachelors",Employee__2[[#This Row],[City]]="Pune"),"Yes","No")</f>
        <v>No</v>
      </c>
      <c r="P1104" s="1" t="str">
        <f>IF(OR(Employee__2[[#This Row],[Age]]&gt;=30,Employee__2[[#This Row],[Gender]]="Male"),"Mached","Not mached")</f>
        <v>Not mached</v>
      </c>
    </row>
    <row r="1105" spans="4:16" x14ac:dyDescent="0.25">
      <c r="D1105" s="6" t="s">
        <v>41</v>
      </c>
      <c r="E1105">
        <v>2012</v>
      </c>
      <c r="F1105" s="6" t="s">
        <v>40</v>
      </c>
      <c r="G1105">
        <v>3</v>
      </c>
      <c r="H1105">
        <v>27</v>
      </c>
      <c r="I1105" s="6" t="s">
        <v>36</v>
      </c>
      <c r="J1105" s="6" t="s">
        <v>42</v>
      </c>
      <c r="K1105">
        <v>5</v>
      </c>
      <c r="M1105" s="1" t="b">
        <f>Employee__2[[#This Row],[Experience]]&gt;1</f>
        <v>1</v>
      </c>
      <c r="N1105" s="1" t="str">
        <f>IF(Employee__2[[#This Row],[City]]="Pune","Yes","No")</f>
        <v>No</v>
      </c>
      <c r="O1105" s="1" t="str">
        <f>IF(AND(Employee__2[[#This Row],[Education]]="Bachelors",Employee__2[[#This Row],[City]]="Pune"),"Yes","No")</f>
        <v>No</v>
      </c>
      <c r="P1105" s="1" t="str">
        <f>IF(OR(Employee__2[[#This Row],[Age]]&gt;=30,Employee__2[[#This Row],[Gender]]="Male"),"Mached","Not mached")</f>
        <v>Mached</v>
      </c>
    </row>
    <row r="1106" spans="4:16" x14ac:dyDescent="0.25">
      <c r="D1106" s="6" t="s">
        <v>34</v>
      </c>
      <c r="E1106">
        <v>2017</v>
      </c>
      <c r="F1106" s="6" t="s">
        <v>38</v>
      </c>
      <c r="G1106">
        <v>2</v>
      </c>
      <c r="H1106">
        <v>24</v>
      </c>
      <c r="I1106" s="6" t="s">
        <v>36</v>
      </c>
      <c r="J1106" s="6" t="s">
        <v>37</v>
      </c>
      <c r="K1106">
        <v>2</v>
      </c>
      <c r="M1106" s="1" t="b">
        <f>Employee__2[[#This Row],[Experience]]&gt;1</f>
        <v>1</v>
      </c>
      <c r="N1106" s="1" t="str">
        <f>IF(Employee__2[[#This Row],[City]]="Pune","Yes","No")</f>
        <v>Yes</v>
      </c>
      <c r="O1106" s="1" t="str">
        <f>IF(AND(Employee__2[[#This Row],[Education]]="Bachelors",Employee__2[[#This Row],[City]]="Pune"),"Yes","No")</f>
        <v>Yes</v>
      </c>
      <c r="P1106" s="1" t="str">
        <f>IF(OR(Employee__2[[#This Row],[Age]]&gt;=30,Employee__2[[#This Row],[Gender]]="Male"),"Mached","Not mached")</f>
        <v>Mached</v>
      </c>
    </row>
    <row r="1107" spans="4:16" x14ac:dyDescent="0.25">
      <c r="D1107" s="6" t="s">
        <v>41</v>
      </c>
      <c r="E1107">
        <v>2017</v>
      </c>
      <c r="F1107" s="6" t="s">
        <v>40</v>
      </c>
      <c r="G1107">
        <v>3</v>
      </c>
      <c r="H1107">
        <v>25</v>
      </c>
      <c r="I1107" s="6" t="s">
        <v>39</v>
      </c>
      <c r="J1107" s="6" t="s">
        <v>37</v>
      </c>
      <c r="K1107">
        <v>3</v>
      </c>
      <c r="M1107" s="1" t="b">
        <f>Employee__2[[#This Row],[Experience]]&gt;1</f>
        <v>1</v>
      </c>
      <c r="N1107" s="1" t="str">
        <f>IF(Employee__2[[#This Row],[City]]="Pune","Yes","No")</f>
        <v>No</v>
      </c>
      <c r="O1107" s="1" t="str">
        <f>IF(AND(Employee__2[[#This Row],[Education]]="Bachelors",Employee__2[[#This Row],[City]]="Pune"),"Yes","No")</f>
        <v>No</v>
      </c>
      <c r="P1107" s="1" t="str">
        <f>IF(OR(Employee__2[[#This Row],[Age]]&gt;=30,Employee__2[[#This Row],[Gender]]="Male"),"Mached","Not mached")</f>
        <v>Not mached</v>
      </c>
    </row>
    <row r="1108" spans="4:16" x14ac:dyDescent="0.25">
      <c r="D1108" s="6" t="s">
        <v>34</v>
      </c>
      <c r="E1108">
        <v>2018</v>
      </c>
      <c r="F1108" s="6" t="s">
        <v>35</v>
      </c>
      <c r="G1108">
        <v>3</v>
      </c>
      <c r="H1108">
        <v>25</v>
      </c>
      <c r="I1108" s="6" t="s">
        <v>39</v>
      </c>
      <c r="J1108" s="6" t="s">
        <v>42</v>
      </c>
      <c r="K1108">
        <v>3</v>
      </c>
      <c r="M1108" s="1" t="b">
        <f>Employee__2[[#This Row],[Experience]]&gt;1</f>
        <v>1</v>
      </c>
      <c r="N1108" s="1" t="str">
        <f>IF(Employee__2[[#This Row],[City]]="Pune","Yes","No")</f>
        <v>No</v>
      </c>
      <c r="O1108" s="1" t="str">
        <f>IF(AND(Employee__2[[#This Row],[Education]]="Bachelors",Employee__2[[#This Row],[City]]="Pune"),"Yes","No")</f>
        <v>No</v>
      </c>
      <c r="P1108" s="1" t="str">
        <f>IF(OR(Employee__2[[#This Row],[Age]]&gt;=30,Employee__2[[#This Row],[Gender]]="Male"),"Mached","Not mached")</f>
        <v>Not mached</v>
      </c>
    </row>
    <row r="1109" spans="4:16" x14ac:dyDescent="0.25">
      <c r="D1109" s="6" t="s">
        <v>34</v>
      </c>
      <c r="E1109">
        <v>2016</v>
      </c>
      <c r="F1109" s="6" t="s">
        <v>35</v>
      </c>
      <c r="G1109">
        <v>3</v>
      </c>
      <c r="H1109">
        <v>28</v>
      </c>
      <c r="I1109" s="6" t="s">
        <v>36</v>
      </c>
      <c r="J1109" s="6" t="s">
        <v>42</v>
      </c>
      <c r="K1109">
        <v>4</v>
      </c>
      <c r="M1109" s="1" t="b">
        <f>Employee__2[[#This Row],[Experience]]&gt;1</f>
        <v>1</v>
      </c>
      <c r="N1109" s="1" t="str">
        <f>IF(Employee__2[[#This Row],[City]]="Pune","Yes","No")</f>
        <v>No</v>
      </c>
      <c r="O1109" s="1" t="str">
        <f>IF(AND(Employee__2[[#This Row],[Education]]="Bachelors",Employee__2[[#This Row],[City]]="Pune"),"Yes","No")</f>
        <v>No</v>
      </c>
      <c r="P1109" s="1" t="str">
        <f>IF(OR(Employee__2[[#This Row],[Age]]&gt;=30,Employee__2[[#This Row],[Gender]]="Male"),"Mached","Not mached")</f>
        <v>Mached</v>
      </c>
    </row>
    <row r="1110" spans="4:16" x14ac:dyDescent="0.25">
      <c r="D1110" s="6" t="s">
        <v>41</v>
      </c>
      <c r="E1110">
        <v>2017</v>
      </c>
      <c r="F1110" s="6" t="s">
        <v>40</v>
      </c>
      <c r="G1110">
        <v>3</v>
      </c>
      <c r="H1110">
        <v>28</v>
      </c>
      <c r="I1110" s="6" t="s">
        <v>36</v>
      </c>
      <c r="J1110" s="6" t="s">
        <v>37</v>
      </c>
      <c r="K1110">
        <v>2</v>
      </c>
      <c r="M1110" s="1" t="b">
        <f>Employee__2[[#This Row],[Experience]]&gt;1</f>
        <v>1</v>
      </c>
      <c r="N1110" s="1" t="str">
        <f>IF(Employee__2[[#This Row],[City]]="Pune","Yes","No")</f>
        <v>No</v>
      </c>
      <c r="O1110" s="1" t="str">
        <f>IF(AND(Employee__2[[#This Row],[Education]]="Bachelors",Employee__2[[#This Row],[City]]="Pune"),"Yes","No")</f>
        <v>No</v>
      </c>
      <c r="P1110" s="1" t="str">
        <f>IF(OR(Employee__2[[#This Row],[Age]]&gt;=30,Employee__2[[#This Row],[Gender]]="Male"),"Mached","Not mached")</f>
        <v>Mached</v>
      </c>
    </row>
    <row r="1111" spans="4:16" x14ac:dyDescent="0.25">
      <c r="D1111" s="6" t="s">
        <v>34</v>
      </c>
      <c r="E1111">
        <v>2014</v>
      </c>
      <c r="F1111" s="6" t="s">
        <v>35</v>
      </c>
      <c r="G1111">
        <v>3</v>
      </c>
      <c r="H1111">
        <v>24</v>
      </c>
      <c r="I1111" s="6" t="s">
        <v>36</v>
      </c>
      <c r="J1111" s="6" t="s">
        <v>37</v>
      </c>
      <c r="K1111">
        <v>2</v>
      </c>
      <c r="M1111" s="1" t="b">
        <f>Employee__2[[#This Row],[Experience]]&gt;1</f>
        <v>1</v>
      </c>
      <c r="N1111" s="1" t="str">
        <f>IF(Employee__2[[#This Row],[City]]="Pune","Yes","No")</f>
        <v>No</v>
      </c>
      <c r="O1111" s="1" t="str">
        <f>IF(AND(Employee__2[[#This Row],[Education]]="Bachelors",Employee__2[[#This Row],[City]]="Pune"),"Yes","No")</f>
        <v>No</v>
      </c>
      <c r="P1111" s="1" t="str">
        <f>IF(OR(Employee__2[[#This Row],[Age]]&gt;=30,Employee__2[[#This Row],[Gender]]="Male"),"Mached","Not mached")</f>
        <v>Mached</v>
      </c>
    </row>
    <row r="1112" spans="4:16" x14ac:dyDescent="0.25">
      <c r="D1112" s="6" t="s">
        <v>34</v>
      </c>
      <c r="E1112">
        <v>2016</v>
      </c>
      <c r="F1112" s="6" t="s">
        <v>35</v>
      </c>
      <c r="G1112">
        <v>3</v>
      </c>
      <c r="H1112">
        <v>26</v>
      </c>
      <c r="I1112" s="6" t="s">
        <v>36</v>
      </c>
      <c r="J1112" s="6" t="s">
        <v>42</v>
      </c>
      <c r="K1112">
        <v>4</v>
      </c>
      <c r="M1112" s="1" t="b">
        <f>Employee__2[[#This Row],[Experience]]&gt;1</f>
        <v>1</v>
      </c>
      <c r="N1112" s="1" t="str">
        <f>IF(Employee__2[[#This Row],[City]]="Pune","Yes","No")</f>
        <v>No</v>
      </c>
      <c r="O1112" s="1" t="str">
        <f>IF(AND(Employee__2[[#This Row],[Education]]="Bachelors",Employee__2[[#This Row],[City]]="Pune"),"Yes","No")</f>
        <v>No</v>
      </c>
      <c r="P1112" s="1" t="str">
        <f>IF(OR(Employee__2[[#This Row],[Age]]&gt;=30,Employee__2[[#This Row],[Gender]]="Male"),"Mached","Not mached")</f>
        <v>Mached</v>
      </c>
    </row>
    <row r="1113" spans="4:16" x14ac:dyDescent="0.25">
      <c r="D1113" s="6" t="s">
        <v>34</v>
      </c>
      <c r="E1113">
        <v>2014</v>
      </c>
      <c r="F1113" s="6" t="s">
        <v>38</v>
      </c>
      <c r="G1113">
        <v>3</v>
      </c>
      <c r="H1113">
        <v>24</v>
      </c>
      <c r="I1113" s="6" t="s">
        <v>39</v>
      </c>
      <c r="J1113" s="6" t="s">
        <v>37</v>
      </c>
      <c r="K1113">
        <v>2</v>
      </c>
      <c r="M1113" s="1" t="b">
        <f>Employee__2[[#This Row],[Experience]]&gt;1</f>
        <v>1</v>
      </c>
      <c r="N1113" s="1" t="str">
        <f>IF(Employee__2[[#This Row],[City]]="Pune","Yes","No")</f>
        <v>Yes</v>
      </c>
      <c r="O1113" s="1" t="str">
        <f>IF(AND(Employee__2[[#This Row],[Education]]="Bachelors",Employee__2[[#This Row],[City]]="Pune"),"Yes","No")</f>
        <v>Yes</v>
      </c>
      <c r="P1113" s="1" t="str">
        <f>IF(OR(Employee__2[[#This Row],[Age]]&gt;=30,Employee__2[[#This Row],[Gender]]="Male"),"Mached","Not mached")</f>
        <v>Not mached</v>
      </c>
    </row>
    <row r="1114" spans="4:16" x14ac:dyDescent="0.25">
      <c r="D1114" s="6" t="s">
        <v>34</v>
      </c>
      <c r="E1114">
        <v>2013</v>
      </c>
      <c r="F1114" s="6" t="s">
        <v>38</v>
      </c>
      <c r="G1114">
        <v>3</v>
      </c>
      <c r="H1114">
        <v>26</v>
      </c>
      <c r="I1114" s="6" t="s">
        <v>36</v>
      </c>
      <c r="J1114" s="6" t="s">
        <v>37</v>
      </c>
      <c r="K1114">
        <v>4</v>
      </c>
      <c r="M1114" s="1" t="b">
        <f>Employee__2[[#This Row],[Experience]]&gt;1</f>
        <v>1</v>
      </c>
      <c r="N1114" s="1" t="str">
        <f>IF(Employee__2[[#This Row],[City]]="Pune","Yes","No")</f>
        <v>Yes</v>
      </c>
      <c r="O1114" s="1" t="str">
        <f>IF(AND(Employee__2[[#This Row],[Education]]="Bachelors",Employee__2[[#This Row],[City]]="Pune"),"Yes","No")</f>
        <v>Yes</v>
      </c>
      <c r="P1114" s="1" t="str">
        <f>IF(OR(Employee__2[[#This Row],[Age]]&gt;=30,Employee__2[[#This Row],[Gender]]="Male"),"Mached","Not mached")</f>
        <v>Mached</v>
      </c>
    </row>
    <row r="1115" spans="4:16" x14ac:dyDescent="0.25">
      <c r="D1115" s="6" t="s">
        <v>34</v>
      </c>
      <c r="E1115">
        <v>2012</v>
      </c>
      <c r="F1115" s="6" t="s">
        <v>35</v>
      </c>
      <c r="G1115">
        <v>3</v>
      </c>
      <c r="H1115">
        <v>27</v>
      </c>
      <c r="I1115" s="6" t="s">
        <v>36</v>
      </c>
      <c r="J1115" s="6" t="s">
        <v>37</v>
      </c>
      <c r="K1115">
        <v>5</v>
      </c>
      <c r="M1115" s="1" t="b">
        <f>Employee__2[[#This Row],[Experience]]&gt;1</f>
        <v>1</v>
      </c>
      <c r="N1115" s="1" t="str">
        <f>IF(Employee__2[[#This Row],[City]]="Pune","Yes","No")</f>
        <v>No</v>
      </c>
      <c r="O1115" s="1" t="str">
        <f>IF(AND(Employee__2[[#This Row],[Education]]="Bachelors",Employee__2[[#This Row],[City]]="Pune"),"Yes","No")</f>
        <v>No</v>
      </c>
      <c r="P1115" s="1" t="str">
        <f>IF(OR(Employee__2[[#This Row],[Age]]&gt;=30,Employee__2[[#This Row],[Gender]]="Male"),"Mached","Not mached")</f>
        <v>Mached</v>
      </c>
    </row>
    <row r="1116" spans="4:16" x14ac:dyDescent="0.25">
      <c r="D1116" s="6" t="s">
        <v>34</v>
      </c>
      <c r="E1116">
        <v>2018</v>
      </c>
      <c r="F1116" s="6" t="s">
        <v>35</v>
      </c>
      <c r="G1116">
        <v>3</v>
      </c>
      <c r="H1116">
        <v>24</v>
      </c>
      <c r="I1116" s="6" t="s">
        <v>36</v>
      </c>
      <c r="J1116" s="6" t="s">
        <v>37</v>
      </c>
      <c r="K1116">
        <v>2</v>
      </c>
      <c r="M1116" s="1" t="b">
        <f>Employee__2[[#This Row],[Experience]]&gt;1</f>
        <v>1</v>
      </c>
      <c r="N1116" s="1" t="str">
        <f>IF(Employee__2[[#This Row],[City]]="Pune","Yes","No")</f>
        <v>No</v>
      </c>
      <c r="O1116" s="1" t="str">
        <f>IF(AND(Employee__2[[#This Row],[Education]]="Bachelors",Employee__2[[#This Row],[City]]="Pune"),"Yes","No")</f>
        <v>No</v>
      </c>
      <c r="P1116" s="1" t="str">
        <f>IF(OR(Employee__2[[#This Row],[Age]]&gt;=30,Employee__2[[#This Row],[Gender]]="Male"),"Mached","Not mached")</f>
        <v>Mached</v>
      </c>
    </row>
    <row r="1117" spans="4:16" x14ac:dyDescent="0.25">
      <c r="D1117" s="6" t="s">
        <v>34</v>
      </c>
      <c r="E1117">
        <v>2017</v>
      </c>
      <c r="F1117" s="6" t="s">
        <v>35</v>
      </c>
      <c r="G1117">
        <v>1</v>
      </c>
      <c r="H1117">
        <v>26</v>
      </c>
      <c r="I1117" s="6" t="s">
        <v>39</v>
      </c>
      <c r="J1117" s="6" t="s">
        <v>37</v>
      </c>
      <c r="K1117">
        <v>4</v>
      </c>
      <c r="M1117" s="1" t="b">
        <f>Employee__2[[#This Row],[Experience]]&gt;1</f>
        <v>1</v>
      </c>
      <c r="N1117" s="1" t="str">
        <f>IF(Employee__2[[#This Row],[City]]="Pune","Yes","No")</f>
        <v>No</v>
      </c>
      <c r="O1117" s="1" t="str">
        <f>IF(AND(Employee__2[[#This Row],[Education]]="Bachelors",Employee__2[[#This Row],[City]]="Pune"),"Yes","No")</f>
        <v>No</v>
      </c>
      <c r="P1117" s="1" t="str">
        <f>IF(OR(Employee__2[[#This Row],[Age]]&gt;=30,Employee__2[[#This Row],[Gender]]="Male"),"Mached","Not mached")</f>
        <v>Not mached</v>
      </c>
    </row>
    <row r="1118" spans="4:16" x14ac:dyDescent="0.25">
      <c r="D1118" s="6" t="s">
        <v>34</v>
      </c>
      <c r="E1118">
        <v>2015</v>
      </c>
      <c r="F1118" s="6" t="s">
        <v>35</v>
      </c>
      <c r="G1118">
        <v>3</v>
      </c>
      <c r="H1118">
        <v>28</v>
      </c>
      <c r="I1118" s="6" t="s">
        <v>39</v>
      </c>
      <c r="J1118" s="6" t="s">
        <v>37</v>
      </c>
      <c r="K1118">
        <v>3</v>
      </c>
      <c r="M1118" s="1" t="b">
        <f>Employee__2[[#This Row],[Experience]]&gt;1</f>
        <v>1</v>
      </c>
      <c r="N1118" s="1" t="str">
        <f>IF(Employee__2[[#This Row],[City]]="Pune","Yes","No")</f>
        <v>No</v>
      </c>
      <c r="O1118" s="1" t="str">
        <f>IF(AND(Employee__2[[#This Row],[Education]]="Bachelors",Employee__2[[#This Row],[City]]="Pune"),"Yes","No")</f>
        <v>No</v>
      </c>
      <c r="P1118" s="1" t="str">
        <f>IF(OR(Employee__2[[#This Row],[Age]]&gt;=30,Employee__2[[#This Row],[Gender]]="Male"),"Mached","Not mached")</f>
        <v>Not mached</v>
      </c>
    </row>
    <row r="1119" spans="4:16" x14ac:dyDescent="0.25">
      <c r="D1119" s="6" t="s">
        <v>34</v>
      </c>
      <c r="E1119">
        <v>2013</v>
      </c>
      <c r="F1119" s="6" t="s">
        <v>35</v>
      </c>
      <c r="G1119">
        <v>3</v>
      </c>
      <c r="H1119">
        <v>28</v>
      </c>
      <c r="I1119" s="6" t="s">
        <v>36</v>
      </c>
      <c r="J1119" s="6" t="s">
        <v>37</v>
      </c>
      <c r="K1119">
        <v>3</v>
      </c>
      <c r="M1119" s="1" t="b">
        <f>Employee__2[[#This Row],[Experience]]&gt;1</f>
        <v>1</v>
      </c>
      <c r="N1119" s="1" t="str">
        <f>IF(Employee__2[[#This Row],[City]]="Pune","Yes","No")</f>
        <v>No</v>
      </c>
      <c r="O1119" s="1" t="str">
        <f>IF(AND(Employee__2[[#This Row],[Education]]="Bachelors",Employee__2[[#This Row],[City]]="Pune"),"Yes","No")</f>
        <v>No</v>
      </c>
      <c r="P1119" s="1" t="str">
        <f>IF(OR(Employee__2[[#This Row],[Age]]&gt;=30,Employee__2[[#This Row],[Gender]]="Male"),"Mached","Not mached")</f>
        <v>Mached</v>
      </c>
    </row>
    <row r="1120" spans="4:16" x14ac:dyDescent="0.25">
      <c r="D1120" s="6" t="s">
        <v>34</v>
      </c>
      <c r="E1120">
        <v>2012</v>
      </c>
      <c r="F1120" s="6" t="s">
        <v>35</v>
      </c>
      <c r="G1120">
        <v>3</v>
      </c>
      <c r="H1120">
        <v>27</v>
      </c>
      <c r="I1120" s="6" t="s">
        <v>36</v>
      </c>
      <c r="J1120" s="6" t="s">
        <v>42</v>
      </c>
      <c r="K1120">
        <v>5</v>
      </c>
      <c r="M1120" s="1" t="b">
        <f>Employee__2[[#This Row],[Experience]]&gt;1</f>
        <v>1</v>
      </c>
      <c r="N1120" s="1" t="str">
        <f>IF(Employee__2[[#This Row],[City]]="Pune","Yes","No")</f>
        <v>No</v>
      </c>
      <c r="O1120" s="1" t="str">
        <f>IF(AND(Employee__2[[#This Row],[Education]]="Bachelors",Employee__2[[#This Row],[City]]="Pune"),"Yes","No")</f>
        <v>No</v>
      </c>
      <c r="P1120" s="1" t="str">
        <f>IF(OR(Employee__2[[#This Row],[Age]]&gt;=30,Employee__2[[#This Row],[Gender]]="Male"),"Mached","Not mached")</f>
        <v>Mached</v>
      </c>
    </row>
    <row r="1121" spans="4:16" x14ac:dyDescent="0.25">
      <c r="D1121" s="6" t="s">
        <v>34</v>
      </c>
      <c r="E1121">
        <v>2013</v>
      </c>
      <c r="F1121" s="6" t="s">
        <v>35</v>
      </c>
      <c r="G1121">
        <v>3</v>
      </c>
      <c r="H1121">
        <v>26</v>
      </c>
      <c r="I1121" s="6" t="s">
        <v>39</v>
      </c>
      <c r="J1121" s="6" t="s">
        <v>37</v>
      </c>
      <c r="K1121">
        <v>4</v>
      </c>
      <c r="M1121" s="1" t="b">
        <f>Employee__2[[#This Row],[Experience]]&gt;1</f>
        <v>1</v>
      </c>
      <c r="N1121" s="1" t="str">
        <f>IF(Employee__2[[#This Row],[City]]="Pune","Yes","No")</f>
        <v>No</v>
      </c>
      <c r="O1121" s="1" t="str">
        <f>IF(AND(Employee__2[[#This Row],[Education]]="Bachelors",Employee__2[[#This Row],[City]]="Pune"),"Yes","No")</f>
        <v>No</v>
      </c>
      <c r="P1121" s="1" t="str">
        <f>IF(OR(Employee__2[[#This Row],[Age]]&gt;=30,Employee__2[[#This Row],[Gender]]="Male"),"Mached","Not mached")</f>
        <v>Not mached</v>
      </c>
    </row>
    <row r="1122" spans="4:16" x14ac:dyDescent="0.25">
      <c r="D1122" s="6" t="s">
        <v>41</v>
      </c>
      <c r="E1122">
        <v>2013</v>
      </c>
      <c r="F1122" s="6" t="s">
        <v>40</v>
      </c>
      <c r="G1122">
        <v>2</v>
      </c>
      <c r="H1122">
        <v>27</v>
      </c>
      <c r="I1122" s="6" t="s">
        <v>39</v>
      </c>
      <c r="J1122" s="6" t="s">
        <v>37</v>
      </c>
      <c r="K1122">
        <v>5</v>
      </c>
      <c r="M1122" s="1" t="b">
        <f>Employee__2[[#This Row],[Experience]]&gt;1</f>
        <v>1</v>
      </c>
      <c r="N1122" s="1" t="str">
        <f>IF(Employee__2[[#This Row],[City]]="Pune","Yes","No")</f>
        <v>No</v>
      </c>
      <c r="O1122" s="1" t="str">
        <f>IF(AND(Employee__2[[#This Row],[Education]]="Bachelors",Employee__2[[#This Row],[City]]="Pune"),"Yes","No")</f>
        <v>No</v>
      </c>
      <c r="P1122" s="1" t="str">
        <f>IF(OR(Employee__2[[#This Row],[Age]]&gt;=30,Employee__2[[#This Row],[Gender]]="Male"),"Mached","Not mached")</f>
        <v>Not mached</v>
      </c>
    </row>
    <row r="1123" spans="4:16" x14ac:dyDescent="0.25">
      <c r="D1123" s="6" t="s">
        <v>34</v>
      </c>
      <c r="E1123">
        <v>2016</v>
      </c>
      <c r="F1123" s="6" t="s">
        <v>40</v>
      </c>
      <c r="G1123">
        <v>3</v>
      </c>
      <c r="H1123">
        <v>24</v>
      </c>
      <c r="I1123" s="6" t="s">
        <v>39</v>
      </c>
      <c r="J1123" s="6" t="s">
        <v>37</v>
      </c>
      <c r="K1123">
        <v>2</v>
      </c>
      <c r="M1123" s="1" t="b">
        <f>Employee__2[[#This Row],[Experience]]&gt;1</f>
        <v>1</v>
      </c>
      <c r="N1123" s="1" t="str">
        <f>IF(Employee__2[[#This Row],[City]]="Pune","Yes","No")</f>
        <v>No</v>
      </c>
      <c r="O1123" s="1" t="str">
        <f>IF(AND(Employee__2[[#This Row],[Education]]="Bachelors",Employee__2[[#This Row],[City]]="Pune"),"Yes","No")</f>
        <v>No</v>
      </c>
      <c r="P1123" s="1" t="str">
        <f>IF(OR(Employee__2[[#This Row],[Age]]&gt;=30,Employee__2[[#This Row],[Gender]]="Male"),"Mached","Not mached")</f>
        <v>Not mached</v>
      </c>
    </row>
    <row r="1124" spans="4:16" x14ac:dyDescent="0.25">
      <c r="D1124" s="6" t="s">
        <v>34</v>
      </c>
      <c r="E1124">
        <v>2015</v>
      </c>
      <c r="F1124" s="6" t="s">
        <v>38</v>
      </c>
      <c r="G1124">
        <v>2</v>
      </c>
      <c r="H1124">
        <v>28</v>
      </c>
      <c r="I1124" s="6" t="s">
        <v>39</v>
      </c>
      <c r="J1124" s="6" t="s">
        <v>37</v>
      </c>
      <c r="K1124">
        <v>2</v>
      </c>
      <c r="M1124" s="1" t="b">
        <f>Employee__2[[#This Row],[Experience]]&gt;1</f>
        <v>1</v>
      </c>
      <c r="N1124" s="1" t="str">
        <f>IF(Employee__2[[#This Row],[City]]="Pune","Yes","No")</f>
        <v>Yes</v>
      </c>
      <c r="O1124" s="1" t="str">
        <f>IF(AND(Employee__2[[#This Row],[Education]]="Bachelors",Employee__2[[#This Row],[City]]="Pune"),"Yes","No")</f>
        <v>Yes</v>
      </c>
      <c r="P1124" s="1" t="str">
        <f>IF(OR(Employee__2[[#This Row],[Age]]&gt;=30,Employee__2[[#This Row],[Gender]]="Male"),"Mached","Not mached")</f>
        <v>Not mached</v>
      </c>
    </row>
    <row r="1125" spans="4:16" x14ac:dyDescent="0.25">
      <c r="D1125" s="6" t="s">
        <v>34</v>
      </c>
      <c r="E1125">
        <v>2015</v>
      </c>
      <c r="F1125" s="6" t="s">
        <v>40</v>
      </c>
      <c r="G1125">
        <v>2</v>
      </c>
      <c r="H1125">
        <v>25</v>
      </c>
      <c r="I1125" s="6" t="s">
        <v>39</v>
      </c>
      <c r="J1125" s="6" t="s">
        <v>37</v>
      </c>
      <c r="K1125">
        <v>3</v>
      </c>
      <c r="M1125" s="1" t="b">
        <f>Employee__2[[#This Row],[Experience]]&gt;1</f>
        <v>1</v>
      </c>
      <c r="N1125" s="1" t="str">
        <f>IF(Employee__2[[#This Row],[City]]="Pune","Yes","No")</f>
        <v>No</v>
      </c>
      <c r="O1125" s="1" t="str">
        <f>IF(AND(Employee__2[[#This Row],[Education]]="Bachelors",Employee__2[[#This Row],[City]]="Pune"),"Yes","No")</f>
        <v>No</v>
      </c>
      <c r="P1125" s="1" t="str">
        <f>IF(OR(Employee__2[[#This Row],[Age]]&gt;=30,Employee__2[[#This Row],[Gender]]="Male"),"Mached","Not mached")</f>
        <v>Not mached</v>
      </c>
    </row>
    <row r="1126" spans="4:16" x14ac:dyDescent="0.25">
      <c r="D1126" s="6" t="s">
        <v>34</v>
      </c>
      <c r="E1126">
        <v>2014</v>
      </c>
      <c r="F1126" s="6" t="s">
        <v>38</v>
      </c>
      <c r="G1126">
        <v>3</v>
      </c>
      <c r="H1126">
        <v>24</v>
      </c>
      <c r="I1126" s="6" t="s">
        <v>36</v>
      </c>
      <c r="J1126" s="6" t="s">
        <v>37</v>
      </c>
      <c r="K1126">
        <v>2</v>
      </c>
      <c r="M1126" s="1" t="b">
        <f>Employee__2[[#This Row],[Experience]]&gt;1</f>
        <v>1</v>
      </c>
      <c r="N1126" s="1" t="str">
        <f>IF(Employee__2[[#This Row],[City]]="Pune","Yes","No")</f>
        <v>Yes</v>
      </c>
      <c r="O1126" s="1" t="str">
        <f>IF(AND(Employee__2[[#This Row],[Education]]="Bachelors",Employee__2[[#This Row],[City]]="Pune"),"Yes","No")</f>
        <v>Yes</v>
      </c>
      <c r="P1126" s="1" t="str">
        <f>IF(OR(Employee__2[[#This Row],[Age]]&gt;=30,Employee__2[[#This Row],[Gender]]="Male"),"Mached","Not mached")</f>
        <v>Mached</v>
      </c>
    </row>
    <row r="1127" spans="4:16" x14ac:dyDescent="0.25">
      <c r="D1127" s="6" t="s">
        <v>34</v>
      </c>
      <c r="E1127">
        <v>2017</v>
      </c>
      <c r="F1127" s="6" t="s">
        <v>40</v>
      </c>
      <c r="G1127">
        <v>3</v>
      </c>
      <c r="H1127">
        <v>27</v>
      </c>
      <c r="I1127" s="6" t="s">
        <v>39</v>
      </c>
      <c r="J1127" s="6" t="s">
        <v>37</v>
      </c>
      <c r="K1127">
        <v>5</v>
      </c>
      <c r="M1127" s="1" t="b">
        <f>Employee__2[[#This Row],[Experience]]&gt;1</f>
        <v>1</v>
      </c>
      <c r="N1127" s="1" t="str">
        <f>IF(Employee__2[[#This Row],[City]]="Pune","Yes","No")</f>
        <v>No</v>
      </c>
      <c r="O1127" s="1" t="str">
        <f>IF(AND(Employee__2[[#This Row],[Education]]="Bachelors",Employee__2[[#This Row],[City]]="Pune"),"Yes","No")</f>
        <v>No</v>
      </c>
      <c r="P1127" s="1" t="str">
        <f>IF(OR(Employee__2[[#This Row],[Age]]&gt;=30,Employee__2[[#This Row],[Gender]]="Male"),"Mached","Not mached")</f>
        <v>Not mached</v>
      </c>
    </row>
    <row r="1128" spans="4:16" x14ac:dyDescent="0.25">
      <c r="D1128" s="6" t="s">
        <v>34</v>
      </c>
      <c r="E1128">
        <v>2012</v>
      </c>
      <c r="F1128" s="6" t="s">
        <v>40</v>
      </c>
      <c r="G1128">
        <v>3</v>
      </c>
      <c r="H1128">
        <v>26</v>
      </c>
      <c r="I1128" s="6" t="s">
        <v>36</v>
      </c>
      <c r="J1128" s="6" t="s">
        <v>37</v>
      </c>
      <c r="K1128">
        <v>4</v>
      </c>
      <c r="M1128" s="1" t="b">
        <f>Employee__2[[#This Row],[Experience]]&gt;1</f>
        <v>1</v>
      </c>
      <c r="N1128" s="1" t="str">
        <f>IF(Employee__2[[#This Row],[City]]="Pune","Yes","No")</f>
        <v>No</v>
      </c>
      <c r="O1128" s="1" t="str">
        <f>IF(AND(Employee__2[[#This Row],[Education]]="Bachelors",Employee__2[[#This Row],[City]]="Pune"),"Yes","No")</f>
        <v>No</v>
      </c>
      <c r="P1128" s="1" t="str">
        <f>IF(OR(Employee__2[[#This Row],[Age]]&gt;=30,Employee__2[[#This Row],[Gender]]="Male"),"Mached","Not mached")</f>
        <v>Mached</v>
      </c>
    </row>
    <row r="1129" spans="4:16" x14ac:dyDescent="0.25">
      <c r="D1129" s="6" t="s">
        <v>34</v>
      </c>
      <c r="E1129">
        <v>2013</v>
      </c>
      <c r="F1129" s="6" t="s">
        <v>35</v>
      </c>
      <c r="G1129">
        <v>3</v>
      </c>
      <c r="H1129">
        <v>28</v>
      </c>
      <c r="I1129" s="6" t="s">
        <v>36</v>
      </c>
      <c r="J1129" s="6" t="s">
        <v>37</v>
      </c>
      <c r="K1129">
        <v>0</v>
      </c>
      <c r="M1129" s="1" t="b">
        <f>Employee__2[[#This Row],[Experience]]&gt;1</f>
        <v>0</v>
      </c>
      <c r="N1129" s="1" t="str">
        <f>IF(Employee__2[[#This Row],[City]]="Pune","Yes","No")</f>
        <v>No</v>
      </c>
      <c r="O1129" s="1" t="str">
        <f>IF(AND(Employee__2[[#This Row],[Education]]="Bachelors",Employee__2[[#This Row],[City]]="Pune"),"Yes","No")</f>
        <v>No</v>
      </c>
      <c r="P1129" s="1" t="str">
        <f>IF(OR(Employee__2[[#This Row],[Age]]&gt;=30,Employee__2[[#This Row],[Gender]]="Male"),"Mached","Not mached")</f>
        <v>Mached</v>
      </c>
    </row>
    <row r="1130" spans="4:16" x14ac:dyDescent="0.25">
      <c r="D1130" s="6" t="s">
        <v>34</v>
      </c>
      <c r="E1130">
        <v>2012</v>
      </c>
      <c r="F1130" s="6" t="s">
        <v>38</v>
      </c>
      <c r="G1130">
        <v>3</v>
      </c>
      <c r="H1130">
        <v>28</v>
      </c>
      <c r="I1130" s="6" t="s">
        <v>36</v>
      </c>
      <c r="J1130" s="6" t="s">
        <v>37</v>
      </c>
      <c r="K1130">
        <v>5</v>
      </c>
      <c r="M1130" s="1" t="b">
        <f>Employee__2[[#This Row],[Experience]]&gt;1</f>
        <v>1</v>
      </c>
      <c r="N1130" s="1" t="str">
        <f>IF(Employee__2[[#This Row],[City]]="Pune","Yes","No")</f>
        <v>Yes</v>
      </c>
      <c r="O1130" s="1" t="str">
        <f>IF(AND(Employee__2[[#This Row],[Education]]="Bachelors",Employee__2[[#This Row],[City]]="Pune"),"Yes","No")</f>
        <v>Yes</v>
      </c>
      <c r="P1130" s="1" t="str">
        <f>IF(OR(Employee__2[[#This Row],[Age]]&gt;=30,Employee__2[[#This Row],[Gender]]="Male"),"Mached","Not mached")</f>
        <v>Mached</v>
      </c>
    </row>
    <row r="1131" spans="4:16" x14ac:dyDescent="0.25">
      <c r="D1131" s="6" t="s">
        <v>34</v>
      </c>
      <c r="E1131">
        <v>2015</v>
      </c>
      <c r="F1131" s="6" t="s">
        <v>38</v>
      </c>
      <c r="G1131">
        <v>2</v>
      </c>
      <c r="H1131">
        <v>26</v>
      </c>
      <c r="I1131" s="6" t="s">
        <v>39</v>
      </c>
      <c r="J1131" s="6" t="s">
        <v>37</v>
      </c>
      <c r="K1131">
        <v>4</v>
      </c>
      <c r="M1131" s="1" t="b">
        <f>Employee__2[[#This Row],[Experience]]&gt;1</f>
        <v>1</v>
      </c>
      <c r="N1131" s="1" t="str">
        <f>IF(Employee__2[[#This Row],[City]]="Pune","Yes","No")</f>
        <v>Yes</v>
      </c>
      <c r="O1131" s="1" t="str">
        <f>IF(AND(Employee__2[[#This Row],[Education]]="Bachelors",Employee__2[[#This Row],[City]]="Pune"),"Yes","No")</f>
        <v>Yes</v>
      </c>
      <c r="P1131" s="1" t="str">
        <f>IF(OR(Employee__2[[#This Row],[Age]]&gt;=30,Employee__2[[#This Row],[Gender]]="Male"),"Mached","Not mached")</f>
        <v>Not mached</v>
      </c>
    </row>
    <row r="1132" spans="4:16" x14ac:dyDescent="0.25">
      <c r="D1132" s="6" t="s">
        <v>34</v>
      </c>
      <c r="E1132">
        <v>2016</v>
      </c>
      <c r="F1132" s="6" t="s">
        <v>35</v>
      </c>
      <c r="G1132">
        <v>1</v>
      </c>
      <c r="H1132">
        <v>26</v>
      </c>
      <c r="I1132" s="6" t="s">
        <v>36</v>
      </c>
      <c r="J1132" s="6" t="s">
        <v>37</v>
      </c>
      <c r="K1132">
        <v>4</v>
      </c>
      <c r="M1132" s="1" t="b">
        <f>Employee__2[[#This Row],[Experience]]&gt;1</f>
        <v>1</v>
      </c>
      <c r="N1132" s="1" t="str">
        <f>IF(Employee__2[[#This Row],[City]]="Pune","Yes","No")</f>
        <v>No</v>
      </c>
      <c r="O1132" s="1" t="str">
        <f>IF(AND(Employee__2[[#This Row],[Education]]="Bachelors",Employee__2[[#This Row],[City]]="Pune"),"Yes","No")</f>
        <v>No</v>
      </c>
      <c r="P1132" s="1" t="str">
        <f>IF(OR(Employee__2[[#This Row],[Age]]&gt;=30,Employee__2[[#This Row],[Gender]]="Male"),"Mached","Not mached")</f>
        <v>Mached</v>
      </c>
    </row>
    <row r="1133" spans="4:16" x14ac:dyDescent="0.25">
      <c r="D1133" s="6" t="s">
        <v>41</v>
      </c>
      <c r="E1133">
        <v>2017</v>
      </c>
      <c r="F1133" s="6" t="s">
        <v>40</v>
      </c>
      <c r="G1133">
        <v>2</v>
      </c>
      <c r="H1133">
        <v>28</v>
      </c>
      <c r="I1133" s="6" t="s">
        <v>39</v>
      </c>
      <c r="J1133" s="6" t="s">
        <v>42</v>
      </c>
      <c r="K1133">
        <v>2</v>
      </c>
      <c r="M1133" s="1" t="b">
        <f>Employee__2[[#This Row],[Experience]]&gt;1</f>
        <v>1</v>
      </c>
      <c r="N1133" s="1" t="str">
        <f>IF(Employee__2[[#This Row],[City]]="Pune","Yes","No")</f>
        <v>No</v>
      </c>
      <c r="O1133" s="1" t="str">
        <f>IF(AND(Employee__2[[#This Row],[Education]]="Bachelors",Employee__2[[#This Row],[City]]="Pune"),"Yes","No")</f>
        <v>No</v>
      </c>
      <c r="P1133" s="1" t="str">
        <f>IF(OR(Employee__2[[#This Row],[Age]]&gt;=30,Employee__2[[#This Row],[Gender]]="Male"),"Mached","Not mached")</f>
        <v>Not mached</v>
      </c>
    </row>
    <row r="1134" spans="4:16" x14ac:dyDescent="0.25">
      <c r="D1134" s="6" t="s">
        <v>41</v>
      </c>
      <c r="E1134">
        <v>2017</v>
      </c>
      <c r="F1134" s="6" t="s">
        <v>40</v>
      </c>
      <c r="G1134">
        <v>2</v>
      </c>
      <c r="H1134">
        <v>25</v>
      </c>
      <c r="I1134" s="6" t="s">
        <v>36</v>
      </c>
      <c r="J1134" s="6" t="s">
        <v>37</v>
      </c>
      <c r="K1134">
        <v>3</v>
      </c>
      <c r="M1134" s="1" t="b">
        <f>Employee__2[[#This Row],[Experience]]&gt;1</f>
        <v>1</v>
      </c>
      <c r="N1134" s="1" t="str">
        <f>IF(Employee__2[[#This Row],[City]]="Pune","Yes","No")</f>
        <v>No</v>
      </c>
      <c r="O1134" s="1" t="str">
        <f>IF(AND(Employee__2[[#This Row],[Education]]="Bachelors",Employee__2[[#This Row],[City]]="Pune"),"Yes","No")</f>
        <v>No</v>
      </c>
      <c r="P1134" s="1" t="str">
        <f>IF(OR(Employee__2[[#This Row],[Age]]&gt;=30,Employee__2[[#This Row],[Gender]]="Male"),"Mached","Not mached")</f>
        <v>Mached</v>
      </c>
    </row>
    <row r="1135" spans="4:16" x14ac:dyDescent="0.25">
      <c r="D1135" s="6" t="s">
        <v>34</v>
      </c>
      <c r="E1135">
        <v>2017</v>
      </c>
      <c r="F1135" s="6" t="s">
        <v>35</v>
      </c>
      <c r="G1135">
        <v>3</v>
      </c>
      <c r="H1135">
        <v>24</v>
      </c>
      <c r="I1135" s="6" t="s">
        <v>36</v>
      </c>
      <c r="J1135" s="6" t="s">
        <v>37</v>
      </c>
      <c r="K1135">
        <v>2</v>
      </c>
      <c r="M1135" s="1" t="b">
        <f>Employee__2[[#This Row],[Experience]]&gt;1</f>
        <v>1</v>
      </c>
      <c r="N1135" s="1" t="str">
        <f>IF(Employee__2[[#This Row],[City]]="Pune","Yes","No")</f>
        <v>No</v>
      </c>
      <c r="O1135" s="1" t="str">
        <f>IF(AND(Employee__2[[#This Row],[Education]]="Bachelors",Employee__2[[#This Row],[City]]="Pune"),"Yes","No")</f>
        <v>No</v>
      </c>
      <c r="P1135" s="1" t="str">
        <f>IF(OR(Employee__2[[#This Row],[Age]]&gt;=30,Employee__2[[#This Row],[Gender]]="Male"),"Mached","Not mached")</f>
        <v>Mached</v>
      </c>
    </row>
    <row r="1136" spans="4:16" x14ac:dyDescent="0.25">
      <c r="D1136" s="6" t="s">
        <v>34</v>
      </c>
      <c r="E1136">
        <v>2013</v>
      </c>
      <c r="F1136" s="6" t="s">
        <v>35</v>
      </c>
      <c r="G1136">
        <v>3</v>
      </c>
      <c r="H1136">
        <v>28</v>
      </c>
      <c r="I1136" s="6" t="s">
        <v>36</v>
      </c>
      <c r="J1136" s="6" t="s">
        <v>37</v>
      </c>
      <c r="K1136">
        <v>0</v>
      </c>
      <c r="M1136" s="1" t="b">
        <f>Employee__2[[#This Row],[Experience]]&gt;1</f>
        <v>0</v>
      </c>
      <c r="N1136" s="1" t="str">
        <f>IF(Employee__2[[#This Row],[City]]="Pune","Yes","No")</f>
        <v>No</v>
      </c>
      <c r="O1136" s="1" t="str">
        <f>IF(AND(Employee__2[[#This Row],[Education]]="Bachelors",Employee__2[[#This Row],[City]]="Pune"),"Yes","No")</f>
        <v>No</v>
      </c>
      <c r="P1136" s="1" t="str">
        <f>IF(OR(Employee__2[[#This Row],[Age]]&gt;=30,Employee__2[[#This Row],[Gender]]="Male"),"Mached","Not mached")</f>
        <v>Mached</v>
      </c>
    </row>
    <row r="1137" spans="4:16" x14ac:dyDescent="0.25">
      <c r="D1137" s="6" t="s">
        <v>34</v>
      </c>
      <c r="E1137">
        <v>2014</v>
      </c>
      <c r="F1137" s="6" t="s">
        <v>38</v>
      </c>
      <c r="G1137">
        <v>3</v>
      </c>
      <c r="H1137">
        <v>27</v>
      </c>
      <c r="I1137" s="6" t="s">
        <v>36</v>
      </c>
      <c r="J1137" s="6" t="s">
        <v>37</v>
      </c>
      <c r="K1137">
        <v>5</v>
      </c>
      <c r="M1137" s="1" t="b">
        <f>Employee__2[[#This Row],[Experience]]&gt;1</f>
        <v>1</v>
      </c>
      <c r="N1137" s="1" t="str">
        <f>IF(Employee__2[[#This Row],[City]]="Pune","Yes","No")</f>
        <v>Yes</v>
      </c>
      <c r="O1137" s="1" t="str">
        <f>IF(AND(Employee__2[[#This Row],[Education]]="Bachelors",Employee__2[[#This Row],[City]]="Pune"),"Yes","No")</f>
        <v>Yes</v>
      </c>
      <c r="P1137" s="1" t="str">
        <f>IF(OR(Employee__2[[#This Row],[Age]]&gt;=30,Employee__2[[#This Row],[Gender]]="Male"),"Mached","Not mached")</f>
        <v>Mached</v>
      </c>
    </row>
    <row r="1138" spans="4:16" x14ac:dyDescent="0.25">
      <c r="D1138" s="6" t="s">
        <v>34</v>
      </c>
      <c r="E1138">
        <v>2016</v>
      </c>
      <c r="F1138" s="6" t="s">
        <v>38</v>
      </c>
      <c r="G1138">
        <v>2</v>
      </c>
      <c r="H1138">
        <v>26</v>
      </c>
      <c r="I1138" s="6" t="s">
        <v>39</v>
      </c>
      <c r="J1138" s="6" t="s">
        <v>37</v>
      </c>
      <c r="K1138">
        <v>4</v>
      </c>
      <c r="M1138" s="1" t="b">
        <f>Employee__2[[#This Row],[Experience]]&gt;1</f>
        <v>1</v>
      </c>
      <c r="N1138" s="1" t="str">
        <f>IF(Employee__2[[#This Row],[City]]="Pune","Yes","No")</f>
        <v>Yes</v>
      </c>
      <c r="O1138" s="1" t="str">
        <f>IF(AND(Employee__2[[#This Row],[Education]]="Bachelors",Employee__2[[#This Row],[City]]="Pune"),"Yes","No")</f>
        <v>Yes</v>
      </c>
      <c r="P1138" s="1" t="str">
        <f>IF(OR(Employee__2[[#This Row],[Age]]&gt;=30,Employee__2[[#This Row],[Gender]]="Male"),"Mached","Not mached")</f>
        <v>Not mached</v>
      </c>
    </row>
    <row r="1139" spans="4:16" x14ac:dyDescent="0.25">
      <c r="D1139" s="6" t="s">
        <v>34</v>
      </c>
      <c r="E1139">
        <v>2018</v>
      </c>
      <c r="F1139" s="6" t="s">
        <v>35</v>
      </c>
      <c r="G1139">
        <v>3</v>
      </c>
      <c r="H1139">
        <v>27</v>
      </c>
      <c r="I1139" s="6" t="s">
        <v>39</v>
      </c>
      <c r="J1139" s="6" t="s">
        <v>42</v>
      </c>
      <c r="K1139">
        <v>5</v>
      </c>
      <c r="M1139" s="1" t="b">
        <f>Employee__2[[#This Row],[Experience]]&gt;1</f>
        <v>1</v>
      </c>
      <c r="N1139" s="1" t="str">
        <f>IF(Employee__2[[#This Row],[City]]="Pune","Yes","No")</f>
        <v>No</v>
      </c>
      <c r="O1139" s="1" t="str">
        <f>IF(AND(Employee__2[[#This Row],[Education]]="Bachelors",Employee__2[[#This Row],[City]]="Pune"),"Yes","No")</f>
        <v>No</v>
      </c>
      <c r="P1139" s="1" t="str">
        <f>IF(OR(Employee__2[[#This Row],[Age]]&gt;=30,Employee__2[[#This Row],[Gender]]="Male"),"Mached","Not mached")</f>
        <v>Not mached</v>
      </c>
    </row>
    <row r="1140" spans="4:16" x14ac:dyDescent="0.25">
      <c r="D1140" s="6" t="s">
        <v>34</v>
      </c>
      <c r="E1140">
        <v>2012</v>
      </c>
      <c r="F1140" s="6" t="s">
        <v>38</v>
      </c>
      <c r="G1140">
        <v>3</v>
      </c>
      <c r="H1140">
        <v>28</v>
      </c>
      <c r="I1140" s="6" t="s">
        <v>36</v>
      </c>
      <c r="J1140" s="6" t="s">
        <v>37</v>
      </c>
      <c r="K1140">
        <v>4</v>
      </c>
      <c r="M1140" s="1" t="b">
        <f>Employee__2[[#This Row],[Experience]]&gt;1</f>
        <v>1</v>
      </c>
      <c r="N1140" s="1" t="str">
        <f>IF(Employee__2[[#This Row],[City]]="Pune","Yes","No")</f>
        <v>Yes</v>
      </c>
      <c r="O1140" s="1" t="str">
        <f>IF(AND(Employee__2[[#This Row],[Education]]="Bachelors",Employee__2[[#This Row],[City]]="Pune"),"Yes","No")</f>
        <v>Yes</v>
      </c>
      <c r="P1140" s="1" t="str">
        <f>IF(OR(Employee__2[[#This Row],[Age]]&gt;=30,Employee__2[[#This Row],[Gender]]="Male"),"Mached","Not mached")</f>
        <v>Mached</v>
      </c>
    </row>
    <row r="1141" spans="4:16" x14ac:dyDescent="0.25">
      <c r="D1141" s="6" t="s">
        <v>34</v>
      </c>
      <c r="E1141">
        <v>2013</v>
      </c>
      <c r="F1141" s="6" t="s">
        <v>38</v>
      </c>
      <c r="G1141">
        <v>2</v>
      </c>
      <c r="H1141">
        <v>26</v>
      </c>
      <c r="I1141" s="6" t="s">
        <v>39</v>
      </c>
      <c r="J1141" s="6" t="s">
        <v>37</v>
      </c>
      <c r="K1141">
        <v>4</v>
      </c>
      <c r="M1141" s="1" t="b">
        <f>Employee__2[[#This Row],[Experience]]&gt;1</f>
        <v>1</v>
      </c>
      <c r="N1141" s="1" t="str">
        <f>IF(Employee__2[[#This Row],[City]]="Pune","Yes","No")</f>
        <v>Yes</v>
      </c>
      <c r="O1141" s="1" t="str">
        <f>IF(AND(Employee__2[[#This Row],[Education]]="Bachelors",Employee__2[[#This Row],[City]]="Pune"),"Yes","No")</f>
        <v>Yes</v>
      </c>
      <c r="P1141" s="1" t="str">
        <f>IF(OR(Employee__2[[#This Row],[Age]]&gt;=30,Employee__2[[#This Row],[Gender]]="Male"),"Mached","Not mached")</f>
        <v>Not mached</v>
      </c>
    </row>
    <row r="1142" spans="4:16" x14ac:dyDescent="0.25">
      <c r="D1142" s="6" t="s">
        <v>34</v>
      </c>
      <c r="E1142">
        <v>2014</v>
      </c>
      <c r="F1142" s="6" t="s">
        <v>35</v>
      </c>
      <c r="G1142">
        <v>3</v>
      </c>
      <c r="H1142">
        <v>28</v>
      </c>
      <c r="I1142" s="6" t="s">
        <v>39</v>
      </c>
      <c r="J1142" s="6" t="s">
        <v>37</v>
      </c>
      <c r="K1142">
        <v>3</v>
      </c>
      <c r="M1142" s="1" t="b">
        <f>Employee__2[[#This Row],[Experience]]&gt;1</f>
        <v>1</v>
      </c>
      <c r="N1142" s="1" t="str">
        <f>IF(Employee__2[[#This Row],[City]]="Pune","Yes","No")</f>
        <v>No</v>
      </c>
      <c r="O1142" s="1" t="str">
        <f>IF(AND(Employee__2[[#This Row],[Education]]="Bachelors",Employee__2[[#This Row],[City]]="Pune"),"Yes","No")</f>
        <v>No</v>
      </c>
      <c r="P1142" s="1" t="str">
        <f>IF(OR(Employee__2[[#This Row],[Age]]&gt;=30,Employee__2[[#This Row],[Gender]]="Male"),"Mached","Not mached")</f>
        <v>Not mached</v>
      </c>
    </row>
    <row r="1143" spans="4:16" x14ac:dyDescent="0.25">
      <c r="D1143" s="6" t="s">
        <v>41</v>
      </c>
      <c r="E1143">
        <v>2017</v>
      </c>
      <c r="F1143" s="6" t="s">
        <v>40</v>
      </c>
      <c r="G1143">
        <v>2</v>
      </c>
      <c r="H1143">
        <v>28</v>
      </c>
      <c r="I1143" s="6" t="s">
        <v>39</v>
      </c>
      <c r="J1143" s="6" t="s">
        <v>37</v>
      </c>
      <c r="K1143">
        <v>2</v>
      </c>
      <c r="M1143" s="1" t="b">
        <f>Employee__2[[#This Row],[Experience]]&gt;1</f>
        <v>1</v>
      </c>
      <c r="N1143" s="1" t="str">
        <f>IF(Employee__2[[#This Row],[City]]="Pune","Yes","No")</f>
        <v>No</v>
      </c>
      <c r="O1143" s="1" t="str">
        <f>IF(AND(Employee__2[[#This Row],[Education]]="Bachelors",Employee__2[[#This Row],[City]]="Pune"),"Yes","No")</f>
        <v>No</v>
      </c>
      <c r="P1143" s="1" t="str">
        <f>IF(OR(Employee__2[[#This Row],[Age]]&gt;=30,Employee__2[[#This Row],[Gender]]="Male"),"Mached","Not mached")</f>
        <v>Not mached</v>
      </c>
    </row>
    <row r="1144" spans="4:16" x14ac:dyDescent="0.25">
      <c r="D1144" s="6" t="s">
        <v>34</v>
      </c>
      <c r="E1144">
        <v>2012</v>
      </c>
      <c r="F1144" s="6" t="s">
        <v>40</v>
      </c>
      <c r="G1144">
        <v>1</v>
      </c>
      <c r="H1144">
        <v>27</v>
      </c>
      <c r="I1144" s="6" t="s">
        <v>39</v>
      </c>
      <c r="J1144" s="6" t="s">
        <v>37</v>
      </c>
      <c r="K1144">
        <v>5</v>
      </c>
      <c r="M1144" s="1" t="b">
        <f>Employee__2[[#This Row],[Experience]]&gt;1</f>
        <v>1</v>
      </c>
      <c r="N1144" s="1" t="str">
        <f>IF(Employee__2[[#This Row],[City]]="Pune","Yes","No")</f>
        <v>No</v>
      </c>
      <c r="O1144" s="1" t="str">
        <f>IF(AND(Employee__2[[#This Row],[Education]]="Bachelors",Employee__2[[#This Row],[City]]="Pune"),"Yes","No")</f>
        <v>No</v>
      </c>
      <c r="P1144" s="1" t="str">
        <f>IF(OR(Employee__2[[#This Row],[Age]]&gt;=30,Employee__2[[#This Row],[Gender]]="Male"),"Mached","Not mached")</f>
        <v>Not mached</v>
      </c>
    </row>
    <row r="1145" spans="4:16" x14ac:dyDescent="0.25">
      <c r="D1145" s="6" t="s">
        <v>34</v>
      </c>
      <c r="E1145">
        <v>2017</v>
      </c>
      <c r="F1145" s="6" t="s">
        <v>40</v>
      </c>
      <c r="G1145">
        <v>2</v>
      </c>
      <c r="H1145">
        <v>27</v>
      </c>
      <c r="I1145" s="6" t="s">
        <v>36</v>
      </c>
      <c r="J1145" s="6" t="s">
        <v>37</v>
      </c>
      <c r="K1145">
        <v>5</v>
      </c>
      <c r="M1145" s="1" t="b">
        <f>Employee__2[[#This Row],[Experience]]&gt;1</f>
        <v>1</v>
      </c>
      <c r="N1145" s="1" t="str">
        <f>IF(Employee__2[[#This Row],[City]]="Pune","Yes","No")</f>
        <v>No</v>
      </c>
      <c r="O1145" s="1" t="str">
        <f>IF(AND(Employee__2[[#This Row],[Education]]="Bachelors",Employee__2[[#This Row],[City]]="Pune"),"Yes","No")</f>
        <v>No</v>
      </c>
      <c r="P1145" s="1" t="str">
        <f>IF(OR(Employee__2[[#This Row],[Age]]&gt;=30,Employee__2[[#This Row],[Gender]]="Male"),"Mached","Not mached")</f>
        <v>Mached</v>
      </c>
    </row>
    <row r="1146" spans="4:16" x14ac:dyDescent="0.25">
      <c r="D1146" s="6" t="s">
        <v>34</v>
      </c>
      <c r="E1146">
        <v>2014</v>
      </c>
      <c r="F1146" s="6" t="s">
        <v>35</v>
      </c>
      <c r="G1146">
        <v>3</v>
      </c>
      <c r="H1146">
        <v>24</v>
      </c>
      <c r="I1146" s="6" t="s">
        <v>36</v>
      </c>
      <c r="J1146" s="6" t="s">
        <v>37</v>
      </c>
      <c r="K1146">
        <v>2</v>
      </c>
      <c r="M1146" s="1" t="b">
        <f>Employee__2[[#This Row],[Experience]]&gt;1</f>
        <v>1</v>
      </c>
      <c r="N1146" s="1" t="str">
        <f>IF(Employee__2[[#This Row],[City]]="Pune","Yes","No")</f>
        <v>No</v>
      </c>
      <c r="O1146" s="1" t="str">
        <f>IF(AND(Employee__2[[#This Row],[Education]]="Bachelors",Employee__2[[#This Row],[City]]="Pune"),"Yes","No")</f>
        <v>No</v>
      </c>
      <c r="P1146" s="1" t="str">
        <f>IF(OR(Employee__2[[#This Row],[Age]]&gt;=30,Employee__2[[#This Row],[Gender]]="Male"),"Mached","Not mached")</f>
        <v>Mached</v>
      </c>
    </row>
    <row r="1147" spans="4:16" x14ac:dyDescent="0.25">
      <c r="D1147" s="6" t="s">
        <v>34</v>
      </c>
      <c r="E1147">
        <v>2013</v>
      </c>
      <c r="F1147" s="6" t="s">
        <v>38</v>
      </c>
      <c r="G1147">
        <v>3</v>
      </c>
      <c r="H1147">
        <v>27</v>
      </c>
      <c r="I1147" s="6" t="s">
        <v>36</v>
      </c>
      <c r="J1147" s="6" t="s">
        <v>37</v>
      </c>
      <c r="K1147">
        <v>5</v>
      </c>
      <c r="M1147" s="1" t="b">
        <f>Employee__2[[#This Row],[Experience]]&gt;1</f>
        <v>1</v>
      </c>
      <c r="N1147" s="1" t="str">
        <f>IF(Employee__2[[#This Row],[City]]="Pune","Yes","No")</f>
        <v>Yes</v>
      </c>
      <c r="O1147" s="1" t="str">
        <f>IF(AND(Employee__2[[#This Row],[Education]]="Bachelors",Employee__2[[#This Row],[City]]="Pune"),"Yes","No")</f>
        <v>Yes</v>
      </c>
      <c r="P1147" s="1" t="str">
        <f>IF(OR(Employee__2[[#This Row],[Age]]&gt;=30,Employee__2[[#This Row],[Gender]]="Male"),"Mached","Not mached")</f>
        <v>Mached</v>
      </c>
    </row>
    <row r="1148" spans="4:16" x14ac:dyDescent="0.25">
      <c r="D1148" s="6" t="s">
        <v>34</v>
      </c>
      <c r="E1148">
        <v>2015</v>
      </c>
      <c r="F1148" s="6" t="s">
        <v>35</v>
      </c>
      <c r="G1148">
        <v>3</v>
      </c>
      <c r="H1148">
        <v>27</v>
      </c>
      <c r="I1148" s="6" t="s">
        <v>39</v>
      </c>
      <c r="J1148" s="6" t="s">
        <v>37</v>
      </c>
      <c r="K1148">
        <v>5</v>
      </c>
      <c r="M1148" s="1" t="b">
        <f>Employee__2[[#This Row],[Experience]]&gt;1</f>
        <v>1</v>
      </c>
      <c r="N1148" s="1" t="str">
        <f>IF(Employee__2[[#This Row],[City]]="Pune","Yes","No")</f>
        <v>No</v>
      </c>
      <c r="O1148" s="1" t="str">
        <f>IF(AND(Employee__2[[#This Row],[Education]]="Bachelors",Employee__2[[#This Row],[City]]="Pune"),"Yes","No")</f>
        <v>No</v>
      </c>
      <c r="P1148" s="1" t="str">
        <f>IF(OR(Employee__2[[#This Row],[Age]]&gt;=30,Employee__2[[#This Row],[Gender]]="Male"),"Mached","Not mached")</f>
        <v>Not mached</v>
      </c>
    </row>
    <row r="1149" spans="4:16" x14ac:dyDescent="0.25">
      <c r="D1149" s="6" t="s">
        <v>34</v>
      </c>
      <c r="E1149">
        <v>2017</v>
      </c>
      <c r="F1149" s="6" t="s">
        <v>35</v>
      </c>
      <c r="G1149">
        <v>3</v>
      </c>
      <c r="H1149">
        <v>27</v>
      </c>
      <c r="I1149" s="6" t="s">
        <v>36</v>
      </c>
      <c r="J1149" s="6" t="s">
        <v>37</v>
      </c>
      <c r="K1149">
        <v>5</v>
      </c>
      <c r="M1149" s="1" t="b">
        <f>Employee__2[[#This Row],[Experience]]&gt;1</f>
        <v>1</v>
      </c>
      <c r="N1149" s="1" t="str">
        <f>IF(Employee__2[[#This Row],[City]]="Pune","Yes","No")</f>
        <v>No</v>
      </c>
      <c r="O1149" s="1" t="str">
        <f>IF(AND(Employee__2[[#This Row],[Education]]="Bachelors",Employee__2[[#This Row],[City]]="Pune"),"Yes","No")</f>
        <v>No</v>
      </c>
      <c r="P1149" s="1" t="str">
        <f>IF(OR(Employee__2[[#This Row],[Age]]&gt;=30,Employee__2[[#This Row],[Gender]]="Male"),"Mached","Not mached")</f>
        <v>Mached</v>
      </c>
    </row>
    <row r="1150" spans="4:16" x14ac:dyDescent="0.25">
      <c r="D1150" s="6" t="s">
        <v>41</v>
      </c>
      <c r="E1150">
        <v>2012</v>
      </c>
      <c r="F1150" s="6" t="s">
        <v>40</v>
      </c>
      <c r="G1150">
        <v>3</v>
      </c>
      <c r="H1150">
        <v>24</v>
      </c>
      <c r="I1150" s="6" t="s">
        <v>36</v>
      </c>
      <c r="J1150" s="6" t="s">
        <v>37</v>
      </c>
      <c r="K1150">
        <v>2</v>
      </c>
      <c r="M1150" s="1" t="b">
        <f>Employee__2[[#This Row],[Experience]]&gt;1</f>
        <v>1</v>
      </c>
      <c r="N1150" s="1" t="str">
        <f>IF(Employee__2[[#This Row],[City]]="Pune","Yes","No")</f>
        <v>No</v>
      </c>
      <c r="O1150" s="1" t="str">
        <f>IF(AND(Employee__2[[#This Row],[Education]]="Bachelors",Employee__2[[#This Row],[City]]="Pune"),"Yes","No")</f>
        <v>No</v>
      </c>
      <c r="P1150" s="1" t="str">
        <f>IF(OR(Employee__2[[#This Row],[Age]]&gt;=30,Employee__2[[#This Row],[Gender]]="Male"),"Mached","Not mached")</f>
        <v>Mached</v>
      </c>
    </row>
    <row r="1151" spans="4:16" x14ac:dyDescent="0.25">
      <c r="D1151" s="6" t="s">
        <v>34</v>
      </c>
      <c r="E1151">
        <v>2013</v>
      </c>
      <c r="F1151" s="6" t="s">
        <v>40</v>
      </c>
      <c r="G1151">
        <v>2</v>
      </c>
      <c r="H1151">
        <v>25</v>
      </c>
      <c r="I1151" s="6" t="s">
        <v>39</v>
      </c>
      <c r="J1151" s="6" t="s">
        <v>37</v>
      </c>
      <c r="K1151">
        <v>3</v>
      </c>
      <c r="M1151" s="1" t="b">
        <f>Employee__2[[#This Row],[Experience]]&gt;1</f>
        <v>1</v>
      </c>
      <c r="N1151" s="1" t="str">
        <f>IF(Employee__2[[#This Row],[City]]="Pune","Yes","No")</f>
        <v>No</v>
      </c>
      <c r="O1151" s="1" t="str">
        <f>IF(AND(Employee__2[[#This Row],[Education]]="Bachelors",Employee__2[[#This Row],[City]]="Pune"),"Yes","No")</f>
        <v>No</v>
      </c>
      <c r="P1151" s="1" t="str">
        <f>IF(OR(Employee__2[[#This Row],[Age]]&gt;=30,Employee__2[[#This Row],[Gender]]="Male"),"Mached","Not mached")</f>
        <v>Not mached</v>
      </c>
    </row>
    <row r="1152" spans="4:16" x14ac:dyDescent="0.25">
      <c r="D1152" s="6" t="s">
        <v>34</v>
      </c>
      <c r="E1152">
        <v>2017</v>
      </c>
      <c r="F1152" s="6" t="s">
        <v>35</v>
      </c>
      <c r="G1152">
        <v>3</v>
      </c>
      <c r="H1152">
        <v>25</v>
      </c>
      <c r="I1152" s="6" t="s">
        <v>36</v>
      </c>
      <c r="J1152" s="6" t="s">
        <v>37</v>
      </c>
      <c r="K1152">
        <v>3</v>
      </c>
      <c r="M1152" s="1" t="b">
        <f>Employee__2[[#This Row],[Experience]]&gt;1</f>
        <v>1</v>
      </c>
      <c r="N1152" s="1" t="str">
        <f>IF(Employee__2[[#This Row],[City]]="Pune","Yes","No")</f>
        <v>No</v>
      </c>
      <c r="O1152" s="1" t="str">
        <f>IF(AND(Employee__2[[#This Row],[Education]]="Bachelors",Employee__2[[#This Row],[City]]="Pune"),"Yes","No")</f>
        <v>No</v>
      </c>
      <c r="P1152" s="1" t="str">
        <f>IF(OR(Employee__2[[#This Row],[Age]]&gt;=30,Employee__2[[#This Row],[Gender]]="Male"),"Mached","Not mached")</f>
        <v>Mached</v>
      </c>
    </row>
    <row r="1153" spans="4:16" x14ac:dyDescent="0.25">
      <c r="D1153" s="6" t="s">
        <v>34</v>
      </c>
      <c r="E1153">
        <v>2018</v>
      </c>
      <c r="F1153" s="6" t="s">
        <v>35</v>
      </c>
      <c r="G1153">
        <v>3</v>
      </c>
      <c r="H1153">
        <v>25</v>
      </c>
      <c r="I1153" s="6" t="s">
        <v>36</v>
      </c>
      <c r="J1153" s="6" t="s">
        <v>37</v>
      </c>
      <c r="K1153">
        <v>3</v>
      </c>
      <c r="M1153" s="1" t="b">
        <f>Employee__2[[#This Row],[Experience]]&gt;1</f>
        <v>1</v>
      </c>
      <c r="N1153" s="1" t="str">
        <f>IF(Employee__2[[#This Row],[City]]="Pune","Yes","No")</f>
        <v>No</v>
      </c>
      <c r="O1153" s="1" t="str">
        <f>IF(AND(Employee__2[[#This Row],[Education]]="Bachelors",Employee__2[[#This Row],[City]]="Pune"),"Yes","No")</f>
        <v>No</v>
      </c>
      <c r="P1153" s="1" t="str">
        <f>IF(OR(Employee__2[[#This Row],[Age]]&gt;=30,Employee__2[[#This Row],[Gender]]="Male"),"Mached","Not mached")</f>
        <v>Mached</v>
      </c>
    </row>
    <row r="1154" spans="4:16" x14ac:dyDescent="0.25">
      <c r="D1154" s="6" t="s">
        <v>41</v>
      </c>
      <c r="E1154">
        <v>2013</v>
      </c>
      <c r="F1154" s="6" t="s">
        <v>38</v>
      </c>
      <c r="G1154">
        <v>3</v>
      </c>
      <c r="H1154">
        <v>25</v>
      </c>
      <c r="I1154" s="6" t="s">
        <v>36</v>
      </c>
      <c r="J1154" s="6" t="s">
        <v>42</v>
      </c>
      <c r="K1154">
        <v>3</v>
      </c>
      <c r="M1154" s="1" t="b">
        <f>Employee__2[[#This Row],[Experience]]&gt;1</f>
        <v>1</v>
      </c>
      <c r="N1154" s="1" t="str">
        <f>IF(Employee__2[[#This Row],[City]]="Pune","Yes","No")</f>
        <v>Yes</v>
      </c>
      <c r="O1154" s="1" t="str">
        <f>IF(AND(Employee__2[[#This Row],[Education]]="Bachelors",Employee__2[[#This Row],[City]]="Pune"),"Yes","No")</f>
        <v>No</v>
      </c>
      <c r="P1154" s="1" t="str">
        <f>IF(OR(Employee__2[[#This Row],[Age]]&gt;=30,Employee__2[[#This Row],[Gender]]="Male"),"Mached","Not mached")</f>
        <v>Mached</v>
      </c>
    </row>
    <row r="1155" spans="4:16" x14ac:dyDescent="0.25">
      <c r="D1155" s="6" t="s">
        <v>34</v>
      </c>
      <c r="E1155">
        <v>2013</v>
      </c>
      <c r="F1155" s="6" t="s">
        <v>38</v>
      </c>
      <c r="G1155">
        <v>3</v>
      </c>
      <c r="H1155">
        <v>24</v>
      </c>
      <c r="I1155" s="6" t="s">
        <v>39</v>
      </c>
      <c r="J1155" s="6" t="s">
        <v>37</v>
      </c>
      <c r="K1155">
        <v>2</v>
      </c>
      <c r="M1155" s="1" t="b">
        <f>Employee__2[[#This Row],[Experience]]&gt;1</f>
        <v>1</v>
      </c>
      <c r="N1155" s="1" t="str">
        <f>IF(Employee__2[[#This Row],[City]]="Pune","Yes","No")</f>
        <v>Yes</v>
      </c>
      <c r="O1155" s="1" t="str">
        <f>IF(AND(Employee__2[[#This Row],[Education]]="Bachelors",Employee__2[[#This Row],[City]]="Pune"),"Yes","No")</f>
        <v>Yes</v>
      </c>
      <c r="P1155" s="1" t="str">
        <f>IF(OR(Employee__2[[#This Row],[Age]]&gt;=30,Employee__2[[#This Row],[Gender]]="Male"),"Mached","Not mached")</f>
        <v>Not mached</v>
      </c>
    </row>
    <row r="1156" spans="4:16" x14ac:dyDescent="0.25">
      <c r="D1156" s="6" t="s">
        <v>34</v>
      </c>
      <c r="E1156">
        <v>2015</v>
      </c>
      <c r="F1156" s="6" t="s">
        <v>38</v>
      </c>
      <c r="G1156">
        <v>3</v>
      </c>
      <c r="H1156">
        <v>24</v>
      </c>
      <c r="I1156" s="6" t="s">
        <v>39</v>
      </c>
      <c r="J1156" s="6" t="s">
        <v>37</v>
      </c>
      <c r="K1156">
        <v>2</v>
      </c>
      <c r="M1156" s="1" t="b">
        <f>Employee__2[[#This Row],[Experience]]&gt;1</f>
        <v>1</v>
      </c>
      <c r="N1156" s="1" t="str">
        <f>IF(Employee__2[[#This Row],[City]]="Pune","Yes","No")</f>
        <v>Yes</v>
      </c>
      <c r="O1156" s="1" t="str">
        <f>IF(AND(Employee__2[[#This Row],[Education]]="Bachelors",Employee__2[[#This Row],[City]]="Pune"),"Yes","No")</f>
        <v>Yes</v>
      </c>
      <c r="P1156" s="1" t="str">
        <f>IF(OR(Employee__2[[#This Row],[Age]]&gt;=30,Employee__2[[#This Row],[Gender]]="Male"),"Mached","Not mached")</f>
        <v>Not mached</v>
      </c>
    </row>
    <row r="1157" spans="4:16" x14ac:dyDescent="0.25">
      <c r="D1157" s="6" t="s">
        <v>34</v>
      </c>
      <c r="E1157">
        <v>2014</v>
      </c>
      <c r="F1157" s="6" t="s">
        <v>35</v>
      </c>
      <c r="G1157">
        <v>3</v>
      </c>
      <c r="H1157">
        <v>24</v>
      </c>
      <c r="I1157" s="6" t="s">
        <v>36</v>
      </c>
      <c r="J1157" s="6" t="s">
        <v>37</v>
      </c>
      <c r="K1157">
        <v>2</v>
      </c>
      <c r="M1157" s="1" t="b">
        <f>Employee__2[[#This Row],[Experience]]&gt;1</f>
        <v>1</v>
      </c>
      <c r="N1157" s="1" t="str">
        <f>IF(Employee__2[[#This Row],[City]]="Pune","Yes","No")</f>
        <v>No</v>
      </c>
      <c r="O1157" s="1" t="str">
        <f>IF(AND(Employee__2[[#This Row],[Education]]="Bachelors",Employee__2[[#This Row],[City]]="Pune"),"Yes","No")</f>
        <v>No</v>
      </c>
      <c r="P1157" s="1" t="str">
        <f>IF(OR(Employee__2[[#This Row],[Age]]&gt;=30,Employee__2[[#This Row],[Gender]]="Male"),"Mached","Not mached")</f>
        <v>Mached</v>
      </c>
    </row>
    <row r="1158" spans="4:16" x14ac:dyDescent="0.25">
      <c r="D1158" s="6" t="s">
        <v>41</v>
      </c>
      <c r="E1158">
        <v>2012</v>
      </c>
      <c r="F1158" s="6" t="s">
        <v>40</v>
      </c>
      <c r="G1158">
        <v>3</v>
      </c>
      <c r="H1158">
        <v>26</v>
      </c>
      <c r="I1158" s="6" t="s">
        <v>39</v>
      </c>
      <c r="J1158" s="6" t="s">
        <v>37</v>
      </c>
      <c r="K1158">
        <v>4</v>
      </c>
      <c r="M1158" s="1" t="b">
        <f>Employee__2[[#This Row],[Experience]]&gt;1</f>
        <v>1</v>
      </c>
      <c r="N1158" s="1" t="str">
        <f>IF(Employee__2[[#This Row],[City]]="Pune","Yes","No")</f>
        <v>No</v>
      </c>
      <c r="O1158" s="1" t="str">
        <f>IF(AND(Employee__2[[#This Row],[Education]]="Bachelors",Employee__2[[#This Row],[City]]="Pune"),"Yes","No")</f>
        <v>No</v>
      </c>
      <c r="P1158" s="1" t="str">
        <f>IF(OR(Employee__2[[#This Row],[Age]]&gt;=30,Employee__2[[#This Row],[Gender]]="Male"),"Mached","Not mached")</f>
        <v>Not mached</v>
      </c>
    </row>
    <row r="1159" spans="4:16" x14ac:dyDescent="0.25">
      <c r="D1159" s="6" t="s">
        <v>34</v>
      </c>
      <c r="E1159">
        <v>2015</v>
      </c>
      <c r="F1159" s="6" t="s">
        <v>38</v>
      </c>
      <c r="G1159">
        <v>3</v>
      </c>
      <c r="H1159">
        <v>25</v>
      </c>
      <c r="I1159" s="6" t="s">
        <v>36</v>
      </c>
      <c r="J1159" s="6" t="s">
        <v>37</v>
      </c>
      <c r="K1159">
        <v>3</v>
      </c>
      <c r="M1159" s="1" t="b">
        <f>Employee__2[[#This Row],[Experience]]&gt;1</f>
        <v>1</v>
      </c>
      <c r="N1159" s="1" t="str">
        <f>IF(Employee__2[[#This Row],[City]]="Pune","Yes","No")</f>
        <v>Yes</v>
      </c>
      <c r="O1159" s="1" t="str">
        <f>IF(AND(Employee__2[[#This Row],[Education]]="Bachelors",Employee__2[[#This Row],[City]]="Pune"),"Yes","No")</f>
        <v>Yes</v>
      </c>
      <c r="P1159" s="1" t="str">
        <f>IF(OR(Employee__2[[#This Row],[Age]]&gt;=30,Employee__2[[#This Row],[Gender]]="Male"),"Mached","Not mached")</f>
        <v>Mached</v>
      </c>
    </row>
    <row r="1160" spans="4:16" x14ac:dyDescent="0.25">
      <c r="D1160" s="6" t="s">
        <v>34</v>
      </c>
      <c r="E1160">
        <v>2017</v>
      </c>
      <c r="F1160" s="6" t="s">
        <v>40</v>
      </c>
      <c r="G1160">
        <v>2</v>
      </c>
      <c r="H1160">
        <v>26</v>
      </c>
      <c r="I1160" s="6" t="s">
        <v>39</v>
      </c>
      <c r="J1160" s="6" t="s">
        <v>37</v>
      </c>
      <c r="K1160">
        <v>4</v>
      </c>
      <c r="M1160" s="1" t="b">
        <f>Employee__2[[#This Row],[Experience]]&gt;1</f>
        <v>1</v>
      </c>
      <c r="N1160" s="1" t="str">
        <f>IF(Employee__2[[#This Row],[City]]="Pune","Yes","No")</f>
        <v>No</v>
      </c>
      <c r="O1160" s="1" t="str">
        <f>IF(AND(Employee__2[[#This Row],[Education]]="Bachelors",Employee__2[[#This Row],[City]]="Pune"),"Yes","No")</f>
        <v>No</v>
      </c>
      <c r="P1160" s="1" t="str">
        <f>IF(OR(Employee__2[[#This Row],[Age]]&gt;=30,Employee__2[[#This Row],[Gender]]="Male"),"Mached","Not mached")</f>
        <v>Not mached</v>
      </c>
    </row>
    <row r="1161" spans="4:16" x14ac:dyDescent="0.25">
      <c r="D1161" s="6" t="s">
        <v>34</v>
      </c>
      <c r="E1161">
        <v>2013</v>
      </c>
      <c r="F1161" s="6" t="s">
        <v>35</v>
      </c>
      <c r="G1161">
        <v>3</v>
      </c>
      <c r="H1161">
        <v>28</v>
      </c>
      <c r="I1161" s="6" t="s">
        <v>36</v>
      </c>
      <c r="J1161" s="6" t="s">
        <v>37</v>
      </c>
      <c r="K1161">
        <v>3</v>
      </c>
      <c r="M1161" s="1" t="b">
        <f>Employee__2[[#This Row],[Experience]]&gt;1</f>
        <v>1</v>
      </c>
      <c r="N1161" s="1" t="str">
        <f>IF(Employee__2[[#This Row],[City]]="Pune","Yes","No")</f>
        <v>No</v>
      </c>
      <c r="O1161" s="1" t="str">
        <f>IF(AND(Employee__2[[#This Row],[Education]]="Bachelors",Employee__2[[#This Row],[City]]="Pune"),"Yes","No")</f>
        <v>No</v>
      </c>
      <c r="P1161" s="1" t="str">
        <f>IF(OR(Employee__2[[#This Row],[Age]]&gt;=30,Employee__2[[#This Row],[Gender]]="Male"),"Mached","Not mached")</f>
        <v>Mached</v>
      </c>
    </row>
    <row r="1162" spans="4:16" x14ac:dyDescent="0.25">
      <c r="D1162" s="6" t="s">
        <v>34</v>
      </c>
      <c r="E1162">
        <v>2016</v>
      </c>
      <c r="F1162" s="6" t="s">
        <v>38</v>
      </c>
      <c r="G1162">
        <v>2</v>
      </c>
      <c r="H1162">
        <v>28</v>
      </c>
      <c r="I1162" s="6" t="s">
        <v>39</v>
      </c>
      <c r="J1162" s="6" t="s">
        <v>37</v>
      </c>
      <c r="K1162">
        <v>0</v>
      </c>
      <c r="M1162" s="1" t="b">
        <f>Employee__2[[#This Row],[Experience]]&gt;1</f>
        <v>0</v>
      </c>
      <c r="N1162" s="1" t="str">
        <f>IF(Employee__2[[#This Row],[City]]="Pune","Yes","No")</f>
        <v>Yes</v>
      </c>
      <c r="O1162" s="1" t="str">
        <f>IF(AND(Employee__2[[#This Row],[Education]]="Bachelors",Employee__2[[#This Row],[City]]="Pune"),"Yes","No")</f>
        <v>Yes</v>
      </c>
      <c r="P1162" s="1" t="str">
        <f>IF(OR(Employee__2[[#This Row],[Age]]&gt;=30,Employee__2[[#This Row],[Gender]]="Male"),"Mached","Not mached")</f>
        <v>Not mached</v>
      </c>
    </row>
    <row r="1163" spans="4:16" x14ac:dyDescent="0.25">
      <c r="D1163" s="6" t="s">
        <v>34</v>
      </c>
      <c r="E1163">
        <v>2012</v>
      </c>
      <c r="F1163" s="6" t="s">
        <v>40</v>
      </c>
      <c r="G1163">
        <v>3</v>
      </c>
      <c r="H1163">
        <v>24</v>
      </c>
      <c r="I1163" s="6" t="s">
        <v>36</v>
      </c>
      <c r="J1163" s="6" t="s">
        <v>37</v>
      </c>
      <c r="K1163">
        <v>2</v>
      </c>
      <c r="M1163" s="1" t="b">
        <f>Employee__2[[#This Row],[Experience]]&gt;1</f>
        <v>1</v>
      </c>
      <c r="N1163" s="1" t="str">
        <f>IF(Employee__2[[#This Row],[City]]="Pune","Yes","No")</f>
        <v>No</v>
      </c>
      <c r="O1163" s="1" t="str">
        <f>IF(AND(Employee__2[[#This Row],[Education]]="Bachelors",Employee__2[[#This Row],[City]]="Pune"),"Yes","No")</f>
        <v>No</v>
      </c>
      <c r="P1163" s="1" t="str">
        <f>IF(OR(Employee__2[[#This Row],[Age]]&gt;=30,Employee__2[[#This Row],[Gender]]="Male"),"Mached","Not mached")</f>
        <v>Mached</v>
      </c>
    </row>
    <row r="1164" spans="4:16" x14ac:dyDescent="0.25">
      <c r="D1164" s="6" t="s">
        <v>34</v>
      </c>
      <c r="E1164">
        <v>2015</v>
      </c>
      <c r="F1164" s="6" t="s">
        <v>40</v>
      </c>
      <c r="G1164">
        <v>3</v>
      </c>
      <c r="H1164">
        <v>28</v>
      </c>
      <c r="I1164" s="6" t="s">
        <v>36</v>
      </c>
      <c r="J1164" s="6" t="s">
        <v>37</v>
      </c>
      <c r="K1164">
        <v>1</v>
      </c>
      <c r="M1164" s="1" t="b">
        <f>Employee__2[[#This Row],[Experience]]&gt;1</f>
        <v>0</v>
      </c>
      <c r="N1164" s="1" t="str">
        <f>IF(Employee__2[[#This Row],[City]]="Pune","Yes","No")</f>
        <v>No</v>
      </c>
      <c r="O1164" s="1" t="str">
        <f>IF(AND(Employee__2[[#This Row],[Education]]="Bachelors",Employee__2[[#This Row],[City]]="Pune"),"Yes","No")</f>
        <v>No</v>
      </c>
      <c r="P1164" s="1" t="str">
        <f>IF(OR(Employee__2[[#This Row],[Age]]&gt;=30,Employee__2[[#This Row],[Gender]]="Male"),"Mached","Not mached")</f>
        <v>Mached</v>
      </c>
    </row>
    <row r="1165" spans="4:16" x14ac:dyDescent="0.25">
      <c r="D1165" s="6" t="s">
        <v>34</v>
      </c>
      <c r="E1165">
        <v>2017</v>
      </c>
      <c r="F1165" s="6" t="s">
        <v>35</v>
      </c>
      <c r="G1165">
        <v>1</v>
      </c>
      <c r="H1165">
        <v>24</v>
      </c>
      <c r="I1165" s="6" t="s">
        <v>36</v>
      </c>
      <c r="J1165" s="6" t="s">
        <v>37</v>
      </c>
      <c r="K1165">
        <v>2</v>
      </c>
      <c r="M1165" s="1" t="b">
        <f>Employee__2[[#This Row],[Experience]]&gt;1</f>
        <v>1</v>
      </c>
      <c r="N1165" s="1" t="str">
        <f>IF(Employee__2[[#This Row],[City]]="Pune","Yes","No")</f>
        <v>No</v>
      </c>
      <c r="O1165" s="1" t="str">
        <f>IF(AND(Employee__2[[#This Row],[Education]]="Bachelors",Employee__2[[#This Row],[City]]="Pune"),"Yes","No")</f>
        <v>No</v>
      </c>
      <c r="P1165" s="1" t="str">
        <f>IF(OR(Employee__2[[#This Row],[Age]]&gt;=30,Employee__2[[#This Row],[Gender]]="Male"),"Mached","Not mached")</f>
        <v>Mached</v>
      </c>
    </row>
    <row r="1166" spans="4:16" x14ac:dyDescent="0.25">
      <c r="D1166" s="6" t="s">
        <v>41</v>
      </c>
      <c r="E1166">
        <v>2017</v>
      </c>
      <c r="F1166" s="6" t="s">
        <v>38</v>
      </c>
      <c r="G1166">
        <v>2</v>
      </c>
      <c r="H1166">
        <v>28</v>
      </c>
      <c r="I1166" s="6" t="s">
        <v>39</v>
      </c>
      <c r="J1166" s="6" t="s">
        <v>37</v>
      </c>
      <c r="K1166">
        <v>4</v>
      </c>
      <c r="M1166" s="1" t="b">
        <f>Employee__2[[#This Row],[Experience]]&gt;1</f>
        <v>1</v>
      </c>
      <c r="N1166" s="1" t="str">
        <f>IF(Employee__2[[#This Row],[City]]="Pune","Yes","No")</f>
        <v>Yes</v>
      </c>
      <c r="O1166" s="1" t="str">
        <f>IF(AND(Employee__2[[#This Row],[Education]]="Bachelors",Employee__2[[#This Row],[City]]="Pune"),"Yes","No")</f>
        <v>No</v>
      </c>
      <c r="P1166" s="1" t="str">
        <f>IF(OR(Employee__2[[#This Row],[Age]]&gt;=30,Employee__2[[#This Row],[Gender]]="Male"),"Mached","Not mached")</f>
        <v>Not mached</v>
      </c>
    </row>
    <row r="1167" spans="4:16" x14ac:dyDescent="0.25">
      <c r="D1167" s="6" t="s">
        <v>34</v>
      </c>
      <c r="E1167">
        <v>2017</v>
      </c>
      <c r="F1167" s="6" t="s">
        <v>38</v>
      </c>
      <c r="G1167">
        <v>3</v>
      </c>
      <c r="H1167">
        <v>24</v>
      </c>
      <c r="I1167" s="6" t="s">
        <v>36</v>
      </c>
      <c r="J1167" s="6" t="s">
        <v>37</v>
      </c>
      <c r="K1167">
        <v>2</v>
      </c>
      <c r="M1167" s="1" t="b">
        <f>Employee__2[[#This Row],[Experience]]&gt;1</f>
        <v>1</v>
      </c>
      <c r="N1167" s="1" t="str">
        <f>IF(Employee__2[[#This Row],[City]]="Pune","Yes","No")</f>
        <v>Yes</v>
      </c>
      <c r="O1167" s="1" t="str">
        <f>IF(AND(Employee__2[[#This Row],[Education]]="Bachelors",Employee__2[[#This Row],[City]]="Pune"),"Yes","No")</f>
        <v>Yes</v>
      </c>
      <c r="P1167" s="1" t="str">
        <f>IF(OR(Employee__2[[#This Row],[Age]]&gt;=30,Employee__2[[#This Row],[Gender]]="Male"),"Mached","Not mached")</f>
        <v>Mached</v>
      </c>
    </row>
    <row r="1168" spans="4:16" x14ac:dyDescent="0.25">
      <c r="D1168" s="6" t="s">
        <v>34</v>
      </c>
      <c r="E1168">
        <v>2016</v>
      </c>
      <c r="F1168" s="6" t="s">
        <v>35</v>
      </c>
      <c r="G1168">
        <v>3</v>
      </c>
      <c r="H1168">
        <v>27</v>
      </c>
      <c r="I1168" s="6" t="s">
        <v>39</v>
      </c>
      <c r="J1168" s="6" t="s">
        <v>37</v>
      </c>
      <c r="K1168">
        <v>5</v>
      </c>
      <c r="M1168" s="1" t="b">
        <f>Employee__2[[#This Row],[Experience]]&gt;1</f>
        <v>1</v>
      </c>
      <c r="N1168" s="1" t="str">
        <f>IF(Employee__2[[#This Row],[City]]="Pune","Yes","No")</f>
        <v>No</v>
      </c>
      <c r="O1168" s="1" t="str">
        <f>IF(AND(Employee__2[[#This Row],[Education]]="Bachelors",Employee__2[[#This Row],[City]]="Pune"),"Yes","No")</f>
        <v>No</v>
      </c>
      <c r="P1168" s="1" t="str">
        <f>IF(OR(Employee__2[[#This Row],[Age]]&gt;=30,Employee__2[[#This Row],[Gender]]="Male"),"Mached","Not mached")</f>
        <v>Not mached</v>
      </c>
    </row>
    <row r="1169" spans="4:16" x14ac:dyDescent="0.25">
      <c r="D1169" s="6" t="s">
        <v>34</v>
      </c>
      <c r="E1169">
        <v>2015</v>
      </c>
      <c r="F1169" s="6" t="s">
        <v>38</v>
      </c>
      <c r="G1169">
        <v>3</v>
      </c>
      <c r="H1169">
        <v>28</v>
      </c>
      <c r="I1169" s="6" t="s">
        <v>36</v>
      </c>
      <c r="J1169" s="6" t="s">
        <v>37</v>
      </c>
      <c r="K1169">
        <v>2</v>
      </c>
      <c r="M1169" s="1" t="b">
        <f>Employee__2[[#This Row],[Experience]]&gt;1</f>
        <v>1</v>
      </c>
      <c r="N1169" s="1" t="str">
        <f>IF(Employee__2[[#This Row],[City]]="Pune","Yes","No")</f>
        <v>Yes</v>
      </c>
      <c r="O1169" s="1" t="str">
        <f>IF(AND(Employee__2[[#This Row],[Education]]="Bachelors",Employee__2[[#This Row],[City]]="Pune"),"Yes","No")</f>
        <v>Yes</v>
      </c>
      <c r="P1169" s="1" t="str">
        <f>IF(OR(Employee__2[[#This Row],[Age]]&gt;=30,Employee__2[[#This Row],[Gender]]="Male"),"Mached","Not mached")</f>
        <v>Mached</v>
      </c>
    </row>
    <row r="1170" spans="4:16" x14ac:dyDescent="0.25">
      <c r="D1170" s="6" t="s">
        <v>34</v>
      </c>
      <c r="E1170">
        <v>2016</v>
      </c>
      <c r="F1170" s="6" t="s">
        <v>35</v>
      </c>
      <c r="G1170">
        <v>3</v>
      </c>
      <c r="H1170">
        <v>28</v>
      </c>
      <c r="I1170" s="6" t="s">
        <v>39</v>
      </c>
      <c r="J1170" s="6" t="s">
        <v>37</v>
      </c>
      <c r="K1170">
        <v>5</v>
      </c>
      <c r="M1170" s="1" t="b">
        <f>Employee__2[[#This Row],[Experience]]&gt;1</f>
        <v>1</v>
      </c>
      <c r="N1170" s="1" t="str">
        <f>IF(Employee__2[[#This Row],[City]]="Pune","Yes","No")</f>
        <v>No</v>
      </c>
      <c r="O1170" s="1" t="str">
        <f>IF(AND(Employee__2[[#This Row],[Education]]="Bachelors",Employee__2[[#This Row],[City]]="Pune"),"Yes","No")</f>
        <v>No</v>
      </c>
      <c r="P1170" s="1" t="str">
        <f>IF(OR(Employee__2[[#This Row],[Age]]&gt;=30,Employee__2[[#This Row],[Gender]]="Male"),"Mached","Not mached")</f>
        <v>Not mached</v>
      </c>
    </row>
    <row r="1171" spans="4:16" x14ac:dyDescent="0.25">
      <c r="D1171" s="6" t="s">
        <v>34</v>
      </c>
      <c r="E1171">
        <v>2018</v>
      </c>
      <c r="F1171" s="6" t="s">
        <v>35</v>
      </c>
      <c r="G1171">
        <v>3</v>
      </c>
      <c r="H1171">
        <v>25</v>
      </c>
      <c r="I1171" s="6" t="s">
        <v>36</v>
      </c>
      <c r="J1171" s="6" t="s">
        <v>37</v>
      </c>
      <c r="K1171">
        <v>3</v>
      </c>
      <c r="M1171" s="1" t="b">
        <f>Employee__2[[#This Row],[Experience]]&gt;1</f>
        <v>1</v>
      </c>
      <c r="N1171" s="1" t="str">
        <f>IF(Employee__2[[#This Row],[City]]="Pune","Yes","No")</f>
        <v>No</v>
      </c>
      <c r="O1171" s="1" t="str">
        <f>IF(AND(Employee__2[[#This Row],[Education]]="Bachelors",Employee__2[[#This Row],[City]]="Pune"),"Yes","No")</f>
        <v>No</v>
      </c>
      <c r="P1171" s="1" t="str">
        <f>IF(OR(Employee__2[[#This Row],[Age]]&gt;=30,Employee__2[[#This Row],[Gender]]="Male"),"Mached","Not mached")</f>
        <v>Mached</v>
      </c>
    </row>
    <row r="1172" spans="4:16" x14ac:dyDescent="0.25">
      <c r="D1172" s="6" t="s">
        <v>34</v>
      </c>
      <c r="E1172">
        <v>2015</v>
      </c>
      <c r="F1172" s="6" t="s">
        <v>35</v>
      </c>
      <c r="G1172">
        <v>3</v>
      </c>
      <c r="H1172">
        <v>28</v>
      </c>
      <c r="I1172" s="6" t="s">
        <v>39</v>
      </c>
      <c r="J1172" s="6" t="s">
        <v>37</v>
      </c>
      <c r="K1172">
        <v>5</v>
      </c>
      <c r="M1172" s="1" t="b">
        <f>Employee__2[[#This Row],[Experience]]&gt;1</f>
        <v>1</v>
      </c>
      <c r="N1172" s="1" t="str">
        <f>IF(Employee__2[[#This Row],[City]]="Pune","Yes","No")</f>
        <v>No</v>
      </c>
      <c r="O1172" s="1" t="str">
        <f>IF(AND(Employee__2[[#This Row],[Education]]="Bachelors",Employee__2[[#This Row],[City]]="Pune"),"Yes","No")</f>
        <v>No</v>
      </c>
      <c r="P1172" s="1" t="str">
        <f>IF(OR(Employee__2[[#This Row],[Age]]&gt;=30,Employee__2[[#This Row],[Gender]]="Male"),"Mached","Not mached")</f>
        <v>Not mached</v>
      </c>
    </row>
    <row r="1173" spans="4:16" x14ac:dyDescent="0.25">
      <c r="D1173" s="6" t="s">
        <v>34</v>
      </c>
      <c r="E1173">
        <v>2014</v>
      </c>
      <c r="F1173" s="6" t="s">
        <v>35</v>
      </c>
      <c r="G1173">
        <v>3</v>
      </c>
      <c r="H1173">
        <v>27</v>
      </c>
      <c r="I1173" s="6" t="s">
        <v>36</v>
      </c>
      <c r="J1173" s="6" t="s">
        <v>37</v>
      </c>
      <c r="K1173">
        <v>5</v>
      </c>
      <c r="M1173" s="1" t="b">
        <f>Employee__2[[#This Row],[Experience]]&gt;1</f>
        <v>1</v>
      </c>
      <c r="N1173" s="1" t="str">
        <f>IF(Employee__2[[#This Row],[City]]="Pune","Yes","No")</f>
        <v>No</v>
      </c>
      <c r="O1173" s="1" t="str">
        <f>IF(AND(Employee__2[[#This Row],[Education]]="Bachelors",Employee__2[[#This Row],[City]]="Pune"),"Yes","No")</f>
        <v>No</v>
      </c>
      <c r="P1173" s="1" t="str">
        <f>IF(OR(Employee__2[[#This Row],[Age]]&gt;=30,Employee__2[[#This Row],[Gender]]="Male"),"Mached","Not mached")</f>
        <v>Mached</v>
      </c>
    </row>
    <row r="1174" spans="4:16" x14ac:dyDescent="0.25">
      <c r="D1174" s="6" t="s">
        <v>34</v>
      </c>
      <c r="E1174">
        <v>2013</v>
      </c>
      <c r="F1174" s="6" t="s">
        <v>35</v>
      </c>
      <c r="G1174">
        <v>3</v>
      </c>
      <c r="H1174">
        <v>26</v>
      </c>
      <c r="I1174" s="6" t="s">
        <v>36</v>
      </c>
      <c r="J1174" s="6" t="s">
        <v>37</v>
      </c>
      <c r="K1174">
        <v>4</v>
      </c>
      <c r="M1174" s="1" t="b">
        <f>Employee__2[[#This Row],[Experience]]&gt;1</f>
        <v>1</v>
      </c>
      <c r="N1174" s="1" t="str">
        <f>IF(Employee__2[[#This Row],[City]]="Pune","Yes","No")</f>
        <v>No</v>
      </c>
      <c r="O1174" s="1" t="str">
        <f>IF(AND(Employee__2[[#This Row],[Education]]="Bachelors",Employee__2[[#This Row],[City]]="Pune"),"Yes","No")</f>
        <v>No</v>
      </c>
      <c r="P1174" s="1" t="str">
        <f>IF(OR(Employee__2[[#This Row],[Age]]&gt;=30,Employee__2[[#This Row],[Gender]]="Male"),"Mached","Not mached")</f>
        <v>Mached</v>
      </c>
    </row>
    <row r="1175" spans="4:16" x14ac:dyDescent="0.25">
      <c r="D1175" s="6" t="s">
        <v>34</v>
      </c>
      <c r="E1175">
        <v>2015</v>
      </c>
      <c r="F1175" s="6" t="s">
        <v>35</v>
      </c>
      <c r="G1175">
        <v>1</v>
      </c>
      <c r="H1175">
        <v>24</v>
      </c>
      <c r="I1175" s="6" t="s">
        <v>36</v>
      </c>
      <c r="J1175" s="6" t="s">
        <v>37</v>
      </c>
      <c r="K1175">
        <v>2</v>
      </c>
      <c r="M1175" s="1" t="b">
        <f>Employee__2[[#This Row],[Experience]]&gt;1</f>
        <v>1</v>
      </c>
      <c r="N1175" s="1" t="str">
        <f>IF(Employee__2[[#This Row],[City]]="Pune","Yes","No")</f>
        <v>No</v>
      </c>
      <c r="O1175" s="1" t="str">
        <f>IF(AND(Employee__2[[#This Row],[Education]]="Bachelors",Employee__2[[#This Row],[City]]="Pune"),"Yes","No")</f>
        <v>No</v>
      </c>
      <c r="P1175" s="1" t="str">
        <f>IF(OR(Employee__2[[#This Row],[Age]]&gt;=30,Employee__2[[#This Row],[Gender]]="Male"),"Mached","Not mached")</f>
        <v>Mached</v>
      </c>
    </row>
    <row r="1176" spans="4:16" x14ac:dyDescent="0.25">
      <c r="D1176" s="6" t="s">
        <v>34</v>
      </c>
      <c r="E1176">
        <v>2012</v>
      </c>
      <c r="F1176" s="6" t="s">
        <v>35</v>
      </c>
      <c r="G1176">
        <v>3</v>
      </c>
      <c r="H1176">
        <v>27</v>
      </c>
      <c r="I1176" s="6" t="s">
        <v>39</v>
      </c>
      <c r="J1176" s="6" t="s">
        <v>37</v>
      </c>
      <c r="K1176">
        <v>5</v>
      </c>
      <c r="M1176" s="1" t="b">
        <f>Employee__2[[#This Row],[Experience]]&gt;1</f>
        <v>1</v>
      </c>
      <c r="N1176" s="1" t="str">
        <f>IF(Employee__2[[#This Row],[City]]="Pune","Yes","No")</f>
        <v>No</v>
      </c>
      <c r="O1176" s="1" t="str">
        <f>IF(AND(Employee__2[[#This Row],[Education]]="Bachelors",Employee__2[[#This Row],[City]]="Pune"),"Yes","No")</f>
        <v>No</v>
      </c>
      <c r="P1176" s="1" t="str">
        <f>IF(OR(Employee__2[[#This Row],[Age]]&gt;=30,Employee__2[[#This Row],[Gender]]="Male"),"Mached","Not mached")</f>
        <v>Not mached</v>
      </c>
    </row>
    <row r="1177" spans="4:16" x14ac:dyDescent="0.25">
      <c r="D1177" s="6" t="s">
        <v>34</v>
      </c>
      <c r="E1177">
        <v>2012</v>
      </c>
      <c r="F1177" s="6" t="s">
        <v>35</v>
      </c>
      <c r="G1177">
        <v>3</v>
      </c>
      <c r="H1177">
        <v>25</v>
      </c>
      <c r="I1177" s="6" t="s">
        <v>36</v>
      </c>
      <c r="J1177" s="6" t="s">
        <v>37</v>
      </c>
      <c r="K1177">
        <v>3</v>
      </c>
      <c r="M1177" s="1" t="b">
        <f>Employee__2[[#This Row],[Experience]]&gt;1</f>
        <v>1</v>
      </c>
      <c r="N1177" s="1" t="str">
        <f>IF(Employee__2[[#This Row],[City]]="Pune","Yes","No")</f>
        <v>No</v>
      </c>
      <c r="O1177" s="1" t="str">
        <f>IF(AND(Employee__2[[#This Row],[Education]]="Bachelors",Employee__2[[#This Row],[City]]="Pune"),"Yes","No")</f>
        <v>No</v>
      </c>
      <c r="P1177" s="1" t="str">
        <f>IF(OR(Employee__2[[#This Row],[Age]]&gt;=30,Employee__2[[#This Row],[Gender]]="Male"),"Mached","Not mached")</f>
        <v>Mached</v>
      </c>
    </row>
    <row r="1178" spans="4:16" x14ac:dyDescent="0.25">
      <c r="D1178" s="6" t="s">
        <v>34</v>
      </c>
      <c r="E1178">
        <v>2015</v>
      </c>
      <c r="F1178" s="6" t="s">
        <v>38</v>
      </c>
      <c r="G1178">
        <v>3</v>
      </c>
      <c r="H1178">
        <v>28</v>
      </c>
      <c r="I1178" s="6" t="s">
        <v>39</v>
      </c>
      <c r="J1178" s="6" t="s">
        <v>37</v>
      </c>
      <c r="K1178">
        <v>4</v>
      </c>
      <c r="M1178" s="1" t="b">
        <f>Employee__2[[#This Row],[Experience]]&gt;1</f>
        <v>1</v>
      </c>
      <c r="N1178" s="1" t="str">
        <f>IF(Employee__2[[#This Row],[City]]="Pune","Yes","No")</f>
        <v>Yes</v>
      </c>
      <c r="O1178" s="1" t="str">
        <f>IF(AND(Employee__2[[#This Row],[Education]]="Bachelors",Employee__2[[#This Row],[City]]="Pune"),"Yes","No")</f>
        <v>Yes</v>
      </c>
      <c r="P1178" s="1" t="str">
        <f>IF(OR(Employee__2[[#This Row],[Age]]&gt;=30,Employee__2[[#This Row],[Gender]]="Male"),"Mached","Not mached")</f>
        <v>Not mached</v>
      </c>
    </row>
    <row r="1179" spans="4:16" x14ac:dyDescent="0.25">
      <c r="D1179" s="6" t="s">
        <v>41</v>
      </c>
      <c r="E1179">
        <v>2017</v>
      </c>
      <c r="F1179" s="6" t="s">
        <v>35</v>
      </c>
      <c r="G1179">
        <v>2</v>
      </c>
      <c r="H1179">
        <v>24</v>
      </c>
      <c r="I1179" s="6" t="s">
        <v>39</v>
      </c>
      <c r="J1179" s="6" t="s">
        <v>42</v>
      </c>
      <c r="K1179">
        <v>2</v>
      </c>
      <c r="M1179" s="1" t="b">
        <f>Employee__2[[#This Row],[Experience]]&gt;1</f>
        <v>1</v>
      </c>
      <c r="N1179" s="1" t="str">
        <f>IF(Employee__2[[#This Row],[City]]="Pune","Yes","No")</f>
        <v>No</v>
      </c>
      <c r="O1179" s="1" t="str">
        <f>IF(AND(Employee__2[[#This Row],[Education]]="Bachelors",Employee__2[[#This Row],[City]]="Pune"),"Yes","No")</f>
        <v>No</v>
      </c>
      <c r="P1179" s="1" t="str">
        <f>IF(OR(Employee__2[[#This Row],[Age]]&gt;=30,Employee__2[[#This Row],[Gender]]="Male"),"Mached","Not mached")</f>
        <v>Not mached</v>
      </c>
    </row>
    <row r="1180" spans="4:16" x14ac:dyDescent="0.25">
      <c r="D1180" s="6" t="s">
        <v>34</v>
      </c>
      <c r="E1180">
        <v>2014</v>
      </c>
      <c r="F1180" s="6" t="s">
        <v>35</v>
      </c>
      <c r="G1180">
        <v>3</v>
      </c>
      <c r="H1180">
        <v>28</v>
      </c>
      <c r="I1180" s="6" t="s">
        <v>36</v>
      </c>
      <c r="J1180" s="6" t="s">
        <v>37</v>
      </c>
      <c r="K1180">
        <v>2</v>
      </c>
      <c r="M1180" s="1" t="b">
        <f>Employee__2[[#This Row],[Experience]]&gt;1</f>
        <v>1</v>
      </c>
      <c r="N1180" s="1" t="str">
        <f>IF(Employee__2[[#This Row],[City]]="Pune","Yes","No")</f>
        <v>No</v>
      </c>
      <c r="O1180" s="1" t="str">
        <f>IF(AND(Employee__2[[#This Row],[Education]]="Bachelors",Employee__2[[#This Row],[City]]="Pune"),"Yes","No")</f>
        <v>No</v>
      </c>
      <c r="P1180" s="1" t="str">
        <f>IF(OR(Employee__2[[#This Row],[Age]]&gt;=30,Employee__2[[#This Row],[Gender]]="Male"),"Mached","Not mached")</f>
        <v>Mached</v>
      </c>
    </row>
    <row r="1181" spans="4:16" x14ac:dyDescent="0.25">
      <c r="D1181" s="6" t="s">
        <v>41</v>
      </c>
      <c r="E1181">
        <v>2017</v>
      </c>
      <c r="F1181" s="6" t="s">
        <v>38</v>
      </c>
      <c r="G1181">
        <v>2</v>
      </c>
      <c r="H1181">
        <v>24</v>
      </c>
      <c r="I1181" s="6" t="s">
        <v>39</v>
      </c>
      <c r="J1181" s="6" t="s">
        <v>37</v>
      </c>
      <c r="K1181">
        <v>2</v>
      </c>
      <c r="M1181" s="1" t="b">
        <f>Employee__2[[#This Row],[Experience]]&gt;1</f>
        <v>1</v>
      </c>
      <c r="N1181" s="1" t="str">
        <f>IF(Employee__2[[#This Row],[City]]="Pune","Yes","No")</f>
        <v>Yes</v>
      </c>
      <c r="O1181" s="1" t="str">
        <f>IF(AND(Employee__2[[#This Row],[Education]]="Bachelors",Employee__2[[#This Row],[City]]="Pune"),"Yes","No")</f>
        <v>No</v>
      </c>
      <c r="P1181" s="1" t="str">
        <f>IF(OR(Employee__2[[#This Row],[Age]]&gt;=30,Employee__2[[#This Row],[Gender]]="Male"),"Mached","Not mached")</f>
        <v>Not mached</v>
      </c>
    </row>
    <row r="1182" spans="4:16" x14ac:dyDescent="0.25">
      <c r="D1182" s="6" t="s">
        <v>34</v>
      </c>
      <c r="E1182">
        <v>2014</v>
      </c>
      <c r="F1182" s="6" t="s">
        <v>40</v>
      </c>
      <c r="G1182">
        <v>3</v>
      </c>
      <c r="H1182">
        <v>26</v>
      </c>
      <c r="I1182" s="6" t="s">
        <v>39</v>
      </c>
      <c r="J1182" s="6" t="s">
        <v>37</v>
      </c>
      <c r="K1182">
        <v>4</v>
      </c>
      <c r="M1182" s="1" t="b">
        <f>Employee__2[[#This Row],[Experience]]&gt;1</f>
        <v>1</v>
      </c>
      <c r="N1182" s="1" t="str">
        <f>IF(Employee__2[[#This Row],[City]]="Pune","Yes","No")</f>
        <v>No</v>
      </c>
      <c r="O1182" s="1" t="str">
        <f>IF(AND(Employee__2[[#This Row],[Education]]="Bachelors",Employee__2[[#This Row],[City]]="Pune"),"Yes","No")</f>
        <v>No</v>
      </c>
      <c r="P1182" s="1" t="str">
        <f>IF(OR(Employee__2[[#This Row],[Age]]&gt;=30,Employee__2[[#This Row],[Gender]]="Male"),"Mached","Not mached")</f>
        <v>Not mached</v>
      </c>
    </row>
    <row r="1183" spans="4:16" x14ac:dyDescent="0.25">
      <c r="D1183" s="6" t="s">
        <v>34</v>
      </c>
      <c r="E1183">
        <v>2015</v>
      </c>
      <c r="F1183" s="6" t="s">
        <v>38</v>
      </c>
      <c r="G1183">
        <v>2</v>
      </c>
      <c r="H1183">
        <v>28</v>
      </c>
      <c r="I1183" s="6" t="s">
        <v>39</v>
      </c>
      <c r="J1183" s="6" t="s">
        <v>37</v>
      </c>
      <c r="K1183">
        <v>3</v>
      </c>
      <c r="M1183" s="1" t="b">
        <f>Employee__2[[#This Row],[Experience]]&gt;1</f>
        <v>1</v>
      </c>
      <c r="N1183" s="1" t="str">
        <f>IF(Employee__2[[#This Row],[City]]="Pune","Yes","No")</f>
        <v>Yes</v>
      </c>
      <c r="O1183" s="1" t="str">
        <f>IF(AND(Employee__2[[#This Row],[Education]]="Bachelors",Employee__2[[#This Row],[City]]="Pune"),"Yes","No")</f>
        <v>Yes</v>
      </c>
      <c r="P1183" s="1" t="str">
        <f>IF(OR(Employee__2[[#This Row],[Age]]&gt;=30,Employee__2[[#This Row],[Gender]]="Male"),"Mached","Not mached")</f>
        <v>Not mached</v>
      </c>
    </row>
    <row r="1184" spans="4:16" x14ac:dyDescent="0.25">
      <c r="D1184" s="6" t="s">
        <v>41</v>
      </c>
      <c r="E1184">
        <v>2013</v>
      </c>
      <c r="F1184" s="6" t="s">
        <v>38</v>
      </c>
      <c r="G1184">
        <v>2</v>
      </c>
      <c r="H1184">
        <v>28</v>
      </c>
      <c r="I1184" s="6" t="s">
        <v>36</v>
      </c>
      <c r="J1184" s="6" t="s">
        <v>37</v>
      </c>
      <c r="K1184">
        <v>5</v>
      </c>
      <c r="M1184" s="1" t="b">
        <f>Employee__2[[#This Row],[Experience]]&gt;1</f>
        <v>1</v>
      </c>
      <c r="N1184" s="1" t="str">
        <f>IF(Employee__2[[#This Row],[City]]="Pune","Yes","No")</f>
        <v>Yes</v>
      </c>
      <c r="O1184" s="1" t="str">
        <f>IF(AND(Employee__2[[#This Row],[Education]]="Bachelors",Employee__2[[#This Row],[City]]="Pune"),"Yes","No")</f>
        <v>No</v>
      </c>
      <c r="P1184" s="1" t="str">
        <f>IF(OR(Employee__2[[#This Row],[Age]]&gt;=30,Employee__2[[#This Row],[Gender]]="Male"),"Mached","Not mached")</f>
        <v>Mached</v>
      </c>
    </row>
    <row r="1185" spans="4:16" x14ac:dyDescent="0.25">
      <c r="D1185" s="6" t="s">
        <v>34</v>
      </c>
      <c r="E1185">
        <v>2013</v>
      </c>
      <c r="F1185" s="6" t="s">
        <v>40</v>
      </c>
      <c r="G1185">
        <v>1</v>
      </c>
      <c r="H1185">
        <v>28</v>
      </c>
      <c r="I1185" s="6" t="s">
        <v>39</v>
      </c>
      <c r="J1185" s="6" t="s">
        <v>37</v>
      </c>
      <c r="K1185">
        <v>5</v>
      </c>
      <c r="M1185" s="1" t="b">
        <f>Employee__2[[#This Row],[Experience]]&gt;1</f>
        <v>1</v>
      </c>
      <c r="N1185" s="1" t="str">
        <f>IF(Employee__2[[#This Row],[City]]="Pune","Yes","No")</f>
        <v>No</v>
      </c>
      <c r="O1185" s="1" t="str">
        <f>IF(AND(Employee__2[[#This Row],[Education]]="Bachelors",Employee__2[[#This Row],[City]]="Pune"),"Yes","No")</f>
        <v>No</v>
      </c>
      <c r="P1185" s="1" t="str">
        <f>IF(OR(Employee__2[[#This Row],[Age]]&gt;=30,Employee__2[[#This Row],[Gender]]="Male"),"Mached","Not mached")</f>
        <v>Not mached</v>
      </c>
    </row>
    <row r="1186" spans="4:16" x14ac:dyDescent="0.25">
      <c r="D1186" s="6" t="s">
        <v>34</v>
      </c>
      <c r="E1186">
        <v>2015</v>
      </c>
      <c r="F1186" s="6" t="s">
        <v>38</v>
      </c>
      <c r="G1186">
        <v>2</v>
      </c>
      <c r="H1186">
        <v>26</v>
      </c>
      <c r="I1186" s="6" t="s">
        <v>39</v>
      </c>
      <c r="J1186" s="6" t="s">
        <v>42</v>
      </c>
      <c r="K1186">
        <v>4</v>
      </c>
      <c r="M1186" s="1" t="b">
        <f>Employee__2[[#This Row],[Experience]]&gt;1</f>
        <v>1</v>
      </c>
      <c r="N1186" s="1" t="str">
        <f>IF(Employee__2[[#This Row],[City]]="Pune","Yes","No")</f>
        <v>Yes</v>
      </c>
      <c r="O1186" s="1" t="str">
        <f>IF(AND(Employee__2[[#This Row],[Education]]="Bachelors",Employee__2[[#This Row],[City]]="Pune"),"Yes","No")</f>
        <v>Yes</v>
      </c>
      <c r="P1186" s="1" t="str">
        <f>IF(OR(Employee__2[[#This Row],[Age]]&gt;=30,Employee__2[[#This Row],[Gender]]="Male"),"Mached","Not mached")</f>
        <v>Not mached</v>
      </c>
    </row>
    <row r="1187" spans="4:16" x14ac:dyDescent="0.25">
      <c r="D1187" s="6" t="s">
        <v>41</v>
      </c>
      <c r="E1187">
        <v>2015</v>
      </c>
      <c r="F1187" s="6" t="s">
        <v>40</v>
      </c>
      <c r="G1187">
        <v>3</v>
      </c>
      <c r="H1187">
        <v>28</v>
      </c>
      <c r="I1187" s="6" t="s">
        <v>36</v>
      </c>
      <c r="J1187" s="6" t="s">
        <v>37</v>
      </c>
      <c r="K1187">
        <v>2</v>
      </c>
      <c r="M1187" s="1" t="b">
        <f>Employee__2[[#This Row],[Experience]]&gt;1</f>
        <v>1</v>
      </c>
      <c r="N1187" s="1" t="str">
        <f>IF(Employee__2[[#This Row],[City]]="Pune","Yes","No")</f>
        <v>No</v>
      </c>
      <c r="O1187" s="1" t="str">
        <f>IF(AND(Employee__2[[#This Row],[Education]]="Bachelors",Employee__2[[#This Row],[City]]="Pune"),"Yes","No")</f>
        <v>No</v>
      </c>
      <c r="P1187" s="1" t="str">
        <f>IF(OR(Employee__2[[#This Row],[Age]]&gt;=30,Employee__2[[#This Row],[Gender]]="Male"),"Mached","Not mached")</f>
        <v>Mached</v>
      </c>
    </row>
    <row r="1188" spans="4:16" x14ac:dyDescent="0.25">
      <c r="D1188" s="6" t="s">
        <v>34</v>
      </c>
      <c r="E1188">
        <v>2013</v>
      </c>
      <c r="F1188" s="6" t="s">
        <v>35</v>
      </c>
      <c r="G1188">
        <v>3</v>
      </c>
      <c r="H1188">
        <v>27</v>
      </c>
      <c r="I1188" s="6" t="s">
        <v>36</v>
      </c>
      <c r="J1188" s="6" t="s">
        <v>37</v>
      </c>
      <c r="K1188">
        <v>5</v>
      </c>
      <c r="M1188" s="1" t="b">
        <f>Employee__2[[#This Row],[Experience]]&gt;1</f>
        <v>1</v>
      </c>
      <c r="N1188" s="1" t="str">
        <f>IF(Employee__2[[#This Row],[City]]="Pune","Yes","No")</f>
        <v>No</v>
      </c>
      <c r="O1188" s="1" t="str">
        <f>IF(AND(Employee__2[[#This Row],[Education]]="Bachelors",Employee__2[[#This Row],[City]]="Pune"),"Yes","No")</f>
        <v>No</v>
      </c>
      <c r="P1188" s="1" t="str">
        <f>IF(OR(Employee__2[[#This Row],[Age]]&gt;=30,Employee__2[[#This Row],[Gender]]="Male"),"Mached","Not mached")</f>
        <v>Mached</v>
      </c>
    </row>
    <row r="1189" spans="4:16" x14ac:dyDescent="0.25">
      <c r="D1189" s="6" t="s">
        <v>34</v>
      </c>
      <c r="E1189">
        <v>2018</v>
      </c>
      <c r="F1189" s="6" t="s">
        <v>35</v>
      </c>
      <c r="G1189">
        <v>3</v>
      </c>
      <c r="H1189">
        <v>28</v>
      </c>
      <c r="I1189" s="6" t="s">
        <v>36</v>
      </c>
      <c r="J1189" s="6" t="s">
        <v>37</v>
      </c>
      <c r="K1189">
        <v>2</v>
      </c>
      <c r="M1189" s="1" t="b">
        <f>Employee__2[[#This Row],[Experience]]&gt;1</f>
        <v>1</v>
      </c>
      <c r="N1189" s="1" t="str">
        <f>IF(Employee__2[[#This Row],[City]]="Pune","Yes","No")</f>
        <v>No</v>
      </c>
      <c r="O1189" s="1" t="str">
        <f>IF(AND(Employee__2[[#This Row],[Education]]="Bachelors",Employee__2[[#This Row],[City]]="Pune"),"Yes","No")</f>
        <v>No</v>
      </c>
      <c r="P1189" s="1" t="str">
        <f>IF(OR(Employee__2[[#This Row],[Age]]&gt;=30,Employee__2[[#This Row],[Gender]]="Male"),"Mached","Not mached")</f>
        <v>Mached</v>
      </c>
    </row>
    <row r="1190" spans="4:16" x14ac:dyDescent="0.25">
      <c r="D1190" s="6" t="s">
        <v>34</v>
      </c>
      <c r="E1190">
        <v>2012</v>
      </c>
      <c r="F1190" s="6" t="s">
        <v>38</v>
      </c>
      <c r="G1190">
        <v>3</v>
      </c>
      <c r="H1190">
        <v>28</v>
      </c>
      <c r="I1190" s="6" t="s">
        <v>36</v>
      </c>
      <c r="J1190" s="6" t="s">
        <v>37</v>
      </c>
      <c r="K1190">
        <v>2</v>
      </c>
      <c r="M1190" s="1" t="b">
        <f>Employee__2[[#This Row],[Experience]]&gt;1</f>
        <v>1</v>
      </c>
      <c r="N1190" s="1" t="str">
        <f>IF(Employee__2[[#This Row],[City]]="Pune","Yes","No")</f>
        <v>Yes</v>
      </c>
      <c r="O1190" s="1" t="str">
        <f>IF(AND(Employee__2[[#This Row],[Education]]="Bachelors",Employee__2[[#This Row],[City]]="Pune"),"Yes","No")</f>
        <v>Yes</v>
      </c>
      <c r="P1190" s="1" t="str">
        <f>IF(OR(Employee__2[[#This Row],[Age]]&gt;=30,Employee__2[[#This Row],[Gender]]="Male"),"Mached","Not mached")</f>
        <v>Mached</v>
      </c>
    </row>
    <row r="1191" spans="4:16" x14ac:dyDescent="0.25">
      <c r="D1191" s="6" t="s">
        <v>34</v>
      </c>
      <c r="E1191">
        <v>2014</v>
      </c>
      <c r="F1191" s="6" t="s">
        <v>38</v>
      </c>
      <c r="G1191">
        <v>3</v>
      </c>
      <c r="H1191">
        <v>27</v>
      </c>
      <c r="I1191" s="6" t="s">
        <v>39</v>
      </c>
      <c r="J1191" s="6" t="s">
        <v>37</v>
      </c>
      <c r="K1191">
        <v>5</v>
      </c>
      <c r="M1191" s="1" t="b">
        <f>Employee__2[[#This Row],[Experience]]&gt;1</f>
        <v>1</v>
      </c>
      <c r="N1191" s="1" t="str">
        <f>IF(Employee__2[[#This Row],[City]]="Pune","Yes","No")</f>
        <v>Yes</v>
      </c>
      <c r="O1191" s="1" t="str">
        <f>IF(AND(Employee__2[[#This Row],[Education]]="Bachelors",Employee__2[[#This Row],[City]]="Pune"),"Yes","No")</f>
        <v>Yes</v>
      </c>
      <c r="P1191" s="1" t="str">
        <f>IF(OR(Employee__2[[#This Row],[Age]]&gt;=30,Employee__2[[#This Row],[Gender]]="Male"),"Mached","Not mached")</f>
        <v>Not mached</v>
      </c>
    </row>
    <row r="1192" spans="4:16" x14ac:dyDescent="0.25">
      <c r="D1192" s="6" t="s">
        <v>41</v>
      </c>
      <c r="E1192">
        <v>2018</v>
      </c>
      <c r="F1192" s="6" t="s">
        <v>40</v>
      </c>
      <c r="G1192">
        <v>3</v>
      </c>
      <c r="H1192">
        <v>24</v>
      </c>
      <c r="I1192" s="6" t="s">
        <v>36</v>
      </c>
      <c r="J1192" s="6" t="s">
        <v>37</v>
      </c>
      <c r="K1192">
        <v>2</v>
      </c>
      <c r="M1192" s="1" t="b">
        <f>Employee__2[[#This Row],[Experience]]&gt;1</f>
        <v>1</v>
      </c>
      <c r="N1192" s="1" t="str">
        <f>IF(Employee__2[[#This Row],[City]]="Pune","Yes","No")</f>
        <v>No</v>
      </c>
      <c r="O1192" s="1" t="str">
        <f>IF(AND(Employee__2[[#This Row],[Education]]="Bachelors",Employee__2[[#This Row],[City]]="Pune"),"Yes","No")</f>
        <v>No</v>
      </c>
      <c r="P1192" s="1" t="str">
        <f>IF(OR(Employee__2[[#This Row],[Age]]&gt;=30,Employee__2[[#This Row],[Gender]]="Male"),"Mached","Not mached")</f>
        <v>Mached</v>
      </c>
    </row>
    <row r="1193" spans="4:16" x14ac:dyDescent="0.25">
      <c r="D1193" s="6" t="s">
        <v>34</v>
      </c>
      <c r="E1193">
        <v>2018</v>
      </c>
      <c r="F1193" s="6" t="s">
        <v>35</v>
      </c>
      <c r="G1193">
        <v>3</v>
      </c>
      <c r="H1193">
        <v>25</v>
      </c>
      <c r="I1193" s="6" t="s">
        <v>36</v>
      </c>
      <c r="J1193" s="6" t="s">
        <v>42</v>
      </c>
      <c r="K1193">
        <v>3</v>
      </c>
      <c r="M1193" s="1" t="b">
        <f>Employee__2[[#This Row],[Experience]]&gt;1</f>
        <v>1</v>
      </c>
      <c r="N1193" s="1" t="str">
        <f>IF(Employee__2[[#This Row],[City]]="Pune","Yes","No")</f>
        <v>No</v>
      </c>
      <c r="O1193" s="1" t="str">
        <f>IF(AND(Employee__2[[#This Row],[Education]]="Bachelors",Employee__2[[#This Row],[City]]="Pune"),"Yes","No")</f>
        <v>No</v>
      </c>
      <c r="P1193" s="1" t="str">
        <f>IF(OR(Employee__2[[#This Row],[Age]]&gt;=30,Employee__2[[#This Row],[Gender]]="Male"),"Mached","Not mached")</f>
        <v>Mached</v>
      </c>
    </row>
    <row r="1194" spans="4:16" x14ac:dyDescent="0.25">
      <c r="D1194" s="6" t="s">
        <v>34</v>
      </c>
      <c r="E1194">
        <v>2017</v>
      </c>
      <c r="F1194" s="6" t="s">
        <v>40</v>
      </c>
      <c r="G1194">
        <v>2</v>
      </c>
      <c r="H1194">
        <v>25</v>
      </c>
      <c r="I1194" s="6" t="s">
        <v>36</v>
      </c>
      <c r="J1194" s="6" t="s">
        <v>37</v>
      </c>
      <c r="K1194">
        <v>3</v>
      </c>
      <c r="M1194" s="1" t="b">
        <f>Employee__2[[#This Row],[Experience]]&gt;1</f>
        <v>1</v>
      </c>
      <c r="N1194" s="1" t="str">
        <f>IF(Employee__2[[#This Row],[City]]="Pune","Yes","No")</f>
        <v>No</v>
      </c>
      <c r="O1194" s="1" t="str">
        <f>IF(AND(Employee__2[[#This Row],[Education]]="Bachelors",Employee__2[[#This Row],[City]]="Pune"),"Yes","No")</f>
        <v>No</v>
      </c>
      <c r="P1194" s="1" t="str">
        <f>IF(OR(Employee__2[[#This Row],[Age]]&gt;=30,Employee__2[[#This Row],[Gender]]="Male"),"Mached","Not mached")</f>
        <v>Mached</v>
      </c>
    </row>
    <row r="1195" spans="4:16" x14ac:dyDescent="0.25">
      <c r="D1195" s="6" t="s">
        <v>34</v>
      </c>
      <c r="E1195">
        <v>2014</v>
      </c>
      <c r="F1195" s="6" t="s">
        <v>38</v>
      </c>
      <c r="G1195">
        <v>3</v>
      </c>
      <c r="H1195">
        <v>24</v>
      </c>
      <c r="I1195" s="6" t="s">
        <v>39</v>
      </c>
      <c r="J1195" s="6" t="s">
        <v>37</v>
      </c>
      <c r="K1195">
        <v>2</v>
      </c>
      <c r="M1195" s="1" t="b">
        <f>Employee__2[[#This Row],[Experience]]&gt;1</f>
        <v>1</v>
      </c>
      <c r="N1195" s="1" t="str">
        <f>IF(Employee__2[[#This Row],[City]]="Pune","Yes","No")</f>
        <v>Yes</v>
      </c>
      <c r="O1195" s="1" t="str">
        <f>IF(AND(Employee__2[[#This Row],[Education]]="Bachelors",Employee__2[[#This Row],[City]]="Pune"),"Yes","No")</f>
        <v>Yes</v>
      </c>
      <c r="P1195" s="1" t="str">
        <f>IF(OR(Employee__2[[#This Row],[Age]]&gt;=30,Employee__2[[#This Row],[Gender]]="Male"),"Mached","Not mached")</f>
        <v>Not mached</v>
      </c>
    </row>
    <row r="1196" spans="4:16" x14ac:dyDescent="0.25">
      <c r="D1196" s="6" t="s">
        <v>34</v>
      </c>
      <c r="E1196">
        <v>2012</v>
      </c>
      <c r="F1196" s="6" t="s">
        <v>40</v>
      </c>
      <c r="G1196">
        <v>3</v>
      </c>
      <c r="H1196">
        <v>26</v>
      </c>
      <c r="I1196" s="6" t="s">
        <v>39</v>
      </c>
      <c r="J1196" s="6" t="s">
        <v>37</v>
      </c>
      <c r="K1196">
        <v>4</v>
      </c>
      <c r="M1196" s="1" t="b">
        <f>Employee__2[[#This Row],[Experience]]&gt;1</f>
        <v>1</v>
      </c>
      <c r="N1196" s="1" t="str">
        <f>IF(Employee__2[[#This Row],[City]]="Pune","Yes","No")</f>
        <v>No</v>
      </c>
      <c r="O1196" s="1" t="str">
        <f>IF(AND(Employee__2[[#This Row],[Education]]="Bachelors",Employee__2[[#This Row],[City]]="Pune"),"Yes","No")</f>
        <v>No</v>
      </c>
      <c r="P1196" s="1" t="str">
        <f>IF(OR(Employee__2[[#This Row],[Age]]&gt;=30,Employee__2[[#This Row],[Gender]]="Male"),"Mached","Not mached")</f>
        <v>Not mached</v>
      </c>
    </row>
    <row r="1197" spans="4:16" x14ac:dyDescent="0.25">
      <c r="D1197" s="6" t="s">
        <v>34</v>
      </c>
      <c r="E1197">
        <v>2014</v>
      </c>
      <c r="F1197" s="6" t="s">
        <v>38</v>
      </c>
      <c r="G1197">
        <v>3</v>
      </c>
      <c r="H1197">
        <v>26</v>
      </c>
      <c r="I1197" s="6" t="s">
        <v>36</v>
      </c>
      <c r="J1197" s="6" t="s">
        <v>37</v>
      </c>
      <c r="K1197">
        <v>4</v>
      </c>
      <c r="M1197" s="1" t="b">
        <f>Employee__2[[#This Row],[Experience]]&gt;1</f>
        <v>1</v>
      </c>
      <c r="N1197" s="1" t="str">
        <f>IF(Employee__2[[#This Row],[City]]="Pune","Yes","No")</f>
        <v>Yes</v>
      </c>
      <c r="O1197" s="1" t="str">
        <f>IF(AND(Employee__2[[#This Row],[Education]]="Bachelors",Employee__2[[#This Row],[City]]="Pune"),"Yes","No")</f>
        <v>Yes</v>
      </c>
      <c r="P1197" s="1" t="str">
        <f>IF(OR(Employee__2[[#This Row],[Age]]&gt;=30,Employee__2[[#This Row],[Gender]]="Male"),"Mached","Not mached")</f>
        <v>Mached</v>
      </c>
    </row>
    <row r="1198" spans="4:16" x14ac:dyDescent="0.25">
      <c r="D1198" s="6" t="s">
        <v>34</v>
      </c>
      <c r="E1198">
        <v>2014</v>
      </c>
      <c r="F1198" s="6" t="s">
        <v>35</v>
      </c>
      <c r="G1198">
        <v>3</v>
      </c>
      <c r="H1198">
        <v>28</v>
      </c>
      <c r="I1198" s="6" t="s">
        <v>36</v>
      </c>
      <c r="J1198" s="6" t="s">
        <v>37</v>
      </c>
      <c r="K1198">
        <v>4</v>
      </c>
      <c r="M1198" s="1" t="b">
        <f>Employee__2[[#This Row],[Experience]]&gt;1</f>
        <v>1</v>
      </c>
      <c r="N1198" s="1" t="str">
        <f>IF(Employee__2[[#This Row],[City]]="Pune","Yes","No")</f>
        <v>No</v>
      </c>
      <c r="O1198" s="1" t="str">
        <f>IF(AND(Employee__2[[#This Row],[Education]]="Bachelors",Employee__2[[#This Row],[City]]="Pune"),"Yes","No")</f>
        <v>No</v>
      </c>
      <c r="P1198" s="1" t="str">
        <f>IF(OR(Employee__2[[#This Row],[Age]]&gt;=30,Employee__2[[#This Row],[Gender]]="Male"),"Mached","Not mached")</f>
        <v>Mached</v>
      </c>
    </row>
    <row r="1199" spans="4:16" x14ac:dyDescent="0.25">
      <c r="D1199" s="6" t="s">
        <v>34</v>
      </c>
      <c r="E1199">
        <v>2018</v>
      </c>
      <c r="F1199" s="6" t="s">
        <v>35</v>
      </c>
      <c r="G1199">
        <v>3</v>
      </c>
      <c r="H1199">
        <v>26</v>
      </c>
      <c r="I1199" s="6" t="s">
        <v>36</v>
      </c>
      <c r="J1199" s="6" t="s">
        <v>42</v>
      </c>
      <c r="K1199">
        <v>4</v>
      </c>
      <c r="M1199" s="1" t="b">
        <f>Employee__2[[#This Row],[Experience]]&gt;1</f>
        <v>1</v>
      </c>
      <c r="N1199" s="1" t="str">
        <f>IF(Employee__2[[#This Row],[City]]="Pune","Yes","No")</f>
        <v>No</v>
      </c>
      <c r="O1199" s="1" t="str">
        <f>IF(AND(Employee__2[[#This Row],[Education]]="Bachelors",Employee__2[[#This Row],[City]]="Pune"),"Yes","No")</f>
        <v>No</v>
      </c>
      <c r="P1199" s="1" t="str">
        <f>IF(OR(Employee__2[[#This Row],[Age]]&gt;=30,Employee__2[[#This Row],[Gender]]="Male"),"Mached","Not mached")</f>
        <v>Mached</v>
      </c>
    </row>
    <row r="1200" spans="4:16" x14ac:dyDescent="0.25">
      <c r="D1200" s="6" t="s">
        <v>34</v>
      </c>
      <c r="E1200">
        <v>2013</v>
      </c>
      <c r="F1200" s="6" t="s">
        <v>38</v>
      </c>
      <c r="G1200">
        <v>2</v>
      </c>
      <c r="H1200">
        <v>26</v>
      </c>
      <c r="I1200" s="6" t="s">
        <v>36</v>
      </c>
      <c r="J1200" s="6" t="s">
        <v>37</v>
      </c>
      <c r="K1200">
        <v>4</v>
      </c>
      <c r="M1200" s="1" t="b">
        <f>Employee__2[[#This Row],[Experience]]&gt;1</f>
        <v>1</v>
      </c>
      <c r="N1200" s="1" t="str">
        <f>IF(Employee__2[[#This Row],[City]]="Pune","Yes","No")</f>
        <v>Yes</v>
      </c>
      <c r="O1200" s="1" t="str">
        <f>IF(AND(Employee__2[[#This Row],[Education]]="Bachelors",Employee__2[[#This Row],[City]]="Pune"),"Yes","No")</f>
        <v>Yes</v>
      </c>
      <c r="P1200" s="1" t="str">
        <f>IF(OR(Employee__2[[#This Row],[Age]]&gt;=30,Employee__2[[#This Row],[Gender]]="Male"),"Mached","Not mached")</f>
        <v>Mached</v>
      </c>
    </row>
    <row r="1201" spans="4:16" x14ac:dyDescent="0.25">
      <c r="D1201" s="6" t="s">
        <v>34</v>
      </c>
      <c r="E1201">
        <v>2013</v>
      </c>
      <c r="F1201" s="6" t="s">
        <v>38</v>
      </c>
      <c r="G1201">
        <v>2</v>
      </c>
      <c r="H1201">
        <v>25</v>
      </c>
      <c r="I1201" s="6" t="s">
        <v>39</v>
      </c>
      <c r="J1201" s="6" t="s">
        <v>37</v>
      </c>
      <c r="K1201">
        <v>3</v>
      </c>
      <c r="M1201" s="1" t="b">
        <f>Employee__2[[#This Row],[Experience]]&gt;1</f>
        <v>1</v>
      </c>
      <c r="N1201" s="1" t="str">
        <f>IF(Employee__2[[#This Row],[City]]="Pune","Yes","No")</f>
        <v>Yes</v>
      </c>
      <c r="O1201" s="1" t="str">
        <f>IF(AND(Employee__2[[#This Row],[Education]]="Bachelors",Employee__2[[#This Row],[City]]="Pune"),"Yes","No")</f>
        <v>Yes</v>
      </c>
      <c r="P1201" s="1" t="str">
        <f>IF(OR(Employee__2[[#This Row],[Age]]&gt;=30,Employee__2[[#This Row],[Gender]]="Male"),"Mached","Not mached")</f>
        <v>Not mached</v>
      </c>
    </row>
    <row r="1202" spans="4:16" x14ac:dyDescent="0.25">
      <c r="D1202" s="6" t="s">
        <v>34</v>
      </c>
      <c r="E1202">
        <v>2018</v>
      </c>
      <c r="F1202" s="6" t="s">
        <v>38</v>
      </c>
      <c r="G1202">
        <v>3</v>
      </c>
      <c r="H1202">
        <v>25</v>
      </c>
      <c r="I1202" s="6" t="s">
        <v>36</v>
      </c>
      <c r="J1202" s="6" t="s">
        <v>42</v>
      </c>
      <c r="K1202">
        <v>3</v>
      </c>
      <c r="M1202" s="1" t="b">
        <f>Employee__2[[#This Row],[Experience]]&gt;1</f>
        <v>1</v>
      </c>
      <c r="N1202" s="1" t="str">
        <f>IF(Employee__2[[#This Row],[City]]="Pune","Yes","No")</f>
        <v>Yes</v>
      </c>
      <c r="O1202" s="1" t="str">
        <f>IF(AND(Employee__2[[#This Row],[Education]]="Bachelors",Employee__2[[#This Row],[City]]="Pune"),"Yes","No")</f>
        <v>Yes</v>
      </c>
      <c r="P1202" s="1" t="str">
        <f>IF(OR(Employee__2[[#This Row],[Age]]&gt;=30,Employee__2[[#This Row],[Gender]]="Male"),"Mached","Not mached")</f>
        <v>Mached</v>
      </c>
    </row>
    <row r="1203" spans="4:16" x14ac:dyDescent="0.25">
      <c r="D1203" s="6" t="s">
        <v>34</v>
      </c>
      <c r="E1203">
        <v>2013</v>
      </c>
      <c r="F1203" s="6" t="s">
        <v>35</v>
      </c>
      <c r="G1203">
        <v>3</v>
      </c>
      <c r="H1203">
        <v>25</v>
      </c>
      <c r="I1203" s="6" t="s">
        <v>39</v>
      </c>
      <c r="J1203" s="6" t="s">
        <v>37</v>
      </c>
      <c r="K1203">
        <v>3</v>
      </c>
      <c r="M1203" s="1" t="b">
        <f>Employee__2[[#This Row],[Experience]]&gt;1</f>
        <v>1</v>
      </c>
      <c r="N1203" s="1" t="str">
        <f>IF(Employee__2[[#This Row],[City]]="Pune","Yes","No")</f>
        <v>No</v>
      </c>
      <c r="O1203" s="1" t="str">
        <f>IF(AND(Employee__2[[#This Row],[Education]]="Bachelors",Employee__2[[#This Row],[City]]="Pune"),"Yes","No")</f>
        <v>No</v>
      </c>
      <c r="P1203" s="1" t="str">
        <f>IF(OR(Employee__2[[#This Row],[Age]]&gt;=30,Employee__2[[#This Row],[Gender]]="Male"),"Mached","Not mached")</f>
        <v>Not mached</v>
      </c>
    </row>
    <row r="1204" spans="4:16" x14ac:dyDescent="0.25">
      <c r="D1204" s="6" t="s">
        <v>34</v>
      </c>
      <c r="E1204">
        <v>2014</v>
      </c>
      <c r="F1204" s="6" t="s">
        <v>35</v>
      </c>
      <c r="G1204">
        <v>3</v>
      </c>
      <c r="H1204">
        <v>28</v>
      </c>
      <c r="I1204" s="6" t="s">
        <v>36</v>
      </c>
      <c r="J1204" s="6" t="s">
        <v>37</v>
      </c>
      <c r="K1204">
        <v>4</v>
      </c>
      <c r="M1204" s="1" t="b">
        <f>Employee__2[[#This Row],[Experience]]&gt;1</f>
        <v>1</v>
      </c>
      <c r="N1204" s="1" t="str">
        <f>IF(Employee__2[[#This Row],[City]]="Pune","Yes","No")</f>
        <v>No</v>
      </c>
      <c r="O1204" s="1" t="str">
        <f>IF(AND(Employee__2[[#This Row],[Education]]="Bachelors",Employee__2[[#This Row],[City]]="Pune"),"Yes","No")</f>
        <v>No</v>
      </c>
      <c r="P1204" s="1" t="str">
        <f>IF(OR(Employee__2[[#This Row],[Age]]&gt;=30,Employee__2[[#This Row],[Gender]]="Male"),"Mached","Not mached")</f>
        <v>Mached</v>
      </c>
    </row>
    <row r="1205" spans="4:16" x14ac:dyDescent="0.25">
      <c r="D1205" s="6" t="s">
        <v>41</v>
      </c>
      <c r="E1205">
        <v>2017</v>
      </c>
      <c r="F1205" s="6" t="s">
        <v>40</v>
      </c>
      <c r="G1205">
        <v>3</v>
      </c>
      <c r="H1205">
        <v>24</v>
      </c>
      <c r="I1205" s="6" t="s">
        <v>39</v>
      </c>
      <c r="J1205" s="6" t="s">
        <v>37</v>
      </c>
      <c r="K1205">
        <v>2</v>
      </c>
      <c r="M1205" s="1" t="b">
        <f>Employee__2[[#This Row],[Experience]]&gt;1</f>
        <v>1</v>
      </c>
      <c r="N1205" s="1" t="str">
        <f>IF(Employee__2[[#This Row],[City]]="Pune","Yes","No")</f>
        <v>No</v>
      </c>
      <c r="O1205" s="1" t="str">
        <f>IF(AND(Employee__2[[#This Row],[Education]]="Bachelors",Employee__2[[#This Row],[City]]="Pune"),"Yes","No")</f>
        <v>No</v>
      </c>
      <c r="P1205" s="1" t="str">
        <f>IF(OR(Employee__2[[#This Row],[Age]]&gt;=30,Employee__2[[#This Row],[Gender]]="Male"),"Mached","Not mached")</f>
        <v>Not mached</v>
      </c>
    </row>
    <row r="1206" spans="4:16" x14ac:dyDescent="0.25">
      <c r="D1206" s="6" t="s">
        <v>41</v>
      </c>
      <c r="E1206">
        <v>2017</v>
      </c>
      <c r="F1206" s="6" t="s">
        <v>38</v>
      </c>
      <c r="G1206">
        <v>2</v>
      </c>
      <c r="H1206">
        <v>27</v>
      </c>
      <c r="I1206" s="6" t="s">
        <v>39</v>
      </c>
      <c r="J1206" s="6" t="s">
        <v>37</v>
      </c>
      <c r="K1206">
        <v>5</v>
      </c>
      <c r="M1206" s="1" t="b">
        <f>Employee__2[[#This Row],[Experience]]&gt;1</f>
        <v>1</v>
      </c>
      <c r="N1206" s="1" t="str">
        <f>IF(Employee__2[[#This Row],[City]]="Pune","Yes","No")</f>
        <v>Yes</v>
      </c>
      <c r="O1206" s="1" t="str">
        <f>IF(AND(Employee__2[[#This Row],[Education]]="Bachelors",Employee__2[[#This Row],[City]]="Pune"),"Yes","No")</f>
        <v>No</v>
      </c>
      <c r="P1206" s="1" t="str">
        <f>IF(OR(Employee__2[[#This Row],[Age]]&gt;=30,Employee__2[[#This Row],[Gender]]="Male"),"Mached","Not mached")</f>
        <v>Not mached</v>
      </c>
    </row>
    <row r="1207" spans="4:16" x14ac:dyDescent="0.25">
      <c r="D1207" s="6" t="s">
        <v>34</v>
      </c>
      <c r="E1207">
        <v>2012</v>
      </c>
      <c r="F1207" s="6" t="s">
        <v>35</v>
      </c>
      <c r="G1207">
        <v>3</v>
      </c>
      <c r="H1207">
        <v>24</v>
      </c>
      <c r="I1207" s="6" t="s">
        <v>36</v>
      </c>
      <c r="J1207" s="6" t="s">
        <v>37</v>
      </c>
      <c r="K1207">
        <v>2</v>
      </c>
      <c r="M1207" s="1" t="b">
        <f>Employee__2[[#This Row],[Experience]]&gt;1</f>
        <v>1</v>
      </c>
      <c r="N1207" s="1" t="str">
        <f>IF(Employee__2[[#This Row],[City]]="Pune","Yes","No")</f>
        <v>No</v>
      </c>
      <c r="O1207" s="1" t="str">
        <f>IF(AND(Employee__2[[#This Row],[Education]]="Bachelors",Employee__2[[#This Row],[City]]="Pune"),"Yes","No")</f>
        <v>No</v>
      </c>
      <c r="P1207" s="1" t="str">
        <f>IF(OR(Employee__2[[#This Row],[Age]]&gt;=30,Employee__2[[#This Row],[Gender]]="Male"),"Mached","Not mached")</f>
        <v>Mached</v>
      </c>
    </row>
    <row r="1208" spans="4:16" x14ac:dyDescent="0.25">
      <c r="D1208" s="6" t="s">
        <v>34</v>
      </c>
      <c r="E1208">
        <v>2017</v>
      </c>
      <c r="F1208" s="6" t="s">
        <v>38</v>
      </c>
      <c r="G1208">
        <v>3</v>
      </c>
      <c r="H1208">
        <v>27</v>
      </c>
      <c r="I1208" s="6" t="s">
        <v>39</v>
      </c>
      <c r="J1208" s="6" t="s">
        <v>37</v>
      </c>
      <c r="K1208">
        <v>5</v>
      </c>
      <c r="M1208" s="1" t="b">
        <f>Employee__2[[#This Row],[Experience]]&gt;1</f>
        <v>1</v>
      </c>
      <c r="N1208" s="1" t="str">
        <f>IF(Employee__2[[#This Row],[City]]="Pune","Yes","No")</f>
        <v>Yes</v>
      </c>
      <c r="O1208" s="1" t="str">
        <f>IF(AND(Employee__2[[#This Row],[Education]]="Bachelors",Employee__2[[#This Row],[City]]="Pune"),"Yes","No")</f>
        <v>Yes</v>
      </c>
      <c r="P1208" s="1" t="str">
        <f>IF(OR(Employee__2[[#This Row],[Age]]&gt;=30,Employee__2[[#This Row],[Gender]]="Male"),"Mached","Not mached")</f>
        <v>Not mached</v>
      </c>
    </row>
    <row r="1209" spans="4:16" x14ac:dyDescent="0.25">
      <c r="D1209" s="6" t="s">
        <v>41</v>
      </c>
      <c r="E1209">
        <v>2017</v>
      </c>
      <c r="F1209" s="6" t="s">
        <v>40</v>
      </c>
      <c r="G1209">
        <v>2</v>
      </c>
      <c r="H1209">
        <v>28</v>
      </c>
      <c r="I1209" s="6" t="s">
        <v>36</v>
      </c>
      <c r="J1209" s="6" t="s">
        <v>37</v>
      </c>
      <c r="K1209">
        <v>4</v>
      </c>
      <c r="M1209" s="1" t="b">
        <f>Employee__2[[#This Row],[Experience]]&gt;1</f>
        <v>1</v>
      </c>
      <c r="N1209" s="1" t="str">
        <f>IF(Employee__2[[#This Row],[City]]="Pune","Yes","No")</f>
        <v>No</v>
      </c>
      <c r="O1209" s="1" t="str">
        <f>IF(AND(Employee__2[[#This Row],[Education]]="Bachelors",Employee__2[[#This Row],[City]]="Pune"),"Yes","No")</f>
        <v>No</v>
      </c>
      <c r="P1209" s="1" t="str">
        <f>IF(OR(Employee__2[[#This Row],[Age]]&gt;=30,Employee__2[[#This Row],[Gender]]="Male"),"Mached","Not mached")</f>
        <v>Mached</v>
      </c>
    </row>
    <row r="1210" spans="4:16" x14ac:dyDescent="0.25">
      <c r="D1210" s="6" t="s">
        <v>34</v>
      </c>
      <c r="E1210">
        <v>2017</v>
      </c>
      <c r="F1210" s="6" t="s">
        <v>40</v>
      </c>
      <c r="G1210">
        <v>2</v>
      </c>
      <c r="H1210">
        <v>25</v>
      </c>
      <c r="I1210" s="6" t="s">
        <v>36</v>
      </c>
      <c r="J1210" s="6" t="s">
        <v>37</v>
      </c>
      <c r="K1210">
        <v>3</v>
      </c>
      <c r="M1210" s="1" t="b">
        <f>Employee__2[[#This Row],[Experience]]&gt;1</f>
        <v>1</v>
      </c>
      <c r="N1210" s="1" t="str">
        <f>IF(Employee__2[[#This Row],[City]]="Pune","Yes","No")</f>
        <v>No</v>
      </c>
      <c r="O1210" s="1" t="str">
        <f>IF(AND(Employee__2[[#This Row],[Education]]="Bachelors",Employee__2[[#This Row],[City]]="Pune"),"Yes","No")</f>
        <v>No</v>
      </c>
      <c r="P1210" s="1" t="str">
        <f>IF(OR(Employee__2[[#This Row],[Age]]&gt;=30,Employee__2[[#This Row],[Gender]]="Male"),"Mached","Not mached")</f>
        <v>Mached</v>
      </c>
    </row>
    <row r="1211" spans="4:16" x14ac:dyDescent="0.25">
      <c r="D1211" s="6" t="s">
        <v>34</v>
      </c>
      <c r="E1211">
        <v>2017</v>
      </c>
      <c r="F1211" s="6" t="s">
        <v>38</v>
      </c>
      <c r="G1211">
        <v>3</v>
      </c>
      <c r="H1211">
        <v>25</v>
      </c>
      <c r="I1211" s="6" t="s">
        <v>36</v>
      </c>
      <c r="J1211" s="6" t="s">
        <v>42</v>
      </c>
      <c r="K1211">
        <v>3</v>
      </c>
      <c r="M1211" s="1" t="b">
        <f>Employee__2[[#This Row],[Experience]]&gt;1</f>
        <v>1</v>
      </c>
      <c r="N1211" s="1" t="str">
        <f>IF(Employee__2[[#This Row],[City]]="Pune","Yes","No")</f>
        <v>Yes</v>
      </c>
      <c r="O1211" s="1" t="str">
        <f>IF(AND(Employee__2[[#This Row],[Education]]="Bachelors",Employee__2[[#This Row],[City]]="Pune"),"Yes","No")</f>
        <v>Yes</v>
      </c>
      <c r="P1211" s="1" t="str">
        <f>IF(OR(Employee__2[[#This Row],[Age]]&gt;=30,Employee__2[[#This Row],[Gender]]="Male"),"Mached","Not mached")</f>
        <v>Mached</v>
      </c>
    </row>
    <row r="1212" spans="4:16" x14ac:dyDescent="0.25">
      <c r="D1212" s="6" t="s">
        <v>41</v>
      </c>
      <c r="E1212">
        <v>2017</v>
      </c>
      <c r="F1212" s="6" t="s">
        <v>38</v>
      </c>
      <c r="G1212">
        <v>2</v>
      </c>
      <c r="H1212">
        <v>24</v>
      </c>
      <c r="I1212" s="6" t="s">
        <v>39</v>
      </c>
      <c r="J1212" s="6" t="s">
        <v>37</v>
      </c>
      <c r="K1212">
        <v>2</v>
      </c>
      <c r="M1212" s="1" t="b">
        <f>Employee__2[[#This Row],[Experience]]&gt;1</f>
        <v>1</v>
      </c>
      <c r="N1212" s="1" t="str">
        <f>IF(Employee__2[[#This Row],[City]]="Pune","Yes","No")</f>
        <v>Yes</v>
      </c>
      <c r="O1212" s="1" t="str">
        <f>IF(AND(Employee__2[[#This Row],[Education]]="Bachelors",Employee__2[[#This Row],[City]]="Pune"),"Yes","No")</f>
        <v>No</v>
      </c>
      <c r="P1212" s="1" t="str">
        <f>IF(OR(Employee__2[[#This Row],[Age]]&gt;=30,Employee__2[[#This Row],[Gender]]="Male"),"Mached","Not mached")</f>
        <v>Not mached</v>
      </c>
    </row>
    <row r="1213" spans="4:16" x14ac:dyDescent="0.25">
      <c r="D1213" s="6" t="s">
        <v>34</v>
      </c>
      <c r="E1213">
        <v>2013</v>
      </c>
      <c r="F1213" s="6" t="s">
        <v>38</v>
      </c>
      <c r="G1213">
        <v>3</v>
      </c>
      <c r="H1213">
        <v>27</v>
      </c>
      <c r="I1213" s="6" t="s">
        <v>36</v>
      </c>
      <c r="J1213" s="6" t="s">
        <v>42</v>
      </c>
      <c r="K1213">
        <v>5</v>
      </c>
      <c r="M1213" s="1" t="b">
        <f>Employee__2[[#This Row],[Experience]]&gt;1</f>
        <v>1</v>
      </c>
      <c r="N1213" s="1" t="str">
        <f>IF(Employee__2[[#This Row],[City]]="Pune","Yes","No")</f>
        <v>Yes</v>
      </c>
      <c r="O1213" s="1" t="str">
        <f>IF(AND(Employee__2[[#This Row],[Education]]="Bachelors",Employee__2[[#This Row],[City]]="Pune"),"Yes","No")</f>
        <v>Yes</v>
      </c>
      <c r="P1213" s="1" t="str">
        <f>IF(OR(Employee__2[[#This Row],[Age]]&gt;=30,Employee__2[[#This Row],[Gender]]="Male"),"Mached","Not mached")</f>
        <v>Mached</v>
      </c>
    </row>
    <row r="1214" spans="4:16" x14ac:dyDescent="0.25">
      <c r="D1214" s="6" t="s">
        <v>34</v>
      </c>
      <c r="E1214">
        <v>2016</v>
      </c>
      <c r="F1214" s="6" t="s">
        <v>35</v>
      </c>
      <c r="G1214">
        <v>3</v>
      </c>
      <c r="H1214">
        <v>26</v>
      </c>
      <c r="I1214" s="6" t="s">
        <v>39</v>
      </c>
      <c r="J1214" s="6" t="s">
        <v>37</v>
      </c>
      <c r="K1214">
        <v>4</v>
      </c>
      <c r="M1214" s="1" t="b">
        <f>Employee__2[[#This Row],[Experience]]&gt;1</f>
        <v>1</v>
      </c>
      <c r="N1214" s="1" t="str">
        <f>IF(Employee__2[[#This Row],[City]]="Pune","Yes","No")</f>
        <v>No</v>
      </c>
      <c r="O1214" s="1" t="str">
        <f>IF(AND(Employee__2[[#This Row],[Education]]="Bachelors",Employee__2[[#This Row],[City]]="Pune"),"Yes","No")</f>
        <v>No</v>
      </c>
      <c r="P1214" s="1" t="str">
        <f>IF(OR(Employee__2[[#This Row],[Age]]&gt;=30,Employee__2[[#This Row],[Gender]]="Male"),"Mached","Not mached")</f>
        <v>Not mached</v>
      </c>
    </row>
    <row r="1215" spans="4:16" x14ac:dyDescent="0.25">
      <c r="D1215" s="6" t="s">
        <v>34</v>
      </c>
      <c r="E1215">
        <v>2015</v>
      </c>
      <c r="F1215" s="6" t="s">
        <v>38</v>
      </c>
      <c r="G1215">
        <v>2</v>
      </c>
      <c r="H1215">
        <v>27</v>
      </c>
      <c r="I1215" s="6" t="s">
        <v>39</v>
      </c>
      <c r="J1215" s="6" t="s">
        <v>37</v>
      </c>
      <c r="K1215">
        <v>5</v>
      </c>
      <c r="M1215" s="1" t="b">
        <f>Employee__2[[#This Row],[Experience]]&gt;1</f>
        <v>1</v>
      </c>
      <c r="N1215" s="1" t="str">
        <f>IF(Employee__2[[#This Row],[City]]="Pune","Yes","No")</f>
        <v>Yes</v>
      </c>
      <c r="O1215" s="1" t="str">
        <f>IF(AND(Employee__2[[#This Row],[Education]]="Bachelors",Employee__2[[#This Row],[City]]="Pune"),"Yes","No")</f>
        <v>Yes</v>
      </c>
      <c r="P1215" s="1" t="str">
        <f>IF(OR(Employee__2[[#This Row],[Age]]&gt;=30,Employee__2[[#This Row],[Gender]]="Male"),"Mached","Not mached")</f>
        <v>Not mached</v>
      </c>
    </row>
    <row r="1216" spans="4:16" x14ac:dyDescent="0.25">
      <c r="D1216" s="6" t="s">
        <v>34</v>
      </c>
      <c r="E1216">
        <v>2014</v>
      </c>
      <c r="F1216" s="6" t="s">
        <v>35</v>
      </c>
      <c r="G1216">
        <v>3</v>
      </c>
      <c r="H1216">
        <v>27</v>
      </c>
      <c r="I1216" s="6" t="s">
        <v>36</v>
      </c>
      <c r="J1216" s="6" t="s">
        <v>37</v>
      </c>
      <c r="K1216">
        <v>5</v>
      </c>
      <c r="M1216" s="1" t="b">
        <f>Employee__2[[#This Row],[Experience]]&gt;1</f>
        <v>1</v>
      </c>
      <c r="N1216" s="1" t="str">
        <f>IF(Employee__2[[#This Row],[City]]="Pune","Yes","No")</f>
        <v>No</v>
      </c>
      <c r="O1216" s="1" t="str">
        <f>IF(AND(Employee__2[[#This Row],[Education]]="Bachelors",Employee__2[[#This Row],[City]]="Pune"),"Yes","No")</f>
        <v>No</v>
      </c>
      <c r="P1216" s="1" t="str">
        <f>IF(OR(Employee__2[[#This Row],[Age]]&gt;=30,Employee__2[[#This Row],[Gender]]="Male"),"Mached","Not mached")</f>
        <v>Mached</v>
      </c>
    </row>
    <row r="1217" spans="4:16" x14ac:dyDescent="0.25">
      <c r="D1217" s="6" t="s">
        <v>34</v>
      </c>
      <c r="E1217">
        <v>2012</v>
      </c>
      <c r="F1217" s="6" t="s">
        <v>35</v>
      </c>
      <c r="G1217">
        <v>3</v>
      </c>
      <c r="H1217">
        <v>26</v>
      </c>
      <c r="I1217" s="6" t="s">
        <v>36</v>
      </c>
      <c r="J1217" s="6" t="s">
        <v>37</v>
      </c>
      <c r="K1217">
        <v>4</v>
      </c>
      <c r="M1217" s="1" t="b">
        <f>Employee__2[[#This Row],[Experience]]&gt;1</f>
        <v>1</v>
      </c>
      <c r="N1217" s="1" t="str">
        <f>IF(Employee__2[[#This Row],[City]]="Pune","Yes","No")</f>
        <v>No</v>
      </c>
      <c r="O1217" s="1" t="str">
        <f>IF(AND(Employee__2[[#This Row],[Education]]="Bachelors",Employee__2[[#This Row],[City]]="Pune"),"Yes","No")</f>
        <v>No</v>
      </c>
      <c r="P1217" s="1" t="str">
        <f>IF(OR(Employee__2[[#This Row],[Age]]&gt;=30,Employee__2[[#This Row],[Gender]]="Male"),"Mached","Not mached")</f>
        <v>Mached</v>
      </c>
    </row>
    <row r="1218" spans="4:16" x14ac:dyDescent="0.25">
      <c r="D1218" s="6" t="s">
        <v>34</v>
      </c>
      <c r="E1218">
        <v>2016</v>
      </c>
      <c r="F1218" s="6" t="s">
        <v>38</v>
      </c>
      <c r="G1218">
        <v>2</v>
      </c>
      <c r="H1218">
        <v>27</v>
      </c>
      <c r="I1218" s="6" t="s">
        <v>39</v>
      </c>
      <c r="J1218" s="6" t="s">
        <v>37</v>
      </c>
      <c r="K1218">
        <v>5</v>
      </c>
      <c r="M1218" s="1" t="b">
        <f>Employee__2[[#This Row],[Experience]]&gt;1</f>
        <v>1</v>
      </c>
      <c r="N1218" s="1" t="str">
        <f>IF(Employee__2[[#This Row],[City]]="Pune","Yes","No")</f>
        <v>Yes</v>
      </c>
      <c r="O1218" s="1" t="str">
        <f>IF(AND(Employee__2[[#This Row],[Education]]="Bachelors",Employee__2[[#This Row],[City]]="Pune"),"Yes","No")</f>
        <v>Yes</v>
      </c>
      <c r="P1218" s="1" t="str">
        <f>IF(OR(Employee__2[[#This Row],[Age]]&gt;=30,Employee__2[[#This Row],[Gender]]="Male"),"Mached","Not mached")</f>
        <v>Not mached</v>
      </c>
    </row>
    <row r="1219" spans="4:16" x14ac:dyDescent="0.25">
      <c r="D1219" s="6" t="s">
        <v>41</v>
      </c>
      <c r="E1219">
        <v>2017</v>
      </c>
      <c r="F1219" s="6" t="s">
        <v>35</v>
      </c>
      <c r="G1219">
        <v>2</v>
      </c>
      <c r="H1219">
        <v>28</v>
      </c>
      <c r="I1219" s="6" t="s">
        <v>36</v>
      </c>
      <c r="J1219" s="6" t="s">
        <v>37</v>
      </c>
      <c r="K1219">
        <v>2</v>
      </c>
      <c r="M1219" s="1" t="b">
        <f>Employee__2[[#This Row],[Experience]]&gt;1</f>
        <v>1</v>
      </c>
      <c r="N1219" s="1" t="str">
        <f>IF(Employee__2[[#This Row],[City]]="Pune","Yes","No")</f>
        <v>No</v>
      </c>
      <c r="O1219" s="1" t="str">
        <f>IF(AND(Employee__2[[#This Row],[Education]]="Bachelors",Employee__2[[#This Row],[City]]="Pune"),"Yes","No")</f>
        <v>No</v>
      </c>
      <c r="P1219" s="1" t="str">
        <f>IF(OR(Employee__2[[#This Row],[Age]]&gt;=30,Employee__2[[#This Row],[Gender]]="Male"),"Mached","Not mached")</f>
        <v>Mached</v>
      </c>
    </row>
    <row r="1220" spans="4:16" x14ac:dyDescent="0.25">
      <c r="D1220" s="6" t="s">
        <v>41</v>
      </c>
      <c r="E1220">
        <v>2017</v>
      </c>
      <c r="F1220" s="6" t="s">
        <v>40</v>
      </c>
      <c r="G1220">
        <v>3</v>
      </c>
      <c r="H1220">
        <v>24</v>
      </c>
      <c r="I1220" s="6" t="s">
        <v>39</v>
      </c>
      <c r="J1220" s="6" t="s">
        <v>37</v>
      </c>
      <c r="K1220">
        <v>2</v>
      </c>
      <c r="M1220" s="1" t="b">
        <f>Employee__2[[#This Row],[Experience]]&gt;1</f>
        <v>1</v>
      </c>
      <c r="N1220" s="1" t="str">
        <f>IF(Employee__2[[#This Row],[City]]="Pune","Yes","No")</f>
        <v>No</v>
      </c>
      <c r="O1220" s="1" t="str">
        <f>IF(AND(Employee__2[[#This Row],[Education]]="Bachelors",Employee__2[[#This Row],[City]]="Pune"),"Yes","No")</f>
        <v>No</v>
      </c>
      <c r="P1220" s="1" t="str">
        <f>IF(OR(Employee__2[[#This Row],[Age]]&gt;=30,Employee__2[[#This Row],[Gender]]="Male"),"Mached","Not mached")</f>
        <v>Not mached</v>
      </c>
    </row>
    <row r="1221" spans="4:16" x14ac:dyDescent="0.25">
      <c r="D1221" s="6" t="s">
        <v>34</v>
      </c>
      <c r="E1221">
        <v>2017</v>
      </c>
      <c r="F1221" s="6" t="s">
        <v>38</v>
      </c>
      <c r="G1221">
        <v>3</v>
      </c>
      <c r="H1221">
        <v>24</v>
      </c>
      <c r="I1221" s="6" t="s">
        <v>36</v>
      </c>
      <c r="J1221" s="6" t="s">
        <v>37</v>
      </c>
      <c r="K1221">
        <v>2</v>
      </c>
      <c r="M1221" s="1" t="b">
        <f>Employee__2[[#This Row],[Experience]]&gt;1</f>
        <v>1</v>
      </c>
      <c r="N1221" s="1" t="str">
        <f>IF(Employee__2[[#This Row],[City]]="Pune","Yes","No")</f>
        <v>Yes</v>
      </c>
      <c r="O1221" s="1" t="str">
        <f>IF(AND(Employee__2[[#This Row],[Education]]="Bachelors",Employee__2[[#This Row],[City]]="Pune"),"Yes","No")</f>
        <v>Yes</v>
      </c>
      <c r="P1221" s="1" t="str">
        <f>IF(OR(Employee__2[[#This Row],[Age]]&gt;=30,Employee__2[[#This Row],[Gender]]="Male"),"Mached","Not mached")</f>
        <v>Mached</v>
      </c>
    </row>
    <row r="1222" spans="4:16" x14ac:dyDescent="0.25">
      <c r="D1222" s="6" t="s">
        <v>34</v>
      </c>
      <c r="E1222">
        <v>2018</v>
      </c>
      <c r="F1222" s="6" t="s">
        <v>35</v>
      </c>
      <c r="G1222">
        <v>3</v>
      </c>
      <c r="H1222">
        <v>24</v>
      </c>
      <c r="I1222" s="6" t="s">
        <v>36</v>
      </c>
      <c r="J1222" s="6" t="s">
        <v>37</v>
      </c>
      <c r="K1222">
        <v>2</v>
      </c>
      <c r="M1222" s="1" t="b">
        <f>Employee__2[[#This Row],[Experience]]&gt;1</f>
        <v>1</v>
      </c>
      <c r="N1222" s="1" t="str">
        <f>IF(Employee__2[[#This Row],[City]]="Pune","Yes","No")</f>
        <v>No</v>
      </c>
      <c r="O1222" s="1" t="str">
        <f>IF(AND(Employee__2[[#This Row],[Education]]="Bachelors",Employee__2[[#This Row],[City]]="Pune"),"Yes","No")</f>
        <v>No</v>
      </c>
      <c r="P1222" s="1" t="str">
        <f>IF(OR(Employee__2[[#This Row],[Age]]&gt;=30,Employee__2[[#This Row],[Gender]]="Male"),"Mached","Not mached")</f>
        <v>Mached</v>
      </c>
    </row>
    <row r="1223" spans="4:16" x14ac:dyDescent="0.25">
      <c r="D1223" s="6" t="s">
        <v>41</v>
      </c>
      <c r="E1223">
        <v>2017</v>
      </c>
      <c r="F1223" s="6" t="s">
        <v>40</v>
      </c>
      <c r="G1223">
        <v>2</v>
      </c>
      <c r="H1223">
        <v>28</v>
      </c>
      <c r="I1223" s="6" t="s">
        <v>36</v>
      </c>
      <c r="J1223" s="6" t="s">
        <v>37</v>
      </c>
      <c r="K1223">
        <v>3</v>
      </c>
      <c r="M1223" s="1" t="b">
        <f>Employee__2[[#This Row],[Experience]]&gt;1</f>
        <v>1</v>
      </c>
      <c r="N1223" s="1" t="str">
        <f>IF(Employee__2[[#This Row],[City]]="Pune","Yes","No")</f>
        <v>No</v>
      </c>
      <c r="O1223" s="1" t="str">
        <f>IF(AND(Employee__2[[#This Row],[Education]]="Bachelors",Employee__2[[#This Row],[City]]="Pune"),"Yes","No")</f>
        <v>No</v>
      </c>
      <c r="P1223" s="1" t="str">
        <f>IF(OR(Employee__2[[#This Row],[Age]]&gt;=30,Employee__2[[#This Row],[Gender]]="Male"),"Mached","Not mached")</f>
        <v>Mached</v>
      </c>
    </row>
    <row r="1224" spans="4:16" x14ac:dyDescent="0.25">
      <c r="D1224" s="6" t="s">
        <v>34</v>
      </c>
      <c r="E1224">
        <v>2015</v>
      </c>
      <c r="F1224" s="6" t="s">
        <v>35</v>
      </c>
      <c r="G1224">
        <v>3</v>
      </c>
      <c r="H1224">
        <v>26</v>
      </c>
      <c r="I1224" s="6" t="s">
        <v>39</v>
      </c>
      <c r="J1224" s="6" t="s">
        <v>42</v>
      </c>
      <c r="K1224">
        <v>4</v>
      </c>
      <c r="M1224" s="1" t="b">
        <f>Employee__2[[#This Row],[Experience]]&gt;1</f>
        <v>1</v>
      </c>
      <c r="N1224" s="1" t="str">
        <f>IF(Employee__2[[#This Row],[City]]="Pune","Yes","No")</f>
        <v>No</v>
      </c>
      <c r="O1224" s="1" t="str">
        <f>IF(AND(Employee__2[[#This Row],[Education]]="Bachelors",Employee__2[[#This Row],[City]]="Pune"),"Yes","No")</f>
        <v>No</v>
      </c>
      <c r="P1224" s="1" t="str">
        <f>IF(OR(Employee__2[[#This Row],[Age]]&gt;=30,Employee__2[[#This Row],[Gender]]="Male"),"Mached","Not mached")</f>
        <v>Not mached</v>
      </c>
    </row>
    <row r="1225" spans="4:16" x14ac:dyDescent="0.25">
      <c r="D1225" s="6" t="s">
        <v>34</v>
      </c>
      <c r="E1225">
        <v>2018</v>
      </c>
      <c r="F1225" s="6" t="s">
        <v>38</v>
      </c>
      <c r="G1225">
        <v>3</v>
      </c>
      <c r="H1225">
        <v>26</v>
      </c>
      <c r="I1225" s="6" t="s">
        <v>39</v>
      </c>
      <c r="J1225" s="6" t="s">
        <v>37</v>
      </c>
      <c r="K1225">
        <v>4</v>
      </c>
      <c r="M1225" s="1" t="b">
        <f>Employee__2[[#This Row],[Experience]]&gt;1</f>
        <v>1</v>
      </c>
      <c r="N1225" s="1" t="str">
        <f>IF(Employee__2[[#This Row],[City]]="Pune","Yes","No")</f>
        <v>Yes</v>
      </c>
      <c r="O1225" s="1" t="str">
        <f>IF(AND(Employee__2[[#This Row],[Education]]="Bachelors",Employee__2[[#This Row],[City]]="Pune"),"Yes","No")</f>
        <v>Yes</v>
      </c>
      <c r="P1225" s="1" t="str">
        <f>IF(OR(Employee__2[[#This Row],[Age]]&gt;=30,Employee__2[[#This Row],[Gender]]="Male"),"Mached","Not mached")</f>
        <v>Not mached</v>
      </c>
    </row>
    <row r="1226" spans="4:16" x14ac:dyDescent="0.25">
      <c r="D1226" s="6" t="s">
        <v>34</v>
      </c>
      <c r="E1226">
        <v>2013</v>
      </c>
      <c r="F1226" s="6" t="s">
        <v>35</v>
      </c>
      <c r="G1226">
        <v>3</v>
      </c>
      <c r="H1226">
        <v>25</v>
      </c>
      <c r="I1226" s="6" t="s">
        <v>36</v>
      </c>
      <c r="J1226" s="6" t="s">
        <v>42</v>
      </c>
      <c r="K1226">
        <v>3</v>
      </c>
      <c r="M1226" s="1" t="b">
        <f>Employee__2[[#This Row],[Experience]]&gt;1</f>
        <v>1</v>
      </c>
      <c r="N1226" s="1" t="str">
        <f>IF(Employee__2[[#This Row],[City]]="Pune","Yes","No")</f>
        <v>No</v>
      </c>
      <c r="O1226" s="1" t="str">
        <f>IF(AND(Employee__2[[#This Row],[Education]]="Bachelors",Employee__2[[#This Row],[City]]="Pune"),"Yes","No")</f>
        <v>No</v>
      </c>
      <c r="P1226" s="1" t="str">
        <f>IF(OR(Employee__2[[#This Row],[Age]]&gt;=30,Employee__2[[#This Row],[Gender]]="Male"),"Mached","Not mached")</f>
        <v>Mached</v>
      </c>
    </row>
    <row r="1227" spans="4:16" x14ac:dyDescent="0.25">
      <c r="D1227" s="6" t="s">
        <v>34</v>
      </c>
      <c r="E1227">
        <v>2016</v>
      </c>
      <c r="F1227" s="6" t="s">
        <v>35</v>
      </c>
      <c r="G1227">
        <v>3</v>
      </c>
      <c r="H1227">
        <v>26</v>
      </c>
      <c r="I1227" s="6" t="s">
        <v>36</v>
      </c>
      <c r="J1227" s="6" t="s">
        <v>37</v>
      </c>
      <c r="K1227">
        <v>4</v>
      </c>
      <c r="M1227" s="1" t="b">
        <f>Employee__2[[#This Row],[Experience]]&gt;1</f>
        <v>1</v>
      </c>
      <c r="N1227" s="1" t="str">
        <f>IF(Employee__2[[#This Row],[City]]="Pune","Yes","No")</f>
        <v>No</v>
      </c>
      <c r="O1227" s="1" t="str">
        <f>IF(AND(Employee__2[[#This Row],[Education]]="Bachelors",Employee__2[[#This Row],[City]]="Pune"),"Yes","No")</f>
        <v>No</v>
      </c>
      <c r="P1227" s="1" t="str">
        <f>IF(OR(Employee__2[[#This Row],[Age]]&gt;=30,Employee__2[[#This Row],[Gender]]="Male"),"Mached","Not mached")</f>
        <v>Mached</v>
      </c>
    </row>
    <row r="1228" spans="4:16" x14ac:dyDescent="0.25">
      <c r="D1228" s="6" t="s">
        <v>41</v>
      </c>
      <c r="E1228">
        <v>2018</v>
      </c>
      <c r="F1228" s="6" t="s">
        <v>38</v>
      </c>
      <c r="G1228">
        <v>3</v>
      </c>
      <c r="H1228">
        <v>28</v>
      </c>
      <c r="I1228" s="6" t="s">
        <v>36</v>
      </c>
      <c r="J1228" s="6" t="s">
        <v>37</v>
      </c>
      <c r="K1228">
        <v>2</v>
      </c>
      <c r="M1228" s="1" t="b">
        <f>Employee__2[[#This Row],[Experience]]&gt;1</f>
        <v>1</v>
      </c>
      <c r="N1228" s="1" t="str">
        <f>IF(Employee__2[[#This Row],[City]]="Pune","Yes","No")</f>
        <v>Yes</v>
      </c>
      <c r="O1228" s="1" t="str">
        <f>IF(AND(Employee__2[[#This Row],[Education]]="Bachelors",Employee__2[[#This Row],[City]]="Pune"),"Yes","No")</f>
        <v>No</v>
      </c>
      <c r="P1228" s="1" t="str">
        <f>IF(OR(Employee__2[[#This Row],[Age]]&gt;=30,Employee__2[[#This Row],[Gender]]="Male"),"Mached","Not mached")</f>
        <v>Mached</v>
      </c>
    </row>
    <row r="1229" spans="4:16" x14ac:dyDescent="0.25">
      <c r="D1229" s="6" t="s">
        <v>34</v>
      </c>
      <c r="E1229">
        <v>2016</v>
      </c>
      <c r="F1229" s="6" t="s">
        <v>35</v>
      </c>
      <c r="G1229">
        <v>3</v>
      </c>
      <c r="H1229">
        <v>26</v>
      </c>
      <c r="I1229" s="6" t="s">
        <v>36</v>
      </c>
      <c r="J1229" s="6" t="s">
        <v>37</v>
      </c>
      <c r="K1229">
        <v>4</v>
      </c>
      <c r="M1229" s="1" t="b">
        <f>Employee__2[[#This Row],[Experience]]&gt;1</f>
        <v>1</v>
      </c>
      <c r="N1229" s="1" t="str">
        <f>IF(Employee__2[[#This Row],[City]]="Pune","Yes","No")</f>
        <v>No</v>
      </c>
      <c r="O1229" s="1" t="str">
        <f>IF(AND(Employee__2[[#This Row],[Education]]="Bachelors",Employee__2[[#This Row],[City]]="Pune"),"Yes","No")</f>
        <v>No</v>
      </c>
      <c r="P1229" s="1" t="str">
        <f>IF(OR(Employee__2[[#This Row],[Age]]&gt;=30,Employee__2[[#This Row],[Gender]]="Male"),"Mached","Not mached")</f>
        <v>Mached</v>
      </c>
    </row>
    <row r="1230" spans="4:16" x14ac:dyDescent="0.25">
      <c r="D1230" s="6" t="s">
        <v>34</v>
      </c>
      <c r="E1230">
        <v>2017</v>
      </c>
      <c r="F1230" s="6" t="s">
        <v>35</v>
      </c>
      <c r="G1230">
        <v>3</v>
      </c>
      <c r="H1230">
        <v>27</v>
      </c>
      <c r="I1230" s="6" t="s">
        <v>36</v>
      </c>
      <c r="J1230" s="6" t="s">
        <v>37</v>
      </c>
      <c r="K1230">
        <v>5</v>
      </c>
      <c r="M1230" s="1" t="b">
        <f>Employee__2[[#This Row],[Experience]]&gt;1</f>
        <v>1</v>
      </c>
      <c r="N1230" s="1" t="str">
        <f>IF(Employee__2[[#This Row],[City]]="Pune","Yes","No")</f>
        <v>No</v>
      </c>
      <c r="O1230" s="1" t="str">
        <f>IF(AND(Employee__2[[#This Row],[Education]]="Bachelors",Employee__2[[#This Row],[City]]="Pune"),"Yes","No")</f>
        <v>No</v>
      </c>
      <c r="P1230" s="1" t="str">
        <f>IF(OR(Employee__2[[#This Row],[Age]]&gt;=30,Employee__2[[#This Row],[Gender]]="Male"),"Mached","Not mached")</f>
        <v>Mached</v>
      </c>
    </row>
    <row r="1231" spans="4:16" x14ac:dyDescent="0.25">
      <c r="D1231" s="6" t="s">
        <v>34</v>
      </c>
      <c r="E1231">
        <v>2012</v>
      </c>
      <c r="F1231" s="6" t="s">
        <v>35</v>
      </c>
      <c r="G1231">
        <v>3</v>
      </c>
      <c r="H1231">
        <v>27</v>
      </c>
      <c r="I1231" s="6" t="s">
        <v>39</v>
      </c>
      <c r="J1231" s="6" t="s">
        <v>37</v>
      </c>
      <c r="K1231">
        <v>5</v>
      </c>
      <c r="M1231" s="1" t="b">
        <f>Employee__2[[#This Row],[Experience]]&gt;1</f>
        <v>1</v>
      </c>
      <c r="N1231" s="1" t="str">
        <f>IF(Employee__2[[#This Row],[City]]="Pune","Yes","No")</f>
        <v>No</v>
      </c>
      <c r="O1231" s="1" t="str">
        <f>IF(AND(Employee__2[[#This Row],[Education]]="Bachelors",Employee__2[[#This Row],[City]]="Pune"),"Yes","No")</f>
        <v>No</v>
      </c>
      <c r="P1231" s="1" t="str">
        <f>IF(OR(Employee__2[[#This Row],[Age]]&gt;=30,Employee__2[[#This Row],[Gender]]="Male"),"Mached","Not mached")</f>
        <v>Not mached</v>
      </c>
    </row>
    <row r="1232" spans="4:16" x14ac:dyDescent="0.25">
      <c r="D1232" s="6" t="s">
        <v>43</v>
      </c>
      <c r="E1232">
        <v>2016</v>
      </c>
      <c r="F1232" s="6" t="s">
        <v>40</v>
      </c>
      <c r="G1232">
        <v>3</v>
      </c>
      <c r="H1232">
        <v>27</v>
      </c>
      <c r="I1232" s="6" t="s">
        <v>36</v>
      </c>
      <c r="J1232" s="6" t="s">
        <v>37</v>
      </c>
      <c r="K1232">
        <v>5</v>
      </c>
      <c r="M1232" s="1" t="b">
        <f>Employee__2[[#This Row],[Experience]]&gt;1</f>
        <v>1</v>
      </c>
      <c r="N1232" s="1" t="str">
        <f>IF(Employee__2[[#This Row],[City]]="Pune","Yes","No")</f>
        <v>No</v>
      </c>
      <c r="O1232" s="1" t="str">
        <f>IF(AND(Employee__2[[#This Row],[Education]]="Bachelors",Employee__2[[#This Row],[City]]="Pune"),"Yes","No")</f>
        <v>No</v>
      </c>
      <c r="P1232" s="1" t="str">
        <f>IF(OR(Employee__2[[#This Row],[Age]]&gt;=30,Employee__2[[#This Row],[Gender]]="Male"),"Mached","Not mached")</f>
        <v>Mached</v>
      </c>
    </row>
    <row r="1233" spans="4:16" x14ac:dyDescent="0.25">
      <c r="D1233" s="6" t="s">
        <v>34</v>
      </c>
      <c r="E1233">
        <v>2017</v>
      </c>
      <c r="F1233" s="6" t="s">
        <v>40</v>
      </c>
      <c r="G1233">
        <v>2</v>
      </c>
      <c r="H1233">
        <v>25</v>
      </c>
      <c r="I1233" s="6" t="s">
        <v>36</v>
      </c>
      <c r="J1233" s="6" t="s">
        <v>37</v>
      </c>
      <c r="K1233">
        <v>3</v>
      </c>
      <c r="M1233" s="1" t="b">
        <f>Employee__2[[#This Row],[Experience]]&gt;1</f>
        <v>1</v>
      </c>
      <c r="N1233" s="1" t="str">
        <f>IF(Employee__2[[#This Row],[City]]="Pune","Yes","No")</f>
        <v>No</v>
      </c>
      <c r="O1233" s="1" t="str">
        <f>IF(AND(Employee__2[[#This Row],[Education]]="Bachelors",Employee__2[[#This Row],[City]]="Pune"),"Yes","No")</f>
        <v>No</v>
      </c>
      <c r="P1233" s="1" t="str">
        <f>IF(OR(Employee__2[[#This Row],[Age]]&gt;=30,Employee__2[[#This Row],[Gender]]="Male"),"Mached","Not mached")</f>
        <v>Mached</v>
      </c>
    </row>
    <row r="1234" spans="4:16" x14ac:dyDescent="0.25">
      <c r="D1234" s="6" t="s">
        <v>34</v>
      </c>
      <c r="E1234">
        <v>2015</v>
      </c>
      <c r="F1234" s="6" t="s">
        <v>40</v>
      </c>
      <c r="G1234">
        <v>3</v>
      </c>
      <c r="H1234">
        <v>28</v>
      </c>
      <c r="I1234" s="6" t="s">
        <v>39</v>
      </c>
      <c r="J1234" s="6" t="s">
        <v>37</v>
      </c>
      <c r="K1234">
        <v>2</v>
      </c>
      <c r="M1234" s="1" t="b">
        <f>Employee__2[[#This Row],[Experience]]&gt;1</f>
        <v>1</v>
      </c>
      <c r="N1234" s="1" t="str">
        <f>IF(Employee__2[[#This Row],[City]]="Pune","Yes","No")</f>
        <v>No</v>
      </c>
      <c r="O1234" s="1" t="str">
        <f>IF(AND(Employee__2[[#This Row],[Education]]="Bachelors",Employee__2[[#This Row],[City]]="Pune"),"Yes","No")</f>
        <v>No</v>
      </c>
      <c r="P1234" s="1" t="str">
        <f>IF(OR(Employee__2[[#This Row],[Age]]&gt;=30,Employee__2[[#This Row],[Gender]]="Male"),"Mached","Not mached")</f>
        <v>Not mached</v>
      </c>
    </row>
    <row r="1235" spans="4:16" x14ac:dyDescent="0.25">
      <c r="D1235" s="6" t="s">
        <v>34</v>
      </c>
      <c r="E1235">
        <v>2013</v>
      </c>
      <c r="F1235" s="6" t="s">
        <v>38</v>
      </c>
      <c r="G1235">
        <v>2</v>
      </c>
      <c r="H1235">
        <v>26</v>
      </c>
      <c r="I1235" s="6" t="s">
        <v>39</v>
      </c>
      <c r="J1235" s="6" t="s">
        <v>37</v>
      </c>
      <c r="K1235">
        <v>4</v>
      </c>
      <c r="M1235" s="1" t="b">
        <f>Employee__2[[#This Row],[Experience]]&gt;1</f>
        <v>1</v>
      </c>
      <c r="N1235" s="1" t="str">
        <f>IF(Employee__2[[#This Row],[City]]="Pune","Yes","No")</f>
        <v>Yes</v>
      </c>
      <c r="O1235" s="1" t="str">
        <f>IF(AND(Employee__2[[#This Row],[Education]]="Bachelors",Employee__2[[#This Row],[City]]="Pune"),"Yes","No")</f>
        <v>Yes</v>
      </c>
      <c r="P1235" s="1" t="str">
        <f>IF(OR(Employee__2[[#This Row],[Age]]&gt;=30,Employee__2[[#This Row],[Gender]]="Male"),"Mached","Not mached")</f>
        <v>Not mached</v>
      </c>
    </row>
    <row r="1236" spans="4:16" x14ac:dyDescent="0.25">
      <c r="D1236" s="6" t="s">
        <v>34</v>
      </c>
      <c r="E1236">
        <v>2017</v>
      </c>
      <c r="F1236" s="6" t="s">
        <v>35</v>
      </c>
      <c r="G1236">
        <v>3</v>
      </c>
      <c r="H1236">
        <v>27</v>
      </c>
      <c r="I1236" s="6" t="s">
        <v>39</v>
      </c>
      <c r="J1236" s="6" t="s">
        <v>37</v>
      </c>
      <c r="K1236">
        <v>5</v>
      </c>
      <c r="M1236" s="1" t="b">
        <f>Employee__2[[#This Row],[Experience]]&gt;1</f>
        <v>1</v>
      </c>
      <c r="N1236" s="1" t="str">
        <f>IF(Employee__2[[#This Row],[City]]="Pune","Yes","No")</f>
        <v>No</v>
      </c>
      <c r="O1236" s="1" t="str">
        <f>IF(AND(Employee__2[[#This Row],[Education]]="Bachelors",Employee__2[[#This Row],[City]]="Pune"),"Yes","No")</f>
        <v>No</v>
      </c>
      <c r="P1236" s="1" t="str">
        <f>IF(OR(Employee__2[[#This Row],[Age]]&gt;=30,Employee__2[[#This Row],[Gender]]="Male"),"Mached","Not mached")</f>
        <v>Not mached</v>
      </c>
    </row>
    <row r="1237" spans="4:16" x14ac:dyDescent="0.25">
      <c r="D1237" s="6" t="s">
        <v>34</v>
      </c>
      <c r="E1237">
        <v>2015</v>
      </c>
      <c r="F1237" s="6" t="s">
        <v>38</v>
      </c>
      <c r="G1237">
        <v>2</v>
      </c>
      <c r="H1237">
        <v>24</v>
      </c>
      <c r="I1237" s="6" t="s">
        <v>39</v>
      </c>
      <c r="J1237" s="6" t="s">
        <v>37</v>
      </c>
      <c r="K1237">
        <v>2</v>
      </c>
      <c r="M1237" s="1" t="b">
        <f>Employee__2[[#This Row],[Experience]]&gt;1</f>
        <v>1</v>
      </c>
      <c r="N1237" s="1" t="str">
        <f>IF(Employee__2[[#This Row],[City]]="Pune","Yes","No")</f>
        <v>Yes</v>
      </c>
      <c r="O1237" s="1" t="str">
        <f>IF(AND(Employee__2[[#This Row],[Education]]="Bachelors",Employee__2[[#This Row],[City]]="Pune"),"Yes","No")</f>
        <v>Yes</v>
      </c>
      <c r="P1237" s="1" t="str">
        <f>IF(OR(Employee__2[[#This Row],[Age]]&gt;=30,Employee__2[[#This Row],[Gender]]="Male"),"Mached","Not mached")</f>
        <v>Not mached</v>
      </c>
    </row>
    <row r="1238" spans="4:16" x14ac:dyDescent="0.25">
      <c r="D1238" s="6" t="s">
        <v>34</v>
      </c>
      <c r="E1238">
        <v>2017</v>
      </c>
      <c r="F1238" s="6" t="s">
        <v>35</v>
      </c>
      <c r="G1238">
        <v>3</v>
      </c>
      <c r="H1238">
        <v>27</v>
      </c>
      <c r="I1238" s="6" t="s">
        <v>39</v>
      </c>
      <c r="J1238" s="6" t="s">
        <v>37</v>
      </c>
      <c r="K1238">
        <v>5</v>
      </c>
      <c r="M1238" s="1" t="b">
        <f>Employee__2[[#This Row],[Experience]]&gt;1</f>
        <v>1</v>
      </c>
      <c r="N1238" s="1" t="str">
        <f>IF(Employee__2[[#This Row],[City]]="Pune","Yes","No")</f>
        <v>No</v>
      </c>
      <c r="O1238" s="1" t="str">
        <f>IF(AND(Employee__2[[#This Row],[Education]]="Bachelors",Employee__2[[#This Row],[City]]="Pune"),"Yes","No")</f>
        <v>No</v>
      </c>
      <c r="P1238" s="1" t="str">
        <f>IF(OR(Employee__2[[#This Row],[Age]]&gt;=30,Employee__2[[#This Row],[Gender]]="Male"),"Mached","Not mached")</f>
        <v>Not mached</v>
      </c>
    </row>
    <row r="1239" spans="4:16" x14ac:dyDescent="0.25">
      <c r="D1239" s="6" t="s">
        <v>34</v>
      </c>
      <c r="E1239">
        <v>2016</v>
      </c>
      <c r="F1239" s="6" t="s">
        <v>35</v>
      </c>
      <c r="G1239">
        <v>3</v>
      </c>
      <c r="H1239">
        <v>25</v>
      </c>
      <c r="I1239" s="6" t="s">
        <v>36</v>
      </c>
      <c r="J1239" s="6" t="s">
        <v>37</v>
      </c>
      <c r="K1239">
        <v>3</v>
      </c>
      <c r="M1239" s="1" t="b">
        <f>Employee__2[[#This Row],[Experience]]&gt;1</f>
        <v>1</v>
      </c>
      <c r="N1239" s="1" t="str">
        <f>IF(Employee__2[[#This Row],[City]]="Pune","Yes","No")</f>
        <v>No</v>
      </c>
      <c r="O1239" s="1" t="str">
        <f>IF(AND(Employee__2[[#This Row],[Education]]="Bachelors",Employee__2[[#This Row],[City]]="Pune"),"Yes","No")</f>
        <v>No</v>
      </c>
      <c r="P1239" s="1" t="str">
        <f>IF(OR(Employee__2[[#This Row],[Age]]&gt;=30,Employee__2[[#This Row],[Gender]]="Male"),"Mached","Not mached")</f>
        <v>Mached</v>
      </c>
    </row>
    <row r="1240" spans="4:16" x14ac:dyDescent="0.25">
      <c r="D1240" s="6" t="s">
        <v>34</v>
      </c>
      <c r="E1240">
        <v>2018</v>
      </c>
      <c r="F1240" s="6" t="s">
        <v>35</v>
      </c>
      <c r="G1240">
        <v>3</v>
      </c>
      <c r="H1240">
        <v>26</v>
      </c>
      <c r="I1240" s="6" t="s">
        <v>36</v>
      </c>
      <c r="J1240" s="6" t="s">
        <v>37</v>
      </c>
      <c r="K1240">
        <v>4</v>
      </c>
      <c r="M1240" s="1" t="b">
        <f>Employee__2[[#This Row],[Experience]]&gt;1</f>
        <v>1</v>
      </c>
      <c r="N1240" s="1" t="str">
        <f>IF(Employee__2[[#This Row],[City]]="Pune","Yes","No")</f>
        <v>No</v>
      </c>
      <c r="O1240" s="1" t="str">
        <f>IF(AND(Employee__2[[#This Row],[Education]]="Bachelors",Employee__2[[#This Row],[City]]="Pune"),"Yes","No")</f>
        <v>No</v>
      </c>
      <c r="P1240" s="1" t="str">
        <f>IF(OR(Employee__2[[#This Row],[Age]]&gt;=30,Employee__2[[#This Row],[Gender]]="Male"),"Mached","Not mached")</f>
        <v>Mached</v>
      </c>
    </row>
    <row r="1241" spans="4:16" x14ac:dyDescent="0.25">
      <c r="D1241" s="6" t="s">
        <v>34</v>
      </c>
      <c r="E1241">
        <v>2015</v>
      </c>
      <c r="F1241" s="6" t="s">
        <v>35</v>
      </c>
      <c r="G1241">
        <v>3</v>
      </c>
      <c r="H1241">
        <v>27</v>
      </c>
      <c r="I1241" s="6" t="s">
        <v>36</v>
      </c>
      <c r="J1241" s="6" t="s">
        <v>37</v>
      </c>
      <c r="K1241">
        <v>5</v>
      </c>
      <c r="M1241" s="1" t="b">
        <f>Employee__2[[#This Row],[Experience]]&gt;1</f>
        <v>1</v>
      </c>
      <c r="N1241" s="1" t="str">
        <f>IF(Employee__2[[#This Row],[City]]="Pune","Yes","No")</f>
        <v>No</v>
      </c>
      <c r="O1241" s="1" t="str">
        <f>IF(AND(Employee__2[[#This Row],[Education]]="Bachelors",Employee__2[[#This Row],[City]]="Pune"),"Yes","No")</f>
        <v>No</v>
      </c>
      <c r="P1241" s="1" t="str">
        <f>IF(OR(Employee__2[[#This Row],[Age]]&gt;=30,Employee__2[[#This Row],[Gender]]="Male"),"Mached","Not mached")</f>
        <v>Mached</v>
      </c>
    </row>
    <row r="1242" spans="4:16" x14ac:dyDescent="0.25">
      <c r="D1242" s="6" t="s">
        <v>34</v>
      </c>
      <c r="E1242">
        <v>2014</v>
      </c>
      <c r="F1242" s="6" t="s">
        <v>38</v>
      </c>
      <c r="G1242">
        <v>3</v>
      </c>
      <c r="H1242">
        <v>24</v>
      </c>
      <c r="I1242" s="6" t="s">
        <v>36</v>
      </c>
      <c r="J1242" s="6" t="s">
        <v>37</v>
      </c>
      <c r="K1242">
        <v>2</v>
      </c>
      <c r="M1242" s="1" t="b">
        <f>Employee__2[[#This Row],[Experience]]&gt;1</f>
        <v>1</v>
      </c>
      <c r="N1242" s="1" t="str">
        <f>IF(Employee__2[[#This Row],[City]]="Pune","Yes","No")</f>
        <v>Yes</v>
      </c>
      <c r="O1242" s="1" t="str">
        <f>IF(AND(Employee__2[[#This Row],[Education]]="Bachelors",Employee__2[[#This Row],[City]]="Pune"),"Yes","No")</f>
        <v>Yes</v>
      </c>
      <c r="P1242" s="1" t="str">
        <f>IF(OR(Employee__2[[#This Row],[Age]]&gt;=30,Employee__2[[#This Row],[Gender]]="Male"),"Mached","Not mached")</f>
        <v>Mached</v>
      </c>
    </row>
    <row r="1243" spans="4:16" x14ac:dyDescent="0.25">
      <c r="D1243" s="6" t="s">
        <v>34</v>
      </c>
      <c r="E1243">
        <v>2012</v>
      </c>
      <c r="F1243" s="6" t="s">
        <v>35</v>
      </c>
      <c r="G1243">
        <v>3</v>
      </c>
      <c r="H1243">
        <v>27</v>
      </c>
      <c r="I1243" s="6" t="s">
        <v>36</v>
      </c>
      <c r="J1243" s="6" t="s">
        <v>37</v>
      </c>
      <c r="K1243">
        <v>5</v>
      </c>
      <c r="M1243" s="1" t="b">
        <f>Employee__2[[#This Row],[Experience]]&gt;1</f>
        <v>1</v>
      </c>
      <c r="N1243" s="1" t="str">
        <f>IF(Employee__2[[#This Row],[City]]="Pune","Yes","No")</f>
        <v>No</v>
      </c>
      <c r="O1243" s="1" t="str">
        <f>IF(AND(Employee__2[[#This Row],[Education]]="Bachelors",Employee__2[[#This Row],[City]]="Pune"),"Yes","No")</f>
        <v>No</v>
      </c>
      <c r="P1243" s="1" t="str">
        <f>IF(OR(Employee__2[[#This Row],[Age]]&gt;=30,Employee__2[[#This Row],[Gender]]="Male"),"Mached","Not mached")</f>
        <v>Mached</v>
      </c>
    </row>
    <row r="1244" spans="4:16" x14ac:dyDescent="0.25">
      <c r="D1244" s="6" t="s">
        <v>34</v>
      </c>
      <c r="E1244">
        <v>2013</v>
      </c>
      <c r="F1244" s="6" t="s">
        <v>38</v>
      </c>
      <c r="G1244">
        <v>3</v>
      </c>
      <c r="H1244">
        <v>27</v>
      </c>
      <c r="I1244" s="6" t="s">
        <v>36</v>
      </c>
      <c r="J1244" s="6" t="s">
        <v>37</v>
      </c>
      <c r="K1244">
        <v>5</v>
      </c>
      <c r="M1244" s="1" t="b">
        <f>Employee__2[[#This Row],[Experience]]&gt;1</f>
        <v>1</v>
      </c>
      <c r="N1244" s="1" t="str">
        <f>IF(Employee__2[[#This Row],[City]]="Pune","Yes","No")</f>
        <v>Yes</v>
      </c>
      <c r="O1244" s="1" t="str">
        <f>IF(AND(Employee__2[[#This Row],[Education]]="Bachelors",Employee__2[[#This Row],[City]]="Pune"),"Yes","No")</f>
        <v>Yes</v>
      </c>
      <c r="P1244" s="1" t="str">
        <f>IF(OR(Employee__2[[#This Row],[Age]]&gt;=30,Employee__2[[#This Row],[Gender]]="Male"),"Mached","Not mached")</f>
        <v>Mached</v>
      </c>
    </row>
    <row r="1245" spans="4:16" x14ac:dyDescent="0.25">
      <c r="D1245" s="6" t="s">
        <v>34</v>
      </c>
      <c r="E1245">
        <v>2015</v>
      </c>
      <c r="F1245" s="6" t="s">
        <v>35</v>
      </c>
      <c r="G1245">
        <v>1</v>
      </c>
      <c r="H1245">
        <v>25</v>
      </c>
      <c r="I1245" s="6" t="s">
        <v>36</v>
      </c>
      <c r="J1245" s="6" t="s">
        <v>37</v>
      </c>
      <c r="K1245">
        <v>3</v>
      </c>
      <c r="M1245" s="1" t="b">
        <f>Employee__2[[#This Row],[Experience]]&gt;1</f>
        <v>1</v>
      </c>
      <c r="N1245" s="1" t="str">
        <f>IF(Employee__2[[#This Row],[City]]="Pune","Yes","No")</f>
        <v>No</v>
      </c>
      <c r="O1245" s="1" t="str">
        <f>IF(AND(Employee__2[[#This Row],[Education]]="Bachelors",Employee__2[[#This Row],[City]]="Pune"),"Yes","No")</f>
        <v>No</v>
      </c>
      <c r="P1245" s="1" t="str">
        <f>IF(OR(Employee__2[[#This Row],[Age]]&gt;=30,Employee__2[[#This Row],[Gender]]="Male"),"Mached","Not mached")</f>
        <v>Mached</v>
      </c>
    </row>
    <row r="1246" spans="4:16" x14ac:dyDescent="0.25">
      <c r="D1246" s="6" t="s">
        <v>41</v>
      </c>
      <c r="E1246">
        <v>2017</v>
      </c>
      <c r="F1246" s="6" t="s">
        <v>40</v>
      </c>
      <c r="G1246">
        <v>2</v>
      </c>
      <c r="H1246">
        <v>25</v>
      </c>
      <c r="I1246" s="6" t="s">
        <v>39</v>
      </c>
      <c r="J1246" s="6" t="s">
        <v>37</v>
      </c>
      <c r="K1246">
        <v>3</v>
      </c>
      <c r="M1246" s="1" t="b">
        <f>Employee__2[[#This Row],[Experience]]&gt;1</f>
        <v>1</v>
      </c>
      <c r="N1246" s="1" t="str">
        <f>IF(Employee__2[[#This Row],[City]]="Pune","Yes","No")</f>
        <v>No</v>
      </c>
      <c r="O1246" s="1" t="str">
        <f>IF(AND(Employee__2[[#This Row],[Education]]="Bachelors",Employee__2[[#This Row],[City]]="Pune"),"Yes","No")</f>
        <v>No</v>
      </c>
      <c r="P1246" s="1" t="str">
        <f>IF(OR(Employee__2[[#This Row],[Age]]&gt;=30,Employee__2[[#This Row],[Gender]]="Male"),"Mached","Not mached")</f>
        <v>Not mached</v>
      </c>
    </row>
    <row r="1247" spans="4:16" x14ac:dyDescent="0.25">
      <c r="D1247" s="6" t="s">
        <v>43</v>
      </c>
      <c r="E1247">
        <v>2015</v>
      </c>
      <c r="F1247" s="6" t="s">
        <v>38</v>
      </c>
      <c r="G1247">
        <v>3</v>
      </c>
      <c r="H1247">
        <v>28</v>
      </c>
      <c r="I1247" s="6" t="s">
        <v>36</v>
      </c>
      <c r="J1247" s="6" t="s">
        <v>37</v>
      </c>
      <c r="K1247">
        <v>0</v>
      </c>
      <c r="M1247" s="1" t="b">
        <f>Employee__2[[#This Row],[Experience]]&gt;1</f>
        <v>0</v>
      </c>
      <c r="N1247" s="1" t="str">
        <f>IF(Employee__2[[#This Row],[City]]="Pune","Yes","No")</f>
        <v>Yes</v>
      </c>
      <c r="O1247" s="1" t="str">
        <f>IF(AND(Employee__2[[#This Row],[Education]]="Bachelors",Employee__2[[#This Row],[City]]="Pune"),"Yes","No")</f>
        <v>No</v>
      </c>
      <c r="P1247" s="1" t="str">
        <f>IF(OR(Employee__2[[#This Row],[Age]]&gt;=30,Employee__2[[#This Row],[Gender]]="Male"),"Mached","Not mached")</f>
        <v>Mached</v>
      </c>
    </row>
    <row r="1248" spans="4:16" x14ac:dyDescent="0.25">
      <c r="D1248" s="6" t="s">
        <v>34</v>
      </c>
      <c r="E1248">
        <v>2015</v>
      </c>
      <c r="F1248" s="6" t="s">
        <v>35</v>
      </c>
      <c r="G1248">
        <v>3</v>
      </c>
      <c r="H1248">
        <v>28</v>
      </c>
      <c r="I1248" s="6" t="s">
        <v>36</v>
      </c>
      <c r="J1248" s="6" t="s">
        <v>37</v>
      </c>
      <c r="K1248">
        <v>3</v>
      </c>
      <c r="M1248" s="1" t="b">
        <f>Employee__2[[#This Row],[Experience]]&gt;1</f>
        <v>1</v>
      </c>
      <c r="N1248" s="1" t="str">
        <f>IF(Employee__2[[#This Row],[City]]="Pune","Yes","No")</f>
        <v>No</v>
      </c>
      <c r="O1248" s="1" t="str">
        <f>IF(AND(Employee__2[[#This Row],[Education]]="Bachelors",Employee__2[[#This Row],[City]]="Pune"),"Yes","No")</f>
        <v>No</v>
      </c>
      <c r="P1248" s="1" t="str">
        <f>IF(OR(Employee__2[[#This Row],[Age]]&gt;=30,Employee__2[[#This Row],[Gender]]="Male"),"Mached","Not mached")</f>
        <v>Mached</v>
      </c>
    </row>
    <row r="1249" spans="4:16" x14ac:dyDescent="0.25">
      <c r="D1249" s="6" t="s">
        <v>34</v>
      </c>
      <c r="E1249">
        <v>2016</v>
      </c>
      <c r="F1249" s="6" t="s">
        <v>35</v>
      </c>
      <c r="G1249">
        <v>3</v>
      </c>
      <c r="H1249">
        <v>28</v>
      </c>
      <c r="I1249" s="6" t="s">
        <v>36</v>
      </c>
      <c r="J1249" s="6" t="s">
        <v>37</v>
      </c>
      <c r="K1249">
        <v>5</v>
      </c>
      <c r="M1249" s="1" t="b">
        <f>Employee__2[[#This Row],[Experience]]&gt;1</f>
        <v>1</v>
      </c>
      <c r="N1249" s="1" t="str">
        <f>IF(Employee__2[[#This Row],[City]]="Pune","Yes","No")</f>
        <v>No</v>
      </c>
      <c r="O1249" s="1" t="str">
        <f>IF(AND(Employee__2[[#This Row],[Education]]="Bachelors",Employee__2[[#This Row],[City]]="Pune"),"Yes","No")</f>
        <v>No</v>
      </c>
      <c r="P1249" s="1" t="str">
        <f>IF(OR(Employee__2[[#This Row],[Age]]&gt;=30,Employee__2[[#This Row],[Gender]]="Male"),"Mached","Not mached")</f>
        <v>Mached</v>
      </c>
    </row>
    <row r="1250" spans="4:16" x14ac:dyDescent="0.25">
      <c r="D1250" s="6" t="s">
        <v>43</v>
      </c>
      <c r="E1250">
        <v>2013</v>
      </c>
      <c r="F1250" s="6" t="s">
        <v>40</v>
      </c>
      <c r="G1250">
        <v>3</v>
      </c>
      <c r="H1250">
        <v>24</v>
      </c>
      <c r="I1250" s="6" t="s">
        <v>36</v>
      </c>
      <c r="J1250" s="6" t="s">
        <v>37</v>
      </c>
      <c r="K1250">
        <v>2</v>
      </c>
      <c r="M1250" s="1" t="b">
        <f>Employee__2[[#This Row],[Experience]]&gt;1</f>
        <v>1</v>
      </c>
      <c r="N1250" s="1" t="str">
        <f>IF(Employee__2[[#This Row],[City]]="Pune","Yes","No")</f>
        <v>No</v>
      </c>
      <c r="O1250" s="1" t="str">
        <f>IF(AND(Employee__2[[#This Row],[Education]]="Bachelors",Employee__2[[#This Row],[City]]="Pune"),"Yes","No")</f>
        <v>No</v>
      </c>
      <c r="P1250" s="1" t="str">
        <f>IF(OR(Employee__2[[#This Row],[Age]]&gt;=30,Employee__2[[#This Row],[Gender]]="Male"),"Mached","Not mached")</f>
        <v>Mached</v>
      </c>
    </row>
    <row r="1251" spans="4:16" x14ac:dyDescent="0.25">
      <c r="D1251" s="6" t="s">
        <v>34</v>
      </c>
      <c r="E1251">
        <v>2014</v>
      </c>
      <c r="F1251" s="6" t="s">
        <v>35</v>
      </c>
      <c r="G1251">
        <v>3</v>
      </c>
      <c r="H1251">
        <v>26</v>
      </c>
      <c r="I1251" s="6" t="s">
        <v>36</v>
      </c>
      <c r="J1251" s="6" t="s">
        <v>42</v>
      </c>
      <c r="K1251">
        <v>4</v>
      </c>
      <c r="M1251" s="1" t="b">
        <f>Employee__2[[#This Row],[Experience]]&gt;1</f>
        <v>1</v>
      </c>
      <c r="N1251" s="1" t="str">
        <f>IF(Employee__2[[#This Row],[City]]="Pune","Yes","No")</f>
        <v>No</v>
      </c>
      <c r="O1251" s="1" t="str">
        <f>IF(AND(Employee__2[[#This Row],[Education]]="Bachelors",Employee__2[[#This Row],[City]]="Pune"),"Yes","No")</f>
        <v>No</v>
      </c>
      <c r="P1251" s="1" t="str">
        <f>IF(OR(Employee__2[[#This Row],[Age]]&gt;=30,Employee__2[[#This Row],[Gender]]="Male"),"Mached","Not mached")</f>
        <v>Mached</v>
      </c>
    </row>
    <row r="1252" spans="4:16" x14ac:dyDescent="0.25">
      <c r="D1252" s="6" t="s">
        <v>34</v>
      </c>
      <c r="E1252">
        <v>2015</v>
      </c>
      <c r="F1252" s="6" t="s">
        <v>38</v>
      </c>
      <c r="G1252">
        <v>2</v>
      </c>
      <c r="H1252">
        <v>26</v>
      </c>
      <c r="I1252" s="6" t="s">
        <v>39</v>
      </c>
      <c r="J1252" s="6" t="s">
        <v>42</v>
      </c>
      <c r="K1252">
        <v>4</v>
      </c>
      <c r="M1252" s="1" t="b">
        <f>Employee__2[[#This Row],[Experience]]&gt;1</f>
        <v>1</v>
      </c>
      <c r="N1252" s="1" t="str">
        <f>IF(Employee__2[[#This Row],[City]]="Pune","Yes","No")</f>
        <v>Yes</v>
      </c>
      <c r="O1252" s="1" t="str">
        <f>IF(AND(Employee__2[[#This Row],[Education]]="Bachelors",Employee__2[[#This Row],[City]]="Pune"),"Yes","No")</f>
        <v>Yes</v>
      </c>
      <c r="P1252" s="1" t="str">
        <f>IF(OR(Employee__2[[#This Row],[Age]]&gt;=30,Employee__2[[#This Row],[Gender]]="Male"),"Mached","Not mached")</f>
        <v>Not mached</v>
      </c>
    </row>
    <row r="1253" spans="4:16" x14ac:dyDescent="0.25">
      <c r="D1253" s="6" t="s">
        <v>34</v>
      </c>
      <c r="E1253">
        <v>2017</v>
      </c>
      <c r="F1253" s="6" t="s">
        <v>35</v>
      </c>
      <c r="G1253">
        <v>3</v>
      </c>
      <c r="H1253">
        <v>27</v>
      </c>
      <c r="I1253" s="6" t="s">
        <v>36</v>
      </c>
      <c r="J1253" s="6" t="s">
        <v>42</v>
      </c>
      <c r="K1253">
        <v>5</v>
      </c>
      <c r="M1253" s="1" t="b">
        <f>Employee__2[[#This Row],[Experience]]&gt;1</f>
        <v>1</v>
      </c>
      <c r="N1253" s="1" t="str">
        <f>IF(Employee__2[[#This Row],[City]]="Pune","Yes","No")</f>
        <v>No</v>
      </c>
      <c r="O1253" s="1" t="str">
        <f>IF(AND(Employee__2[[#This Row],[Education]]="Bachelors",Employee__2[[#This Row],[City]]="Pune"),"Yes","No")</f>
        <v>No</v>
      </c>
      <c r="P1253" s="1" t="str">
        <f>IF(OR(Employee__2[[#This Row],[Age]]&gt;=30,Employee__2[[#This Row],[Gender]]="Male"),"Mached","Not mached")</f>
        <v>Mached</v>
      </c>
    </row>
    <row r="1254" spans="4:16" x14ac:dyDescent="0.25">
      <c r="D1254" s="6" t="s">
        <v>34</v>
      </c>
      <c r="E1254">
        <v>2014</v>
      </c>
      <c r="F1254" s="6" t="s">
        <v>40</v>
      </c>
      <c r="G1254">
        <v>3</v>
      </c>
      <c r="H1254">
        <v>26</v>
      </c>
      <c r="I1254" s="6" t="s">
        <v>36</v>
      </c>
      <c r="J1254" s="6" t="s">
        <v>37</v>
      </c>
      <c r="K1254">
        <v>4</v>
      </c>
      <c r="M1254" s="1" t="b">
        <f>Employee__2[[#This Row],[Experience]]&gt;1</f>
        <v>1</v>
      </c>
      <c r="N1254" s="1" t="str">
        <f>IF(Employee__2[[#This Row],[City]]="Pune","Yes","No")</f>
        <v>No</v>
      </c>
      <c r="O1254" s="1" t="str">
        <f>IF(AND(Employee__2[[#This Row],[Education]]="Bachelors",Employee__2[[#This Row],[City]]="Pune"),"Yes","No")</f>
        <v>No</v>
      </c>
      <c r="P1254" s="1" t="str">
        <f>IF(OR(Employee__2[[#This Row],[Age]]&gt;=30,Employee__2[[#This Row],[Gender]]="Male"),"Mached","Not mached")</f>
        <v>Mached</v>
      </c>
    </row>
    <row r="1255" spans="4:16" x14ac:dyDescent="0.25">
      <c r="D1255" s="6" t="s">
        <v>41</v>
      </c>
      <c r="E1255">
        <v>2013</v>
      </c>
      <c r="F1255" s="6" t="s">
        <v>35</v>
      </c>
      <c r="G1255">
        <v>3</v>
      </c>
      <c r="H1255">
        <v>27</v>
      </c>
      <c r="I1255" s="6" t="s">
        <v>36</v>
      </c>
      <c r="J1255" s="6" t="s">
        <v>37</v>
      </c>
      <c r="K1255">
        <v>5</v>
      </c>
      <c r="M1255" s="1" t="b">
        <f>Employee__2[[#This Row],[Experience]]&gt;1</f>
        <v>1</v>
      </c>
      <c r="N1255" s="1" t="str">
        <f>IF(Employee__2[[#This Row],[City]]="Pune","Yes","No")</f>
        <v>No</v>
      </c>
      <c r="O1255" s="1" t="str">
        <f>IF(AND(Employee__2[[#This Row],[Education]]="Bachelors",Employee__2[[#This Row],[City]]="Pune"),"Yes","No")</f>
        <v>No</v>
      </c>
      <c r="P1255" s="1" t="str">
        <f>IF(OR(Employee__2[[#This Row],[Age]]&gt;=30,Employee__2[[#This Row],[Gender]]="Male"),"Mached","Not mached")</f>
        <v>Mached</v>
      </c>
    </row>
    <row r="1256" spans="4:16" x14ac:dyDescent="0.25">
      <c r="D1256" s="6" t="s">
        <v>34</v>
      </c>
      <c r="E1256">
        <v>2016</v>
      </c>
      <c r="F1256" s="6" t="s">
        <v>38</v>
      </c>
      <c r="G1256">
        <v>3</v>
      </c>
      <c r="H1256">
        <v>24</v>
      </c>
      <c r="I1256" s="6" t="s">
        <v>36</v>
      </c>
      <c r="J1256" s="6" t="s">
        <v>42</v>
      </c>
      <c r="K1256">
        <v>2</v>
      </c>
      <c r="M1256" s="1" t="b">
        <f>Employee__2[[#This Row],[Experience]]&gt;1</f>
        <v>1</v>
      </c>
      <c r="N1256" s="1" t="str">
        <f>IF(Employee__2[[#This Row],[City]]="Pune","Yes","No")</f>
        <v>Yes</v>
      </c>
      <c r="O1256" s="1" t="str">
        <f>IF(AND(Employee__2[[#This Row],[Education]]="Bachelors",Employee__2[[#This Row],[City]]="Pune"),"Yes","No")</f>
        <v>Yes</v>
      </c>
      <c r="P1256" s="1" t="str">
        <f>IF(OR(Employee__2[[#This Row],[Age]]&gt;=30,Employee__2[[#This Row],[Gender]]="Male"),"Mached","Not mached")</f>
        <v>Mached</v>
      </c>
    </row>
    <row r="1257" spans="4:16" x14ac:dyDescent="0.25">
      <c r="D1257" s="6" t="s">
        <v>34</v>
      </c>
      <c r="E1257">
        <v>2016</v>
      </c>
      <c r="F1257" s="6" t="s">
        <v>35</v>
      </c>
      <c r="G1257">
        <v>3</v>
      </c>
      <c r="H1257">
        <v>26</v>
      </c>
      <c r="I1257" s="6" t="s">
        <v>36</v>
      </c>
      <c r="J1257" s="6" t="s">
        <v>37</v>
      </c>
      <c r="K1257">
        <v>4</v>
      </c>
      <c r="M1257" s="1" t="b">
        <f>Employee__2[[#This Row],[Experience]]&gt;1</f>
        <v>1</v>
      </c>
      <c r="N1257" s="1" t="str">
        <f>IF(Employee__2[[#This Row],[City]]="Pune","Yes","No")</f>
        <v>No</v>
      </c>
      <c r="O1257" s="1" t="str">
        <f>IF(AND(Employee__2[[#This Row],[Education]]="Bachelors",Employee__2[[#This Row],[City]]="Pune"),"Yes","No")</f>
        <v>No</v>
      </c>
      <c r="P1257" s="1" t="str">
        <f>IF(OR(Employee__2[[#This Row],[Age]]&gt;=30,Employee__2[[#This Row],[Gender]]="Male"),"Mached","Not mached")</f>
        <v>Mached</v>
      </c>
    </row>
    <row r="1258" spans="4:16" x14ac:dyDescent="0.25">
      <c r="D1258" s="6" t="s">
        <v>34</v>
      </c>
      <c r="E1258">
        <v>2013</v>
      </c>
      <c r="F1258" s="6" t="s">
        <v>38</v>
      </c>
      <c r="G1258">
        <v>2</v>
      </c>
      <c r="H1258">
        <v>28</v>
      </c>
      <c r="I1258" s="6" t="s">
        <v>39</v>
      </c>
      <c r="J1258" s="6" t="s">
        <v>37</v>
      </c>
      <c r="K1258">
        <v>2</v>
      </c>
      <c r="M1258" s="1" t="b">
        <f>Employee__2[[#This Row],[Experience]]&gt;1</f>
        <v>1</v>
      </c>
      <c r="N1258" s="1" t="str">
        <f>IF(Employee__2[[#This Row],[City]]="Pune","Yes","No")</f>
        <v>Yes</v>
      </c>
      <c r="O1258" s="1" t="str">
        <f>IF(AND(Employee__2[[#This Row],[Education]]="Bachelors",Employee__2[[#This Row],[City]]="Pune"),"Yes","No")</f>
        <v>Yes</v>
      </c>
      <c r="P1258" s="1" t="str">
        <f>IF(OR(Employee__2[[#This Row],[Age]]&gt;=30,Employee__2[[#This Row],[Gender]]="Male"),"Mached","Not mached")</f>
        <v>Not mached</v>
      </c>
    </row>
    <row r="1259" spans="4:16" x14ac:dyDescent="0.25">
      <c r="D1259" s="6" t="s">
        <v>41</v>
      </c>
      <c r="E1259">
        <v>2017</v>
      </c>
      <c r="F1259" s="6" t="s">
        <v>35</v>
      </c>
      <c r="G1259">
        <v>2</v>
      </c>
      <c r="H1259">
        <v>24</v>
      </c>
      <c r="I1259" s="6" t="s">
        <v>36</v>
      </c>
      <c r="J1259" s="6" t="s">
        <v>37</v>
      </c>
      <c r="K1259">
        <v>2</v>
      </c>
      <c r="M1259" s="1" t="b">
        <f>Employee__2[[#This Row],[Experience]]&gt;1</f>
        <v>1</v>
      </c>
      <c r="N1259" s="1" t="str">
        <f>IF(Employee__2[[#This Row],[City]]="Pune","Yes","No")</f>
        <v>No</v>
      </c>
      <c r="O1259" s="1" t="str">
        <f>IF(AND(Employee__2[[#This Row],[Education]]="Bachelors",Employee__2[[#This Row],[City]]="Pune"),"Yes","No")</f>
        <v>No</v>
      </c>
      <c r="P1259" s="1" t="str">
        <f>IF(OR(Employee__2[[#This Row],[Age]]&gt;=30,Employee__2[[#This Row],[Gender]]="Male"),"Mached","Not mached")</f>
        <v>Mached</v>
      </c>
    </row>
    <row r="1260" spans="4:16" x14ac:dyDescent="0.25">
      <c r="D1260" s="6" t="s">
        <v>41</v>
      </c>
      <c r="E1260">
        <v>2017</v>
      </c>
      <c r="F1260" s="6" t="s">
        <v>40</v>
      </c>
      <c r="G1260">
        <v>2</v>
      </c>
      <c r="H1260">
        <v>24</v>
      </c>
      <c r="I1260" s="6" t="s">
        <v>36</v>
      </c>
      <c r="J1260" s="6" t="s">
        <v>37</v>
      </c>
      <c r="K1260">
        <v>2</v>
      </c>
      <c r="M1260" s="1" t="b">
        <f>Employee__2[[#This Row],[Experience]]&gt;1</f>
        <v>1</v>
      </c>
      <c r="N1260" s="1" t="str">
        <f>IF(Employee__2[[#This Row],[City]]="Pune","Yes","No")</f>
        <v>No</v>
      </c>
      <c r="O1260" s="1" t="str">
        <f>IF(AND(Employee__2[[#This Row],[Education]]="Bachelors",Employee__2[[#This Row],[City]]="Pune"),"Yes","No")</f>
        <v>No</v>
      </c>
      <c r="P1260" s="1" t="str">
        <f>IF(OR(Employee__2[[#This Row],[Age]]&gt;=30,Employee__2[[#This Row],[Gender]]="Male"),"Mached","Not mached")</f>
        <v>Mached</v>
      </c>
    </row>
    <row r="1261" spans="4:16" x14ac:dyDescent="0.25">
      <c r="D1261" s="6" t="s">
        <v>41</v>
      </c>
      <c r="E1261">
        <v>2015</v>
      </c>
      <c r="F1261" s="6" t="s">
        <v>38</v>
      </c>
      <c r="G1261">
        <v>2</v>
      </c>
      <c r="H1261">
        <v>24</v>
      </c>
      <c r="I1261" s="6" t="s">
        <v>39</v>
      </c>
      <c r="J1261" s="6" t="s">
        <v>37</v>
      </c>
      <c r="K1261">
        <v>2</v>
      </c>
      <c r="M1261" s="1" t="b">
        <f>Employee__2[[#This Row],[Experience]]&gt;1</f>
        <v>1</v>
      </c>
      <c r="N1261" s="1" t="str">
        <f>IF(Employee__2[[#This Row],[City]]="Pune","Yes","No")</f>
        <v>Yes</v>
      </c>
      <c r="O1261" s="1" t="str">
        <f>IF(AND(Employee__2[[#This Row],[Education]]="Bachelors",Employee__2[[#This Row],[City]]="Pune"),"Yes","No")</f>
        <v>No</v>
      </c>
      <c r="P1261" s="1" t="str">
        <f>IF(OR(Employee__2[[#This Row],[Age]]&gt;=30,Employee__2[[#This Row],[Gender]]="Male"),"Mached","Not mached")</f>
        <v>Not mached</v>
      </c>
    </row>
    <row r="1262" spans="4:16" x14ac:dyDescent="0.25">
      <c r="D1262" s="6" t="s">
        <v>34</v>
      </c>
      <c r="E1262">
        <v>2014</v>
      </c>
      <c r="F1262" s="6" t="s">
        <v>38</v>
      </c>
      <c r="G1262">
        <v>3</v>
      </c>
      <c r="H1262">
        <v>26</v>
      </c>
      <c r="I1262" s="6" t="s">
        <v>36</v>
      </c>
      <c r="J1262" s="6" t="s">
        <v>37</v>
      </c>
      <c r="K1262">
        <v>4</v>
      </c>
      <c r="M1262" s="1" t="b">
        <f>Employee__2[[#This Row],[Experience]]&gt;1</f>
        <v>1</v>
      </c>
      <c r="N1262" s="1" t="str">
        <f>IF(Employee__2[[#This Row],[City]]="Pune","Yes","No")</f>
        <v>Yes</v>
      </c>
      <c r="O1262" s="1" t="str">
        <f>IF(AND(Employee__2[[#This Row],[Education]]="Bachelors",Employee__2[[#This Row],[City]]="Pune"),"Yes","No")</f>
        <v>Yes</v>
      </c>
      <c r="P1262" s="1" t="str">
        <f>IF(OR(Employee__2[[#This Row],[Age]]&gt;=30,Employee__2[[#This Row],[Gender]]="Male"),"Mached","Not mached")</f>
        <v>Mached</v>
      </c>
    </row>
    <row r="1263" spans="4:16" x14ac:dyDescent="0.25">
      <c r="D1263" s="6" t="s">
        <v>34</v>
      </c>
      <c r="E1263">
        <v>2016</v>
      </c>
      <c r="F1263" s="6" t="s">
        <v>38</v>
      </c>
      <c r="G1263">
        <v>2</v>
      </c>
      <c r="H1263">
        <v>27</v>
      </c>
      <c r="I1263" s="6" t="s">
        <v>39</v>
      </c>
      <c r="J1263" s="6" t="s">
        <v>37</v>
      </c>
      <c r="K1263">
        <v>5</v>
      </c>
      <c r="M1263" s="1" t="b">
        <f>Employee__2[[#This Row],[Experience]]&gt;1</f>
        <v>1</v>
      </c>
      <c r="N1263" s="1" t="str">
        <f>IF(Employee__2[[#This Row],[City]]="Pune","Yes","No")</f>
        <v>Yes</v>
      </c>
      <c r="O1263" s="1" t="str">
        <f>IF(AND(Employee__2[[#This Row],[Education]]="Bachelors",Employee__2[[#This Row],[City]]="Pune"),"Yes","No")</f>
        <v>Yes</v>
      </c>
      <c r="P1263" s="1" t="str">
        <f>IF(OR(Employee__2[[#This Row],[Age]]&gt;=30,Employee__2[[#This Row],[Gender]]="Male"),"Mached","Not mached")</f>
        <v>Not mached</v>
      </c>
    </row>
    <row r="1264" spans="4:16" x14ac:dyDescent="0.25">
      <c r="D1264" s="6" t="s">
        <v>34</v>
      </c>
      <c r="E1264">
        <v>2017</v>
      </c>
      <c r="F1264" s="6" t="s">
        <v>35</v>
      </c>
      <c r="G1264">
        <v>3</v>
      </c>
      <c r="H1264">
        <v>25</v>
      </c>
      <c r="I1264" s="6" t="s">
        <v>36</v>
      </c>
      <c r="J1264" s="6" t="s">
        <v>37</v>
      </c>
      <c r="K1264">
        <v>3</v>
      </c>
      <c r="M1264" s="1" t="b">
        <f>Employee__2[[#This Row],[Experience]]&gt;1</f>
        <v>1</v>
      </c>
      <c r="N1264" s="1" t="str">
        <f>IF(Employee__2[[#This Row],[City]]="Pune","Yes","No")</f>
        <v>No</v>
      </c>
      <c r="O1264" s="1" t="str">
        <f>IF(AND(Employee__2[[#This Row],[Education]]="Bachelors",Employee__2[[#This Row],[City]]="Pune"),"Yes","No")</f>
        <v>No</v>
      </c>
      <c r="P1264" s="1" t="str">
        <f>IF(OR(Employee__2[[#This Row],[Age]]&gt;=30,Employee__2[[#This Row],[Gender]]="Male"),"Mached","Not mached")</f>
        <v>Mached</v>
      </c>
    </row>
    <row r="1265" spans="4:16" x14ac:dyDescent="0.25">
      <c r="D1265" s="6" t="s">
        <v>41</v>
      </c>
      <c r="E1265">
        <v>2017</v>
      </c>
      <c r="F1265" s="6" t="s">
        <v>40</v>
      </c>
      <c r="G1265">
        <v>2</v>
      </c>
      <c r="H1265">
        <v>26</v>
      </c>
      <c r="I1265" s="6" t="s">
        <v>39</v>
      </c>
      <c r="J1265" s="6" t="s">
        <v>37</v>
      </c>
      <c r="K1265">
        <v>4</v>
      </c>
      <c r="M1265" s="1" t="b">
        <f>Employee__2[[#This Row],[Experience]]&gt;1</f>
        <v>1</v>
      </c>
      <c r="N1265" s="1" t="str">
        <f>IF(Employee__2[[#This Row],[City]]="Pune","Yes","No")</f>
        <v>No</v>
      </c>
      <c r="O1265" s="1" t="str">
        <f>IF(AND(Employee__2[[#This Row],[Education]]="Bachelors",Employee__2[[#This Row],[City]]="Pune"),"Yes","No")</f>
        <v>No</v>
      </c>
      <c r="P1265" s="1" t="str">
        <f>IF(OR(Employee__2[[#This Row],[Age]]&gt;=30,Employee__2[[#This Row],[Gender]]="Male"),"Mached","Not mached")</f>
        <v>Not mached</v>
      </c>
    </row>
    <row r="1266" spans="4:16" x14ac:dyDescent="0.25">
      <c r="D1266" s="6" t="s">
        <v>34</v>
      </c>
      <c r="E1266">
        <v>2016</v>
      </c>
      <c r="F1266" s="6" t="s">
        <v>35</v>
      </c>
      <c r="G1266">
        <v>1</v>
      </c>
      <c r="H1266">
        <v>25</v>
      </c>
      <c r="I1266" s="6" t="s">
        <v>39</v>
      </c>
      <c r="J1266" s="6" t="s">
        <v>37</v>
      </c>
      <c r="K1266">
        <v>3</v>
      </c>
      <c r="M1266" s="1" t="b">
        <f>Employee__2[[#This Row],[Experience]]&gt;1</f>
        <v>1</v>
      </c>
      <c r="N1266" s="1" t="str">
        <f>IF(Employee__2[[#This Row],[City]]="Pune","Yes","No")</f>
        <v>No</v>
      </c>
      <c r="O1266" s="1" t="str">
        <f>IF(AND(Employee__2[[#This Row],[Education]]="Bachelors",Employee__2[[#This Row],[City]]="Pune"),"Yes","No")</f>
        <v>No</v>
      </c>
      <c r="P1266" s="1" t="str">
        <f>IF(OR(Employee__2[[#This Row],[Age]]&gt;=30,Employee__2[[#This Row],[Gender]]="Male"),"Mached","Not mached")</f>
        <v>Not mached</v>
      </c>
    </row>
    <row r="1267" spans="4:16" x14ac:dyDescent="0.25">
      <c r="D1267" s="6" t="s">
        <v>43</v>
      </c>
      <c r="E1267">
        <v>2014</v>
      </c>
      <c r="F1267" s="6" t="s">
        <v>35</v>
      </c>
      <c r="G1267">
        <v>1</v>
      </c>
      <c r="H1267">
        <v>25</v>
      </c>
      <c r="I1267" s="6" t="s">
        <v>39</v>
      </c>
      <c r="J1267" s="6" t="s">
        <v>37</v>
      </c>
      <c r="K1267">
        <v>3</v>
      </c>
      <c r="M1267" s="1" t="b">
        <f>Employee__2[[#This Row],[Experience]]&gt;1</f>
        <v>1</v>
      </c>
      <c r="N1267" s="1" t="str">
        <f>IF(Employee__2[[#This Row],[City]]="Pune","Yes","No")</f>
        <v>No</v>
      </c>
      <c r="O1267" s="1" t="str">
        <f>IF(AND(Employee__2[[#This Row],[Education]]="Bachelors",Employee__2[[#This Row],[City]]="Pune"),"Yes","No")</f>
        <v>No</v>
      </c>
      <c r="P1267" s="1" t="str">
        <f>IF(OR(Employee__2[[#This Row],[Age]]&gt;=30,Employee__2[[#This Row],[Gender]]="Male"),"Mached","Not mached")</f>
        <v>Not mached</v>
      </c>
    </row>
    <row r="1268" spans="4:16" x14ac:dyDescent="0.25">
      <c r="D1268" s="6" t="s">
        <v>34</v>
      </c>
      <c r="E1268">
        <v>2013</v>
      </c>
      <c r="F1268" s="6" t="s">
        <v>35</v>
      </c>
      <c r="G1268">
        <v>3</v>
      </c>
      <c r="H1268">
        <v>25</v>
      </c>
      <c r="I1268" s="6" t="s">
        <v>39</v>
      </c>
      <c r="J1268" s="6" t="s">
        <v>37</v>
      </c>
      <c r="K1268">
        <v>3</v>
      </c>
      <c r="M1268" s="1" t="b">
        <f>Employee__2[[#This Row],[Experience]]&gt;1</f>
        <v>1</v>
      </c>
      <c r="N1268" s="1" t="str">
        <f>IF(Employee__2[[#This Row],[City]]="Pune","Yes","No")</f>
        <v>No</v>
      </c>
      <c r="O1268" s="1" t="str">
        <f>IF(AND(Employee__2[[#This Row],[Education]]="Bachelors",Employee__2[[#This Row],[City]]="Pune"),"Yes","No")</f>
        <v>No</v>
      </c>
      <c r="P1268" s="1" t="str">
        <f>IF(OR(Employee__2[[#This Row],[Age]]&gt;=30,Employee__2[[#This Row],[Gender]]="Male"),"Mached","Not mached")</f>
        <v>Not mached</v>
      </c>
    </row>
    <row r="1269" spans="4:16" x14ac:dyDescent="0.25">
      <c r="D1269" s="6" t="s">
        <v>34</v>
      </c>
      <c r="E1269">
        <v>2014</v>
      </c>
      <c r="F1269" s="6" t="s">
        <v>40</v>
      </c>
      <c r="G1269">
        <v>3</v>
      </c>
      <c r="H1269">
        <v>24</v>
      </c>
      <c r="I1269" s="6" t="s">
        <v>36</v>
      </c>
      <c r="J1269" s="6" t="s">
        <v>37</v>
      </c>
      <c r="K1269">
        <v>2</v>
      </c>
      <c r="M1269" s="1" t="b">
        <f>Employee__2[[#This Row],[Experience]]&gt;1</f>
        <v>1</v>
      </c>
      <c r="N1269" s="1" t="str">
        <f>IF(Employee__2[[#This Row],[City]]="Pune","Yes","No")</f>
        <v>No</v>
      </c>
      <c r="O1269" s="1" t="str">
        <f>IF(AND(Employee__2[[#This Row],[Education]]="Bachelors",Employee__2[[#This Row],[City]]="Pune"),"Yes","No")</f>
        <v>No</v>
      </c>
      <c r="P1269" s="1" t="str">
        <f>IF(OR(Employee__2[[#This Row],[Age]]&gt;=30,Employee__2[[#This Row],[Gender]]="Male"),"Mached","Not mached")</f>
        <v>Mached</v>
      </c>
    </row>
    <row r="1270" spans="4:16" x14ac:dyDescent="0.25">
      <c r="D1270" s="6" t="s">
        <v>34</v>
      </c>
      <c r="E1270">
        <v>2015</v>
      </c>
      <c r="F1270" s="6" t="s">
        <v>38</v>
      </c>
      <c r="G1270">
        <v>2</v>
      </c>
      <c r="H1270">
        <v>28</v>
      </c>
      <c r="I1270" s="6" t="s">
        <v>39</v>
      </c>
      <c r="J1270" s="6" t="s">
        <v>42</v>
      </c>
      <c r="K1270">
        <v>2</v>
      </c>
      <c r="M1270" s="1" t="b">
        <f>Employee__2[[#This Row],[Experience]]&gt;1</f>
        <v>1</v>
      </c>
      <c r="N1270" s="1" t="str">
        <f>IF(Employee__2[[#This Row],[City]]="Pune","Yes","No")</f>
        <v>Yes</v>
      </c>
      <c r="O1270" s="1" t="str">
        <f>IF(AND(Employee__2[[#This Row],[Education]]="Bachelors",Employee__2[[#This Row],[City]]="Pune"),"Yes","No")</f>
        <v>Yes</v>
      </c>
      <c r="P1270" s="1" t="str">
        <f>IF(OR(Employee__2[[#This Row],[Age]]&gt;=30,Employee__2[[#This Row],[Gender]]="Male"),"Mached","Not mached")</f>
        <v>Not mached</v>
      </c>
    </row>
    <row r="1271" spans="4:16" x14ac:dyDescent="0.25">
      <c r="D1271" s="6" t="s">
        <v>34</v>
      </c>
      <c r="E1271">
        <v>2014</v>
      </c>
      <c r="F1271" s="6" t="s">
        <v>40</v>
      </c>
      <c r="G1271">
        <v>3</v>
      </c>
      <c r="H1271">
        <v>28</v>
      </c>
      <c r="I1271" s="6" t="s">
        <v>36</v>
      </c>
      <c r="J1271" s="6" t="s">
        <v>37</v>
      </c>
      <c r="K1271">
        <v>5</v>
      </c>
      <c r="M1271" s="1" t="b">
        <f>Employee__2[[#This Row],[Experience]]&gt;1</f>
        <v>1</v>
      </c>
      <c r="N1271" s="1" t="str">
        <f>IF(Employee__2[[#This Row],[City]]="Pune","Yes","No")</f>
        <v>No</v>
      </c>
      <c r="O1271" s="1" t="str">
        <f>IF(AND(Employee__2[[#This Row],[Education]]="Bachelors",Employee__2[[#This Row],[City]]="Pune"),"Yes","No")</f>
        <v>No</v>
      </c>
      <c r="P1271" s="1" t="str">
        <f>IF(OR(Employee__2[[#This Row],[Age]]&gt;=30,Employee__2[[#This Row],[Gender]]="Male"),"Mached","Not mached")</f>
        <v>Mached</v>
      </c>
    </row>
    <row r="1272" spans="4:16" x14ac:dyDescent="0.25">
      <c r="D1272" s="6" t="s">
        <v>34</v>
      </c>
      <c r="E1272">
        <v>2015</v>
      </c>
      <c r="F1272" s="6" t="s">
        <v>35</v>
      </c>
      <c r="G1272">
        <v>3</v>
      </c>
      <c r="H1272">
        <v>26</v>
      </c>
      <c r="I1272" s="6" t="s">
        <v>36</v>
      </c>
      <c r="J1272" s="6" t="s">
        <v>37</v>
      </c>
      <c r="K1272">
        <v>4</v>
      </c>
      <c r="M1272" s="1" t="b">
        <f>Employee__2[[#This Row],[Experience]]&gt;1</f>
        <v>1</v>
      </c>
      <c r="N1272" s="1" t="str">
        <f>IF(Employee__2[[#This Row],[City]]="Pune","Yes","No")</f>
        <v>No</v>
      </c>
      <c r="O1272" s="1" t="str">
        <f>IF(AND(Employee__2[[#This Row],[Education]]="Bachelors",Employee__2[[#This Row],[City]]="Pune"),"Yes","No")</f>
        <v>No</v>
      </c>
      <c r="P1272" s="1" t="str">
        <f>IF(OR(Employee__2[[#This Row],[Age]]&gt;=30,Employee__2[[#This Row],[Gender]]="Male"),"Mached","Not mached")</f>
        <v>Mached</v>
      </c>
    </row>
    <row r="1273" spans="4:16" x14ac:dyDescent="0.25">
      <c r="D1273" s="6" t="s">
        <v>34</v>
      </c>
      <c r="E1273">
        <v>2014</v>
      </c>
      <c r="F1273" s="6" t="s">
        <v>35</v>
      </c>
      <c r="G1273">
        <v>3</v>
      </c>
      <c r="H1273">
        <v>25</v>
      </c>
      <c r="I1273" s="6" t="s">
        <v>36</v>
      </c>
      <c r="J1273" s="6" t="s">
        <v>37</v>
      </c>
      <c r="K1273">
        <v>3</v>
      </c>
      <c r="M1273" s="1" t="b">
        <f>Employee__2[[#This Row],[Experience]]&gt;1</f>
        <v>1</v>
      </c>
      <c r="N1273" s="1" t="str">
        <f>IF(Employee__2[[#This Row],[City]]="Pune","Yes","No")</f>
        <v>No</v>
      </c>
      <c r="O1273" s="1" t="str">
        <f>IF(AND(Employee__2[[#This Row],[Education]]="Bachelors",Employee__2[[#This Row],[City]]="Pune"),"Yes","No")</f>
        <v>No</v>
      </c>
      <c r="P1273" s="1" t="str">
        <f>IF(OR(Employee__2[[#This Row],[Age]]&gt;=30,Employee__2[[#This Row],[Gender]]="Male"),"Mached","Not mached")</f>
        <v>Mached</v>
      </c>
    </row>
    <row r="1274" spans="4:16" x14ac:dyDescent="0.25">
      <c r="D1274" s="6" t="s">
        <v>34</v>
      </c>
      <c r="E1274">
        <v>2018</v>
      </c>
      <c r="F1274" s="6" t="s">
        <v>38</v>
      </c>
      <c r="G1274">
        <v>3</v>
      </c>
      <c r="H1274">
        <v>26</v>
      </c>
      <c r="I1274" s="6" t="s">
        <v>36</v>
      </c>
      <c r="J1274" s="6" t="s">
        <v>37</v>
      </c>
      <c r="K1274">
        <v>4</v>
      </c>
      <c r="M1274" s="1" t="b">
        <f>Employee__2[[#This Row],[Experience]]&gt;1</f>
        <v>1</v>
      </c>
      <c r="N1274" s="1" t="str">
        <f>IF(Employee__2[[#This Row],[City]]="Pune","Yes","No")</f>
        <v>Yes</v>
      </c>
      <c r="O1274" s="1" t="str">
        <f>IF(AND(Employee__2[[#This Row],[Education]]="Bachelors",Employee__2[[#This Row],[City]]="Pune"),"Yes","No")</f>
        <v>Yes</v>
      </c>
      <c r="P1274" s="1" t="str">
        <f>IF(OR(Employee__2[[#This Row],[Age]]&gt;=30,Employee__2[[#This Row],[Gender]]="Male"),"Mached","Not mached")</f>
        <v>Mached</v>
      </c>
    </row>
    <row r="1275" spans="4:16" x14ac:dyDescent="0.25">
      <c r="D1275" s="6" t="s">
        <v>41</v>
      </c>
      <c r="E1275">
        <v>2015</v>
      </c>
      <c r="F1275" s="6" t="s">
        <v>38</v>
      </c>
      <c r="G1275">
        <v>2</v>
      </c>
      <c r="H1275">
        <v>28</v>
      </c>
      <c r="I1275" s="6" t="s">
        <v>39</v>
      </c>
      <c r="J1275" s="6" t="s">
        <v>37</v>
      </c>
      <c r="K1275">
        <v>2</v>
      </c>
      <c r="M1275" s="1" t="b">
        <f>Employee__2[[#This Row],[Experience]]&gt;1</f>
        <v>1</v>
      </c>
      <c r="N1275" s="1" t="str">
        <f>IF(Employee__2[[#This Row],[City]]="Pune","Yes","No")</f>
        <v>Yes</v>
      </c>
      <c r="O1275" s="1" t="str">
        <f>IF(AND(Employee__2[[#This Row],[Education]]="Bachelors",Employee__2[[#This Row],[City]]="Pune"),"Yes","No")</f>
        <v>No</v>
      </c>
      <c r="P1275" s="1" t="str">
        <f>IF(OR(Employee__2[[#This Row],[Age]]&gt;=30,Employee__2[[#This Row],[Gender]]="Male"),"Mached","Not mached")</f>
        <v>Not mached</v>
      </c>
    </row>
    <row r="1276" spans="4:16" x14ac:dyDescent="0.25">
      <c r="D1276" s="6" t="s">
        <v>41</v>
      </c>
      <c r="E1276">
        <v>2013</v>
      </c>
      <c r="F1276" s="6" t="s">
        <v>40</v>
      </c>
      <c r="G1276">
        <v>3</v>
      </c>
      <c r="H1276">
        <v>28</v>
      </c>
      <c r="I1276" s="6" t="s">
        <v>36</v>
      </c>
      <c r="J1276" s="6" t="s">
        <v>37</v>
      </c>
      <c r="K1276">
        <v>2</v>
      </c>
      <c r="M1276" s="1" t="b">
        <f>Employee__2[[#This Row],[Experience]]&gt;1</f>
        <v>1</v>
      </c>
      <c r="N1276" s="1" t="str">
        <f>IF(Employee__2[[#This Row],[City]]="Pune","Yes","No")</f>
        <v>No</v>
      </c>
      <c r="O1276" s="1" t="str">
        <f>IF(AND(Employee__2[[#This Row],[Education]]="Bachelors",Employee__2[[#This Row],[City]]="Pune"),"Yes","No")</f>
        <v>No</v>
      </c>
      <c r="P1276" s="1" t="str">
        <f>IF(OR(Employee__2[[#This Row],[Age]]&gt;=30,Employee__2[[#This Row],[Gender]]="Male"),"Mached","Not mached")</f>
        <v>Mached</v>
      </c>
    </row>
    <row r="1277" spans="4:16" x14ac:dyDescent="0.25">
      <c r="D1277" s="6" t="s">
        <v>34</v>
      </c>
      <c r="E1277">
        <v>2014</v>
      </c>
      <c r="F1277" s="6" t="s">
        <v>35</v>
      </c>
      <c r="G1277">
        <v>3</v>
      </c>
      <c r="H1277">
        <v>25</v>
      </c>
      <c r="I1277" s="6" t="s">
        <v>36</v>
      </c>
      <c r="J1277" s="6" t="s">
        <v>37</v>
      </c>
      <c r="K1277">
        <v>3</v>
      </c>
      <c r="M1277" s="1" t="b">
        <f>Employee__2[[#This Row],[Experience]]&gt;1</f>
        <v>1</v>
      </c>
      <c r="N1277" s="1" t="str">
        <f>IF(Employee__2[[#This Row],[City]]="Pune","Yes","No")</f>
        <v>No</v>
      </c>
      <c r="O1277" s="1" t="str">
        <f>IF(AND(Employee__2[[#This Row],[Education]]="Bachelors",Employee__2[[#This Row],[City]]="Pune"),"Yes","No")</f>
        <v>No</v>
      </c>
      <c r="P1277" s="1" t="str">
        <f>IF(OR(Employee__2[[#This Row],[Age]]&gt;=30,Employee__2[[#This Row],[Gender]]="Male"),"Mached","Not mached")</f>
        <v>Mached</v>
      </c>
    </row>
    <row r="1278" spans="4:16" x14ac:dyDescent="0.25">
      <c r="D1278" s="6" t="s">
        <v>41</v>
      </c>
      <c r="E1278">
        <v>2015</v>
      </c>
      <c r="F1278" s="6" t="s">
        <v>40</v>
      </c>
      <c r="G1278">
        <v>2</v>
      </c>
      <c r="H1278">
        <v>26</v>
      </c>
      <c r="I1278" s="6" t="s">
        <v>39</v>
      </c>
      <c r="J1278" s="6" t="s">
        <v>37</v>
      </c>
      <c r="K1278">
        <v>4</v>
      </c>
      <c r="M1278" s="1" t="b">
        <f>Employee__2[[#This Row],[Experience]]&gt;1</f>
        <v>1</v>
      </c>
      <c r="N1278" s="1" t="str">
        <f>IF(Employee__2[[#This Row],[City]]="Pune","Yes","No")</f>
        <v>No</v>
      </c>
      <c r="O1278" s="1" t="str">
        <f>IF(AND(Employee__2[[#This Row],[Education]]="Bachelors",Employee__2[[#This Row],[City]]="Pune"),"Yes","No")</f>
        <v>No</v>
      </c>
      <c r="P1278" s="1" t="str">
        <f>IF(OR(Employee__2[[#This Row],[Age]]&gt;=30,Employee__2[[#This Row],[Gender]]="Male"),"Mached","Not mached")</f>
        <v>Not mached</v>
      </c>
    </row>
    <row r="1279" spans="4:16" x14ac:dyDescent="0.25">
      <c r="D1279" s="6" t="s">
        <v>34</v>
      </c>
      <c r="E1279">
        <v>2016</v>
      </c>
      <c r="F1279" s="6" t="s">
        <v>40</v>
      </c>
      <c r="G1279">
        <v>3</v>
      </c>
      <c r="H1279">
        <v>27</v>
      </c>
      <c r="I1279" s="6" t="s">
        <v>36</v>
      </c>
      <c r="J1279" s="6" t="s">
        <v>37</v>
      </c>
      <c r="K1279">
        <v>5</v>
      </c>
      <c r="M1279" s="1" t="b">
        <f>Employee__2[[#This Row],[Experience]]&gt;1</f>
        <v>1</v>
      </c>
      <c r="N1279" s="1" t="str">
        <f>IF(Employee__2[[#This Row],[City]]="Pune","Yes","No")</f>
        <v>No</v>
      </c>
      <c r="O1279" s="1" t="str">
        <f>IF(AND(Employee__2[[#This Row],[Education]]="Bachelors",Employee__2[[#This Row],[City]]="Pune"),"Yes","No")</f>
        <v>No</v>
      </c>
      <c r="P1279" s="1" t="str">
        <f>IF(OR(Employee__2[[#This Row],[Age]]&gt;=30,Employee__2[[#This Row],[Gender]]="Male"),"Mached","Not mached")</f>
        <v>Mached</v>
      </c>
    </row>
    <row r="1280" spans="4:16" x14ac:dyDescent="0.25">
      <c r="D1280" s="6" t="s">
        <v>34</v>
      </c>
      <c r="E1280">
        <v>2014</v>
      </c>
      <c r="F1280" s="6" t="s">
        <v>35</v>
      </c>
      <c r="G1280">
        <v>3</v>
      </c>
      <c r="H1280">
        <v>24</v>
      </c>
      <c r="I1280" s="6" t="s">
        <v>39</v>
      </c>
      <c r="J1280" s="6" t="s">
        <v>37</v>
      </c>
      <c r="K1280">
        <v>2</v>
      </c>
      <c r="M1280" s="1" t="b">
        <f>Employee__2[[#This Row],[Experience]]&gt;1</f>
        <v>1</v>
      </c>
      <c r="N1280" s="1" t="str">
        <f>IF(Employee__2[[#This Row],[City]]="Pune","Yes","No")</f>
        <v>No</v>
      </c>
      <c r="O1280" s="1" t="str">
        <f>IF(AND(Employee__2[[#This Row],[Education]]="Bachelors",Employee__2[[#This Row],[City]]="Pune"),"Yes","No")</f>
        <v>No</v>
      </c>
      <c r="P1280" s="1" t="str">
        <f>IF(OR(Employee__2[[#This Row],[Age]]&gt;=30,Employee__2[[#This Row],[Gender]]="Male"),"Mached","Not mached")</f>
        <v>Not mached</v>
      </c>
    </row>
    <row r="1281" spans="4:16" x14ac:dyDescent="0.25">
      <c r="D1281" s="6" t="s">
        <v>41</v>
      </c>
      <c r="E1281">
        <v>2017</v>
      </c>
      <c r="F1281" s="6" t="s">
        <v>38</v>
      </c>
      <c r="G1281">
        <v>3</v>
      </c>
      <c r="H1281">
        <v>24</v>
      </c>
      <c r="I1281" s="6" t="s">
        <v>39</v>
      </c>
      <c r="J1281" s="6" t="s">
        <v>37</v>
      </c>
      <c r="K1281">
        <v>2</v>
      </c>
      <c r="M1281" s="1" t="b">
        <f>Employee__2[[#This Row],[Experience]]&gt;1</f>
        <v>1</v>
      </c>
      <c r="N1281" s="1" t="str">
        <f>IF(Employee__2[[#This Row],[City]]="Pune","Yes","No")</f>
        <v>Yes</v>
      </c>
      <c r="O1281" s="1" t="str">
        <f>IF(AND(Employee__2[[#This Row],[Education]]="Bachelors",Employee__2[[#This Row],[City]]="Pune"),"Yes","No")</f>
        <v>No</v>
      </c>
      <c r="P1281" s="1" t="str">
        <f>IF(OR(Employee__2[[#This Row],[Age]]&gt;=30,Employee__2[[#This Row],[Gender]]="Male"),"Mached","Not mached")</f>
        <v>Not mached</v>
      </c>
    </row>
    <row r="1282" spans="4:16" x14ac:dyDescent="0.25">
      <c r="D1282" s="6" t="s">
        <v>34</v>
      </c>
      <c r="E1282">
        <v>2014</v>
      </c>
      <c r="F1282" s="6" t="s">
        <v>38</v>
      </c>
      <c r="G1282">
        <v>3</v>
      </c>
      <c r="H1282">
        <v>25</v>
      </c>
      <c r="I1282" s="6" t="s">
        <v>39</v>
      </c>
      <c r="J1282" s="6" t="s">
        <v>37</v>
      </c>
      <c r="K1282">
        <v>3</v>
      </c>
      <c r="M1282" s="1" t="b">
        <f>Employee__2[[#This Row],[Experience]]&gt;1</f>
        <v>1</v>
      </c>
      <c r="N1282" s="1" t="str">
        <f>IF(Employee__2[[#This Row],[City]]="Pune","Yes","No")</f>
        <v>Yes</v>
      </c>
      <c r="O1282" s="1" t="str">
        <f>IF(AND(Employee__2[[#This Row],[Education]]="Bachelors",Employee__2[[#This Row],[City]]="Pune"),"Yes","No")</f>
        <v>Yes</v>
      </c>
      <c r="P1282" s="1" t="str">
        <f>IF(OR(Employee__2[[#This Row],[Age]]&gt;=30,Employee__2[[#This Row],[Gender]]="Male"),"Mached","Not mached")</f>
        <v>Not mached</v>
      </c>
    </row>
    <row r="1283" spans="4:16" x14ac:dyDescent="0.25">
      <c r="D1283" s="6" t="s">
        <v>34</v>
      </c>
      <c r="E1283">
        <v>2015</v>
      </c>
      <c r="F1283" s="6" t="s">
        <v>38</v>
      </c>
      <c r="G1283">
        <v>3</v>
      </c>
      <c r="H1283">
        <v>27</v>
      </c>
      <c r="I1283" s="6" t="s">
        <v>39</v>
      </c>
      <c r="J1283" s="6" t="s">
        <v>37</v>
      </c>
      <c r="K1283">
        <v>5</v>
      </c>
      <c r="M1283" s="1" t="b">
        <f>Employee__2[[#This Row],[Experience]]&gt;1</f>
        <v>1</v>
      </c>
      <c r="N1283" s="1" t="str">
        <f>IF(Employee__2[[#This Row],[City]]="Pune","Yes","No")</f>
        <v>Yes</v>
      </c>
      <c r="O1283" s="1" t="str">
        <f>IF(AND(Employee__2[[#This Row],[Education]]="Bachelors",Employee__2[[#This Row],[City]]="Pune"),"Yes","No")</f>
        <v>Yes</v>
      </c>
      <c r="P1283" s="1" t="str">
        <f>IF(OR(Employee__2[[#This Row],[Age]]&gt;=30,Employee__2[[#This Row],[Gender]]="Male"),"Mached","Not mached")</f>
        <v>Not mached</v>
      </c>
    </row>
    <row r="1284" spans="4:16" x14ac:dyDescent="0.25">
      <c r="D1284" s="6" t="s">
        <v>34</v>
      </c>
      <c r="E1284">
        <v>2017</v>
      </c>
      <c r="F1284" s="6" t="s">
        <v>40</v>
      </c>
      <c r="G1284">
        <v>2</v>
      </c>
      <c r="H1284">
        <v>28</v>
      </c>
      <c r="I1284" s="6" t="s">
        <v>36</v>
      </c>
      <c r="J1284" s="6" t="s">
        <v>37</v>
      </c>
      <c r="K1284">
        <v>0</v>
      </c>
      <c r="M1284" s="1" t="b">
        <f>Employee__2[[#This Row],[Experience]]&gt;1</f>
        <v>0</v>
      </c>
      <c r="N1284" s="1" t="str">
        <f>IF(Employee__2[[#This Row],[City]]="Pune","Yes","No")</f>
        <v>No</v>
      </c>
      <c r="O1284" s="1" t="str">
        <f>IF(AND(Employee__2[[#This Row],[Education]]="Bachelors",Employee__2[[#This Row],[City]]="Pune"),"Yes","No")</f>
        <v>No</v>
      </c>
      <c r="P1284" s="1" t="str">
        <f>IF(OR(Employee__2[[#This Row],[Age]]&gt;=30,Employee__2[[#This Row],[Gender]]="Male"),"Mached","Not mached")</f>
        <v>Mached</v>
      </c>
    </row>
    <row r="1285" spans="4:16" x14ac:dyDescent="0.25">
      <c r="D1285" s="6" t="s">
        <v>34</v>
      </c>
      <c r="E1285">
        <v>2017</v>
      </c>
      <c r="F1285" s="6" t="s">
        <v>40</v>
      </c>
      <c r="G1285">
        <v>3</v>
      </c>
      <c r="H1285">
        <v>25</v>
      </c>
      <c r="I1285" s="6" t="s">
        <v>39</v>
      </c>
      <c r="J1285" s="6" t="s">
        <v>37</v>
      </c>
      <c r="K1285">
        <v>3</v>
      </c>
      <c r="M1285" s="1" t="b">
        <f>Employee__2[[#This Row],[Experience]]&gt;1</f>
        <v>1</v>
      </c>
      <c r="N1285" s="1" t="str">
        <f>IF(Employee__2[[#This Row],[City]]="Pune","Yes","No")</f>
        <v>No</v>
      </c>
      <c r="O1285" s="1" t="str">
        <f>IF(AND(Employee__2[[#This Row],[Education]]="Bachelors",Employee__2[[#This Row],[City]]="Pune"),"Yes","No")</f>
        <v>No</v>
      </c>
      <c r="P1285" s="1" t="str">
        <f>IF(OR(Employee__2[[#This Row],[Age]]&gt;=30,Employee__2[[#This Row],[Gender]]="Male"),"Mached","Not mached")</f>
        <v>Not mached</v>
      </c>
    </row>
    <row r="1286" spans="4:16" x14ac:dyDescent="0.25">
      <c r="D1286" s="6" t="s">
        <v>34</v>
      </c>
      <c r="E1286">
        <v>2012</v>
      </c>
      <c r="F1286" s="6" t="s">
        <v>38</v>
      </c>
      <c r="G1286">
        <v>3</v>
      </c>
      <c r="H1286">
        <v>24</v>
      </c>
      <c r="I1286" s="6" t="s">
        <v>36</v>
      </c>
      <c r="J1286" s="6" t="s">
        <v>37</v>
      </c>
      <c r="K1286">
        <v>2</v>
      </c>
      <c r="M1286" s="1" t="b">
        <f>Employee__2[[#This Row],[Experience]]&gt;1</f>
        <v>1</v>
      </c>
      <c r="N1286" s="1" t="str">
        <f>IF(Employee__2[[#This Row],[City]]="Pune","Yes","No")</f>
        <v>Yes</v>
      </c>
      <c r="O1286" s="1" t="str">
        <f>IF(AND(Employee__2[[#This Row],[Education]]="Bachelors",Employee__2[[#This Row],[City]]="Pune"),"Yes","No")</f>
        <v>Yes</v>
      </c>
      <c r="P1286" s="1" t="str">
        <f>IF(OR(Employee__2[[#This Row],[Age]]&gt;=30,Employee__2[[#This Row],[Gender]]="Male"),"Mached","Not mached")</f>
        <v>Mached</v>
      </c>
    </row>
    <row r="1287" spans="4:16" x14ac:dyDescent="0.25">
      <c r="D1287" s="6" t="s">
        <v>41</v>
      </c>
      <c r="E1287">
        <v>2016</v>
      </c>
      <c r="F1287" s="6" t="s">
        <v>40</v>
      </c>
      <c r="G1287">
        <v>3</v>
      </c>
      <c r="H1287">
        <v>25</v>
      </c>
      <c r="I1287" s="6" t="s">
        <v>36</v>
      </c>
      <c r="J1287" s="6" t="s">
        <v>37</v>
      </c>
      <c r="K1287">
        <v>3</v>
      </c>
      <c r="M1287" s="1" t="b">
        <f>Employee__2[[#This Row],[Experience]]&gt;1</f>
        <v>1</v>
      </c>
      <c r="N1287" s="1" t="str">
        <f>IF(Employee__2[[#This Row],[City]]="Pune","Yes","No")</f>
        <v>No</v>
      </c>
      <c r="O1287" s="1" t="str">
        <f>IF(AND(Employee__2[[#This Row],[Education]]="Bachelors",Employee__2[[#This Row],[City]]="Pune"),"Yes","No")</f>
        <v>No</v>
      </c>
      <c r="P1287" s="1" t="str">
        <f>IF(OR(Employee__2[[#This Row],[Age]]&gt;=30,Employee__2[[#This Row],[Gender]]="Male"),"Mached","Not mached")</f>
        <v>Mached</v>
      </c>
    </row>
    <row r="1288" spans="4:16" x14ac:dyDescent="0.25">
      <c r="D1288" s="6" t="s">
        <v>34</v>
      </c>
      <c r="E1288">
        <v>2015</v>
      </c>
      <c r="F1288" s="6" t="s">
        <v>38</v>
      </c>
      <c r="G1288">
        <v>2</v>
      </c>
      <c r="H1288">
        <v>26</v>
      </c>
      <c r="I1288" s="6" t="s">
        <v>39</v>
      </c>
      <c r="J1288" s="6" t="s">
        <v>37</v>
      </c>
      <c r="K1288">
        <v>4</v>
      </c>
      <c r="M1288" s="1" t="b">
        <f>Employee__2[[#This Row],[Experience]]&gt;1</f>
        <v>1</v>
      </c>
      <c r="N1288" s="1" t="str">
        <f>IF(Employee__2[[#This Row],[City]]="Pune","Yes","No")</f>
        <v>Yes</v>
      </c>
      <c r="O1288" s="1" t="str">
        <f>IF(AND(Employee__2[[#This Row],[Education]]="Bachelors",Employee__2[[#This Row],[City]]="Pune"),"Yes","No")</f>
        <v>Yes</v>
      </c>
      <c r="P1288" s="1" t="str">
        <f>IF(OR(Employee__2[[#This Row],[Age]]&gt;=30,Employee__2[[#This Row],[Gender]]="Male"),"Mached","Not mached")</f>
        <v>Not mached</v>
      </c>
    </row>
    <row r="1289" spans="4:16" x14ac:dyDescent="0.25">
      <c r="D1289" s="6" t="s">
        <v>41</v>
      </c>
      <c r="E1289">
        <v>2014</v>
      </c>
      <c r="F1289" s="6" t="s">
        <v>40</v>
      </c>
      <c r="G1289">
        <v>3</v>
      </c>
      <c r="H1289">
        <v>27</v>
      </c>
      <c r="I1289" s="6" t="s">
        <v>36</v>
      </c>
      <c r="J1289" s="6" t="s">
        <v>37</v>
      </c>
      <c r="K1289">
        <v>5</v>
      </c>
      <c r="M1289" s="1" t="b">
        <f>Employee__2[[#This Row],[Experience]]&gt;1</f>
        <v>1</v>
      </c>
      <c r="N1289" s="1" t="str">
        <f>IF(Employee__2[[#This Row],[City]]="Pune","Yes","No")</f>
        <v>No</v>
      </c>
      <c r="O1289" s="1" t="str">
        <f>IF(AND(Employee__2[[#This Row],[Education]]="Bachelors",Employee__2[[#This Row],[City]]="Pune"),"Yes","No")</f>
        <v>No</v>
      </c>
      <c r="P1289" s="1" t="str">
        <f>IF(OR(Employee__2[[#This Row],[Age]]&gt;=30,Employee__2[[#This Row],[Gender]]="Male"),"Mached","Not mached")</f>
        <v>Mached</v>
      </c>
    </row>
    <row r="1290" spans="4:16" x14ac:dyDescent="0.25">
      <c r="D1290" s="6" t="s">
        <v>34</v>
      </c>
      <c r="E1290">
        <v>2015</v>
      </c>
      <c r="F1290" s="6" t="s">
        <v>35</v>
      </c>
      <c r="G1290">
        <v>3</v>
      </c>
      <c r="H1290">
        <v>24</v>
      </c>
      <c r="I1290" s="6" t="s">
        <v>39</v>
      </c>
      <c r="J1290" s="6" t="s">
        <v>37</v>
      </c>
      <c r="K1290">
        <v>2</v>
      </c>
      <c r="M1290" s="1" t="b">
        <f>Employee__2[[#This Row],[Experience]]&gt;1</f>
        <v>1</v>
      </c>
      <c r="N1290" s="1" t="str">
        <f>IF(Employee__2[[#This Row],[City]]="Pune","Yes","No")</f>
        <v>No</v>
      </c>
      <c r="O1290" s="1" t="str">
        <f>IF(AND(Employee__2[[#This Row],[Education]]="Bachelors",Employee__2[[#This Row],[City]]="Pune"),"Yes","No")</f>
        <v>No</v>
      </c>
      <c r="P1290" s="1" t="str">
        <f>IF(OR(Employee__2[[#This Row],[Age]]&gt;=30,Employee__2[[#This Row],[Gender]]="Male"),"Mached","Not mached")</f>
        <v>Not mached</v>
      </c>
    </row>
    <row r="1291" spans="4:16" x14ac:dyDescent="0.25">
      <c r="D1291" s="6" t="s">
        <v>34</v>
      </c>
      <c r="E1291">
        <v>2014</v>
      </c>
      <c r="F1291" s="6" t="s">
        <v>40</v>
      </c>
      <c r="G1291">
        <v>3</v>
      </c>
      <c r="H1291">
        <v>25</v>
      </c>
      <c r="I1291" s="6" t="s">
        <v>36</v>
      </c>
      <c r="J1291" s="6" t="s">
        <v>37</v>
      </c>
      <c r="K1291">
        <v>3</v>
      </c>
      <c r="M1291" s="1" t="b">
        <f>Employee__2[[#This Row],[Experience]]&gt;1</f>
        <v>1</v>
      </c>
      <c r="N1291" s="1" t="str">
        <f>IF(Employee__2[[#This Row],[City]]="Pune","Yes","No")</f>
        <v>No</v>
      </c>
      <c r="O1291" s="1" t="str">
        <f>IF(AND(Employee__2[[#This Row],[Education]]="Bachelors",Employee__2[[#This Row],[City]]="Pune"),"Yes","No")</f>
        <v>No</v>
      </c>
      <c r="P1291" s="1" t="str">
        <f>IF(OR(Employee__2[[#This Row],[Age]]&gt;=30,Employee__2[[#This Row],[Gender]]="Male"),"Mached","Not mached")</f>
        <v>Mached</v>
      </c>
    </row>
    <row r="1292" spans="4:16" x14ac:dyDescent="0.25">
      <c r="D1292" s="6" t="s">
        <v>34</v>
      </c>
      <c r="E1292">
        <v>2017</v>
      </c>
      <c r="F1292" s="6" t="s">
        <v>35</v>
      </c>
      <c r="G1292">
        <v>3</v>
      </c>
      <c r="H1292">
        <v>24</v>
      </c>
      <c r="I1292" s="6" t="s">
        <v>36</v>
      </c>
      <c r="J1292" s="6" t="s">
        <v>37</v>
      </c>
      <c r="K1292">
        <v>2</v>
      </c>
      <c r="M1292" s="1" t="b">
        <f>Employee__2[[#This Row],[Experience]]&gt;1</f>
        <v>1</v>
      </c>
      <c r="N1292" s="1" t="str">
        <f>IF(Employee__2[[#This Row],[City]]="Pune","Yes","No")</f>
        <v>No</v>
      </c>
      <c r="O1292" s="1" t="str">
        <f>IF(AND(Employee__2[[#This Row],[Education]]="Bachelors",Employee__2[[#This Row],[City]]="Pune"),"Yes","No")</f>
        <v>No</v>
      </c>
      <c r="P1292" s="1" t="str">
        <f>IF(OR(Employee__2[[#This Row],[Age]]&gt;=30,Employee__2[[#This Row],[Gender]]="Male"),"Mached","Not mached")</f>
        <v>Mached</v>
      </c>
    </row>
    <row r="1293" spans="4:16" x14ac:dyDescent="0.25">
      <c r="D1293" s="6" t="s">
        <v>34</v>
      </c>
      <c r="E1293">
        <v>2017</v>
      </c>
      <c r="F1293" s="6" t="s">
        <v>40</v>
      </c>
      <c r="G1293">
        <v>3</v>
      </c>
      <c r="H1293">
        <v>24</v>
      </c>
      <c r="I1293" s="6" t="s">
        <v>39</v>
      </c>
      <c r="J1293" s="6" t="s">
        <v>37</v>
      </c>
      <c r="K1293">
        <v>2</v>
      </c>
      <c r="M1293" s="1" t="b">
        <f>Employee__2[[#This Row],[Experience]]&gt;1</f>
        <v>1</v>
      </c>
      <c r="N1293" s="1" t="str">
        <f>IF(Employee__2[[#This Row],[City]]="Pune","Yes","No")</f>
        <v>No</v>
      </c>
      <c r="O1293" s="1" t="str">
        <f>IF(AND(Employee__2[[#This Row],[Education]]="Bachelors",Employee__2[[#This Row],[City]]="Pune"),"Yes","No")</f>
        <v>No</v>
      </c>
      <c r="P1293" s="1" t="str">
        <f>IF(OR(Employee__2[[#This Row],[Age]]&gt;=30,Employee__2[[#This Row],[Gender]]="Male"),"Mached","Not mached")</f>
        <v>Not mached</v>
      </c>
    </row>
    <row r="1294" spans="4:16" x14ac:dyDescent="0.25">
      <c r="D1294" s="6" t="s">
        <v>34</v>
      </c>
      <c r="E1294">
        <v>2012</v>
      </c>
      <c r="F1294" s="6" t="s">
        <v>35</v>
      </c>
      <c r="G1294">
        <v>3</v>
      </c>
      <c r="H1294">
        <v>28</v>
      </c>
      <c r="I1294" s="6" t="s">
        <v>36</v>
      </c>
      <c r="J1294" s="6" t="s">
        <v>37</v>
      </c>
      <c r="K1294">
        <v>1</v>
      </c>
      <c r="M1294" s="1" t="b">
        <f>Employee__2[[#This Row],[Experience]]&gt;1</f>
        <v>0</v>
      </c>
      <c r="N1294" s="1" t="str">
        <f>IF(Employee__2[[#This Row],[City]]="Pune","Yes","No")</f>
        <v>No</v>
      </c>
      <c r="O1294" s="1" t="str">
        <f>IF(AND(Employee__2[[#This Row],[Education]]="Bachelors",Employee__2[[#This Row],[City]]="Pune"),"Yes","No")</f>
        <v>No</v>
      </c>
      <c r="P1294" s="1" t="str">
        <f>IF(OR(Employee__2[[#This Row],[Age]]&gt;=30,Employee__2[[#This Row],[Gender]]="Male"),"Mached","Not mached")</f>
        <v>Mached</v>
      </c>
    </row>
    <row r="1295" spans="4:16" x14ac:dyDescent="0.25">
      <c r="D1295" s="6" t="s">
        <v>34</v>
      </c>
      <c r="E1295">
        <v>2014</v>
      </c>
      <c r="F1295" s="6" t="s">
        <v>35</v>
      </c>
      <c r="G1295">
        <v>1</v>
      </c>
      <c r="H1295">
        <v>26</v>
      </c>
      <c r="I1295" s="6" t="s">
        <v>36</v>
      </c>
      <c r="J1295" s="6" t="s">
        <v>37</v>
      </c>
      <c r="K1295">
        <v>4</v>
      </c>
      <c r="M1295" s="1" t="b">
        <f>Employee__2[[#This Row],[Experience]]&gt;1</f>
        <v>1</v>
      </c>
      <c r="N1295" s="1" t="str">
        <f>IF(Employee__2[[#This Row],[City]]="Pune","Yes","No")</f>
        <v>No</v>
      </c>
      <c r="O1295" s="1" t="str">
        <f>IF(AND(Employee__2[[#This Row],[Education]]="Bachelors",Employee__2[[#This Row],[City]]="Pune"),"Yes","No")</f>
        <v>No</v>
      </c>
      <c r="P1295" s="1" t="str">
        <f>IF(OR(Employee__2[[#This Row],[Age]]&gt;=30,Employee__2[[#This Row],[Gender]]="Male"),"Mached","Not mached")</f>
        <v>Mached</v>
      </c>
    </row>
    <row r="1296" spans="4:16" x14ac:dyDescent="0.25">
      <c r="D1296" s="6" t="s">
        <v>34</v>
      </c>
      <c r="E1296">
        <v>2017</v>
      </c>
      <c r="F1296" s="6" t="s">
        <v>35</v>
      </c>
      <c r="G1296">
        <v>3</v>
      </c>
      <c r="H1296">
        <v>28</v>
      </c>
      <c r="I1296" s="6" t="s">
        <v>36</v>
      </c>
      <c r="J1296" s="6" t="s">
        <v>42</v>
      </c>
      <c r="K1296">
        <v>3</v>
      </c>
      <c r="M1296" s="1" t="b">
        <f>Employee__2[[#This Row],[Experience]]&gt;1</f>
        <v>1</v>
      </c>
      <c r="N1296" s="1" t="str">
        <f>IF(Employee__2[[#This Row],[City]]="Pune","Yes","No")</f>
        <v>No</v>
      </c>
      <c r="O1296" s="1" t="str">
        <f>IF(AND(Employee__2[[#This Row],[Education]]="Bachelors",Employee__2[[#This Row],[City]]="Pune"),"Yes","No")</f>
        <v>No</v>
      </c>
      <c r="P1296" s="1" t="str">
        <f>IF(OR(Employee__2[[#This Row],[Age]]&gt;=30,Employee__2[[#This Row],[Gender]]="Male"),"Mached","Not mached")</f>
        <v>Mached</v>
      </c>
    </row>
    <row r="1297" spans="4:16" x14ac:dyDescent="0.25">
      <c r="D1297" s="6" t="s">
        <v>34</v>
      </c>
      <c r="E1297">
        <v>2015</v>
      </c>
      <c r="F1297" s="6" t="s">
        <v>38</v>
      </c>
      <c r="G1297">
        <v>1</v>
      </c>
      <c r="H1297">
        <v>25</v>
      </c>
      <c r="I1297" s="6" t="s">
        <v>39</v>
      </c>
      <c r="J1297" s="6" t="s">
        <v>37</v>
      </c>
      <c r="K1297">
        <v>3</v>
      </c>
      <c r="M1297" s="1" t="b">
        <f>Employee__2[[#This Row],[Experience]]&gt;1</f>
        <v>1</v>
      </c>
      <c r="N1297" s="1" t="str">
        <f>IF(Employee__2[[#This Row],[City]]="Pune","Yes","No")</f>
        <v>Yes</v>
      </c>
      <c r="O1297" s="1" t="str">
        <f>IF(AND(Employee__2[[#This Row],[Education]]="Bachelors",Employee__2[[#This Row],[City]]="Pune"),"Yes","No")</f>
        <v>Yes</v>
      </c>
      <c r="P1297" s="1" t="str">
        <f>IF(OR(Employee__2[[#This Row],[Age]]&gt;=30,Employee__2[[#This Row],[Gender]]="Male"),"Mached","Not mached")</f>
        <v>Not mached</v>
      </c>
    </row>
    <row r="1298" spans="4:16" x14ac:dyDescent="0.25">
      <c r="D1298" s="6" t="s">
        <v>34</v>
      </c>
      <c r="E1298">
        <v>2015</v>
      </c>
      <c r="F1298" s="6" t="s">
        <v>38</v>
      </c>
      <c r="G1298">
        <v>2</v>
      </c>
      <c r="H1298">
        <v>24</v>
      </c>
      <c r="I1298" s="6" t="s">
        <v>39</v>
      </c>
      <c r="J1298" s="6" t="s">
        <v>42</v>
      </c>
      <c r="K1298">
        <v>2</v>
      </c>
      <c r="M1298" s="1" t="b">
        <f>Employee__2[[#This Row],[Experience]]&gt;1</f>
        <v>1</v>
      </c>
      <c r="N1298" s="1" t="str">
        <f>IF(Employee__2[[#This Row],[City]]="Pune","Yes","No")</f>
        <v>Yes</v>
      </c>
      <c r="O1298" s="1" t="str">
        <f>IF(AND(Employee__2[[#This Row],[Education]]="Bachelors",Employee__2[[#This Row],[City]]="Pune"),"Yes","No")</f>
        <v>Yes</v>
      </c>
      <c r="P1298" s="1" t="str">
        <f>IF(OR(Employee__2[[#This Row],[Age]]&gt;=30,Employee__2[[#This Row],[Gender]]="Male"),"Mached","Not mached")</f>
        <v>Not mached</v>
      </c>
    </row>
    <row r="1299" spans="4:16" x14ac:dyDescent="0.25">
      <c r="D1299" s="6" t="s">
        <v>34</v>
      </c>
      <c r="E1299">
        <v>2017</v>
      </c>
      <c r="F1299" s="6" t="s">
        <v>38</v>
      </c>
      <c r="G1299">
        <v>2</v>
      </c>
      <c r="H1299">
        <v>26</v>
      </c>
      <c r="I1299" s="6" t="s">
        <v>36</v>
      </c>
      <c r="J1299" s="6" t="s">
        <v>37</v>
      </c>
      <c r="K1299">
        <v>4</v>
      </c>
      <c r="M1299" s="1" t="b">
        <f>Employee__2[[#This Row],[Experience]]&gt;1</f>
        <v>1</v>
      </c>
      <c r="N1299" s="1" t="str">
        <f>IF(Employee__2[[#This Row],[City]]="Pune","Yes","No")</f>
        <v>Yes</v>
      </c>
      <c r="O1299" s="1" t="str">
        <f>IF(AND(Employee__2[[#This Row],[Education]]="Bachelors",Employee__2[[#This Row],[City]]="Pune"),"Yes","No")</f>
        <v>Yes</v>
      </c>
      <c r="P1299" s="1" t="str">
        <f>IF(OR(Employee__2[[#This Row],[Age]]&gt;=30,Employee__2[[#This Row],[Gender]]="Male"),"Mached","Not mached")</f>
        <v>Mached</v>
      </c>
    </row>
    <row r="1300" spans="4:16" x14ac:dyDescent="0.25">
      <c r="D1300" s="6" t="s">
        <v>34</v>
      </c>
      <c r="E1300">
        <v>2015</v>
      </c>
      <c r="F1300" s="6" t="s">
        <v>35</v>
      </c>
      <c r="G1300">
        <v>3</v>
      </c>
      <c r="H1300">
        <v>28</v>
      </c>
      <c r="I1300" s="6" t="s">
        <v>36</v>
      </c>
      <c r="J1300" s="6" t="s">
        <v>37</v>
      </c>
      <c r="K1300">
        <v>0</v>
      </c>
      <c r="M1300" s="1" t="b">
        <f>Employee__2[[#This Row],[Experience]]&gt;1</f>
        <v>0</v>
      </c>
      <c r="N1300" s="1" t="str">
        <f>IF(Employee__2[[#This Row],[City]]="Pune","Yes","No")</f>
        <v>No</v>
      </c>
      <c r="O1300" s="1" t="str">
        <f>IF(AND(Employee__2[[#This Row],[Education]]="Bachelors",Employee__2[[#This Row],[City]]="Pune"),"Yes","No")</f>
        <v>No</v>
      </c>
      <c r="P1300" s="1" t="str">
        <f>IF(OR(Employee__2[[#This Row],[Age]]&gt;=30,Employee__2[[#This Row],[Gender]]="Male"),"Mached","Not mached")</f>
        <v>Mached</v>
      </c>
    </row>
    <row r="1301" spans="4:16" x14ac:dyDescent="0.25">
      <c r="D1301" s="6" t="s">
        <v>34</v>
      </c>
      <c r="E1301">
        <v>2016</v>
      </c>
      <c r="F1301" s="6" t="s">
        <v>35</v>
      </c>
      <c r="G1301">
        <v>3</v>
      </c>
      <c r="H1301">
        <v>28</v>
      </c>
      <c r="I1301" s="6" t="s">
        <v>36</v>
      </c>
      <c r="J1301" s="6" t="s">
        <v>37</v>
      </c>
      <c r="K1301">
        <v>2</v>
      </c>
      <c r="M1301" s="1" t="b">
        <f>Employee__2[[#This Row],[Experience]]&gt;1</f>
        <v>1</v>
      </c>
      <c r="N1301" s="1" t="str">
        <f>IF(Employee__2[[#This Row],[City]]="Pune","Yes","No")</f>
        <v>No</v>
      </c>
      <c r="O1301" s="1" t="str">
        <f>IF(AND(Employee__2[[#This Row],[Education]]="Bachelors",Employee__2[[#This Row],[City]]="Pune"),"Yes","No")</f>
        <v>No</v>
      </c>
      <c r="P1301" s="1" t="str">
        <f>IF(OR(Employee__2[[#This Row],[Age]]&gt;=30,Employee__2[[#This Row],[Gender]]="Male"),"Mached","Not mached")</f>
        <v>Mached</v>
      </c>
    </row>
    <row r="1302" spans="4:16" x14ac:dyDescent="0.25">
      <c r="D1302" s="6" t="s">
        <v>34</v>
      </c>
      <c r="E1302">
        <v>2013</v>
      </c>
      <c r="F1302" s="6" t="s">
        <v>38</v>
      </c>
      <c r="G1302">
        <v>3</v>
      </c>
      <c r="H1302">
        <v>28</v>
      </c>
      <c r="I1302" s="6" t="s">
        <v>39</v>
      </c>
      <c r="J1302" s="6" t="s">
        <v>42</v>
      </c>
      <c r="K1302">
        <v>3</v>
      </c>
      <c r="M1302" s="1" t="b">
        <f>Employee__2[[#This Row],[Experience]]&gt;1</f>
        <v>1</v>
      </c>
      <c r="N1302" s="1" t="str">
        <f>IF(Employee__2[[#This Row],[City]]="Pune","Yes","No")</f>
        <v>Yes</v>
      </c>
      <c r="O1302" s="1" t="str">
        <f>IF(AND(Employee__2[[#This Row],[Education]]="Bachelors",Employee__2[[#This Row],[City]]="Pune"),"Yes","No")</f>
        <v>Yes</v>
      </c>
      <c r="P1302" s="1" t="str">
        <f>IF(OR(Employee__2[[#This Row],[Age]]&gt;=30,Employee__2[[#This Row],[Gender]]="Male"),"Mached","Not mached")</f>
        <v>Not mached</v>
      </c>
    </row>
    <row r="1303" spans="4:16" x14ac:dyDescent="0.25">
      <c r="D1303" s="6" t="s">
        <v>34</v>
      </c>
      <c r="E1303">
        <v>2017</v>
      </c>
      <c r="F1303" s="6" t="s">
        <v>35</v>
      </c>
      <c r="G1303">
        <v>3</v>
      </c>
      <c r="H1303">
        <v>27</v>
      </c>
      <c r="I1303" s="6" t="s">
        <v>36</v>
      </c>
      <c r="J1303" s="6" t="s">
        <v>37</v>
      </c>
      <c r="K1303">
        <v>5</v>
      </c>
      <c r="M1303" s="1" t="b">
        <f>Employee__2[[#This Row],[Experience]]&gt;1</f>
        <v>1</v>
      </c>
      <c r="N1303" s="1" t="str">
        <f>IF(Employee__2[[#This Row],[City]]="Pune","Yes","No")</f>
        <v>No</v>
      </c>
      <c r="O1303" s="1" t="str">
        <f>IF(AND(Employee__2[[#This Row],[Education]]="Bachelors",Employee__2[[#This Row],[City]]="Pune"),"Yes","No")</f>
        <v>No</v>
      </c>
      <c r="P1303" s="1" t="str">
        <f>IF(OR(Employee__2[[#This Row],[Age]]&gt;=30,Employee__2[[#This Row],[Gender]]="Male"),"Mached","Not mached")</f>
        <v>Mached</v>
      </c>
    </row>
    <row r="1304" spans="4:16" x14ac:dyDescent="0.25">
      <c r="D1304" s="6" t="s">
        <v>41</v>
      </c>
      <c r="E1304">
        <v>2015</v>
      </c>
      <c r="F1304" s="6" t="s">
        <v>40</v>
      </c>
      <c r="G1304">
        <v>3</v>
      </c>
      <c r="H1304">
        <v>25</v>
      </c>
      <c r="I1304" s="6" t="s">
        <v>36</v>
      </c>
      <c r="J1304" s="6" t="s">
        <v>37</v>
      </c>
      <c r="K1304">
        <v>3</v>
      </c>
      <c r="M1304" s="1" t="b">
        <f>Employee__2[[#This Row],[Experience]]&gt;1</f>
        <v>1</v>
      </c>
      <c r="N1304" s="1" t="str">
        <f>IF(Employee__2[[#This Row],[City]]="Pune","Yes","No")</f>
        <v>No</v>
      </c>
      <c r="O1304" s="1" t="str">
        <f>IF(AND(Employee__2[[#This Row],[Education]]="Bachelors",Employee__2[[#This Row],[City]]="Pune"),"Yes","No")</f>
        <v>No</v>
      </c>
      <c r="P1304" s="1" t="str">
        <f>IF(OR(Employee__2[[#This Row],[Age]]&gt;=30,Employee__2[[#This Row],[Gender]]="Male"),"Mached","Not mached")</f>
        <v>Mached</v>
      </c>
    </row>
    <row r="1305" spans="4:16" x14ac:dyDescent="0.25">
      <c r="D1305" s="6" t="s">
        <v>34</v>
      </c>
      <c r="E1305">
        <v>2012</v>
      </c>
      <c r="F1305" s="6" t="s">
        <v>40</v>
      </c>
      <c r="G1305">
        <v>3</v>
      </c>
      <c r="H1305">
        <v>28</v>
      </c>
      <c r="I1305" s="6" t="s">
        <v>39</v>
      </c>
      <c r="J1305" s="6" t="s">
        <v>37</v>
      </c>
      <c r="K1305">
        <v>4</v>
      </c>
      <c r="M1305" s="1" t="b">
        <f>Employee__2[[#This Row],[Experience]]&gt;1</f>
        <v>1</v>
      </c>
      <c r="N1305" s="1" t="str">
        <f>IF(Employee__2[[#This Row],[City]]="Pune","Yes","No")</f>
        <v>No</v>
      </c>
      <c r="O1305" s="1" t="str">
        <f>IF(AND(Employee__2[[#This Row],[Education]]="Bachelors",Employee__2[[#This Row],[City]]="Pune"),"Yes","No")</f>
        <v>No</v>
      </c>
      <c r="P1305" s="1" t="str">
        <f>IF(OR(Employee__2[[#This Row],[Age]]&gt;=30,Employee__2[[#This Row],[Gender]]="Male"),"Mached","Not mached")</f>
        <v>Not mached</v>
      </c>
    </row>
    <row r="1306" spans="4:16" x14ac:dyDescent="0.25">
      <c r="D1306" s="6" t="s">
        <v>34</v>
      </c>
      <c r="E1306">
        <v>2012</v>
      </c>
      <c r="F1306" s="6" t="s">
        <v>35</v>
      </c>
      <c r="G1306">
        <v>3</v>
      </c>
      <c r="H1306">
        <v>26</v>
      </c>
      <c r="I1306" s="6" t="s">
        <v>36</v>
      </c>
      <c r="J1306" s="6" t="s">
        <v>37</v>
      </c>
      <c r="K1306">
        <v>4</v>
      </c>
      <c r="M1306" s="1" t="b">
        <f>Employee__2[[#This Row],[Experience]]&gt;1</f>
        <v>1</v>
      </c>
      <c r="N1306" s="1" t="str">
        <f>IF(Employee__2[[#This Row],[City]]="Pune","Yes","No")</f>
        <v>No</v>
      </c>
      <c r="O1306" s="1" t="str">
        <f>IF(AND(Employee__2[[#This Row],[Education]]="Bachelors",Employee__2[[#This Row],[City]]="Pune"),"Yes","No")</f>
        <v>No</v>
      </c>
      <c r="P1306" s="1" t="str">
        <f>IF(OR(Employee__2[[#This Row],[Age]]&gt;=30,Employee__2[[#This Row],[Gender]]="Male"),"Mached","Not mached")</f>
        <v>Mached</v>
      </c>
    </row>
    <row r="1307" spans="4:16" x14ac:dyDescent="0.25">
      <c r="D1307" s="6" t="s">
        <v>34</v>
      </c>
      <c r="E1307">
        <v>2012</v>
      </c>
      <c r="F1307" s="6" t="s">
        <v>35</v>
      </c>
      <c r="G1307">
        <v>3</v>
      </c>
      <c r="H1307">
        <v>25</v>
      </c>
      <c r="I1307" s="6" t="s">
        <v>36</v>
      </c>
      <c r="J1307" s="6" t="s">
        <v>37</v>
      </c>
      <c r="K1307">
        <v>3</v>
      </c>
      <c r="M1307" s="1" t="b">
        <f>Employee__2[[#This Row],[Experience]]&gt;1</f>
        <v>1</v>
      </c>
      <c r="N1307" s="1" t="str">
        <f>IF(Employee__2[[#This Row],[City]]="Pune","Yes","No")</f>
        <v>No</v>
      </c>
      <c r="O1307" s="1" t="str">
        <f>IF(AND(Employee__2[[#This Row],[Education]]="Bachelors",Employee__2[[#This Row],[City]]="Pune"),"Yes","No")</f>
        <v>No</v>
      </c>
      <c r="P1307" s="1" t="str">
        <f>IF(OR(Employee__2[[#This Row],[Age]]&gt;=30,Employee__2[[#This Row],[Gender]]="Male"),"Mached","Not mached")</f>
        <v>Mached</v>
      </c>
    </row>
    <row r="1308" spans="4:16" x14ac:dyDescent="0.25">
      <c r="D1308" s="6" t="s">
        <v>41</v>
      </c>
      <c r="E1308">
        <v>2017</v>
      </c>
      <c r="F1308" s="6" t="s">
        <v>40</v>
      </c>
      <c r="G1308">
        <v>3</v>
      </c>
      <c r="H1308">
        <v>25</v>
      </c>
      <c r="I1308" s="6" t="s">
        <v>36</v>
      </c>
      <c r="J1308" s="6" t="s">
        <v>37</v>
      </c>
      <c r="K1308">
        <v>3</v>
      </c>
      <c r="M1308" s="1" t="b">
        <f>Employee__2[[#This Row],[Experience]]&gt;1</f>
        <v>1</v>
      </c>
      <c r="N1308" s="1" t="str">
        <f>IF(Employee__2[[#This Row],[City]]="Pune","Yes","No")</f>
        <v>No</v>
      </c>
      <c r="O1308" s="1" t="str">
        <f>IF(AND(Employee__2[[#This Row],[Education]]="Bachelors",Employee__2[[#This Row],[City]]="Pune"),"Yes","No")</f>
        <v>No</v>
      </c>
      <c r="P1308" s="1" t="str">
        <f>IF(OR(Employee__2[[#This Row],[Age]]&gt;=30,Employee__2[[#This Row],[Gender]]="Male"),"Mached","Not mached")</f>
        <v>Mached</v>
      </c>
    </row>
    <row r="1309" spans="4:16" x14ac:dyDescent="0.25">
      <c r="D1309" s="6" t="s">
        <v>34</v>
      </c>
      <c r="E1309">
        <v>2017</v>
      </c>
      <c r="F1309" s="6" t="s">
        <v>35</v>
      </c>
      <c r="G1309">
        <v>3</v>
      </c>
      <c r="H1309">
        <v>25</v>
      </c>
      <c r="I1309" s="6" t="s">
        <v>36</v>
      </c>
      <c r="J1309" s="6" t="s">
        <v>37</v>
      </c>
      <c r="K1309">
        <v>3</v>
      </c>
      <c r="M1309" s="1" t="b">
        <f>Employee__2[[#This Row],[Experience]]&gt;1</f>
        <v>1</v>
      </c>
      <c r="N1309" s="1" t="str">
        <f>IF(Employee__2[[#This Row],[City]]="Pune","Yes","No")</f>
        <v>No</v>
      </c>
      <c r="O1309" s="1" t="str">
        <f>IF(AND(Employee__2[[#This Row],[Education]]="Bachelors",Employee__2[[#This Row],[City]]="Pune"),"Yes","No")</f>
        <v>No</v>
      </c>
      <c r="P1309" s="1" t="str">
        <f>IF(OR(Employee__2[[#This Row],[Age]]&gt;=30,Employee__2[[#This Row],[Gender]]="Male"),"Mached","Not mached")</f>
        <v>Mached</v>
      </c>
    </row>
    <row r="1310" spans="4:16" x14ac:dyDescent="0.25">
      <c r="D1310" s="6" t="s">
        <v>34</v>
      </c>
      <c r="E1310">
        <v>2012</v>
      </c>
      <c r="F1310" s="6" t="s">
        <v>35</v>
      </c>
      <c r="G1310">
        <v>3</v>
      </c>
      <c r="H1310">
        <v>26</v>
      </c>
      <c r="I1310" s="6" t="s">
        <v>39</v>
      </c>
      <c r="J1310" s="6" t="s">
        <v>37</v>
      </c>
      <c r="K1310">
        <v>4</v>
      </c>
      <c r="M1310" s="1" t="b">
        <f>Employee__2[[#This Row],[Experience]]&gt;1</f>
        <v>1</v>
      </c>
      <c r="N1310" s="1" t="str">
        <f>IF(Employee__2[[#This Row],[City]]="Pune","Yes","No")</f>
        <v>No</v>
      </c>
      <c r="O1310" s="1" t="str">
        <f>IF(AND(Employee__2[[#This Row],[Education]]="Bachelors",Employee__2[[#This Row],[City]]="Pune"),"Yes","No")</f>
        <v>No</v>
      </c>
      <c r="P1310" s="1" t="str">
        <f>IF(OR(Employee__2[[#This Row],[Age]]&gt;=30,Employee__2[[#This Row],[Gender]]="Male"),"Mached","Not mached")</f>
        <v>Not mached</v>
      </c>
    </row>
    <row r="1311" spans="4:16" x14ac:dyDescent="0.25">
      <c r="D1311" s="6" t="s">
        <v>34</v>
      </c>
      <c r="E1311">
        <v>2017</v>
      </c>
      <c r="F1311" s="6" t="s">
        <v>35</v>
      </c>
      <c r="G1311">
        <v>3</v>
      </c>
      <c r="H1311">
        <v>26</v>
      </c>
      <c r="I1311" s="6" t="s">
        <v>39</v>
      </c>
      <c r="J1311" s="6" t="s">
        <v>37</v>
      </c>
      <c r="K1311">
        <v>4</v>
      </c>
      <c r="M1311" s="1" t="b">
        <f>Employee__2[[#This Row],[Experience]]&gt;1</f>
        <v>1</v>
      </c>
      <c r="N1311" s="1" t="str">
        <f>IF(Employee__2[[#This Row],[City]]="Pune","Yes","No")</f>
        <v>No</v>
      </c>
      <c r="O1311" s="1" t="str">
        <f>IF(AND(Employee__2[[#This Row],[Education]]="Bachelors",Employee__2[[#This Row],[City]]="Pune"),"Yes","No")</f>
        <v>No</v>
      </c>
      <c r="P1311" s="1" t="str">
        <f>IF(OR(Employee__2[[#This Row],[Age]]&gt;=30,Employee__2[[#This Row],[Gender]]="Male"),"Mached","Not mached")</f>
        <v>Not mached</v>
      </c>
    </row>
    <row r="1312" spans="4:16" x14ac:dyDescent="0.25">
      <c r="D1312" s="6" t="s">
        <v>41</v>
      </c>
      <c r="E1312">
        <v>2017</v>
      </c>
      <c r="F1312" s="6" t="s">
        <v>40</v>
      </c>
      <c r="G1312">
        <v>2</v>
      </c>
      <c r="H1312">
        <v>25</v>
      </c>
      <c r="I1312" s="6" t="s">
        <v>36</v>
      </c>
      <c r="J1312" s="6" t="s">
        <v>42</v>
      </c>
      <c r="K1312">
        <v>3</v>
      </c>
      <c r="M1312" s="1" t="b">
        <f>Employee__2[[#This Row],[Experience]]&gt;1</f>
        <v>1</v>
      </c>
      <c r="N1312" s="1" t="str">
        <f>IF(Employee__2[[#This Row],[City]]="Pune","Yes","No")</f>
        <v>No</v>
      </c>
      <c r="O1312" s="1" t="str">
        <f>IF(AND(Employee__2[[#This Row],[Education]]="Bachelors",Employee__2[[#This Row],[City]]="Pune"),"Yes","No")</f>
        <v>No</v>
      </c>
      <c r="P1312" s="1" t="str">
        <f>IF(OR(Employee__2[[#This Row],[Age]]&gt;=30,Employee__2[[#This Row],[Gender]]="Male"),"Mached","Not mached")</f>
        <v>Mached</v>
      </c>
    </row>
    <row r="1313" spans="4:16" x14ac:dyDescent="0.25">
      <c r="D1313" s="6" t="s">
        <v>34</v>
      </c>
      <c r="E1313">
        <v>2015</v>
      </c>
      <c r="F1313" s="6" t="s">
        <v>35</v>
      </c>
      <c r="G1313">
        <v>3</v>
      </c>
      <c r="H1313">
        <v>25</v>
      </c>
      <c r="I1313" s="6" t="s">
        <v>36</v>
      </c>
      <c r="J1313" s="6" t="s">
        <v>37</v>
      </c>
      <c r="K1313">
        <v>3</v>
      </c>
      <c r="M1313" s="1" t="b">
        <f>Employee__2[[#This Row],[Experience]]&gt;1</f>
        <v>1</v>
      </c>
      <c r="N1313" s="1" t="str">
        <f>IF(Employee__2[[#This Row],[City]]="Pune","Yes","No")</f>
        <v>No</v>
      </c>
      <c r="O1313" s="1" t="str">
        <f>IF(AND(Employee__2[[#This Row],[Education]]="Bachelors",Employee__2[[#This Row],[City]]="Pune"),"Yes","No")</f>
        <v>No</v>
      </c>
      <c r="P1313" s="1" t="str">
        <f>IF(OR(Employee__2[[#This Row],[Age]]&gt;=30,Employee__2[[#This Row],[Gender]]="Male"),"Mached","Not mached")</f>
        <v>Mached</v>
      </c>
    </row>
    <row r="1314" spans="4:16" x14ac:dyDescent="0.25">
      <c r="D1314" s="6" t="s">
        <v>34</v>
      </c>
      <c r="E1314">
        <v>2013</v>
      </c>
      <c r="F1314" s="6" t="s">
        <v>35</v>
      </c>
      <c r="G1314">
        <v>3</v>
      </c>
      <c r="H1314">
        <v>26</v>
      </c>
      <c r="I1314" s="6" t="s">
        <v>39</v>
      </c>
      <c r="J1314" s="6" t="s">
        <v>37</v>
      </c>
      <c r="K1314">
        <v>4</v>
      </c>
      <c r="M1314" s="1" t="b">
        <f>Employee__2[[#This Row],[Experience]]&gt;1</f>
        <v>1</v>
      </c>
      <c r="N1314" s="1" t="str">
        <f>IF(Employee__2[[#This Row],[City]]="Pune","Yes","No")</f>
        <v>No</v>
      </c>
      <c r="O1314" s="1" t="str">
        <f>IF(AND(Employee__2[[#This Row],[Education]]="Bachelors",Employee__2[[#This Row],[City]]="Pune"),"Yes","No")</f>
        <v>No</v>
      </c>
      <c r="P1314" s="1" t="str">
        <f>IF(OR(Employee__2[[#This Row],[Age]]&gt;=30,Employee__2[[#This Row],[Gender]]="Male"),"Mached","Not mached")</f>
        <v>Not mached</v>
      </c>
    </row>
    <row r="1315" spans="4:16" x14ac:dyDescent="0.25">
      <c r="D1315" s="6" t="s">
        <v>34</v>
      </c>
      <c r="E1315">
        <v>2017</v>
      </c>
      <c r="F1315" s="6" t="s">
        <v>38</v>
      </c>
      <c r="G1315">
        <v>3</v>
      </c>
      <c r="H1315">
        <v>25</v>
      </c>
      <c r="I1315" s="6" t="s">
        <v>39</v>
      </c>
      <c r="J1315" s="6" t="s">
        <v>37</v>
      </c>
      <c r="K1315">
        <v>3</v>
      </c>
      <c r="M1315" s="1" t="b">
        <f>Employee__2[[#This Row],[Experience]]&gt;1</f>
        <v>1</v>
      </c>
      <c r="N1315" s="1" t="str">
        <f>IF(Employee__2[[#This Row],[City]]="Pune","Yes","No")</f>
        <v>Yes</v>
      </c>
      <c r="O1315" s="1" t="str">
        <f>IF(AND(Employee__2[[#This Row],[Education]]="Bachelors",Employee__2[[#This Row],[City]]="Pune"),"Yes","No")</f>
        <v>Yes</v>
      </c>
      <c r="P1315" s="1" t="str">
        <f>IF(OR(Employee__2[[#This Row],[Age]]&gt;=30,Employee__2[[#This Row],[Gender]]="Male"),"Mached","Not mached")</f>
        <v>Not mached</v>
      </c>
    </row>
    <row r="1316" spans="4:16" x14ac:dyDescent="0.25">
      <c r="D1316" s="6" t="s">
        <v>34</v>
      </c>
      <c r="E1316">
        <v>2014</v>
      </c>
      <c r="F1316" s="6" t="s">
        <v>40</v>
      </c>
      <c r="G1316">
        <v>3</v>
      </c>
      <c r="H1316">
        <v>28</v>
      </c>
      <c r="I1316" s="6" t="s">
        <v>39</v>
      </c>
      <c r="J1316" s="6" t="s">
        <v>42</v>
      </c>
      <c r="K1316">
        <v>2</v>
      </c>
      <c r="M1316" s="1" t="b">
        <f>Employee__2[[#This Row],[Experience]]&gt;1</f>
        <v>1</v>
      </c>
      <c r="N1316" s="1" t="str">
        <f>IF(Employee__2[[#This Row],[City]]="Pune","Yes","No")</f>
        <v>No</v>
      </c>
      <c r="O1316" s="1" t="str">
        <f>IF(AND(Employee__2[[#This Row],[Education]]="Bachelors",Employee__2[[#This Row],[City]]="Pune"),"Yes","No")</f>
        <v>No</v>
      </c>
      <c r="P1316" s="1" t="str">
        <f>IF(OR(Employee__2[[#This Row],[Age]]&gt;=30,Employee__2[[#This Row],[Gender]]="Male"),"Mached","Not mached")</f>
        <v>Not mached</v>
      </c>
    </row>
    <row r="1317" spans="4:16" x14ac:dyDescent="0.25">
      <c r="D1317" s="6" t="s">
        <v>34</v>
      </c>
      <c r="E1317">
        <v>2016</v>
      </c>
      <c r="F1317" s="6" t="s">
        <v>35</v>
      </c>
      <c r="G1317">
        <v>3</v>
      </c>
      <c r="H1317">
        <v>27</v>
      </c>
      <c r="I1317" s="6" t="s">
        <v>39</v>
      </c>
      <c r="J1317" s="6" t="s">
        <v>37</v>
      </c>
      <c r="K1317">
        <v>5</v>
      </c>
      <c r="M1317" s="1" t="b">
        <f>Employee__2[[#This Row],[Experience]]&gt;1</f>
        <v>1</v>
      </c>
      <c r="N1317" s="1" t="str">
        <f>IF(Employee__2[[#This Row],[City]]="Pune","Yes","No")</f>
        <v>No</v>
      </c>
      <c r="O1317" s="1" t="str">
        <f>IF(AND(Employee__2[[#This Row],[Education]]="Bachelors",Employee__2[[#This Row],[City]]="Pune"),"Yes","No")</f>
        <v>No</v>
      </c>
      <c r="P1317" s="1" t="str">
        <f>IF(OR(Employee__2[[#This Row],[Age]]&gt;=30,Employee__2[[#This Row],[Gender]]="Male"),"Mached","Not mached")</f>
        <v>Not mached</v>
      </c>
    </row>
    <row r="1318" spans="4:16" x14ac:dyDescent="0.25">
      <c r="D1318" s="6" t="s">
        <v>34</v>
      </c>
      <c r="E1318">
        <v>2018</v>
      </c>
      <c r="F1318" s="6" t="s">
        <v>35</v>
      </c>
      <c r="G1318">
        <v>3</v>
      </c>
      <c r="H1318">
        <v>25</v>
      </c>
      <c r="I1318" s="6" t="s">
        <v>36</v>
      </c>
      <c r="J1318" s="6" t="s">
        <v>37</v>
      </c>
      <c r="K1318">
        <v>3</v>
      </c>
      <c r="M1318" s="1" t="b">
        <f>Employee__2[[#This Row],[Experience]]&gt;1</f>
        <v>1</v>
      </c>
      <c r="N1318" s="1" t="str">
        <f>IF(Employee__2[[#This Row],[City]]="Pune","Yes","No")</f>
        <v>No</v>
      </c>
      <c r="O1318" s="1" t="str">
        <f>IF(AND(Employee__2[[#This Row],[Education]]="Bachelors",Employee__2[[#This Row],[City]]="Pune"),"Yes","No")</f>
        <v>No</v>
      </c>
      <c r="P1318" s="1" t="str">
        <f>IF(OR(Employee__2[[#This Row],[Age]]&gt;=30,Employee__2[[#This Row],[Gender]]="Male"),"Mached","Not mached")</f>
        <v>Mached</v>
      </c>
    </row>
    <row r="1319" spans="4:16" x14ac:dyDescent="0.25">
      <c r="D1319" s="6" t="s">
        <v>34</v>
      </c>
      <c r="E1319">
        <v>2012</v>
      </c>
      <c r="F1319" s="6" t="s">
        <v>35</v>
      </c>
      <c r="G1319">
        <v>3</v>
      </c>
      <c r="H1319">
        <v>27</v>
      </c>
      <c r="I1319" s="6" t="s">
        <v>39</v>
      </c>
      <c r="J1319" s="6" t="s">
        <v>42</v>
      </c>
      <c r="K1319">
        <v>5</v>
      </c>
      <c r="M1319" s="1" t="b">
        <f>Employee__2[[#This Row],[Experience]]&gt;1</f>
        <v>1</v>
      </c>
      <c r="N1319" s="1" t="str">
        <f>IF(Employee__2[[#This Row],[City]]="Pune","Yes","No")</f>
        <v>No</v>
      </c>
      <c r="O1319" s="1" t="str">
        <f>IF(AND(Employee__2[[#This Row],[Education]]="Bachelors",Employee__2[[#This Row],[City]]="Pune"),"Yes","No")</f>
        <v>No</v>
      </c>
      <c r="P1319" s="1" t="str">
        <f>IF(OR(Employee__2[[#This Row],[Age]]&gt;=30,Employee__2[[#This Row],[Gender]]="Male"),"Mached","Not mached")</f>
        <v>Not mached</v>
      </c>
    </row>
    <row r="1320" spans="4:16" x14ac:dyDescent="0.25">
      <c r="D1320" s="6" t="s">
        <v>34</v>
      </c>
      <c r="E1320">
        <v>2017</v>
      </c>
      <c r="F1320" s="6" t="s">
        <v>40</v>
      </c>
      <c r="G1320">
        <v>3</v>
      </c>
      <c r="H1320">
        <v>27</v>
      </c>
      <c r="I1320" s="6" t="s">
        <v>39</v>
      </c>
      <c r="J1320" s="6" t="s">
        <v>37</v>
      </c>
      <c r="K1320">
        <v>5</v>
      </c>
      <c r="M1320" s="1" t="b">
        <f>Employee__2[[#This Row],[Experience]]&gt;1</f>
        <v>1</v>
      </c>
      <c r="N1320" s="1" t="str">
        <f>IF(Employee__2[[#This Row],[City]]="Pune","Yes","No")</f>
        <v>No</v>
      </c>
      <c r="O1320" s="1" t="str">
        <f>IF(AND(Employee__2[[#This Row],[Education]]="Bachelors",Employee__2[[#This Row],[City]]="Pune"),"Yes","No")</f>
        <v>No</v>
      </c>
      <c r="P1320" s="1" t="str">
        <f>IF(OR(Employee__2[[#This Row],[Age]]&gt;=30,Employee__2[[#This Row],[Gender]]="Male"),"Mached","Not mached")</f>
        <v>Not mached</v>
      </c>
    </row>
    <row r="1321" spans="4:16" x14ac:dyDescent="0.25">
      <c r="D1321" s="6" t="s">
        <v>34</v>
      </c>
      <c r="E1321">
        <v>2016</v>
      </c>
      <c r="F1321" s="6" t="s">
        <v>35</v>
      </c>
      <c r="G1321">
        <v>2</v>
      </c>
      <c r="H1321">
        <v>25</v>
      </c>
      <c r="I1321" s="6" t="s">
        <v>36</v>
      </c>
      <c r="J1321" s="6" t="s">
        <v>37</v>
      </c>
      <c r="K1321">
        <v>3</v>
      </c>
      <c r="M1321" s="1" t="b">
        <f>Employee__2[[#This Row],[Experience]]&gt;1</f>
        <v>1</v>
      </c>
      <c r="N1321" s="1" t="str">
        <f>IF(Employee__2[[#This Row],[City]]="Pune","Yes","No")</f>
        <v>No</v>
      </c>
      <c r="O1321" s="1" t="str">
        <f>IF(AND(Employee__2[[#This Row],[Education]]="Bachelors",Employee__2[[#This Row],[City]]="Pune"),"Yes","No")</f>
        <v>No</v>
      </c>
      <c r="P1321" s="1" t="str">
        <f>IF(OR(Employee__2[[#This Row],[Age]]&gt;=30,Employee__2[[#This Row],[Gender]]="Male"),"Mached","Not mached")</f>
        <v>Mached</v>
      </c>
    </row>
    <row r="1322" spans="4:16" x14ac:dyDescent="0.25">
      <c r="D1322" s="6" t="s">
        <v>34</v>
      </c>
      <c r="E1322">
        <v>2016</v>
      </c>
      <c r="F1322" s="6" t="s">
        <v>35</v>
      </c>
      <c r="G1322">
        <v>3</v>
      </c>
      <c r="H1322">
        <v>28</v>
      </c>
      <c r="I1322" s="6" t="s">
        <v>39</v>
      </c>
      <c r="J1322" s="6" t="s">
        <v>37</v>
      </c>
      <c r="K1322">
        <v>4</v>
      </c>
      <c r="M1322" s="1" t="b">
        <f>Employee__2[[#This Row],[Experience]]&gt;1</f>
        <v>1</v>
      </c>
      <c r="N1322" s="1" t="str">
        <f>IF(Employee__2[[#This Row],[City]]="Pune","Yes","No")</f>
        <v>No</v>
      </c>
      <c r="O1322" s="1" t="str">
        <f>IF(AND(Employee__2[[#This Row],[Education]]="Bachelors",Employee__2[[#This Row],[City]]="Pune"),"Yes","No")</f>
        <v>No</v>
      </c>
      <c r="P1322" s="1" t="str">
        <f>IF(OR(Employee__2[[#This Row],[Age]]&gt;=30,Employee__2[[#This Row],[Gender]]="Male"),"Mached","Not mached")</f>
        <v>Not mached</v>
      </c>
    </row>
    <row r="1323" spans="4:16" x14ac:dyDescent="0.25">
      <c r="D1323" s="6" t="s">
        <v>34</v>
      </c>
      <c r="E1323">
        <v>2017</v>
      </c>
      <c r="F1323" s="6" t="s">
        <v>40</v>
      </c>
      <c r="G1323">
        <v>2</v>
      </c>
      <c r="H1323">
        <v>27</v>
      </c>
      <c r="I1323" s="6" t="s">
        <v>36</v>
      </c>
      <c r="J1323" s="6" t="s">
        <v>37</v>
      </c>
      <c r="K1323">
        <v>5</v>
      </c>
      <c r="M1323" s="1" t="b">
        <f>Employee__2[[#This Row],[Experience]]&gt;1</f>
        <v>1</v>
      </c>
      <c r="N1323" s="1" t="str">
        <f>IF(Employee__2[[#This Row],[City]]="Pune","Yes","No")</f>
        <v>No</v>
      </c>
      <c r="O1323" s="1" t="str">
        <f>IF(AND(Employee__2[[#This Row],[Education]]="Bachelors",Employee__2[[#This Row],[City]]="Pune"),"Yes","No")</f>
        <v>No</v>
      </c>
      <c r="P1323" s="1" t="str">
        <f>IF(OR(Employee__2[[#This Row],[Age]]&gt;=30,Employee__2[[#This Row],[Gender]]="Male"),"Mached","Not mached")</f>
        <v>Mached</v>
      </c>
    </row>
    <row r="1324" spans="4:16" x14ac:dyDescent="0.25">
      <c r="D1324" s="6" t="s">
        <v>34</v>
      </c>
      <c r="E1324">
        <v>2016</v>
      </c>
      <c r="F1324" s="6" t="s">
        <v>35</v>
      </c>
      <c r="G1324">
        <v>3</v>
      </c>
      <c r="H1324">
        <v>24</v>
      </c>
      <c r="I1324" s="6" t="s">
        <v>39</v>
      </c>
      <c r="J1324" s="6" t="s">
        <v>37</v>
      </c>
      <c r="K1324">
        <v>2</v>
      </c>
      <c r="M1324" s="1" t="b">
        <f>Employee__2[[#This Row],[Experience]]&gt;1</f>
        <v>1</v>
      </c>
      <c r="N1324" s="1" t="str">
        <f>IF(Employee__2[[#This Row],[City]]="Pune","Yes","No")</f>
        <v>No</v>
      </c>
      <c r="O1324" s="1" t="str">
        <f>IF(AND(Employee__2[[#This Row],[Education]]="Bachelors",Employee__2[[#This Row],[City]]="Pune"),"Yes","No")</f>
        <v>No</v>
      </c>
      <c r="P1324" s="1" t="str">
        <f>IF(OR(Employee__2[[#This Row],[Age]]&gt;=30,Employee__2[[#This Row],[Gender]]="Male"),"Mached","Not mached")</f>
        <v>Not mached</v>
      </c>
    </row>
    <row r="1325" spans="4:16" x14ac:dyDescent="0.25">
      <c r="D1325" s="6" t="s">
        <v>34</v>
      </c>
      <c r="E1325">
        <v>2013</v>
      </c>
      <c r="F1325" s="6" t="s">
        <v>35</v>
      </c>
      <c r="G1325">
        <v>3</v>
      </c>
      <c r="H1325">
        <v>25</v>
      </c>
      <c r="I1325" s="6" t="s">
        <v>36</v>
      </c>
      <c r="J1325" s="6" t="s">
        <v>37</v>
      </c>
      <c r="K1325">
        <v>3</v>
      </c>
      <c r="M1325" s="1" t="b">
        <f>Employee__2[[#This Row],[Experience]]&gt;1</f>
        <v>1</v>
      </c>
      <c r="N1325" s="1" t="str">
        <f>IF(Employee__2[[#This Row],[City]]="Pune","Yes","No")</f>
        <v>No</v>
      </c>
      <c r="O1325" s="1" t="str">
        <f>IF(AND(Employee__2[[#This Row],[Education]]="Bachelors",Employee__2[[#This Row],[City]]="Pune"),"Yes","No")</f>
        <v>No</v>
      </c>
      <c r="P1325" s="1" t="str">
        <f>IF(OR(Employee__2[[#This Row],[Age]]&gt;=30,Employee__2[[#This Row],[Gender]]="Male"),"Mached","Not mached")</f>
        <v>Mached</v>
      </c>
    </row>
    <row r="1326" spans="4:16" x14ac:dyDescent="0.25">
      <c r="D1326" s="6" t="s">
        <v>34</v>
      </c>
      <c r="E1326">
        <v>2017</v>
      </c>
      <c r="F1326" s="6" t="s">
        <v>40</v>
      </c>
      <c r="G1326">
        <v>2</v>
      </c>
      <c r="H1326">
        <v>25</v>
      </c>
      <c r="I1326" s="6" t="s">
        <v>39</v>
      </c>
      <c r="J1326" s="6" t="s">
        <v>37</v>
      </c>
      <c r="K1326">
        <v>3</v>
      </c>
      <c r="M1326" s="1" t="b">
        <f>Employee__2[[#This Row],[Experience]]&gt;1</f>
        <v>1</v>
      </c>
      <c r="N1326" s="1" t="str">
        <f>IF(Employee__2[[#This Row],[City]]="Pune","Yes","No")</f>
        <v>No</v>
      </c>
      <c r="O1326" s="1" t="str">
        <f>IF(AND(Employee__2[[#This Row],[Education]]="Bachelors",Employee__2[[#This Row],[City]]="Pune"),"Yes","No")</f>
        <v>No</v>
      </c>
      <c r="P1326" s="1" t="str">
        <f>IF(OR(Employee__2[[#This Row],[Age]]&gt;=30,Employee__2[[#This Row],[Gender]]="Male"),"Mached","Not mached")</f>
        <v>Not mached</v>
      </c>
    </row>
    <row r="1327" spans="4:16" x14ac:dyDescent="0.25">
      <c r="D1327" s="6" t="s">
        <v>34</v>
      </c>
      <c r="E1327">
        <v>2015</v>
      </c>
      <c r="F1327" s="6" t="s">
        <v>38</v>
      </c>
      <c r="G1327">
        <v>3</v>
      </c>
      <c r="H1327">
        <v>24</v>
      </c>
      <c r="I1327" s="6" t="s">
        <v>36</v>
      </c>
      <c r="J1327" s="6" t="s">
        <v>37</v>
      </c>
      <c r="K1327">
        <v>2</v>
      </c>
      <c r="M1327" s="1" t="b">
        <f>Employee__2[[#This Row],[Experience]]&gt;1</f>
        <v>1</v>
      </c>
      <c r="N1327" s="1" t="str">
        <f>IF(Employee__2[[#This Row],[City]]="Pune","Yes","No")</f>
        <v>Yes</v>
      </c>
      <c r="O1327" s="1" t="str">
        <f>IF(AND(Employee__2[[#This Row],[Education]]="Bachelors",Employee__2[[#This Row],[City]]="Pune"),"Yes","No")</f>
        <v>Yes</v>
      </c>
      <c r="P1327" s="1" t="str">
        <f>IF(OR(Employee__2[[#This Row],[Age]]&gt;=30,Employee__2[[#This Row],[Gender]]="Male"),"Mached","Not mached")</f>
        <v>Mached</v>
      </c>
    </row>
    <row r="1328" spans="4:16" x14ac:dyDescent="0.25">
      <c r="D1328" s="6" t="s">
        <v>34</v>
      </c>
      <c r="E1328">
        <v>2012</v>
      </c>
      <c r="F1328" s="6" t="s">
        <v>40</v>
      </c>
      <c r="G1328">
        <v>3</v>
      </c>
      <c r="H1328">
        <v>25</v>
      </c>
      <c r="I1328" s="6" t="s">
        <v>39</v>
      </c>
      <c r="J1328" s="6" t="s">
        <v>37</v>
      </c>
      <c r="K1328">
        <v>3</v>
      </c>
      <c r="M1328" s="1" t="b">
        <f>Employee__2[[#This Row],[Experience]]&gt;1</f>
        <v>1</v>
      </c>
      <c r="N1328" s="1" t="str">
        <f>IF(Employee__2[[#This Row],[City]]="Pune","Yes","No")</f>
        <v>No</v>
      </c>
      <c r="O1328" s="1" t="str">
        <f>IF(AND(Employee__2[[#This Row],[Education]]="Bachelors",Employee__2[[#This Row],[City]]="Pune"),"Yes","No")</f>
        <v>No</v>
      </c>
      <c r="P1328" s="1" t="str">
        <f>IF(OR(Employee__2[[#This Row],[Age]]&gt;=30,Employee__2[[#This Row],[Gender]]="Male"),"Mached","Not mached")</f>
        <v>Not mached</v>
      </c>
    </row>
    <row r="1329" spans="4:16" x14ac:dyDescent="0.25">
      <c r="D1329" s="6" t="s">
        <v>43</v>
      </c>
      <c r="E1329">
        <v>2017</v>
      </c>
      <c r="F1329" s="6" t="s">
        <v>40</v>
      </c>
      <c r="G1329">
        <v>3</v>
      </c>
      <c r="H1329">
        <v>27</v>
      </c>
      <c r="I1329" s="6" t="s">
        <v>39</v>
      </c>
      <c r="J1329" s="6" t="s">
        <v>37</v>
      </c>
      <c r="K1329">
        <v>5</v>
      </c>
      <c r="M1329" s="1" t="b">
        <f>Employee__2[[#This Row],[Experience]]&gt;1</f>
        <v>1</v>
      </c>
      <c r="N1329" s="1" t="str">
        <f>IF(Employee__2[[#This Row],[City]]="Pune","Yes","No")</f>
        <v>No</v>
      </c>
      <c r="O1329" s="1" t="str">
        <f>IF(AND(Employee__2[[#This Row],[Education]]="Bachelors",Employee__2[[#This Row],[City]]="Pune"),"Yes","No")</f>
        <v>No</v>
      </c>
      <c r="P1329" s="1" t="str">
        <f>IF(OR(Employee__2[[#This Row],[Age]]&gt;=30,Employee__2[[#This Row],[Gender]]="Male"),"Mached","Not mached")</f>
        <v>Not mached</v>
      </c>
    </row>
    <row r="1330" spans="4:16" x14ac:dyDescent="0.25">
      <c r="D1330" s="6" t="s">
        <v>34</v>
      </c>
      <c r="E1330">
        <v>2014</v>
      </c>
      <c r="F1330" s="6" t="s">
        <v>35</v>
      </c>
      <c r="G1330">
        <v>3</v>
      </c>
      <c r="H1330">
        <v>25</v>
      </c>
      <c r="I1330" s="6" t="s">
        <v>39</v>
      </c>
      <c r="J1330" s="6" t="s">
        <v>37</v>
      </c>
      <c r="K1330">
        <v>3</v>
      </c>
      <c r="M1330" s="1" t="b">
        <f>Employee__2[[#This Row],[Experience]]&gt;1</f>
        <v>1</v>
      </c>
      <c r="N1330" s="1" t="str">
        <f>IF(Employee__2[[#This Row],[City]]="Pune","Yes","No")</f>
        <v>No</v>
      </c>
      <c r="O1330" s="1" t="str">
        <f>IF(AND(Employee__2[[#This Row],[Education]]="Bachelors",Employee__2[[#This Row],[City]]="Pune"),"Yes","No")</f>
        <v>No</v>
      </c>
      <c r="P1330" s="1" t="str">
        <f>IF(OR(Employee__2[[#This Row],[Age]]&gt;=30,Employee__2[[#This Row],[Gender]]="Male"),"Mached","Not mached")</f>
        <v>Not mached</v>
      </c>
    </row>
    <row r="1331" spans="4:16" x14ac:dyDescent="0.25">
      <c r="D1331" s="6" t="s">
        <v>41</v>
      </c>
      <c r="E1331">
        <v>2017</v>
      </c>
      <c r="F1331" s="6" t="s">
        <v>35</v>
      </c>
      <c r="G1331">
        <v>3</v>
      </c>
      <c r="H1331">
        <v>28</v>
      </c>
      <c r="I1331" s="6" t="s">
        <v>36</v>
      </c>
      <c r="J1331" s="6" t="s">
        <v>37</v>
      </c>
      <c r="K1331">
        <v>2</v>
      </c>
      <c r="M1331" s="1" t="b">
        <f>Employee__2[[#This Row],[Experience]]&gt;1</f>
        <v>1</v>
      </c>
      <c r="N1331" s="1" t="str">
        <f>IF(Employee__2[[#This Row],[City]]="Pune","Yes","No")</f>
        <v>No</v>
      </c>
      <c r="O1331" s="1" t="str">
        <f>IF(AND(Employee__2[[#This Row],[Education]]="Bachelors",Employee__2[[#This Row],[City]]="Pune"),"Yes","No")</f>
        <v>No</v>
      </c>
      <c r="P1331" s="1" t="str">
        <f>IF(OR(Employee__2[[#This Row],[Age]]&gt;=30,Employee__2[[#This Row],[Gender]]="Male"),"Mached","Not mached")</f>
        <v>Mached</v>
      </c>
    </row>
    <row r="1332" spans="4:16" x14ac:dyDescent="0.25">
      <c r="D1332" s="6" t="s">
        <v>34</v>
      </c>
      <c r="E1332">
        <v>2016</v>
      </c>
      <c r="F1332" s="6" t="s">
        <v>38</v>
      </c>
      <c r="G1332">
        <v>3</v>
      </c>
      <c r="H1332">
        <v>25</v>
      </c>
      <c r="I1332" s="6" t="s">
        <v>36</v>
      </c>
      <c r="J1332" s="6" t="s">
        <v>37</v>
      </c>
      <c r="K1332">
        <v>3</v>
      </c>
      <c r="M1332" s="1" t="b">
        <f>Employee__2[[#This Row],[Experience]]&gt;1</f>
        <v>1</v>
      </c>
      <c r="N1332" s="1" t="str">
        <f>IF(Employee__2[[#This Row],[City]]="Pune","Yes","No")</f>
        <v>Yes</v>
      </c>
      <c r="O1332" s="1" t="str">
        <f>IF(AND(Employee__2[[#This Row],[Education]]="Bachelors",Employee__2[[#This Row],[City]]="Pune"),"Yes","No")</f>
        <v>Yes</v>
      </c>
      <c r="P1332" s="1" t="str">
        <f>IF(OR(Employee__2[[#This Row],[Age]]&gt;=30,Employee__2[[#This Row],[Gender]]="Male"),"Mached","Not mached")</f>
        <v>Mached</v>
      </c>
    </row>
    <row r="1333" spans="4:16" x14ac:dyDescent="0.25">
      <c r="D1333" s="6" t="s">
        <v>34</v>
      </c>
      <c r="E1333">
        <v>2014</v>
      </c>
      <c r="F1333" s="6" t="s">
        <v>35</v>
      </c>
      <c r="G1333">
        <v>3</v>
      </c>
      <c r="H1333">
        <v>25</v>
      </c>
      <c r="I1333" s="6" t="s">
        <v>36</v>
      </c>
      <c r="J1333" s="6" t="s">
        <v>42</v>
      </c>
      <c r="K1333">
        <v>3</v>
      </c>
      <c r="M1333" s="1" t="b">
        <f>Employee__2[[#This Row],[Experience]]&gt;1</f>
        <v>1</v>
      </c>
      <c r="N1333" s="1" t="str">
        <f>IF(Employee__2[[#This Row],[City]]="Pune","Yes","No")</f>
        <v>No</v>
      </c>
      <c r="O1333" s="1" t="str">
        <f>IF(AND(Employee__2[[#This Row],[Education]]="Bachelors",Employee__2[[#This Row],[City]]="Pune"),"Yes","No")</f>
        <v>No</v>
      </c>
      <c r="P1333" s="1" t="str">
        <f>IF(OR(Employee__2[[#This Row],[Age]]&gt;=30,Employee__2[[#This Row],[Gender]]="Male"),"Mached","Not mached")</f>
        <v>Mached</v>
      </c>
    </row>
    <row r="1334" spans="4:16" x14ac:dyDescent="0.25">
      <c r="D1334" s="6" t="s">
        <v>34</v>
      </c>
      <c r="E1334">
        <v>2012</v>
      </c>
      <c r="F1334" s="6" t="s">
        <v>40</v>
      </c>
      <c r="G1334">
        <v>3</v>
      </c>
      <c r="H1334">
        <v>27</v>
      </c>
      <c r="I1334" s="6" t="s">
        <v>36</v>
      </c>
      <c r="J1334" s="6" t="s">
        <v>37</v>
      </c>
      <c r="K1334">
        <v>5</v>
      </c>
      <c r="M1334" s="1" t="b">
        <f>Employee__2[[#This Row],[Experience]]&gt;1</f>
        <v>1</v>
      </c>
      <c r="N1334" s="1" t="str">
        <f>IF(Employee__2[[#This Row],[City]]="Pune","Yes","No")</f>
        <v>No</v>
      </c>
      <c r="O1334" s="1" t="str">
        <f>IF(AND(Employee__2[[#This Row],[Education]]="Bachelors",Employee__2[[#This Row],[City]]="Pune"),"Yes","No")</f>
        <v>No</v>
      </c>
      <c r="P1334" s="1" t="str">
        <f>IF(OR(Employee__2[[#This Row],[Age]]&gt;=30,Employee__2[[#This Row],[Gender]]="Male"),"Mached","Not mached")</f>
        <v>Mached</v>
      </c>
    </row>
    <row r="1335" spans="4:16" x14ac:dyDescent="0.25">
      <c r="D1335" s="6" t="s">
        <v>34</v>
      </c>
      <c r="E1335">
        <v>2012</v>
      </c>
      <c r="F1335" s="6" t="s">
        <v>38</v>
      </c>
      <c r="G1335">
        <v>3</v>
      </c>
      <c r="H1335">
        <v>25</v>
      </c>
      <c r="I1335" s="6" t="s">
        <v>39</v>
      </c>
      <c r="J1335" s="6" t="s">
        <v>37</v>
      </c>
      <c r="K1335">
        <v>3</v>
      </c>
      <c r="M1335" s="1" t="b">
        <f>Employee__2[[#This Row],[Experience]]&gt;1</f>
        <v>1</v>
      </c>
      <c r="N1335" s="1" t="str">
        <f>IF(Employee__2[[#This Row],[City]]="Pune","Yes","No")</f>
        <v>Yes</v>
      </c>
      <c r="O1335" s="1" t="str">
        <f>IF(AND(Employee__2[[#This Row],[Education]]="Bachelors",Employee__2[[#This Row],[City]]="Pune"),"Yes","No")</f>
        <v>Yes</v>
      </c>
      <c r="P1335" s="1" t="str">
        <f>IF(OR(Employee__2[[#This Row],[Age]]&gt;=30,Employee__2[[#This Row],[Gender]]="Male"),"Mached","Not mached")</f>
        <v>Not mached</v>
      </c>
    </row>
    <row r="1336" spans="4:16" x14ac:dyDescent="0.25">
      <c r="D1336" s="6" t="s">
        <v>41</v>
      </c>
      <c r="E1336">
        <v>2015</v>
      </c>
      <c r="F1336" s="6" t="s">
        <v>40</v>
      </c>
      <c r="G1336">
        <v>3</v>
      </c>
      <c r="H1336">
        <v>27</v>
      </c>
      <c r="I1336" s="6" t="s">
        <v>39</v>
      </c>
      <c r="J1336" s="6" t="s">
        <v>37</v>
      </c>
      <c r="K1336">
        <v>5</v>
      </c>
      <c r="M1336" s="1" t="b">
        <f>Employee__2[[#This Row],[Experience]]&gt;1</f>
        <v>1</v>
      </c>
      <c r="N1336" s="1" t="str">
        <f>IF(Employee__2[[#This Row],[City]]="Pune","Yes","No")</f>
        <v>No</v>
      </c>
      <c r="O1336" s="1" t="str">
        <f>IF(AND(Employee__2[[#This Row],[Education]]="Bachelors",Employee__2[[#This Row],[City]]="Pune"),"Yes","No")</f>
        <v>No</v>
      </c>
      <c r="P1336" s="1" t="str">
        <f>IF(OR(Employee__2[[#This Row],[Age]]&gt;=30,Employee__2[[#This Row],[Gender]]="Male"),"Mached","Not mached")</f>
        <v>Not mached</v>
      </c>
    </row>
    <row r="1337" spans="4:16" x14ac:dyDescent="0.25">
      <c r="D1337" s="6" t="s">
        <v>34</v>
      </c>
      <c r="E1337">
        <v>2014</v>
      </c>
      <c r="F1337" s="6" t="s">
        <v>35</v>
      </c>
      <c r="G1337">
        <v>3</v>
      </c>
      <c r="H1337">
        <v>24</v>
      </c>
      <c r="I1337" s="6" t="s">
        <v>36</v>
      </c>
      <c r="J1337" s="6" t="s">
        <v>37</v>
      </c>
      <c r="K1337">
        <v>2</v>
      </c>
      <c r="M1337" s="1" t="b">
        <f>Employee__2[[#This Row],[Experience]]&gt;1</f>
        <v>1</v>
      </c>
      <c r="N1337" s="1" t="str">
        <f>IF(Employee__2[[#This Row],[City]]="Pune","Yes","No")</f>
        <v>No</v>
      </c>
      <c r="O1337" s="1" t="str">
        <f>IF(AND(Employee__2[[#This Row],[Education]]="Bachelors",Employee__2[[#This Row],[City]]="Pune"),"Yes","No")</f>
        <v>No</v>
      </c>
      <c r="P1337" s="1" t="str">
        <f>IF(OR(Employee__2[[#This Row],[Age]]&gt;=30,Employee__2[[#This Row],[Gender]]="Male"),"Mached","Not mached")</f>
        <v>Mached</v>
      </c>
    </row>
    <row r="1338" spans="4:16" x14ac:dyDescent="0.25">
      <c r="D1338" s="6" t="s">
        <v>34</v>
      </c>
      <c r="E1338">
        <v>2015</v>
      </c>
      <c r="F1338" s="6" t="s">
        <v>38</v>
      </c>
      <c r="G1338">
        <v>2</v>
      </c>
      <c r="H1338">
        <v>27</v>
      </c>
      <c r="I1338" s="6" t="s">
        <v>39</v>
      </c>
      <c r="J1338" s="6" t="s">
        <v>37</v>
      </c>
      <c r="K1338">
        <v>5</v>
      </c>
      <c r="M1338" s="1" t="b">
        <f>Employee__2[[#This Row],[Experience]]&gt;1</f>
        <v>1</v>
      </c>
      <c r="N1338" s="1" t="str">
        <f>IF(Employee__2[[#This Row],[City]]="Pune","Yes","No")</f>
        <v>Yes</v>
      </c>
      <c r="O1338" s="1" t="str">
        <f>IF(AND(Employee__2[[#This Row],[Education]]="Bachelors",Employee__2[[#This Row],[City]]="Pune"),"Yes","No")</f>
        <v>Yes</v>
      </c>
      <c r="P1338" s="1" t="str">
        <f>IF(OR(Employee__2[[#This Row],[Age]]&gt;=30,Employee__2[[#This Row],[Gender]]="Male"),"Mached","Not mached")</f>
        <v>Not mached</v>
      </c>
    </row>
    <row r="1339" spans="4:16" x14ac:dyDescent="0.25">
      <c r="D1339" s="6" t="s">
        <v>34</v>
      </c>
      <c r="E1339">
        <v>2014</v>
      </c>
      <c r="F1339" s="6" t="s">
        <v>35</v>
      </c>
      <c r="G1339">
        <v>3</v>
      </c>
      <c r="H1339">
        <v>25</v>
      </c>
      <c r="I1339" s="6" t="s">
        <v>36</v>
      </c>
      <c r="J1339" s="6" t="s">
        <v>37</v>
      </c>
      <c r="K1339">
        <v>3</v>
      </c>
      <c r="M1339" s="1" t="b">
        <f>Employee__2[[#This Row],[Experience]]&gt;1</f>
        <v>1</v>
      </c>
      <c r="N1339" s="1" t="str">
        <f>IF(Employee__2[[#This Row],[City]]="Pune","Yes","No")</f>
        <v>No</v>
      </c>
      <c r="O1339" s="1" t="str">
        <f>IF(AND(Employee__2[[#This Row],[Education]]="Bachelors",Employee__2[[#This Row],[City]]="Pune"),"Yes","No")</f>
        <v>No</v>
      </c>
      <c r="P1339" s="1" t="str">
        <f>IF(OR(Employee__2[[#This Row],[Age]]&gt;=30,Employee__2[[#This Row],[Gender]]="Male"),"Mached","Not mached")</f>
        <v>Mached</v>
      </c>
    </row>
    <row r="1340" spans="4:16" x14ac:dyDescent="0.25">
      <c r="D1340" s="6" t="s">
        <v>34</v>
      </c>
      <c r="E1340">
        <v>2015</v>
      </c>
      <c r="F1340" s="6" t="s">
        <v>35</v>
      </c>
      <c r="G1340">
        <v>3</v>
      </c>
      <c r="H1340">
        <v>25</v>
      </c>
      <c r="I1340" s="6" t="s">
        <v>36</v>
      </c>
      <c r="J1340" s="6" t="s">
        <v>37</v>
      </c>
      <c r="K1340">
        <v>3</v>
      </c>
      <c r="M1340" s="1" t="b">
        <f>Employee__2[[#This Row],[Experience]]&gt;1</f>
        <v>1</v>
      </c>
      <c r="N1340" s="1" t="str">
        <f>IF(Employee__2[[#This Row],[City]]="Pune","Yes","No")</f>
        <v>No</v>
      </c>
      <c r="O1340" s="1" t="str">
        <f>IF(AND(Employee__2[[#This Row],[Education]]="Bachelors",Employee__2[[#This Row],[City]]="Pune"),"Yes","No")</f>
        <v>No</v>
      </c>
      <c r="P1340" s="1" t="str">
        <f>IF(OR(Employee__2[[#This Row],[Age]]&gt;=30,Employee__2[[#This Row],[Gender]]="Male"),"Mached","Not mached")</f>
        <v>Mached</v>
      </c>
    </row>
    <row r="1341" spans="4:16" x14ac:dyDescent="0.25">
      <c r="D1341" s="6" t="s">
        <v>34</v>
      </c>
      <c r="E1341">
        <v>2018</v>
      </c>
      <c r="F1341" s="6" t="s">
        <v>40</v>
      </c>
      <c r="G1341">
        <v>3</v>
      </c>
      <c r="H1341">
        <v>26</v>
      </c>
      <c r="I1341" s="6" t="s">
        <v>39</v>
      </c>
      <c r="J1341" s="6" t="s">
        <v>37</v>
      </c>
      <c r="K1341">
        <v>4</v>
      </c>
      <c r="M1341" s="1" t="b">
        <f>Employee__2[[#This Row],[Experience]]&gt;1</f>
        <v>1</v>
      </c>
      <c r="N1341" s="1" t="str">
        <f>IF(Employee__2[[#This Row],[City]]="Pune","Yes","No")</f>
        <v>No</v>
      </c>
      <c r="O1341" s="1" t="str">
        <f>IF(AND(Employee__2[[#This Row],[Education]]="Bachelors",Employee__2[[#This Row],[City]]="Pune"),"Yes","No")</f>
        <v>No</v>
      </c>
      <c r="P1341" s="1" t="str">
        <f>IF(OR(Employee__2[[#This Row],[Age]]&gt;=30,Employee__2[[#This Row],[Gender]]="Male"),"Mached","Not mached")</f>
        <v>Not mached</v>
      </c>
    </row>
    <row r="1342" spans="4:16" x14ac:dyDescent="0.25">
      <c r="D1342" s="6" t="s">
        <v>34</v>
      </c>
      <c r="E1342">
        <v>2017</v>
      </c>
      <c r="F1342" s="6" t="s">
        <v>38</v>
      </c>
      <c r="G1342">
        <v>2</v>
      </c>
      <c r="H1342">
        <v>26</v>
      </c>
      <c r="I1342" s="6" t="s">
        <v>39</v>
      </c>
      <c r="J1342" s="6" t="s">
        <v>37</v>
      </c>
      <c r="K1342">
        <v>4</v>
      </c>
      <c r="M1342" s="1" t="b">
        <f>Employee__2[[#This Row],[Experience]]&gt;1</f>
        <v>1</v>
      </c>
      <c r="N1342" s="1" t="str">
        <f>IF(Employee__2[[#This Row],[City]]="Pune","Yes","No")</f>
        <v>Yes</v>
      </c>
      <c r="O1342" s="1" t="str">
        <f>IF(AND(Employee__2[[#This Row],[Education]]="Bachelors",Employee__2[[#This Row],[City]]="Pune"),"Yes","No")</f>
        <v>Yes</v>
      </c>
      <c r="P1342" s="1" t="str">
        <f>IF(OR(Employee__2[[#This Row],[Age]]&gt;=30,Employee__2[[#This Row],[Gender]]="Male"),"Mached","Not mached")</f>
        <v>Not mached</v>
      </c>
    </row>
    <row r="1343" spans="4:16" x14ac:dyDescent="0.25">
      <c r="D1343" s="6" t="s">
        <v>34</v>
      </c>
      <c r="E1343">
        <v>2014</v>
      </c>
      <c r="F1343" s="6" t="s">
        <v>38</v>
      </c>
      <c r="G1343">
        <v>2</v>
      </c>
      <c r="H1343">
        <v>24</v>
      </c>
      <c r="I1343" s="6" t="s">
        <v>39</v>
      </c>
      <c r="J1343" s="6" t="s">
        <v>37</v>
      </c>
      <c r="K1343">
        <v>2</v>
      </c>
      <c r="M1343" s="1" t="b">
        <f>Employee__2[[#This Row],[Experience]]&gt;1</f>
        <v>1</v>
      </c>
      <c r="N1343" s="1" t="str">
        <f>IF(Employee__2[[#This Row],[City]]="Pune","Yes","No")</f>
        <v>Yes</v>
      </c>
      <c r="O1343" s="1" t="str">
        <f>IF(AND(Employee__2[[#This Row],[Education]]="Bachelors",Employee__2[[#This Row],[City]]="Pune"),"Yes","No")</f>
        <v>Yes</v>
      </c>
      <c r="P1343" s="1" t="str">
        <f>IF(OR(Employee__2[[#This Row],[Age]]&gt;=30,Employee__2[[#This Row],[Gender]]="Male"),"Mached","Not mached")</f>
        <v>Not mached</v>
      </c>
    </row>
    <row r="1344" spans="4:16" x14ac:dyDescent="0.25">
      <c r="D1344" s="6" t="s">
        <v>34</v>
      </c>
      <c r="E1344">
        <v>2013</v>
      </c>
      <c r="F1344" s="6" t="s">
        <v>35</v>
      </c>
      <c r="G1344">
        <v>3</v>
      </c>
      <c r="H1344">
        <v>27</v>
      </c>
      <c r="I1344" s="6" t="s">
        <v>36</v>
      </c>
      <c r="J1344" s="6" t="s">
        <v>37</v>
      </c>
      <c r="K1344">
        <v>5</v>
      </c>
      <c r="M1344" s="1" t="b">
        <f>Employee__2[[#This Row],[Experience]]&gt;1</f>
        <v>1</v>
      </c>
      <c r="N1344" s="1" t="str">
        <f>IF(Employee__2[[#This Row],[City]]="Pune","Yes","No")</f>
        <v>No</v>
      </c>
      <c r="O1344" s="1" t="str">
        <f>IF(AND(Employee__2[[#This Row],[Education]]="Bachelors",Employee__2[[#This Row],[City]]="Pune"),"Yes","No")</f>
        <v>No</v>
      </c>
      <c r="P1344" s="1" t="str">
        <f>IF(OR(Employee__2[[#This Row],[Age]]&gt;=30,Employee__2[[#This Row],[Gender]]="Male"),"Mached","Not mached")</f>
        <v>Mached</v>
      </c>
    </row>
    <row r="1345" spans="4:16" x14ac:dyDescent="0.25">
      <c r="D1345" s="6" t="s">
        <v>34</v>
      </c>
      <c r="E1345">
        <v>2017</v>
      </c>
      <c r="F1345" s="6" t="s">
        <v>40</v>
      </c>
      <c r="G1345">
        <v>2</v>
      </c>
      <c r="H1345">
        <v>27</v>
      </c>
      <c r="I1345" s="6" t="s">
        <v>36</v>
      </c>
      <c r="J1345" s="6" t="s">
        <v>37</v>
      </c>
      <c r="K1345">
        <v>5</v>
      </c>
      <c r="M1345" s="1" t="b">
        <f>Employee__2[[#This Row],[Experience]]&gt;1</f>
        <v>1</v>
      </c>
      <c r="N1345" s="1" t="str">
        <f>IF(Employee__2[[#This Row],[City]]="Pune","Yes","No")</f>
        <v>No</v>
      </c>
      <c r="O1345" s="1" t="str">
        <f>IF(AND(Employee__2[[#This Row],[Education]]="Bachelors",Employee__2[[#This Row],[City]]="Pune"),"Yes","No")</f>
        <v>No</v>
      </c>
      <c r="P1345" s="1" t="str">
        <f>IF(OR(Employee__2[[#This Row],[Age]]&gt;=30,Employee__2[[#This Row],[Gender]]="Male"),"Mached","Not mached")</f>
        <v>Mached</v>
      </c>
    </row>
    <row r="1346" spans="4:16" x14ac:dyDescent="0.25">
      <c r="D1346" s="6" t="s">
        <v>43</v>
      </c>
      <c r="E1346">
        <v>2012</v>
      </c>
      <c r="F1346" s="6" t="s">
        <v>40</v>
      </c>
      <c r="G1346">
        <v>3</v>
      </c>
      <c r="H1346">
        <v>28</v>
      </c>
      <c r="I1346" s="6" t="s">
        <v>39</v>
      </c>
      <c r="J1346" s="6" t="s">
        <v>37</v>
      </c>
      <c r="K1346">
        <v>1</v>
      </c>
      <c r="M1346" s="1" t="b">
        <f>Employee__2[[#This Row],[Experience]]&gt;1</f>
        <v>0</v>
      </c>
      <c r="N1346" s="1" t="str">
        <f>IF(Employee__2[[#This Row],[City]]="Pune","Yes","No")</f>
        <v>No</v>
      </c>
      <c r="O1346" s="1" t="str">
        <f>IF(AND(Employee__2[[#This Row],[Education]]="Bachelors",Employee__2[[#This Row],[City]]="Pune"),"Yes","No")</f>
        <v>No</v>
      </c>
      <c r="P1346" s="1" t="str">
        <f>IF(OR(Employee__2[[#This Row],[Age]]&gt;=30,Employee__2[[#This Row],[Gender]]="Male"),"Mached","Not mached")</f>
        <v>Not mached</v>
      </c>
    </row>
    <row r="1347" spans="4:16" x14ac:dyDescent="0.25">
      <c r="D1347" s="6" t="s">
        <v>41</v>
      </c>
      <c r="E1347">
        <v>2012</v>
      </c>
      <c r="F1347" s="6" t="s">
        <v>40</v>
      </c>
      <c r="G1347">
        <v>3</v>
      </c>
      <c r="H1347">
        <v>26</v>
      </c>
      <c r="I1347" s="6" t="s">
        <v>39</v>
      </c>
      <c r="J1347" s="6" t="s">
        <v>37</v>
      </c>
      <c r="K1347">
        <v>4</v>
      </c>
      <c r="M1347" s="1" t="b">
        <f>Employee__2[[#This Row],[Experience]]&gt;1</f>
        <v>1</v>
      </c>
      <c r="N1347" s="1" t="str">
        <f>IF(Employee__2[[#This Row],[City]]="Pune","Yes","No")</f>
        <v>No</v>
      </c>
      <c r="O1347" s="1" t="str">
        <f>IF(AND(Employee__2[[#This Row],[Education]]="Bachelors",Employee__2[[#This Row],[City]]="Pune"),"Yes","No")</f>
        <v>No</v>
      </c>
      <c r="P1347" s="1" t="str">
        <f>IF(OR(Employee__2[[#This Row],[Age]]&gt;=30,Employee__2[[#This Row],[Gender]]="Male"),"Mached","Not mached")</f>
        <v>Not mached</v>
      </c>
    </row>
    <row r="1348" spans="4:16" x14ac:dyDescent="0.25">
      <c r="D1348" s="6" t="s">
        <v>34</v>
      </c>
      <c r="E1348">
        <v>2014</v>
      </c>
      <c r="F1348" s="6" t="s">
        <v>35</v>
      </c>
      <c r="G1348">
        <v>3</v>
      </c>
      <c r="H1348">
        <v>27</v>
      </c>
      <c r="I1348" s="6" t="s">
        <v>36</v>
      </c>
      <c r="J1348" s="6" t="s">
        <v>37</v>
      </c>
      <c r="K1348">
        <v>5</v>
      </c>
      <c r="M1348" s="1" t="b">
        <f>Employee__2[[#This Row],[Experience]]&gt;1</f>
        <v>1</v>
      </c>
      <c r="N1348" s="1" t="str">
        <f>IF(Employee__2[[#This Row],[City]]="Pune","Yes","No")</f>
        <v>No</v>
      </c>
      <c r="O1348" s="1" t="str">
        <f>IF(AND(Employee__2[[#This Row],[Education]]="Bachelors",Employee__2[[#This Row],[City]]="Pune"),"Yes","No")</f>
        <v>No</v>
      </c>
      <c r="P1348" s="1" t="str">
        <f>IF(OR(Employee__2[[#This Row],[Age]]&gt;=30,Employee__2[[#This Row],[Gender]]="Male"),"Mached","Not mached")</f>
        <v>Mached</v>
      </c>
    </row>
    <row r="1349" spans="4:16" x14ac:dyDescent="0.25">
      <c r="D1349" s="6" t="s">
        <v>34</v>
      </c>
      <c r="E1349">
        <v>2013</v>
      </c>
      <c r="F1349" s="6" t="s">
        <v>35</v>
      </c>
      <c r="G1349">
        <v>3</v>
      </c>
      <c r="H1349">
        <v>28</v>
      </c>
      <c r="I1349" s="6" t="s">
        <v>39</v>
      </c>
      <c r="J1349" s="6" t="s">
        <v>37</v>
      </c>
      <c r="K1349">
        <v>0</v>
      </c>
      <c r="M1349" s="1" t="b">
        <f>Employee__2[[#This Row],[Experience]]&gt;1</f>
        <v>0</v>
      </c>
      <c r="N1349" s="1" t="str">
        <f>IF(Employee__2[[#This Row],[City]]="Pune","Yes","No")</f>
        <v>No</v>
      </c>
      <c r="O1349" s="1" t="str">
        <f>IF(AND(Employee__2[[#This Row],[Education]]="Bachelors",Employee__2[[#This Row],[City]]="Pune"),"Yes","No")</f>
        <v>No</v>
      </c>
      <c r="P1349" s="1" t="str">
        <f>IF(OR(Employee__2[[#This Row],[Age]]&gt;=30,Employee__2[[#This Row],[Gender]]="Male"),"Mached","Not mached")</f>
        <v>Not mached</v>
      </c>
    </row>
    <row r="1350" spans="4:16" x14ac:dyDescent="0.25">
      <c r="D1350" s="6" t="s">
        <v>34</v>
      </c>
      <c r="E1350">
        <v>2014</v>
      </c>
      <c r="F1350" s="6" t="s">
        <v>38</v>
      </c>
      <c r="G1350">
        <v>3</v>
      </c>
      <c r="H1350">
        <v>26</v>
      </c>
      <c r="I1350" s="6" t="s">
        <v>36</v>
      </c>
      <c r="J1350" s="6" t="s">
        <v>37</v>
      </c>
      <c r="K1350">
        <v>4</v>
      </c>
      <c r="M1350" s="1" t="b">
        <f>Employee__2[[#This Row],[Experience]]&gt;1</f>
        <v>1</v>
      </c>
      <c r="N1350" s="1" t="str">
        <f>IF(Employee__2[[#This Row],[City]]="Pune","Yes","No")</f>
        <v>Yes</v>
      </c>
      <c r="O1350" s="1" t="str">
        <f>IF(AND(Employee__2[[#This Row],[Education]]="Bachelors",Employee__2[[#This Row],[City]]="Pune"),"Yes","No")</f>
        <v>Yes</v>
      </c>
      <c r="P1350" s="1" t="str">
        <f>IF(OR(Employee__2[[#This Row],[Age]]&gt;=30,Employee__2[[#This Row],[Gender]]="Male"),"Mached","Not mached")</f>
        <v>Mached</v>
      </c>
    </row>
    <row r="1351" spans="4:16" x14ac:dyDescent="0.25">
      <c r="D1351" s="6" t="s">
        <v>34</v>
      </c>
      <c r="E1351">
        <v>2016</v>
      </c>
      <c r="F1351" s="6" t="s">
        <v>38</v>
      </c>
      <c r="G1351">
        <v>2</v>
      </c>
      <c r="H1351">
        <v>24</v>
      </c>
      <c r="I1351" s="6" t="s">
        <v>39</v>
      </c>
      <c r="J1351" s="6" t="s">
        <v>37</v>
      </c>
      <c r="K1351">
        <v>2</v>
      </c>
      <c r="M1351" s="1" t="b">
        <f>Employee__2[[#This Row],[Experience]]&gt;1</f>
        <v>1</v>
      </c>
      <c r="N1351" s="1" t="str">
        <f>IF(Employee__2[[#This Row],[City]]="Pune","Yes","No")</f>
        <v>Yes</v>
      </c>
      <c r="O1351" s="1" t="str">
        <f>IF(AND(Employee__2[[#This Row],[Education]]="Bachelors",Employee__2[[#This Row],[City]]="Pune"),"Yes","No")</f>
        <v>Yes</v>
      </c>
      <c r="P1351" s="1" t="str">
        <f>IF(OR(Employee__2[[#This Row],[Age]]&gt;=30,Employee__2[[#This Row],[Gender]]="Male"),"Mached","Not mached")</f>
        <v>Not mached</v>
      </c>
    </row>
    <row r="1352" spans="4:16" x14ac:dyDescent="0.25">
      <c r="D1352" s="6" t="s">
        <v>34</v>
      </c>
      <c r="E1352">
        <v>2015</v>
      </c>
      <c r="F1352" s="6" t="s">
        <v>35</v>
      </c>
      <c r="G1352">
        <v>1</v>
      </c>
      <c r="H1352">
        <v>24</v>
      </c>
      <c r="I1352" s="6" t="s">
        <v>39</v>
      </c>
      <c r="J1352" s="6" t="s">
        <v>37</v>
      </c>
      <c r="K1352">
        <v>2</v>
      </c>
      <c r="M1352" s="1" t="b">
        <f>Employee__2[[#This Row],[Experience]]&gt;1</f>
        <v>1</v>
      </c>
      <c r="N1352" s="1" t="str">
        <f>IF(Employee__2[[#This Row],[City]]="Pune","Yes","No")</f>
        <v>No</v>
      </c>
      <c r="O1352" s="1" t="str">
        <f>IF(AND(Employee__2[[#This Row],[Education]]="Bachelors",Employee__2[[#This Row],[City]]="Pune"),"Yes","No")</f>
        <v>No</v>
      </c>
      <c r="P1352" s="1" t="str">
        <f>IF(OR(Employee__2[[#This Row],[Age]]&gt;=30,Employee__2[[#This Row],[Gender]]="Male"),"Mached","Not mached")</f>
        <v>Not mached</v>
      </c>
    </row>
    <row r="1353" spans="4:16" x14ac:dyDescent="0.25">
      <c r="D1353" s="6" t="s">
        <v>34</v>
      </c>
      <c r="E1353">
        <v>2012</v>
      </c>
      <c r="F1353" s="6" t="s">
        <v>35</v>
      </c>
      <c r="G1353">
        <v>3</v>
      </c>
      <c r="H1353">
        <v>26</v>
      </c>
      <c r="I1353" s="6" t="s">
        <v>39</v>
      </c>
      <c r="J1353" s="6" t="s">
        <v>37</v>
      </c>
      <c r="K1353">
        <v>4</v>
      </c>
      <c r="M1353" s="1" t="b">
        <f>Employee__2[[#This Row],[Experience]]&gt;1</f>
        <v>1</v>
      </c>
      <c r="N1353" s="1" t="str">
        <f>IF(Employee__2[[#This Row],[City]]="Pune","Yes","No")</f>
        <v>No</v>
      </c>
      <c r="O1353" s="1" t="str">
        <f>IF(AND(Employee__2[[#This Row],[Education]]="Bachelors",Employee__2[[#This Row],[City]]="Pune"),"Yes","No")</f>
        <v>No</v>
      </c>
      <c r="P1353" s="1" t="str">
        <f>IF(OR(Employee__2[[#This Row],[Age]]&gt;=30,Employee__2[[#This Row],[Gender]]="Male"),"Mached","Not mached")</f>
        <v>Not mached</v>
      </c>
    </row>
    <row r="1354" spans="4:16" x14ac:dyDescent="0.25">
      <c r="D1354" s="6" t="s">
        <v>41</v>
      </c>
      <c r="E1354">
        <v>2014</v>
      </c>
      <c r="F1354" s="6" t="s">
        <v>38</v>
      </c>
      <c r="G1354">
        <v>3</v>
      </c>
      <c r="H1354">
        <v>27</v>
      </c>
      <c r="I1354" s="6" t="s">
        <v>36</v>
      </c>
      <c r="J1354" s="6" t="s">
        <v>37</v>
      </c>
      <c r="K1354">
        <v>5</v>
      </c>
      <c r="M1354" s="1" t="b">
        <f>Employee__2[[#This Row],[Experience]]&gt;1</f>
        <v>1</v>
      </c>
      <c r="N1354" s="1" t="str">
        <f>IF(Employee__2[[#This Row],[City]]="Pune","Yes","No")</f>
        <v>Yes</v>
      </c>
      <c r="O1354" s="1" t="str">
        <f>IF(AND(Employee__2[[#This Row],[Education]]="Bachelors",Employee__2[[#This Row],[City]]="Pune"),"Yes","No")</f>
        <v>No</v>
      </c>
      <c r="P1354" s="1" t="str">
        <f>IF(OR(Employee__2[[#This Row],[Age]]&gt;=30,Employee__2[[#This Row],[Gender]]="Male"),"Mached","Not mached")</f>
        <v>Mached</v>
      </c>
    </row>
    <row r="1355" spans="4:16" x14ac:dyDescent="0.25">
      <c r="D1355" s="6" t="s">
        <v>41</v>
      </c>
      <c r="E1355">
        <v>2017</v>
      </c>
      <c r="F1355" s="6" t="s">
        <v>40</v>
      </c>
      <c r="G1355">
        <v>2</v>
      </c>
      <c r="H1355">
        <v>27</v>
      </c>
      <c r="I1355" s="6" t="s">
        <v>36</v>
      </c>
      <c r="J1355" s="6" t="s">
        <v>37</v>
      </c>
      <c r="K1355">
        <v>5</v>
      </c>
      <c r="M1355" s="1" t="b">
        <f>Employee__2[[#This Row],[Experience]]&gt;1</f>
        <v>1</v>
      </c>
      <c r="N1355" s="1" t="str">
        <f>IF(Employee__2[[#This Row],[City]]="Pune","Yes","No")</f>
        <v>No</v>
      </c>
      <c r="O1355" s="1" t="str">
        <f>IF(AND(Employee__2[[#This Row],[Education]]="Bachelors",Employee__2[[#This Row],[City]]="Pune"),"Yes","No")</f>
        <v>No</v>
      </c>
      <c r="P1355" s="1" t="str">
        <f>IF(OR(Employee__2[[#This Row],[Age]]&gt;=30,Employee__2[[#This Row],[Gender]]="Male"),"Mached","Not mached")</f>
        <v>Mached</v>
      </c>
    </row>
    <row r="1356" spans="4:16" x14ac:dyDescent="0.25">
      <c r="D1356" s="6" t="s">
        <v>41</v>
      </c>
      <c r="E1356">
        <v>2017</v>
      </c>
      <c r="F1356" s="6" t="s">
        <v>40</v>
      </c>
      <c r="G1356">
        <v>1</v>
      </c>
      <c r="H1356">
        <v>25</v>
      </c>
      <c r="I1356" s="6" t="s">
        <v>39</v>
      </c>
      <c r="J1356" s="6" t="s">
        <v>37</v>
      </c>
      <c r="K1356">
        <v>3</v>
      </c>
      <c r="M1356" s="1" t="b">
        <f>Employee__2[[#This Row],[Experience]]&gt;1</f>
        <v>1</v>
      </c>
      <c r="N1356" s="1" t="str">
        <f>IF(Employee__2[[#This Row],[City]]="Pune","Yes","No")</f>
        <v>No</v>
      </c>
      <c r="O1356" s="1" t="str">
        <f>IF(AND(Employee__2[[#This Row],[Education]]="Bachelors",Employee__2[[#This Row],[City]]="Pune"),"Yes","No")</f>
        <v>No</v>
      </c>
      <c r="P1356" s="1" t="str">
        <f>IF(OR(Employee__2[[#This Row],[Age]]&gt;=30,Employee__2[[#This Row],[Gender]]="Male"),"Mached","Not mached")</f>
        <v>Not mached</v>
      </c>
    </row>
    <row r="1357" spans="4:16" x14ac:dyDescent="0.25">
      <c r="D1357" s="6" t="s">
        <v>41</v>
      </c>
      <c r="E1357">
        <v>2012</v>
      </c>
      <c r="F1357" s="6" t="s">
        <v>38</v>
      </c>
      <c r="G1357">
        <v>3</v>
      </c>
      <c r="H1357">
        <v>28</v>
      </c>
      <c r="I1357" s="6" t="s">
        <v>36</v>
      </c>
      <c r="J1357" s="6" t="s">
        <v>37</v>
      </c>
      <c r="K1357">
        <v>0</v>
      </c>
      <c r="M1357" s="1" t="b">
        <f>Employee__2[[#This Row],[Experience]]&gt;1</f>
        <v>0</v>
      </c>
      <c r="N1357" s="1" t="str">
        <f>IF(Employee__2[[#This Row],[City]]="Pune","Yes","No")</f>
        <v>Yes</v>
      </c>
      <c r="O1357" s="1" t="str">
        <f>IF(AND(Employee__2[[#This Row],[Education]]="Bachelors",Employee__2[[#This Row],[City]]="Pune"),"Yes","No")</f>
        <v>No</v>
      </c>
      <c r="P1357" s="1" t="str">
        <f>IF(OR(Employee__2[[#This Row],[Age]]&gt;=30,Employee__2[[#This Row],[Gender]]="Male"),"Mached","Not mached")</f>
        <v>Mached</v>
      </c>
    </row>
    <row r="1358" spans="4:16" x14ac:dyDescent="0.25">
      <c r="D1358" s="6" t="s">
        <v>41</v>
      </c>
      <c r="E1358">
        <v>2012</v>
      </c>
      <c r="F1358" s="6" t="s">
        <v>40</v>
      </c>
      <c r="G1358">
        <v>3</v>
      </c>
      <c r="H1358">
        <v>28</v>
      </c>
      <c r="I1358" s="6" t="s">
        <v>36</v>
      </c>
      <c r="J1358" s="6" t="s">
        <v>37</v>
      </c>
      <c r="K1358">
        <v>2</v>
      </c>
      <c r="M1358" s="1" t="b">
        <f>Employee__2[[#This Row],[Experience]]&gt;1</f>
        <v>1</v>
      </c>
      <c r="N1358" s="1" t="str">
        <f>IF(Employee__2[[#This Row],[City]]="Pune","Yes","No")</f>
        <v>No</v>
      </c>
      <c r="O1358" s="1" t="str">
        <f>IF(AND(Employee__2[[#This Row],[Education]]="Bachelors",Employee__2[[#This Row],[City]]="Pune"),"Yes","No")</f>
        <v>No</v>
      </c>
      <c r="P1358" s="1" t="str">
        <f>IF(OR(Employee__2[[#This Row],[Age]]&gt;=30,Employee__2[[#This Row],[Gender]]="Male"),"Mached","Not mached")</f>
        <v>Mached</v>
      </c>
    </row>
    <row r="1359" spans="4:16" x14ac:dyDescent="0.25">
      <c r="D1359" s="6" t="s">
        <v>41</v>
      </c>
      <c r="E1359">
        <v>2013</v>
      </c>
      <c r="F1359" s="6" t="s">
        <v>40</v>
      </c>
      <c r="G1359">
        <v>2</v>
      </c>
      <c r="H1359">
        <v>24</v>
      </c>
      <c r="I1359" s="6" t="s">
        <v>36</v>
      </c>
      <c r="J1359" s="6" t="s">
        <v>37</v>
      </c>
      <c r="K1359">
        <v>2</v>
      </c>
      <c r="M1359" s="1" t="b">
        <f>Employee__2[[#This Row],[Experience]]&gt;1</f>
        <v>1</v>
      </c>
      <c r="N1359" s="1" t="str">
        <f>IF(Employee__2[[#This Row],[City]]="Pune","Yes","No")</f>
        <v>No</v>
      </c>
      <c r="O1359" s="1" t="str">
        <f>IF(AND(Employee__2[[#This Row],[Education]]="Bachelors",Employee__2[[#This Row],[City]]="Pune"),"Yes","No")</f>
        <v>No</v>
      </c>
      <c r="P1359" s="1" t="str">
        <f>IF(OR(Employee__2[[#This Row],[Age]]&gt;=30,Employee__2[[#This Row],[Gender]]="Male"),"Mached","Not mached")</f>
        <v>Mached</v>
      </c>
    </row>
    <row r="1360" spans="4:16" x14ac:dyDescent="0.25">
      <c r="D1360" s="6" t="s">
        <v>34</v>
      </c>
      <c r="E1360">
        <v>2015</v>
      </c>
      <c r="F1360" s="6" t="s">
        <v>38</v>
      </c>
      <c r="G1360">
        <v>3</v>
      </c>
      <c r="H1360">
        <v>25</v>
      </c>
      <c r="I1360" s="6" t="s">
        <v>39</v>
      </c>
      <c r="J1360" s="6" t="s">
        <v>37</v>
      </c>
      <c r="K1360">
        <v>3</v>
      </c>
      <c r="M1360" s="1" t="b">
        <f>Employee__2[[#This Row],[Experience]]&gt;1</f>
        <v>1</v>
      </c>
      <c r="N1360" s="1" t="str">
        <f>IF(Employee__2[[#This Row],[City]]="Pune","Yes","No")</f>
        <v>Yes</v>
      </c>
      <c r="O1360" s="1" t="str">
        <f>IF(AND(Employee__2[[#This Row],[Education]]="Bachelors",Employee__2[[#This Row],[City]]="Pune"),"Yes","No")</f>
        <v>Yes</v>
      </c>
      <c r="P1360" s="1" t="str">
        <f>IF(OR(Employee__2[[#This Row],[Age]]&gt;=30,Employee__2[[#This Row],[Gender]]="Male"),"Mached","Not mached")</f>
        <v>Not mached</v>
      </c>
    </row>
    <row r="1361" spans="4:16" x14ac:dyDescent="0.25">
      <c r="D1361" s="6" t="s">
        <v>41</v>
      </c>
      <c r="E1361">
        <v>2017</v>
      </c>
      <c r="F1361" s="6" t="s">
        <v>40</v>
      </c>
      <c r="G1361">
        <v>3</v>
      </c>
      <c r="H1361">
        <v>28</v>
      </c>
      <c r="I1361" s="6" t="s">
        <v>36</v>
      </c>
      <c r="J1361" s="6" t="s">
        <v>37</v>
      </c>
      <c r="K1361">
        <v>5</v>
      </c>
      <c r="M1361" s="1" t="b">
        <f>Employee__2[[#This Row],[Experience]]&gt;1</f>
        <v>1</v>
      </c>
      <c r="N1361" s="1" t="str">
        <f>IF(Employee__2[[#This Row],[City]]="Pune","Yes","No")</f>
        <v>No</v>
      </c>
      <c r="O1361" s="1" t="str">
        <f>IF(AND(Employee__2[[#This Row],[Education]]="Bachelors",Employee__2[[#This Row],[City]]="Pune"),"Yes","No")</f>
        <v>No</v>
      </c>
      <c r="P1361" s="1" t="str">
        <f>IF(OR(Employee__2[[#This Row],[Age]]&gt;=30,Employee__2[[#This Row],[Gender]]="Male"),"Mached","Not mached")</f>
        <v>Mached</v>
      </c>
    </row>
    <row r="1362" spans="4:16" x14ac:dyDescent="0.25">
      <c r="D1362" s="6" t="s">
        <v>34</v>
      </c>
      <c r="E1362">
        <v>2013</v>
      </c>
      <c r="F1362" s="6" t="s">
        <v>35</v>
      </c>
      <c r="G1362">
        <v>3</v>
      </c>
      <c r="H1362">
        <v>24</v>
      </c>
      <c r="I1362" s="6" t="s">
        <v>36</v>
      </c>
      <c r="J1362" s="6" t="s">
        <v>37</v>
      </c>
      <c r="K1362">
        <v>2</v>
      </c>
      <c r="M1362" s="1" t="b">
        <f>Employee__2[[#This Row],[Experience]]&gt;1</f>
        <v>1</v>
      </c>
      <c r="N1362" s="1" t="str">
        <f>IF(Employee__2[[#This Row],[City]]="Pune","Yes","No")</f>
        <v>No</v>
      </c>
      <c r="O1362" s="1" t="str">
        <f>IF(AND(Employee__2[[#This Row],[Education]]="Bachelors",Employee__2[[#This Row],[City]]="Pune"),"Yes","No")</f>
        <v>No</v>
      </c>
      <c r="P1362" s="1" t="str">
        <f>IF(OR(Employee__2[[#This Row],[Age]]&gt;=30,Employee__2[[#This Row],[Gender]]="Male"),"Mached","Not mached")</f>
        <v>Mached</v>
      </c>
    </row>
    <row r="1363" spans="4:16" x14ac:dyDescent="0.25">
      <c r="D1363" s="6" t="s">
        <v>41</v>
      </c>
      <c r="E1363">
        <v>2015</v>
      </c>
      <c r="F1363" s="6" t="s">
        <v>35</v>
      </c>
      <c r="G1363">
        <v>3</v>
      </c>
      <c r="H1363">
        <v>28</v>
      </c>
      <c r="I1363" s="6" t="s">
        <v>36</v>
      </c>
      <c r="J1363" s="6" t="s">
        <v>37</v>
      </c>
      <c r="K1363">
        <v>1</v>
      </c>
      <c r="M1363" s="1" t="b">
        <f>Employee__2[[#This Row],[Experience]]&gt;1</f>
        <v>0</v>
      </c>
      <c r="N1363" s="1" t="str">
        <f>IF(Employee__2[[#This Row],[City]]="Pune","Yes","No")</f>
        <v>No</v>
      </c>
      <c r="O1363" s="1" t="str">
        <f>IF(AND(Employee__2[[#This Row],[Education]]="Bachelors",Employee__2[[#This Row],[City]]="Pune"),"Yes","No")</f>
        <v>No</v>
      </c>
      <c r="P1363" s="1" t="str">
        <f>IF(OR(Employee__2[[#This Row],[Age]]&gt;=30,Employee__2[[#This Row],[Gender]]="Male"),"Mached","Not mached")</f>
        <v>Mached</v>
      </c>
    </row>
    <row r="1364" spans="4:16" x14ac:dyDescent="0.25">
      <c r="D1364" s="6" t="s">
        <v>34</v>
      </c>
      <c r="E1364">
        <v>2018</v>
      </c>
      <c r="F1364" s="6" t="s">
        <v>35</v>
      </c>
      <c r="G1364">
        <v>3</v>
      </c>
      <c r="H1364">
        <v>27</v>
      </c>
      <c r="I1364" s="6" t="s">
        <v>39</v>
      </c>
      <c r="J1364" s="6" t="s">
        <v>42</v>
      </c>
      <c r="K1364">
        <v>5</v>
      </c>
      <c r="M1364" s="1" t="b">
        <f>Employee__2[[#This Row],[Experience]]&gt;1</f>
        <v>1</v>
      </c>
      <c r="N1364" s="1" t="str">
        <f>IF(Employee__2[[#This Row],[City]]="Pune","Yes","No")</f>
        <v>No</v>
      </c>
      <c r="O1364" s="1" t="str">
        <f>IF(AND(Employee__2[[#This Row],[Education]]="Bachelors",Employee__2[[#This Row],[City]]="Pune"),"Yes","No")</f>
        <v>No</v>
      </c>
      <c r="P1364" s="1" t="str">
        <f>IF(OR(Employee__2[[#This Row],[Age]]&gt;=30,Employee__2[[#This Row],[Gender]]="Male"),"Mached","Not mached")</f>
        <v>Not mached</v>
      </c>
    </row>
    <row r="1365" spans="4:16" x14ac:dyDescent="0.25">
      <c r="D1365" s="6" t="s">
        <v>34</v>
      </c>
      <c r="E1365">
        <v>2015</v>
      </c>
      <c r="F1365" s="6" t="s">
        <v>35</v>
      </c>
      <c r="G1365">
        <v>3</v>
      </c>
      <c r="H1365">
        <v>24</v>
      </c>
      <c r="I1365" s="6" t="s">
        <v>36</v>
      </c>
      <c r="J1365" s="6" t="s">
        <v>37</v>
      </c>
      <c r="K1365">
        <v>2</v>
      </c>
      <c r="M1365" s="1" t="b">
        <f>Employee__2[[#This Row],[Experience]]&gt;1</f>
        <v>1</v>
      </c>
      <c r="N1365" s="1" t="str">
        <f>IF(Employee__2[[#This Row],[City]]="Pune","Yes","No")</f>
        <v>No</v>
      </c>
      <c r="O1365" s="1" t="str">
        <f>IF(AND(Employee__2[[#This Row],[Education]]="Bachelors",Employee__2[[#This Row],[City]]="Pune"),"Yes","No")</f>
        <v>No</v>
      </c>
      <c r="P1365" s="1" t="str">
        <f>IF(OR(Employee__2[[#This Row],[Age]]&gt;=30,Employee__2[[#This Row],[Gender]]="Male"),"Mached","Not mached")</f>
        <v>Mached</v>
      </c>
    </row>
    <row r="1366" spans="4:16" x14ac:dyDescent="0.25">
      <c r="D1366" s="6" t="s">
        <v>34</v>
      </c>
      <c r="E1366">
        <v>2014</v>
      </c>
      <c r="F1366" s="6" t="s">
        <v>38</v>
      </c>
      <c r="G1366">
        <v>3</v>
      </c>
      <c r="H1366">
        <v>26</v>
      </c>
      <c r="I1366" s="6" t="s">
        <v>36</v>
      </c>
      <c r="J1366" s="6" t="s">
        <v>37</v>
      </c>
      <c r="K1366">
        <v>4</v>
      </c>
      <c r="M1366" s="1" t="b">
        <f>Employee__2[[#This Row],[Experience]]&gt;1</f>
        <v>1</v>
      </c>
      <c r="N1366" s="1" t="str">
        <f>IF(Employee__2[[#This Row],[City]]="Pune","Yes","No")</f>
        <v>Yes</v>
      </c>
      <c r="O1366" s="1" t="str">
        <f>IF(AND(Employee__2[[#This Row],[Education]]="Bachelors",Employee__2[[#This Row],[City]]="Pune"),"Yes","No")</f>
        <v>Yes</v>
      </c>
      <c r="P1366" s="1" t="str">
        <f>IF(OR(Employee__2[[#This Row],[Age]]&gt;=30,Employee__2[[#This Row],[Gender]]="Male"),"Mached","Not mached")</f>
        <v>Mached</v>
      </c>
    </row>
    <row r="1367" spans="4:16" x14ac:dyDescent="0.25">
      <c r="D1367" s="6" t="s">
        <v>34</v>
      </c>
      <c r="E1367">
        <v>2013</v>
      </c>
      <c r="F1367" s="6" t="s">
        <v>40</v>
      </c>
      <c r="G1367">
        <v>3</v>
      </c>
      <c r="H1367">
        <v>25</v>
      </c>
      <c r="I1367" s="6" t="s">
        <v>39</v>
      </c>
      <c r="J1367" s="6" t="s">
        <v>37</v>
      </c>
      <c r="K1367">
        <v>3</v>
      </c>
      <c r="M1367" s="1" t="b">
        <f>Employee__2[[#This Row],[Experience]]&gt;1</f>
        <v>1</v>
      </c>
      <c r="N1367" s="1" t="str">
        <f>IF(Employee__2[[#This Row],[City]]="Pune","Yes","No")</f>
        <v>No</v>
      </c>
      <c r="O1367" s="1" t="str">
        <f>IF(AND(Employee__2[[#This Row],[Education]]="Bachelors",Employee__2[[#This Row],[City]]="Pune"),"Yes","No")</f>
        <v>No</v>
      </c>
      <c r="P1367" s="1" t="str">
        <f>IF(OR(Employee__2[[#This Row],[Age]]&gt;=30,Employee__2[[#This Row],[Gender]]="Male"),"Mached","Not mached")</f>
        <v>Not mached</v>
      </c>
    </row>
    <row r="1368" spans="4:16" x14ac:dyDescent="0.25">
      <c r="D1368" s="6" t="s">
        <v>34</v>
      </c>
      <c r="E1368">
        <v>2013</v>
      </c>
      <c r="F1368" s="6" t="s">
        <v>35</v>
      </c>
      <c r="G1368">
        <v>3</v>
      </c>
      <c r="H1368">
        <v>26</v>
      </c>
      <c r="I1368" s="6" t="s">
        <v>36</v>
      </c>
      <c r="J1368" s="6" t="s">
        <v>37</v>
      </c>
      <c r="K1368">
        <v>4</v>
      </c>
      <c r="M1368" s="1" t="b">
        <f>Employee__2[[#This Row],[Experience]]&gt;1</f>
        <v>1</v>
      </c>
      <c r="N1368" s="1" t="str">
        <f>IF(Employee__2[[#This Row],[City]]="Pune","Yes","No")</f>
        <v>No</v>
      </c>
      <c r="O1368" s="1" t="str">
        <f>IF(AND(Employee__2[[#This Row],[Education]]="Bachelors",Employee__2[[#This Row],[City]]="Pune"),"Yes","No")</f>
        <v>No</v>
      </c>
      <c r="P1368" s="1" t="str">
        <f>IF(OR(Employee__2[[#This Row],[Age]]&gt;=30,Employee__2[[#This Row],[Gender]]="Male"),"Mached","Not mached")</f>
        <v>Mached</v>
      </c>
    </row>
    <row r="1369" spans="4:16" x14ac:dyDescent="0.25">
      <c r="D1369" s="6" t="s">
        <v>34</v>
      </c>
      <c r="E1369">
        <v>2018</v>
      </c>
      <c r="F1369" s="6" t="s">
        <v>40</v>
      </c>
      <c r="G1369">
        <v>3</v>
      </c>
      <c r="H1369">
        <v>28</v>
      </c>
      <c r="I1369" s="6" t="s">
        <v>39</v>
      </c>
      <c r="J1369" s="6" t="s">
        <v>37</v>
      </c>
      <c r="K1369">
        <v>0</v>
      </c>
      <c r="M1369" s="1" t="b">
        <f>Employee__2[[#This Row],[Experience]]&gt;1</f>
        <v>0</v>
      </c>
      <c r="N1369" s="1" t="str">
        <f>IF(Employee__2[[#This Row],[City]]="Pune","Yes","No")</f>
        <v>No</v>
      </c>
      <c r="O1369" s="1" t="str">
        <f>IF(AND(Employee__2[[#This Row],[Education]]="Bachelors",Employee__2[[#This Row],[City]]="Pune"),"Yes","No")</f>
        <v>No</v>
      </c>
      <c r="P1369" s="1" t="str">
        <f>IF(OR(Employee__2[[#This Row],[Age]]&gt;=30,Employee__2[[#This Row],[Gender]]="Male"),"Mached","Not mached")</f>
        <v>Not mached</v>
      </c>
    </row>
    <row r="1370" spans="4:16" x14ac:dyDescent="0.25">
      <c r="D1370" s="6" t="s">
        <v>34</v>
      </c>
      <c r="E1370">
        <v>2013</v>
      </c>
      <c r="F1370" s="6" t="s">
        <v>35</v>
      </c>
      <c r="G1370">
        <v>3</v>
      </c>
      <c r="H1370">
        <v>25</v>
      </c>
      <c r="I1370" s="6" t="s">
        <v>39</v>
      </c>
      <c r="J1370" s="6" t="s">
        <v>37</v>
      </c>
      <c r="K1370">
        <v>3</v>
      </c>
      <c r="M1370" s="1" t="b">
        <f>Employee__2[[#This Row],[Experience]]&gt;1</f>
        <v>1</v>
      </c>
      <c r="N1370" s="1" t="str">
        <f>IF(Employee__2[[#This Row],[City]]="Pune","Yes","No")</f>
        <v>No</v>
      </c>
      <c r="O1370" s="1" t="str">
        <f>IF(AND(Employee__2[[#This Row],[Education]]="Bachelors",Employee__2[[#This Row],[City]]="Pune"),"Yes","No")</f>
        <v>No</v>
      </c>
      <c r="P1370" s="1" t="str">
        <f>IF(OR(Employee__2[[#This Row],[Age]]&gt;=30,Employee__2[[#This Row],[Gender]]="Male"),"Mached","Not mached")</f>
        <v>Not mached</v>
      </c>
    </row>
    <row r="1371" spans="4:16" x14ac:dyDescent="0.25">
      <c r="D1371" s="6" t="s">
        <v>43</v>
      </c>
      <c r="E1371">
        <v>2012</v>
      </c>
      <c r="F1371" s="6" t="s">
        <v>38</v>
      </c>
      <c r="G1371">
        <v>3</v>
      </c>
      <c r="H1371">
        <v>27</v>
      </c>
      <c r="I1371" s="6" t="s">
        <v>36</v>
      </c>
      <c r="J1371" s="6" t="s">
        <v>37</v>
      </c>
      <c r="K1371">
        <v>5</v>
      </c>
      <c r="M1371" s="1" t="b">
        <f>Employee__2[[#This Row],[Experience]]&gt;1</f>
        <v>1</v>
      </c>
      <c r="N1371" s="1" t="str">
        <f>IF(Employee__2[[#This Row],[City]]="Pune","Yes","No")</f>
        <v>Yes</v>
      </c>
      <c r="O1371" s="1" t="str">
        <f>IF(AND(Employee__2[[#This Row],[Education]]="Bachelors",Employee__2[[#This Row],[City]]="Pune"),"Yes","No")</f>
        <v>No</v>
      </c>
      <c r="P1371" s="1" t="str">
        <f>IF(OR(Employee__2[[#This Row],[Age]]&gt;=30,Employee__2[[#This Row],[Gender]]="Male"),"Mached","Not mached")</f>
        <v>Mached</v>
      </c>
    </row>
    <row r="1372" spans="4:16" x14ac:dyDescent="0.25">
      <c r="D1372" s="6" t="s">
        <v>34</v>
      </c>
      <c r="E1372">
        <v>2013</v>
      </c>
      <c r="F1372" s="6" t="s">
        <v>35</v>
      </c>
      <c r="G1372">
        <v>3</v>
      </c>
      <c r="H1372">
        <v>24</v>
      </c>
      <c r="I1372" s="6" t="s">
        <v>36</v>
      </c>
      <c r="J1372" s="6" t="s">
        <v>37</v>
      </c>
      <c r="K1372">
        <v>2</v>
      </c>
      <c r="M1372" s="1" t="b">
        <f>Employee__2[[#This Row],[Experience]]&gt;1</f>
        <v>1</v>
      </c>
      <c r="N1372" s="1" t="str">
        <f>IF(Employee__2[[#This Row],[City]]="Pune","Yes","No")</f>
        <v>No</v>
      </c>
      <c r="O1372" s="1" t="str">
        <f>IF(AND(Employee__2[[#This Row],[Education]]="Bachelors",Employee__2[[#This Row],[City]]="Pune"),"Yes","No")</f>
        <v>No</v>
      </c>
      <c r="P1372" s="1" t="str">
        <f>IF(OR(Employee__2[[#This Row],[Age]]&gt;=30,Employee__2[[#This Row],[Gender]]="Male"),"Mached","Not mached")</f>
        <v>Mached</v>
      </c>
    </row>
    <row r="1373" spans="4:16" x14ac:dyDescent="0.25">
      <c r="D1373" s="6" t="s">
        <v>34</v>
      </c>
      <c r="E1373">
        <v>2013</v>
      </c>
      <c r="F1373" s="6" t="s">
        <v>35</v>
      </c>
      <c r="G1373">
        <v>3</v>
      </c>
      <c r="H1373">
        <v>28</v>
      </c>
      <c r="I1373" s="6" t="s">
        <v>39</v>
      </c>
      <c r="J1373" s="6" t="s">
        <v>37</v>
      </c>
      <c r="K1373">
        <v>3</v>
      </c>
      <c r="M1373" s="1" t="b">
        <f>Employee__2[[#This Row],[Experience]]&gt;1</f>
        <v>1</v>
      </c>
      <c r="N1373" s="1" t="str">
        <f>IF(Employee__2[[#This Row],[City]]="Pune","Yes","No")</f>
        <v>No</v>
      </c>
      <c r="O1373" s="1" t="str">
        <f>IF(AND(Employee__2[[#This Row],[Education]]="Bachelors",Employee__2[[#This Row],[City]]="Pune"),"Yes","No")</f>
        <v>No</v>
      </c>
      <c r="P1373" s="1" t="str">
        <f>IF(OR(Employee__2[[#This Row],[Age]]&gt;=30,Employee__2[[#This Row],[Gender]]="Male"),"Mached","Not mached")</f>
        <v>Not mached</v>
      </c>
    </row>
    <row r="1374" spans="4:16" x14ac:dyDescent="0.25">
      <c r="D1374" s="6" t="s">
        <v>34</v>
      </c>
      <c r="E1374">
        <v>2015</v>
      </c>
      <c r="F1374" s="6" t="s">
        <v>38</v>
      </c>
      <c r="G1374">
        <v>3</v>
      </c>
      <c r="H1374">
        <v>24</v>
      </c>
      <c r="I1374" s="6" t="s">
        <v>36</v>
      </c>
      <c r="J1374" s="6" t="s">
        <v>37</v>
      </c>
      <c r="K1374">
        <v>2</v>
      </c>
      <c r="M1374" s="1" t="b">
        <f>Employee__2[[#This Row],[Experience]]&gt;1</f>
        <v>1</v>
      </c>
      <c r="N1374" s="1" t="str">
        <f>IF(Employee__2[[#This Row],[City]]="Pune","Yes","No")</f>
        <v>Yes</v>
      </c>
      <c r="O1374" s="1" t="str">
        <f>IF(AND(Employee__2[[#This Row],[Education]]="Bachelors",Employee__2[[#This Row],[City]]="Pune"),"Yes","No")</f>
        <v>Yes</v>
      </c>
      <c r="P1374" s="1" t="str">
        <f>IF(OR(Employee__2[[#This Row],[Age]]&gt;=30,Employee__2[[#This Row],[Gender]]="Male"),"Mached","Not mached")</f>
        <v>Mached</v>
      </c>
    </row>
    <row r="1375" spans="4:16" x14ac:dyDescent="0.25">
      <c r="D1375" s="6" t="s">
        <v>34</v>
      </c>
      <c r="E1375">
        <v>2013</v>
      </c>
      <c r="F1375" s="6" t="s">
        <v>38</v>
      </c>
      <c r="G1375">
        <v>3</v>
      </c>
      <c r="H1375">
        <v>27</v>
      </c>
      <c r="I1375" s="6" t="s">
        <v>36</v>
      </c>
      <c r="J1375" s="6" t="s">
        <v>37</v>
      </c>
      <c r="K1375">
        <v>5</v>
      </c>
      <c r="M1375" s="1" t="b">
        <f>Employee__2[[#This Row],[Experience]]&gt;1</f>
        <v>1</v>
      </c>
      <c r="N1375" s="1" t="str">
        <f>IF(Employee__2[[#This Row],[City]]="Pune","Yes","No")</f>
        <v>Yes</v>
      </c>
      <c r="O1375" s="1" t="str">
        <f>IF(AND(Employee__2[[#This Row],[Education]]="Bachelors",Employee__2[[#This Row],[City]]="Pune"),"Yes","No")</f>
        <v>Yes</v>
      </c>
      <c r="P1375" s="1" t="str">
        <f>IF(OR(Employee__2[[#This Row],[Age]]&gt;=30,Employee__2[[#This Row],[Gender]]="Male"),"Mached","Not mached")</f>
        <v>Mached</v>
      </c>
    </row>
    <row r="1376" spans="4:16" x14ac:dyDescent="0.25">
      <c r="D1376" s="6" t="s">
        <v>34</v>
      </c>
      <c r="E1376">
        <v>2012</v>
      </c>
      <c r="F1376" s="6" t="s">
        <v>40</v>
      </c>
      <c r="G1376">
        <v>3</v>
      </c>
      <c r="H1376">
        <v>27</v>
      </c>
      <c r="I1376" s="6" t="s">
        <v>36</v>
      </c>
      <c r="J1376" s="6" t="s">
        <v>37</v>
      </c>
      <c r="K1376">
        <v>5</v>
      </c>
      <c r="M1376" s="1" t="b">
        <f>Employee__2[[#This Row],[Experience]]&gt;1</f>
        <v>1</v>
      </c>
      <c r="N1376" s="1" t="str">
        <f>IF(Employee__2[[#This Row],[City]]="Pune","Yes","No")</f>
        <v>No</v>
      </c>
      <c r="O1376" s="1" t="str">
        <f>IF(AND(Employee__2[[#This Row],[Education]]="Bachelors",Employee__2[[#This Row],[City]]="Pune"),"Yes","No")</f>
        <v>No</v>
      </c>
      <c r="P1376" s="1" t="str">
        <f>IF(OR(Employee__2[[#This Row],[Age]]&gt;=30,Employee__2[[#This Row],[Gender]]="Male"),"Mached","Not mached")</f>
        <v>Mached</v>
      </c>
    </row>
    <row r="1377" spans="4:16" x14ac:dyDescent="0.25">
      <c r="D1377" s="6" t="s">
        <v>34</v>
      </c>
      <c r="E1377">
        <v>2018</v>
      </c>
      <c r="F1377" s="6" t="s">
        <v>35</v>
      </c>
      <c r="G1377">
        <v>3</v>
      </c>
      <c r="H1377">
        <v>26</v>
      </c>
      <c r="I1377" s="6" t="s">
        <v>39</v>
      </c>
      <c r="J1377" s="6" t="s">
        <v>42</v>
      </c>
      <c r="K1377">
        <v>4</v>
      </c>
      <c r="M1377" s="1" t="b">
        <f>Employee__2[[#This Row],[Experience]]&gt;1</f>
        <v>1</v>
      </c>
      <c r="N1377" s="1" t="str">
        <f>IF(Employee__2[[#This Row],[City]]="Pune","Yes","No")</f>
        <v>No</v>
      </c>
      <c r="O1377" s="1" t="str">
        <f>IF(AND(Employee__2[[#This Row],[Education]]="Bachelors",Employee__2[[#This Row],[City]]="Pune"),"Yes","No")</f>
        <v>No</v>
      </c>
      <c r="P1377" s="1" t="str">
        <f>IF(OR(Employee__2[[#This Row],[Age]]&gt;=30,Employee__2[[#This Row],[Gender]]="Male"),"Mached","Not mached")</f>
        <v>Not mached</v>
      </c>
    </row>
    <row r="1378" spans="4:16" x14ac:dyDescent="0.25">
      <c r="D1378" s="6" t="s">
        <v>34</v>
      </c>
      <c r="E1378">
        <v>2013</v>
      </c>
      <c r="F1378" s="6" t="s">
        <v>35</v>
      </c>
      <c r="G1378">
        <v>3</v>
      </c>
      <c r="H1378">
        <v>26</v>
      </c>
      <c r="I1378" s="6" t="s">
        <v>36</v>
      </c>
      <c r="J1378" s="6" t="s">
        <v>37</v>
      </c>
      <c r="K1378">
        <v>4</v>
      </c>
      <c r="M1378" s="1" t="b">
        <f>Employee__2[[#This Row],[Experience]]&gt;1</f>
        <v>1</v>
      </c>
      <c r="N1378" s="1" t="str">
        <f>IF(Employee__2[[#This Row],[City]]="Pune","Yes","No")</f>
        <v>No</v>
      </c>
      <c r="O1378" s="1" t="str">
        <f>IF(AND(Employee__2[[#This Row],[Education]]="Bachelors",Employee__2[[#This Row],[City]]="Pune"),"Yes","No")</f>
        <v>No</v>
      </c>
      <c r="P1378" s="1" t="str">
        <f>IF(OR(Employee__2[[#This Row],[Age]]&gt;=30,Employee__2[[#This Row],[Gender]]="Male"),"Mached","Not mached")</f>
        <v>Mached</v>
      </c>
    </row>
    <row r="1379" spans="4:16" x14ac:dyDescent="0.25">
      <c r="D1379" s="6" t="s">
        <v>34</v>
      </c>
      <c r="E1379">
        <v>2015</v>
      </c>
      <c r="F1379" s="6" t="s">
        <v>38</v>
      </c>
      <c r="G1379">
        <v>2</v>
      </c>
      <c r="H1379">
        <v>24</v>
      </c>
      <c r="I1379" s="6" t="s">
        <v>39</v>
      </c>
      <c r="J1379" s="6" t="s">
        <v>37</v>
      </c>
      <c r="K1379">
        <v>2</v>
      </c>
      <c r="M1379" s="1" t="b">
        <f>Employee__2[[#This Row],[Experience]]&gt;1</f>
        <v>1</v>
      </c>
      <c r="N1379" s="1" t="str">
        <f>IF(Employee__2[[#This Row],[City]]="Pune","Yes","No")</f>
        <v>Yes</v>
      </c>
      <c r="O1379" s="1" t="str">
        <f>IF(AND(Employee__2[[#This Row],[Education]]="Bachelors",Employee__2[[#This Row],[City]]="Pune"),"Yes","No")</f>
        <v>Yes</v>
      </c>
      <c r="P1379" s="1" t="str">
        <f>IF(OR(Employee__2[[#This Row],[Age]]&gt;=30,Employee__2[[#This Row],[Gender]]="Male"),"Mached","Not mached")</f>
        <v>Not mached</v>
      </c>
    </row>
    <row r="1380" spans="4:16" x14ac:dyDescent="0.25">
      <c r="D1380" s="6" t="s">
        <v>34</v>
      </c>
      <c r="E1380">
        <v>2016</v>
      </c>
      <c r="F1380" s="6" t="s">
        <v>35</v>
      </c>
      <c r="G1380">
        <v>3</v>
      </c>
      <c r="H1380">
        <v>24</v>
      </c>
      <c r="I1380" s="6" t="s">
        <v>36</v>
      </c>
      <c r="J1380" s="6" t="s">
        <v>37</v>
      </c>
      <c r="K1380">
        <v>2</v>
      </c>
      <c r="M1380" s="1" t="b">
        <f>Employee__2[[#This Row],[Experience]]&gt;1</f>
        <v>1</v>
      </c>
      <c r="N1380" s="1" t="str">
        <f>IF(Employee__2[[#This Row],[City]]="Pune","Yes","No")</f>
        <v>No</v>
      </c>
      <c r="O1380" s="1" t="str">
        <f>IF(AND(Employee__2[[#This Row],[Education]]="Bachelors",Employee__2[[#This Row],[City]]="Pune"),"Yes","No")</f>
        <v>No</v>
      </c>
      <c r="P1380" s="1" t="str">
        <f>IF(OR(Employee__2[[#This Row],[Age]]&gt;=30,Employee__2[[#This Row],[Gender]]="Male"),"Mached","Not mached")</f>
        <v>Mached</v>
      </c>
    </row>
    <row r="1381" spans="4:16" x14ac:dyDescent="0.25">
      <c r="D1381" s="6" t="s">
        <v>43</v>
      </c>
      <c r="E1381">
        <v>2018</v>
      </c>
      <c r="F1381" s="6" t="s">
        <v>35</v>
      </c>
      <c r="G1381">
        <v>3</v>
      </c>
      <c r="H1381">
        <v>27</v>
      </c>
      <c r="I1381" s="6" t="s">
        <v>39</v>
      </c>
      <c r="J1381" s="6" t="s">
        <v>37</v>
      </c>
      <c r="K1381">
        <v>5</v>
      </c>
      <c r="M1381" s="1" t="b">
        <f>Employee__2[[#This Row],[Experience]]&gt;1</f>
        <v>1</v>
      </c>
      <c r="N1381" s="1" t="str">
        <f>IF(Employee__2[[#This Row],[City]]="Pune","Yes","No")</f>
        <v>No</v>
      </c>
      <c r="O1381" s="1" t="str">
        <f>IF(AND(Employee__2[[#This Row],[Education]]="Bachelors",Employee__2[[#This Row],[City]]="Pune"),"Yes","No")</f>
        <v>No</v>
      </c>
      <c r="P1381" s="1" t="str">
        <f>IF(OR(Employee__2[[#This Row],[Age]]&gt;=30,Employee__2[[#This Row],[Gender]]="Male"),"Mached","Not mached")</f>
        <v>Not mached</v>
      </c>
    </row>
    <row r="1382" spans="4:16" x14ac:dyDescent="0.25">
      <c r="D1382" s="6" t="s">
        <v>34</v>
      </c>
      <c r="E1382">
        <v>2015</v>
      </c>
      <c r="F1382" s="6" t="s">
        <v>35</v>
      </c>
      <c r="G1382">
        <v>3</v>
      </c>
      <c r="H1382">
        <v>26</v>
      </c>
      <c r="I1382" s="6" t="s">
        <v>36</v>
      </c>
      <c r="J1382" s="6" t="s">
        <v>37</v>
      </c>
      <c r="K1382">
        <v>4</v>
      </c>
      <c r="M1382" s="1" t="b">
        <f>Employee__2[[#This Row],[Experience]]&gt;1</f>
        <v>1</v>
      </c>
      <c r="N1382" s="1" t="str">
        <f>IF(Employee__2[[#This Row],[City]]="Pune","Yes","No")</f>
        <v>No</v>
      </c>
      <c r="O1382" s="1" t="str">
        <f>IF(AND(Employee__2[[#This Row],[Education]]="Bachelors",Employee__2[[#This Row],[City]]="Pune"),"Yes","No")</f>
        <v>No</v>
      </c>
      <c r="P1382" s="1" t="str">
        <f>IF(OR(Employee__2[[#This Row],[Age]]&gt;=30,Employee__2[[#This Row],[Gender]]="Male"),"Mached","Not mached")</f>
        <v>Mached</v>
      </c>
    </row>
    <row r="1383" spans="4:16" x14ac:dyDescent="0.25">
      <c r="D1383" s="6" t="s">
        <v>34</v>
      </c>
      <c r="E1383">
        <v>2015</v>
      </c>
      <c r="F1383" s="6" t="s">
        <v>40</v>
      </c>
      <c r="G1383">
        <v>1</v>
      </c>
      <c r="H1383">
        <v>26</v>
      </c>
      <c r="I1383" s="6" t="s">
        <v>39</v>
      </c>
      <c r="J1383" s="6" t="s">
        <v>37</v>
      </c>
      <c r="K1383">
        <v>4</v>
      </c>
      <c r="M1383" s="1" t="b">
        <f>Employee__2[[#This Row],[Experience]]&gt;1</f>
        <v>1</v>
      </c>
      <c r="N1383" s="1" t="str">
        <f>IF(Employee__2[[#This Row],[City]]="Pune","Yes","No")</f>
        <v>No</v>
      </c>
      <c r="O1383" s="1" t="str">
        <f>IF(AND(Employee__2[[#This Row],[Education]]="Bachelors",Employee__2[[#This Row],[City]]="Pune"),"Yes","No")</f>
        <v>No</v>
      </c>
      <c r="P1383" s="1" t="str">
        <f>IF(OR(Employee__2[[#This Row],[Age]]&gt;=30,Employee__2[[#This Row],[Gender]]="Male"),"Mached","Not mached")</f>
        <v>Not mached</v>
      </c>
    </row>
    <row r="1384" spans="4:16" x14ac:dyDescent="0.25">
      <c r="D1384" s="6" t="s">
        <v>34</v>
      </c>
      <c r="E1384">
        <v>2015</v>
      </c>
      <c r="F1384" s="6" t="s">
        <v>38</v>
      </c>
      <c r="G1384">
        <v>2</v>
      </c>
      <c r="H1384">
        <v>24</v>
      </c>
      <c r="I1384" s="6" t="s">
        <v>39</v>
      </c>
      <c r="J1384" s="6" t="s">
        <v>37</v>
      </c>
      <c r="K1384">
        <v>2</v>
      </c>
      <c r="M1384" s="1" t="b">
        <f>Employee__2[[#This Row],[Experience]]&gt;1</f>
        <v>1</v>
      </c>
      <c r="N1384" s="1" t="str">
        <f>IF(Employee__2[[#This Row],[City]]="Pune","Yes","No")</f>
        <v>Yes</v>
      </c>
      <c r="O1384" s="1" t="str">
        <f>IF(AND(Employee__2[[#This Row],[Education]]="Bachelors",Employee__2[[#This Row],[City]]="Pune"),"Yes","No")</f>
        <v>Yes</v>
      </c>
      <c r="P1384" s="1" t="str">
        <f>IF(OR(Employee__2[[#This Row],[Age]]&gt;=30,Employee__2[[#This Row],[Gender]]="Male"),"Mached","Not mached")</f>
        <v>Not mached</v>
      </c>
    </row>
    <row r="1385" spans="4:16" x14ac:dyDescent="0.25">
      <c r="D1385" s="6" t="s">
        <v>34</v>
      </c>
      <c r="E1385">
        <v>2013</v>
      </c>
      <c r="F1385" s="6" t="s">
        <v>38</v>
      </c>
      <c r="G1385">
        <v>3</v>
      </c>
      <c r="H1385">
        <v>27</v>
      </c>
      <c r="I1385" s="6" t="s">
        <v>36</v>
      </c>
      <c r="J1385" s="6" t="s">
        <v>37</v>
      </c>
      <c r="K1385">
        <v>5</v>
      </c>
      <c r="M1385" s="1" t="b">
        <f>Employee__2[[#This Row],[Experience]]&gt;1</f>
        <v>1</v>
      </c>
      <c r="N1385" s="1" t="str">
        <f>IF(Employee__2[[#This Row],[City]]="Pune","Yes","No")</f>
        <v>Yes</v>
      </c>
      <c r="O1385" s="1" t="str">
        <f>IF(AND(Employee__2[[#This Row],[Education]]="Bachelors",Employee__2[[#This Row],[City]]="Pune"),"Yes","No")</f>
        <v>Yes</v>
      </c>
      <c r="P1385" s="1" t="str">
        <f>IF(OR(Employee__2[[#This Row],[Age]]&gt;=30,Employee__2[[#This Row],[Gender]]="Male"),"Mached","Not mached")</f>
        <v>Mached</v>
      </c>
    </row>
    <row r="1386" spans="4:16" x14ac:dyDescent="0.25">
      <c r="D1386" s="6" t="s">
        <v>43</v>
      </c>
      <c r="E1386">
        <v>2016</v>
      </c>
      <c r="F1386" s="6" t="s">
        <v>40</v>
      </c>
      <c r="G1386">
        <v>3</v>
      </c>
      <c r="H1386">
        <v>24</v>
      </c>
      <c r="I1386" s="6" t="s">
        <v>39</v>
      </c>
      <c r="J1386" s="6" t="s">
        <v>37</v>
      </c>
      <c r="K1386">
        <v>2</v>
      </c>
      <c r="M1386" s="1" t="b">
        <f>Employee__2[[#This Row],[Experience]]&gt;1</f>
        <v>1</v>
      </c>
      <c r="N1386" s="1" t="str">
        <f>IF(Employee__2[[#This Row],[City]]="Pune","Yes","No")</f>
        <v>No</v>
      </c>
      <c r="O1386" s="1" t="str">
        <f>IF(AND(Employee__2[[#This Row],[Education]]="Bachelors",Employee__2[[#This Row],[City]]="Pune"),"Yes","No")</f>
        <v>No</v>
      </c>
      <c r="P1386" s="1" t="str">
        <f>IF(OR(Employee__2[[#This Row],[Age]]&gt;=30,Employee__2[[#This Row],[Gender]]="Male"),"Mached","Not mached")</f>
        <v>Not mached</v>
      </c>
    </row>
    <row r="1387" spans="4:16" x14ac:dyDescent="0.25">
      <c r="D1387" s="6" t="s">
        <v>34</v>
      </c>
      <c r="E1387">
        <v>2013</v>
      </c>
      <c r="F1387" s="6" t="s">
        <v>35</v>
      </c>
      <c r="G1387">
        <v>3</v>
      </c>
      <c r="H1387">
        <v>26</v>
      </c>
      <c r="I1387" s="6" t="s">
        <v>36</v>
      </c>
      <c r="J1387" s="6" t="s">
        <v>37</v>
      </c>
      <c r="K1387">
        <v>4</v>
      </c>
      <c r="M1387" s="1" t="b">
        <f>Employee__2[[#This Row],[Experience]]&gt;1</f>
        <v>1</v>
      </c>
      <c r="N1387" s="1" t="str">
        <f>IF(Employee__2[[#This Row],[City]]="Pune","Yes","No")</f>
        <v>No</v>
      </c>
      <c r="O1387" s="1" t="str">
        <f>IF(AND(Employee__2[[#This Row],[Education]]="Bachelors",Employee__2[[#This Row],[City]]="Pune"),"Yes","No")</f>
        <v>No</v>
      </c>
      <c r="P1387" s="1" t="str">
        <f>IF(OR(Employee__2[[#This Row],[Age]]&gt;=30,Employee__2[[#This Row],[Gender]]="Male"),"Mached","Not mached")</f>
        <v>Mached</v>
      </c>
    </row>
    <row r="1388" spans="4:16" x14ac:dyDescent="0.25">
      <c r="D1388" s="6" t="s">
        <v>34</v>
      </c>
      <c r="E1388">
        <v>2015</v>
      </c>
      <c r="F1388" s="6" t="s">
        <v>35</v>
      </c>
      <c r="G1388">
        <v>3</v>
      </c>
      <c r="H1388">
        <v>28</v>
      </c>
      <c r="I1388" s="6" t="s">
        <v>36</v>
      </c>
      <c r="J1388" s="6" t="s">
        <v>37</v>
      </c>
      <c r="K1388">
        <v>5</v>
      </c>
      <c r="M1388" s="1" t="b">
        <f>Employee__2[[#This Row],[Experience]]&gt;1</f>
        <v>1</v>
      </c>
      <c r="N1388" s="1" t="str">
        <f>IF(Employee__2[[#This Row],[City]]="Pune","Yes","No")</f>
        <v>No</v>
      </c>
      <c r="O1388" s="1" t="str">
        <f>IF(AND(Employee__2[[#This Row],[Education]]="Bachelors",Employee__2[[#This Row],[City]]="Pune"),"Yes","No")</f>
        <v>No</v>
      </c>
      <c r="P1388" s="1" t="str">
        <f>IF(OR(Employee__2[[#This Row],[Age]]&gt;=30,Employee__2[[#This Row],[Gender]]="Male"),"Mached","Not mached")</f>
        <v>Mached</v>
      </c>
    </row>
    <row r="1389" spans="4:16" x14ac:dyDescent="0.25">
      <c r="D1389" s="6" t="s">
        <v>34</v>
      </c>
      <c r="E1389">
        <v>2015</v>
      </c>
      <c r="F1389" s="6" t="s">
        <v>35</v>
      </c>
      <c r="G1389">
        <v>3</v>
      </c>
      <c r="H1389">
        <v>26</v>
      </c>
      <c r="I1389" s="6" t="s">
        <v>39</v>
      </c>
      <c r="J1389" s="6" t="s">
        <v>37</v>
      </c>
      <c r="K1389">
        <v>4</v>
      </c>
      <c r="M1389" s="1" t="b">
        <f>Employee__2[[#This Row],[Experience]]&gt;1</f>
        <v>1</v>
      </c>
      <c r="N1389" s="1" t="str">
        <f>IF(Employee__2[[#This Row],[City]]="Pune","Yes","No")</f>
        <v>No</v>
      </c>
      <c r="O1389" s="1" t="str">
        <f>IF(AND(Employee__2[[#This Row],[Education]]="Bachelors",Employee__2[[#This Row],[City]]="Pune"),"Yes","No")</f>
        <v>No</v>
      </c>
      <c r="P1389" s="1" t="str">
        <f>IF(OR(Employee__2[[#This Row],[Age]]&gt;=30,Employee__2[[#This Row],[Gender]]="Male"),"Mached","Not mached")</f>
        <v>Not mached</v>
      </c>
    </row>
    <row r="1390" spans="4:16" x14ac:dyDescent="0.25">
      <c r="D1390" s="6" t="s">
        <v>34</v>
      </c>
      <c r="E1390">
        <v>2016</v>
      </c>
      <c r="F1390" s="6" t="s">
        <v>35</v>
      </c>
      <c r="G1390">
        <v>3</v>
      </c>
      <c r="H1390">
        <v>27</v>
      </c>
      <c r="I1390" s="6" t="s">
        <v>39</v>
      </c>
      <c r="J1390" s="6" t="s">
        <v>37</v>
      </c>
      <c r="K1390">
        <v>5</v>
      </c>
      <c r="M1390" s="1" t="b">
        <f>Employee__2[[#This Row],[Experience]]&gt;1</f>
        <v>1</v>
      </c>
      <c r="N1390" s="1" t="str">
        <f>IF(Employee__2[[#This Row],[City]]="Pune","Yes","No")</f>
        <v>No</v>
      </c>
      <c r="O1390" s="1" t="str">
        <f>IF(AND(Employee__2[[#This Row],[Education]]="Bachelors",Employee__2[[#This Row],[City]]="Pune"),"Yes","No")</f>
        <v>No</v>
      </c>
      <c r="P1390" s="1" t="str">
        <f>IF(OR(Employee__2[[#This Row],[Age]]&gt;=30,Employee__2[[#This Row],[Gender]]="Male"),"Mached","Not mached")</f>
        <v>Not mached</v>
      </c>
    </row>
    <row r="1391" spans="4:16" x14ac:dyDescent="0.25">
      <c r="D1391" s="6" t="s">
        <v>34</v>
      </c>
      <c r="E1391">
        <v>2017</v>
      </c>
      <c r="F1391" s="6" t="s">
        <v>38</v>
      </c>
      <c r="G1391">
        <v>3</v>
      </c>
      <c r="H1391">
        <v>25</v>
      </c>
      <c r="I1391" s="6" t="s">
        <v>39</v>
      </c>
      <c r="J1391" s="6" t="s">
        <v>37</v>
      </c>
      <c r="K1391">
        <v>3</v>
      </c>
      <c r="M1391" s="1" t="b">
        <f>Employee__2[[#This Row],[Experience]]&gt;1</f>
        <v>1</v>
      </c>
      <c r="N1391" s="1" t="str">
        <f>IF(Employee__2[[#This Row],[City]]="Pune","Yes","No")</f>
        <v>Yes</v>
      </c>
      <c r="O1391" s="1" t="str">
        <f>IF(AND(Employee__2[[#This Row],[Education]]="Bachelors",Employee__2[[#This Row],[City]]="Pune"),"Yes","No")</f>
        <v>Yes</v>
      </c>
      <c r="P1391" s="1" t="str">
        <f>IF(OR(Employee__2[[#This Row],[Age]]&gt;=30,Employee__2[[#This Row],[Gender]]="Male"),"Mached","Not mached")</f>
        <v>Not mached</v>
      </c>
    </row>
    <row r="1392" spans="4:16" x14ac:dyDescent="0.25">
      <c r="D1392" s="6" t="s">
        <v>41</v>
      </c>
      <c r="E1392">
        <v>2017</v>
      </c>
      <c r="F1392" s="6" t="s">
        <v>40</v>
      </c>
      <c r="G1392">
        <v>2</v>
      </c>
      <c r="H1392">
        <v>26</v>
      </c>
      <c r="I1392" s="6" t="s">
        <v>36</v>
      </c>
      <c r="J1392" s="6" t="s">
        <v>37</v>
      </c>
      <c r="K1392">
        <v>4</v>
      </c>
      <c r="M1392" s="1" t="b">
        <f>Employee__2[[#This Row],[Experience]]&gt;1</f>
        <v>1</v>
      </c>
      <c r="N1392" s="1" t="str">
        <f>IF(Employee__2[[#This Row],[City]]="Pune","Yes","No")</f>
        <v>No</v>
      </c>
      <c r="O1392" s="1" t="str">
        <f>IF(AND(Employee__2[[#This Row],[Education]]="Bachelors",Employee__2[[#This Row],[City]]="Pune"),"Yes","No")</f>
        <v>No</v>
      </c>
      <c r="P1392" s="1" t="str">
        <f>IF(OR(Employee__2[[#This Row],[Age]]&gt;=30,Employee__2[[#This Row],[Gender]]="Male"),"Mached","Not mached")</f>
        <v>Mached</v>
      </c>
    </row>
    <row r="1393" spans="4:16" x14ac:dyDescent="0.25">
      <c r="D1393" s="6" t="s">
        <v>34</v>
      </c>
      <c r="E1393">
        <v>2012</v>
      </c>
      <c r="F1393" s="6" t="s">
        <v>35</v>
      </c>
      <c r="G1393">
        <v>3</v>
      </c>
      <c r="H1393">
        <v>27</v>
      </c>
      <c r="I1393" s="6" t="s">
        <v>36</v>
      </c>
      <c r="J1393" s="6" t="s">
        <v>37</v>
      </c>
      <c r="K1393">
        <v>5</v>
      </c>
      <c r="M1393" s="1" t="b">
        <f>Employee__2[[#This Row],[Experience]]&gt;1</f>
        <v>1</v>
      </c>
      <c r="N1393" s="1" t="str">
        <f>IF(Employee__2[[#This Row],[City]]="Pune","Yes","No")</f>
        <v>No</v>
      </c>
      <c r="O1393" s="1" t="str">
        <f>IF(AND(Employee__2[[#This Row],[Education]]="Bachelors",Employee__2[[#This Row],[City]]="Pune"),"Yes","No")</f>
        <v>No</v>
      </c>
      <c r="P1393" s="1" t="str">
        <f>IF(OR(Employee__2[[#This Row],[Age]]&gt;=30,Employee__2[[#This Row],[Gender]]="Male"),"Mached","Not mached")</f>
        <v>Mached</v>
      </c>
    </row>
    <row r="1394" spans="4:16" x14ac:dyDescent="0.25">
      <c r="D1394" s="6" t="s">
        <v>34</v>
      </c>
      <c r="E1394">
        <v>2014</v>
      </c>
      <c r="F1394" s="6" t="s">
        <v>35</v>
      </c>
      <c r="G1394">
        <v>3</v>
      </c>
      <c r="H1394">
        <v>26</v>
      </c>
      <c r="I1394" s="6" t="s">
        <v>39</v>
      </c>
      <c r="J1394" s="6" t="s">
        <v>37</v>
      </c>
      <c r="K1394">
        <v>4</v>
      </c>
      <c r="M1394" s="1" t="b">
        <f>Employee__2[[#This Row],[Experience]]&gt;1</f>
        <v>1</v>
      </c>
      <c r="N1394" s="1" t="str">
        <f>IF(Employee__2[[#This Row],[City]]="Pune","Yes","No")</f>
        <v>No</v>
      </c>
      <c r="O1394" s="1" t="str">
        <f>IF(AND(Employee__2[[#This Row],[Education]]="Bachelors",Employee__2[[#This Row],[City]]="Pune"),"Yes","No")</f>
        <v>No</v>
      </c>
      <c r="P1394" s="1" t="str">
        <f>IF(OR(Employee__2[[#This Row],[Age]]&gt;=30,Employee__2[[#This Row],[Gender]]="Male"),"Mached","Not mached")</f>
        <v>Not mached</v>
      </c>
    </row>
    <row r="1395" spans="4:16" x14ac:dyDescent="0.25">
      <c r="D1395" s="6" t="s">
        <v>34</v>
      </c>
      <c r="E1395">
        <v>2015</v>
      </c>
      <c r="F1395" s="6" t="s">
        <v>38</v>
      </c>
      <c r="G1395">
        <v>2</v>
      </c>
      <c r="H1395">
        <v>25</v>
      </c>
      <c r="I1395" s="6" t="s">
        <v>39</v>
      </c>
      <c r="J1395" s="6" t="s">
        <v>37</v>
      </c>
      <c r="K1395">
        <v>3</v>
      </c>
      <c r="M1395" s="1" t="b">
        <f>Employee__2[[#This Row],[Experience]]&gt;1</f>
        <v>1</v>
      </c>
      <c r="N1395" s="1" t="str">
        <f>IF(Employee__2[[#This Row],[City]]="Pune","Yes","No")</f>
        <v>Yes</v>
      </c>
      <c r="O1395" s="1" t="str">
        <f>IF(AND(Employee__2[[#This Row],[Education]]="Bachelors",Employee__2[[#This Row],[City]]="Pune"),"Yes","No")</f>
        <v>Yes</v>
      </c>
      <c r="P1395" s="1" t="str">
        <f>IF(OR(Employee__2[[#This Row],[Age]]&gt;=30,Employee__2[[#This Row],[Gender]]="Male"),"Mached","Not mached")</f>
        <v>Not mached</v>
      </c>
    </row>
    <row r="1396" spans="4:16" x14ac:dyDescent="0.25">
      <c r="D1396" s="6" t="s">
        <v>34</v>
      </c>
      <c r="E1396">
        <v>2013</v>
      </c>
      <c r="F1396" s="6" t="s">
        <v>35</v>
      </c>
      <c r="G1396">
        <v>3</v>
      </c>
      <c r="H1396">
        <v>26</v>
      </c>
      <c r="I1396" s="6" t="s">
        <v>36</v>
      </c>
      <c r="J1396" s="6" t="s">
        <v>37</v>
      </c>
      <c r="K1396">
        <v>4</v>
      </c>
      <c r="M1396" s="1" t="b">
        <f>Employee__2[[#This Row],[Experience]]&gt;1</f>
        <v>1</v>
      </c>
      <c r="N1396" s="1" t="str">
        <f>IF(Employee__2[[#This Row],[City]]="Pune","Yes","No")</f>
        <v>No</v>
      </c>
      <c r="O1396" s="1" t="str">
        <f>IF(AND(Employee__2[[#This Row],[Education]]="Bachelors",Employee__2[[#This Row],[City]]="Pune"),"Yes","No")</f>
        <v>No</v>
      </c>
      <c r="P1396" s="1" t="str">
        <f>IF(OR(Employee__2[[#This Row],[Age]]&gt;=30,Employee__2[[#This Row],[Gender]]="Male"),"Mached","Not mached")</f>
        <v>Mached</v>
      </c>
    </row>
    <row r="1397" spans="4:16" x14ac:dyDescent="0.25">
      <c r="D1397" s="6" t="s">
        <v>34</v>
      </c>
      <c r="E1397">
        <v>2017</v>
      </c>
      <c r="F1397" s="6" t="s">
        <v>38</v>
      </c>
      <c r="G1397">
        <v>2</v>
      </c>
      <c r="H1397">
        <v>28</v>
      </c>
      <c r="I1397" s="6" t="s">
        <v>36</v>
      </c>
      <c r="J1397" s="6" t="s">
        <v>37</v>
      </c>
      <c r="K1397">
        <v>1</v>
      </c>
      <c r="M1397" s="1" t="b">
        <f>Employee__2[[#This Row],[Experience]]&gt;1</f>
        <v>0</v>
      </c>
      <c r="N1397" s="1" t="str">
        <f>IF(Employee__2[[#This Row],[City]]="Pune","Yes","No")</f>
        <v>Yes</v>
      </c>
      <c r="O1397" s="1" t="str">
        <f>IF(AND(Employee__2[[#This Row],[Education]]="Bachelors",Employee__2[[#This Row],[City]]="Pune"),"Yes","No")</f>
        <v>Yes</v>
      </c>
      <c r="P1397" s="1" t="str">
        <f>IF(OR(Employee__2[[#This Row],[Age]]&gt;=30,Employee__2[[#This Row],[Gender]]="Male"),"Mached","Not mached")</f>
        <v>Mached</v>
      </c>
    </row>
    <row r="1398" spans="4:16" x14ac:dyDescent="0.25">
      <c r="D1398" s="6" t="s">
        <v>34</v>
      </c>
      <c r="E1398">
        <v>2014</v>
      </c>
      <c r="F1398" s="6" t="s">
        <v>35</v>
      </c>
      <c r="G1398">
        <v>3</v>
      </c>
      <c r="H1398">
        <v>25</v>
      </c>
      <c r="I1398" s="6" t="s">
        <v>36</v>
      </c>
      <c r="J1398" s="6" t="s">
        <v>37</v>
      </c>
      <c r="K1398">
        <v>3</v>
      </c>
      <c r="M1398" s="1" t="b">
        <f>Employee__2[[#This Row],[Experience]]&gt;1</f>
        <v>1</v>
      </c>
      <c r="N1398" s="1" t="str">
        <f>IF(Employee__2[[#This Row],[City]]="Pune","Yes","No")</f>
        <v>No</v>
      </c>
      <c r="O1398" s="1" t="str">
        <f>IF(AND(Employee__2[[#This Row],[Education]]="Bachelors",Employee__2[[#This Row],[City]]="Pune"),"Yes","No")</f>
        <v>No</v>
      </c>
      <c r="P1398" s="1" t="str">
        <f>IF(OR(Employee__2[[#This Row],[Age]]&gt;=30,Employee__2[[#This Row],[Gender]]="Male"),"Mached","Not mached")</f>
        <v>Mached</v>
      </c>
    </row>
    <row r="1399" spans="4:16" x14ac:dyDescent="0.25">
      <c r="D1399" s="6" t="s">
        <v>34</v>
      </c>
      <c r="E1399">
        <v>2013</v>
      </c>
      <c r="F1399" s="6" t="s">
        <v>35</v>
      </c>
      <c r="G1399">
        <v>3</v>
      </c>
      <c r="H1399">
        <v>27</v>
      </c>
      <c r="I1399" s="6" t="s">
        <v>36</v>
      </c>
      <c r="J1399" s="6" t="s">
        <v>37</v>
      </c>
      <c r="K1399">
        <v>5</v>
      </c>
      <c r="M1399" s="1" t="b">
        <f>Employee__2[[#This Row],[Experience]]&gt;1</f>
        <v>1</v>
      </c>
      <c r="N1399" s="1" t="str">
        <f>IF(Employee__2[[#This Row],[City]]="Pune","Yes","No")</f>
        <v>No</v>
      </c>
      <c r="O1399" s="1" t="str">
        <f>IF(AND(Employee__2[[#This Row],[Education]]="Bachelors",Employee__2[[#This Row],[City]]="Pune"),"Yes","No")</f>
        <v>No</v>
      </c>
      <c r="P1399" s="1" t="str">
        <f>IF(OR(Employee__2[[#This Row],[Age]]&gt;=30,Employee__2[[#This Row],[Gender]]="Male"),"Mached","Not mached")</f>
        <v>Mached</v>
      </c>
    </row>
    <row r="1400" spans="4:16" x14ac:dyDescent="0.25">
      <c r="D1400" s="6" t="s">
        <v>43</v>
      </c>
      <c r="E1400">
        <v>2013</v>
      </c>
      <c r="F1400" s="6" t="s">
        <v>35</v>
      </c>
      <c r="G1400">
        <v>3</v>
      </c>
      <c r="H1400">
        <v>26</v>
      </c>
      <c r="I1400" s="6" t="s">
        <v>36</v>
      </c>
      <c r="J1400" s="6" t="s">
        <v>37</v>
      </c>
      <c r="K1400">
        <v>4</v>
      </c>
      <c r="M1400" s="1" t="b">
        <f>Employee__2[[#This Row],[Experience]]&gt;1</f>
        <v>1</v>
      </c>
      <c r="N1400" s="1" t="str">
        <f>IF(Employee__2[[#This Row],[City]]="Pune","Yes","No")</f>
        <v>No</v>
      </c>
      <c r="O1400" s="1" t="str">
        <f>IF(AND(Employee__2[[#This Row],[Education]]="Bachelors",Employee__2[[#This Row],[City]]="Pune"),"Yes","No")</f>
        <v>No</v>
      </c>
      <c r="P1400" s="1" t="str">
        <f>IF(OR(Employee__2[[#This Row],[Age]]&gt;=30,Employee__2[[#This Row],[Gender]]="Male"),"Mached","Not mached")</f>
        <v>Mached</v>
      </c>
    </row>
    <row r="1401" spans="4:16" x14ac:dyDescent="0.25">
      <c r="D1401" s="6" t="s">
        <v>34</v>
      </c>
      <c r="E1401">
        <v>2013</v>
      </c>
      <c r="F1401" s="6" t="s">
        <v>40</v>
      </c>
      <c r="G1401">
        <v>3</v>
      </c>
      <c r="H1401">
        <v>25</v>
      </c>
      <c r="I1401" s="6" t="s">
        <v>39</v>
      </c>
      <c r="J1401" s="6" t="s">
        <v>42</v>
      </c>
      <c r="K1401">
        <v>3</v>
      </c>
      <c r="M1401" s="1" t="b">
        <f>Employee__2[[#This Row],[Experience]]&gt;1</f>
        <v>1</v>
      </c>
      <c r="N1401" s="1" t="str">
        <f>IF(Employee__2[[#This Row],[City]]="Pune","Yes","No")</f>
        <v>No</v>
      </c>
      <c r="O1401" s="1" t="str">
        <f>IF(AND(Employee__2[[#This Row],[Education]]="Bachelors",Employee__2[[#This Row],[City]]="Pune"),"Yes","No")</f>
        <v>No</v>
      </c>
      <c r="P1401" s="1" t="str">
        <f>IF(OR(Employee__2[[#This Row],[Age]]&gt;=30,Employee__2[[#This Row],[Gender]]="Male"),"Mached","Not mached")</f>
        <v>Not mached</v>
      </c>
    </row>
    <row r="1402" spans="4:16" x14ac:dyDescent="0.25">
      <c r="D1402" s="6" t="s">
        <v>34</v>
      </c>
      <c r="E1402">
        <v>2017</v>
      </c>
      <c r="F1402" s="6" t="s">
        <v>35</v>
      </c>
      <c r="G1402">
        <v>1</v>
      </c>
      <c r="H1402">
        <v>28</v>
      </c>
      <c r="I1402" s="6" t="s">
        <v>39</v>
      </c>
      <c r="J1402" s="6" t="s">
        <v>37</v>
      </c>
      <c r="K1402">
        <v>3</v>
      </c>
      <c r="M1402" s="1" t="b">
        <f>Employee__2[[#This Row],[Experience]]&gt;1</f>
        <v>1</v>
      </c>
      <c r="N1402" s="1" t="str">
        <f>IF(Employee__2[[#This Row],[City]]="Pune","Yes","No")</f>
        <v>No</v>
      </c>
      <c r="O1402" s="1" t="str">
        <f>IF(AND(Employee__2[[#This Row],[Education]]="Bachelors",Employee__2[[#This Row],[City]]="Pune"),"Yes","No")</f>
        <v>No</v>
      </c>
      <c r="P1402" s="1" t="str">
        <f>IF(OR(Employee__2[[#This Row],[Age]]&gt;=30,Employee__2[[#This Row],[Gender]]="Male"),"Mached","Not mached")</f>
        <v>Not mached</v>
      </c>
    </row>
    <row r="1403" spans="4:16" x14ac:dyDescent="0.25">
      <c r="D1403" s="6" t="s">
        <v>34</v>
      </c>
      <c r="E1403">
        <v>2014</v>
      </c>
      <c r="F1403" s="6" t="s">
        <v>35</v>
      </c>
      <c r="G1403">
        <v>3</v>
      </c>
      <c r="H1403">
        <v>26</v>
      </c>
      <c r="I1403" s="6" t="s">
        <v>36</v>
      </c>
      <c r="J1403" s="6" t="s">
        <v>37</v>
      </c>
      <c r="K1403">
        <v>4</v>
      </c>
      <c r="M1403" s="1" t="b">
        <f>Employee__2[[#This Row],[Experience]]&gt;1</f>
        <v>1</v>
      </c>
      <c r="N1403" s="1" t="str">
        <f>IF(Employee__2[[#This Row],[City]]="Pune","Yes","No")</f>
        <v>No</v>
      </c>
      <c r="O1403" s="1" t="str">
        <f>IF(AND(Employee__2[[#This Row],[Education]]="Bachelors",Employee__2[[#This Row],[City]]="Pune"),"Yes","No")</f>
        <v>No</v>
      </c>
      <c r="P1403" s="1" t="str">
        <f>IF(OR(Employee__2[[#This Row],[Age]]&gt;=30,Employee__2[[#This Row],[Gender]]="Male"),"Mached","Not mached")</f>
        <v>Mached</v>
      </c>
    </row>
    <row r="1404" spans="4:16" x14ac:dyDescent="0.25">
      <c r="D1404" s="6" t="s">
        <v>34</v>
      </c>
      <c r="E1404">
        <v>2015</v>
      </c>
      <c r="F1404" s="6" t="s">
        <v>40</v>
      </c>
      <c r="G1404">
        <v>3</v>
      </c>
      <c r="H1404">
        <v>27</v>
      </c>
      <c r="I1404" s="6" t="s">
        <v>36</v>
      </c>
      <c r="J1404" s="6" t="s">
        <v>37</v>
      </c>
      <c r="K1404">
        <v>5</v>
      </c>
      <c r="M1404" s="1" t="b">
        <f>Employee__2[[#This Row],[Experience]]&gt;1</f>
        <v>1</v>
      </c>
      <c r="N1404" s="1" t="str">
        <f>IF(Employee__2[[#This Row],[City]]="Pune","Yes","No")</f>
        <v>No</v>
      </c>
      <c r="O1404" s="1" t="str">
        <f>IF(AND(Employee__2[[#This Row],[Education]]="Bachelors",Employee__2[[#This Row],[City]]="Pune"),"Yes","No")</f>
        <v>No</v>
      </c>
      <c r="P1404" s="1" t="str">
        <f>IF(OR(Employee__2[[#This Row],[Age]]&gt;=30,Employee__2[[#This Row],[Gender]]="Male"),"Mached","Not mached")</f>
        <v>Mached</v>
      </c>
    </row>
    <row r="1405" spans="4:16" x14ac:dyDescent="0.25">
      <c r="D1405" s="6" t="s">
        <v>41</v>
      </c>
      <c r="E1405">
        <v>2013</v>
      </c>
      <c r="F1405" s="6" t="s">
        <v>38</v>
      </c>
      <c r="G1405">
        <v>2</v>
      </c>
      <c r="H1405">
        <v>28</v>
      </c>
      <c r="I1405" s="6" t="s">
        <v>36</v>
      </c>
      <c r="J1405" s="6" t="s">
        <v>37</v>
      </c>
      <c r="K1405">
        <v>2</v>
      </c>
      <c r="M1405" s="1" t="b">
        <f>Employee__2[[#This Row],[Experience]]&gt;1</f>
        <v>1</v>
      </c>
      <c r="N1405" s="1" t="str">
        <f>IF(Employee__2[[#This Row],[City]]="Pune","Yes","No")</f>
        <v>Yes</v>
      </c>
      <c r="O1405" s="1" t="str">
        <f>IF(AND(Employee__2[[#This Row],[Education]]="Bachelors",Employee__2[[#This Row],[City]]="Pune"),"Yes","No")</f>
        <v>No</v>
      </c>
      <c r="P1405" s="1" t="str">
        <f>IF(OR(Employee__2[[#This Row],[Age]]&gt;=30,Employee__2[[#This Row],[Gender]]="Male"),"Mached","Not mached")</f>
        <v>Mached</v>
      </c>
    </row>
    <row r="1406" spans="4:16" x14ac:dyDescent="0.25">
      <c r="D1406" s="6" t="s">
        <v>34</v>
      </c>
      <c r="E1406">
        <v>2013</v>
      </c>
      <c r="F1406" s="6" t="s">
        <v>40</v>
      </c>
      <c r="G1406">
        <v>3</v>
      </c>
      <c r="H1406">
        <v>25</v>
      </c>
      <c r="I1406" s="6" t="s">
        <v>39</v>
      </c>
      <c r="J1406" s="6" t="s">
        <v>42</v>
      </c>
      <c r="K1406">
        <v>3</v>
      </c>
      <c r="M1406" s="1" t="b">
        <f>Employee__2[[#This Row],[Experience]]&gt;1</f>
        <v>1</v>
      </c>
      <c r="N1406" s="1" t="str">
        <f>IF(Employee__2[[#This Row],[City]]="Pune","Yes","No")</f>
        <v>No</v>
      </c>
      <c r="O1406" s="1" t="str">
        <f>IF(AND(Employee__2[[#This Row],[Education]]="Bachelors",Employee__2[[#This Row],[City]]="Pune"),"Yes","No")</f>
        <v>No</v>
      </c>
      <c r="P1406" s="1" t="str">
        <f>IF(OR(Employee__2[[#This Row],[Age]]&gt;=30,Employee__2[[#This Row],[Gender]]="Male"),"Mached","Not mached")</f>
        <v>Not mached</v>
      </c>
    </row>
    <row r="1407" spans="4:16" x14ac:dyDescent="0.25">
      <c r="D1407" s="6" t="s">
        <v>41</v>
      </c>
      <c r="E1407">
        <v>2017</v>
      </c>
      <c r="F1407" s="6" t="s">
        <v>40</v>
      </c>
      <c r="G1407">
        <v>2</v>
      </c>
      <c r="H1407">
        <v>26</v>
      </c>
      <c r="I1407" s="6" t="s">
        <v>36</v>
      </c>
      <c r="J1407" s="6" t="s">
        <v>37</v>
      </c>
      <c r="K1407">
        <v>4</v>
      </c>
      <c r="M1407" s="1" t="b">
        <f>Employee__2[[#This Row],[Experience]]&gt;1</f>
        <v>1</v>
      </c>
      <c r="N1407" s="1" t="str">
        <f>IF(Employee__2[[#This Row],[City]]="Pune","Yes","No")</f>
        <v>No</v>
      </c>
      <c r="O1407" s="1" t="str">
        <f>IF(AND(Employee__2[[#This Row],[Education]]="Bachelors",Employee__2[[#This Row],[City]]="Pune"),"Yes","No")</f>
        <v>No</v>
      </c>
      <c r="P1407" s="1" t="str">
        <f>IF(OR(Employee__2[[#This Row],[Age]]&gt;=30,Employee__2[[#This Row],[Gender]]="Male"),"Mached","Not mached")</f>
        <v>Mached</v>
      </c>
    </row>
    <row r="1408" spans="4:16" x14ac:dyDescent="0.25">
      <c r="D1408" s="6" t="s">
        <v>41</v>
      </c>
      <c r="E1408">
        <v>2016</v>
      </c>
      <c r="F1408" s="6" t="s">
        <v>40</v>
      </c>
      <c r="G1408">
        <v>3</v>
      </c>
      <c r="H1408">
        <v>25</v>
      </c>
      <c r="I1408" s="6" t="s">
        <v>36</v>
      </c>
      <c r="J1408" s="6" t="s">
        <v>37</v>
      </c>
      <c r="K1408">
        <v>3</v>
      </c>
      <c r="M1408" s="1" t="b">
        <f>Employee__2[[#This Row],[Experience]]&gt;1</f>
        <v>1</v>
      </c>
      <c r="N1408" s="1" t="str">
        <f>IF(Employee__2[[#This Row],[City]]="Pune","Yes","No")</f>
        <v>No</v>
      </c>
      <c r="O1408" s="1" t="str">
        <f>IF(AND(Employee__2[[#This Row],[Education]]="Bachelors",Employee__2[[#This Row],[City]]="Pune"),"Yes","No")</f>
        <v>No</v>
      </c>
      <c r="P1408" s="1" t="str">
        <f>IF(OR(Employee__2[[#This Row],[Age]]&gt;=30,Employee__2[[#This Row],[Gender]]="Male"),"Mached","Not mached")</f>
        <v>Mached</v>
      </c>
    </row>
    <row r="1409" spans="4:16" x14ac:dyDescent="0.25">
      <c r="D1409" s="6" t="s">
        <v>34</v>
      </c>
      <c r="E1409">
        <v>2017</v>
      </c>
      <c r="F1409" s="6" t="s">
        <v>35</v>
      </c>
      <c r="G1409">
        <v>3</v>
      </c>
      <c r="H1409">
        <v>28</v>
      </c>
      <c r="I1409" s="6" t="s">
        <v>39</v>
      </c>
      <c r="J1409" s="6" t="s">
        <v>42</v>
      </c>
      <c r="K1409">
        <v>5</v>
      </c>
      <c r="M1409" s="1" t="b">
        <f>Employee__2[[#This Row],[Experience]]&gt;1</f>
        <v>1</v>
      </c>
      <c r="N1409" s="1" t="str">
        <f>IF(Employee__2[[#This Row],[City]]="Pune","Yes","No")</f>
        <v>No</v>
      </c>
      <c r="O1409" s="1" t="str">
        <f>IF(AND(Employee__2[[#This Row],[Education]]="Bachelors",Employee__2[[#This Row],[City]]="Pune"),"Yes","No")</f>
        <v>No</v>
      </c>
      <c r="P1409" s="1" t="str">
        <f>IF(OR(Employee__2[[#This Row],[Age]]&gt;=30,Employee__2[[#This Row],[Gender]]="Male"),"Mached","Not mached")</f>
        <v>Not mached</v>
      </c>
    </row>
    <row r="1410" spans="4:16" x14ac:dyDescent="0.25">
      <c r="D1410" s="6" t="s">
        <v>41</v>
      </c>
      <c r="E1410">
        <v>2017</v>
      </c>
      <c r="F1410" s="6" t="s">
        <v>40</v>
      </c>
      <c r="G1410">
        <v>2</v>
      </c>
      <c r="H1410">
        <v>28</v>
      </c>
      <c r="I1410" s="6" t="s">
        <v>39</v>
      </c>
      <c r="J1410" s="6" t="s">
        <v>37</v>
      </c>
      <c r="K1410">
        <v>2</v>
      </c>
      <c r="M1410" s="1" t="b">
        <f>Employee__2[[#This Row],[Experience]]&gt;1</f>
        <v>1</v>
      </c>
      <c r="N1410" s="1" t="str">
        <f>IF(Employee__2[[#This Row],[City]]="Pune","Yes","No")</f>
        <v>No</v>
      </c>
      <c r="O1410" s="1" t="str">
        <f>IF(AND(Employee__2[[#This Row],[Education]]="Bachelors",Employee__2[[#This Row],[City]]="Pune"),"Yes","No")</f>
        <v>No</v>
      </c>
      <c r="P1410" s="1" t="str">
        <f>IF(OR(Employee__2[[#This Row],[Age]]&gt;=30,Employee__2[[#This Row],[Gender]]="Male"),"Mached","Not mached")</f>
        <v>Not mached</v>
      </c>
    </row>
    <row r="1411" spans="4:16" x14ac:dyDescent="0.25">
      <c r="D1411" s="6" t="s">
        <v>34</v>
      </c>
      <c r="E1411">
        <v>2012</v>
      </c>
      <c r="F1411" s="6" t="s">
        <v>35</v>
      </c>
      <c r="G1411">
        <v>1</v>
      </c>
      <c r="H1411">
        <v>27</v>
      </c>
      <c r="I1411" s="6" t="s">
        <v>36</v>
      </c>
      <c r="J1411" s="6" t="s">
        <v>37</v>
      </c>
      <c r="K1411">
        <v>5</v>
      </c>
      <c r="M1411" s="1" t="b">
        <f>Employee__2[[#This Row],[Experience]]&gt;1</f>
        <v>1</v>
      </c>
      <c r="N1411" s="1" t="str">
        <f>IF(Employee__2[[#This Row],[City]]="Pune","Yes","No")</f>
        <v>No</v>
      </c>
      <c r="O1411" s="1" t="str">
        <f>IF(AND(Employee__2[[#This Row],[Education]]="Bachelors",Employee__2[[#This Row],[City]]="Pune"),"Yes","No")</f>
        <v>No</v>
      </c>
      <c r="P1411" s="1" t="str">
        <f>IF(OR(Employee__2[[#This Row],[Age]]&gt;=30,Employee__2[[#This Row],[Gender]]="Male"),"Mached","Not mached")</f>
        <v>Mached</v>
      </c>
    </row>
    <row r="1412" spans="4:16" x14ac:dyDescent="0.25">
      <c r="D1412" s="6" t="s">
        <v>34</v>
      </c>
      <c r="E1412">
        <v>2018</v>
      </c>
      <c r="F1412" s="6" t="s">
        <v>35</v>
      </c>
      <c r="G1412">
        <v>3</v>
      </c>
      <c r="H1412">
        <v>27</v>
      </c>
      <c r="I1412" s="6" t="s">
        <v>36</v>
      </c>
      <c r="J1412" s="6" t="s">
        <v>37</v>
      </c>
      <c r="K1412">
        <v>5</v>
      </c>
      <c r="M1412" s="1" t="b">
        <f>Employee__2[[#This Row],[Experience]]&gt;1</f>
        <v>1</v>
      </c>
      <c r="N1412" s="1" t="str">
        <f>IF(Employee__2[[#This Row],[City]]="Pune","Yes","No")</f>
        <v>No</v>
      </c>
      <c r="O1412" s="1" t="str">
        <f>IF(AND(Employee__2[[#This Row],[Education]]="Bachelors",Employee__2[[#This Row],[City]]="Pune"),"Yes","No")</f>
        <v>No</v>
      </c>
      <c r="P1412" s="1" t="str">
        <f>IF(OR(Employee__2[[#This Row],[Age]]&gt;=30,Employee__2[[#This Row],[Gender]]="Male"),"Mached","Not mached")</f>
        <v>Mached</v>
      </c>
    </row>
    <row r="1413" spans="4:16" x14ac:dyDescent="0.25">
      <c r="D1413" s="6" t="s">
        <v>34</v>
      </c>
      <c r="E1413">
        <v>2016</v>
      </c>
      <c r="F1413" s="6" t="s">
        <v>35</v>
      </c>
      <c r="G1413">
        <v>3</v>
      </c>
      <c r="H1413">
        <v>24</v>
      </c>
      <c r="I1413" s="6" t="s">
        <v>39</v>
      </c>
      <c r="J1413" s="6" t="s">
        <v>37</v>
      </c>
      <c r="K1413">
        <v>2</v>
      </c>
      <c r="M1413" s="1" t="b">
        <f>Employee__2[[#This Row],[Experience]]&gt;1</f>
        <v>1</v>
      </c>
      <c r="N1413" s="1" t="str">
        <f>IF(Employee__2[[#This Row],[City]]="Pune","Yes","No")</f>
        <v>No</v>
      </c>
      <c r="O1413" s="1" t="str">
        <f>IF(AND(Employee__2[[#This Row],[Education]]="Bachelors",Employee__2[[#This Row],[City]]="Pune"),"Yes","No")</f>
        <v>No</v>
      </c>
      <c r="P1413" s="1" t="str">
        <f>IF(OR(Employee__2[[#This Row],[Age]]&gt;=30,Employee__2[[#This Row],[Gender]]="Male"),"Mached","Not mached")</f>
        <v>Not mached</v>
      </c>
    </row>
    <row r="1414" spans="4:16" x14ac:dyDescent="0.25">
      <c r="D1414" s="6" t="s">
        <v>34</v>
      </c>
      <c r="E1414">
        <v>2017</v>
      </c>
      <c r="F1414" s="6" t="s">
        <v>38</v>
      </c>
      <c r="G1414">
        <v>3</v>
      </c>
      <c r="H1414">
        <v>26</v>
      </c>
      <c r="I1414" s="6" t="s">
        <v>36</v>
      </c>
      <c r="J1414" s="6" t="s">
        <v>37</v>
      </c>
      <c r="K1414">
        <v>4</v>
      </c>
      <c r="M1414" s="1" t="b">
        <f>Employee__2[[#This Row],[Experience]]&gt;1</f>
        <v>1</v>
      </c>
      <c r="N1414" s="1" t="str">
        <f>IF(Employee__2[[#This Row],[City]]="Pune","Yes","No")</f>
        <v>Yes</v>
      </c>
      <c r="O1414" s="1" t="str">
        <f>IF(AND(Employee__2[[#This Row],[Education]]="Bachelors",Employee__2[[#This Row],[City]]="Pune"),"Yes","No")</f>
        <v>Yes</v>
      </c>
      <c r="P1414" s="1" t="str">
        <f>IF(OR(Employee__2[[#This Row],[Age]]&gt;=30,Employee__2[[#This Row],[Gender]]="Male"),"Mached","Not mached")</f>
        <v>Mached</v>
      </c>
    </row>
    <row r="1415" spans="4:16" x14ac:dyDescent="0.25">
      <c r="D1415" s="6" t="s">
        <v>34</v>
      </c>
      <c r="E1415">
        <v>2017</v>
      </c>
      <c r="F1415" s="6" t="s">
        <v>40</v>
      </c>
      <c r="G1415">
        <v>3</v>
      </c>
      <c r="H1415">
        <v>25</v>
      </c>
      <c r="I1415" s="6" t="s">
        <v>39</v>
      </c>
      <c r="J1415" s="6" t="s">
        <v>37</v>
      </c>
      <c r="K1415">
        <v>3</v>
      </c>
      <c r="M1415" s="1" t="b">
        <f>Employee__2[[#This Row],[Experience]]&gt;1</f>
        <v>1</v>
      </c>
      <c r="N1415" s="1" t="str">
        <f>IF(Employee__2[[#This Row],[City]]="Pune","Yes","No")</f>
        <v>No</v>
      </c>
      <c r="O1415" s="1" t="str">
        <f>IF(AND(Employee__2[[#This Row],[Education]]="Bachelors",Employee__2[[#This Row],[City]]="Pune"),"Yes","No")</f>
        <v>No</v>
      </c>
      <c r="P1415" s="1" t="str">
        <f>IF(OR(Employee__2[[#This Row],[Age]]&gt;=30,Employee__2[[#This Row],[Gender]]="Male"),"Mached","Not mached")</f>
        <v>Not mached</v>
      </c>
    </row>
    <row r="1416" spans="4:16" x14ac:dyDescent="0.25">
      <c r="D1416" s="6" t="s">
        <v>34</v>
      </c>
      <c r="E1416">
        <v>2015</v>
      </c>
      <c r="F1416" s="6" t="s">
        <v>38</v>
      </c>
      <c r="G1416">
        <v>3</v>
      </c>
      <c r="H1416">
        <v>28</v>
      </c>
      <c r="I1416" s="6" t="s">
        <v>39</v>
      </c>
      <c r="J1416" s="6" t="s">
        <v>42</v>
      </c>
      <c r="K1416">
        <v>5</v>
      </c>
      <c r="M1416" s="1" t="b">
        <f>Employee__2[[#This Row],[Experience]]&gt;1</f>
        <v>1</v>
      </c>
      <c r="N1416" s="1" t="str">
        <f>IF(Employee__2[[#This Row],[City]]="Pune","Yes","No")</f>
        <v>Yes</v>
      </c>
      <c r="O1416" s="1" t="str">
        <f>IF(AND(Employee__2[[#This Row],[Education]]="Bachelors",Employee__2[[#This Row],[City]]="Pune"),"Yes","No")</f>
        <v>Yes</v>
      </c>
      <c r="P1416" s="1" t="str">
        <f>IF(OR(Employee__2[[#This Row],[Age]]&gt;=30,Employee__2[[#This Row],[Gender]]="Male"),"Mached","Not mached")</f>
        <v>Not mached</v>
      </c>
    </row>
    <row r="1417" spans="4:16" x14ac:dyDescent="0.25">
      <c r="D1417" s="6" t="s">
        <v>34</v>
      </c>
      <c r="E1417">
        <v>2015</v>
      </c>
      <c r="F1417" s="6" t="s">
        <v>35</v>
      </c>
      <c r="G1417">
        <v>3</v>
      </c>
      <c r="H1417">
        <v>26</v>
      </c>
      <c r="I1417" s="6" t="s">
        <v>36</v>
      </c>
      <c r="J1417" s="6" t="s">
        <v>37</v>
      </c>
      <c r="K1417">
        <v>4</v>
      </c>
      <c r="M1417" s="1" t="b">
        <f>Employee__2[[#This Row],[Experience]]&gt;1</f>
        <v>1</v>
      </c>
      <c r="N1417" s="1" t="str">
        <f>IF(Employee__2[[#This Row],[City]]="Pune","Yes","No")</f>
        <v>No</v>
      </c>
      <c r="O1417" s="1" t="str">
        <f>IF(AND(Employee__2[[#This Row],[Education]]="Bachelors",Employee__2[[#This Row],[City]]="Pune"),"Yes","No")</f>
        <v>No</v>
      </c>
      <c r="P1417" s="1" t="str">
        <f>IF(OR(Employee__2[[#This Row],[Age]]&gt;=30,Employee__2[[#This Row],[Gender]]="Male"),"Mached","Not mached")</f>
        <v>Mached</v>
      </c>
    </row>
    <row r="1418" spans="4:16" x14ac:dyDescent="0.25">
      <c r="D1418" s="6" t="s">
        <v>41</v>
      </c>
      <c r="E1418">
        <v>2015</v>
      </c>
      <c r="F1418" s="6" t="s">
        <v>38</v>
      </c>
      <c r="G1418">
        <v>2</v>
      </c>
      <c r="H1418">
        <v>26</v>
      </c>
      <c r="I1418" s="6" t="s">
        <v>39</v>
      </c>
      <c r="J1418" s="6" t="s">
        <v>42</v>
      </c>
      <c r="K1418">
        <v>4</v>
      </c>
      <c r="M1418" s="1" t="b">
        <f>Employee__2[[#This Row],[Experience]]&gt;1</f>
        <v>1</v>
      </c>
      <c r="N1418" s="1" t="str">
        <f>IF(Employee__2[[#This Row],[City]]="Pune","Yes","No")</f>
        <v>Yes</v>
      </c>
      <c r="O1418" s="1" t="str">
        <f>IF(AND(Employee__2[[#This Row],[Education]]="Bachelors",Employee__2[[#This Row],[City]]="Pune"),"Yes","No")</f>
        <v>No</v>
      </c>
      <c r="P1418" s="1" t="str">
        <f>IF(OR(Employee__2[[#This Row],[Age]]&gt;=30,Employee__2[[#This Row],[Gender]]="Male"),"Mached","Not mached")</f>
        <v>Not mached</v>
      </c>
    </row>
    <row r="1419" spans="4:16" x14ac:dyDescent="0.25">
      <c r="D1419" s="6" t="s">
        <v>41</v>
      </c>
      <c r="E1419">
        <v>2015</v>
      </c>
      <c r="F1419" s="6" t="s">
        <v>38</v>
      </c>
      <c r="G1419">
        <v>3</v>
      </c>
      <c r="H1419">
        <v>25</v>
      </c>
      <c r="I1419" s="6" t="s">
        <v>36</v>
      </c>
      <c r="J1419" s="6" t="s">
        <v>37</v>
      </c>
      <c r="K1419">
        <v>3</v>
      </c>
      <c r="M1419" s="1" t="b">
        <f>Employee__2[[#This Row],[Experience]]&gt;1</f>
        <v>1</v>
      </c>
      <c r="N1419" s="1" t="str">
        <f>IF(Employee__2[[#This Row],[City]]="Pune","Yes","No")</f>
        <v>Yes</v>
      </c>
      <c r="O1419" s="1" t="str">
        <f>IF(AND(Employee__2[[#This Row],[Education]]="Bachelors",Employee__2[[#This Row],[City]]="Pune"),"Yes","No")</f>
        <v>No</v>
      </c>
      <c r="P1419" s="1" t="str">
        <f>IF(OR(Employee__2[[#This Row],[Age]]&gt;=30,Employee__2[[#This Row],[Gender]]="Male"),"Mached","Not mached")</f>
        <v>Mached</v>
      </c>
    </row>
    <row r="1420" spans="4:16" x14ac:dyDescent="0.25">
      <c r="D1420" s="6" t="s">
        <v>34</v>
      </c>
      <c r="E1420">
        <v>2016</v>
      </c>
      <c r="F1420" s="6" t="s">
        <v>38</v>
      </c>
      <c r="G1420">
        <v>3</v>
      </c>
      <c r="H1420">
        <v>27</v>
      </c>
      <c r="I1420" s="6" t="s">
        <v>39</v>
      </c>
      <c r="J1420" s="6" t="s">
        <v>37</v>
      </c>
      <c r="K1420">
        <v>5</v>
      </c>
      <c r="M1420" s="1" t="b">
        <f>Employee__2[[#This Row],[Experience]]&gt;1</f>
        <v>1</v>
      </c>
      <c r="N1420" s="1" t="str">
        <f>IF(Employee__2[[#This Row],[City]]="Pune","Yes","No")</f>
        <v>Yes</v>
      </c>
      <c r="O1420" s="1" t="str">
        <f>IF(AND(Employee__2[[#This Row],[Education]]="Bachelors",Employee__2[[#This Row],[City]]="Pune"),"Yes","No")</f>
        <v>Yes</v>
      </c>
      <c r="P1420" s="1" t="str">
        <f>IF(OR(Employee__2[[#This Row],[Age]]&gt;=30,Employee__2[[#This Row],[Gender]]="Male"),"Mached","Not mached")</f>
        <v>Not mached</v>
      </c>
    </row>
    <row r="1421" spans="4:16" x14ac:dyDescent="0.25">
      <c r="D1421" s="6" t="s">
        <v>34</v>
      </c>
      <c r="E1421">
        <v>2013</v>
      </c>
      <c r="F1421" s="6" t="s">
        <v>35</v>
      </c>
      <c r="G1421">
        <v>3</v>
      </c>
      <c r="H1421">
        <v>25</v>
      </c>
      <c r="I1421" s="6" t="s">
        <v>36</v>
      </c>
      <c r="J1421" s="6" t="s">
        <v>37</v>
      </c>
      <c r="K1421">
        <v>3</v>
      </c>
      <c r="M1421" s="1" t="b">
        <f>Employee__2[[#This Row],[Experience]]&gt;1</f>
        <v>1</v>
      </c>
      <c r="N1421" s="1" t="str">
        <f>IF(Employee__2[[#This Row],[City]]="Pune","Yes","No")</f>
        <v>No</v>
      </c>
      <c r="O1421" s="1" t="str">
        <f>IF(AND(Employee__2[[#This Row],[Education]]="Bachelors",Employee__2[[#This Row],[City]]="Pune"),"Yes","No")</f>
        <v>No</v>
      </c>
      <c r="P1421" s="1" t="str">
        <f>IF(OR(Employee__2[[#This Row],[Age]]&gt;=30,Employee__2[[#This Row],[Gender]]="Male"),"Mached","Not mached")</f>
        <v>Mached</v>
      </c>
    </row>
    <row r="1422" spans="4:16" x14ac:dyDescent="0.25">
      <c r="D1422" s="6" t="s">
        <v>34</v>
      </c>
      <c r="E1422">
        <v>2018</v>
      </c>
      <c r="F1422" s="6" t="s">
        <v>38</v>
      </c>
      <c r="G1422">
        <v>3</v>
      </c>
      <c r="H1422">
        <v>26</v>
      </c>
      <c r="I1422" s="6" t="s">
        <v>36</v>
      </c>
      <c r="J1422" s="6" t="s">
        <v>42</v>
      </c>
      <c r="K1422">
        <v>4</v>
      </c>
      <c r="M1422" s="1" t="b">
        <f>Employee__2[[#This Row],[Experience]]&gt;1</f>
        <v>1</v>
      </c>
      <c r="N1422" s="1" t="str">
        <f>IF(Employee__2[[#This Row],[City]]="Pune","Yes","No")</f>
        <v>Yes</v>
      </c>
      <c r="O1422" s="1" t="str">
        <f>IF(AND(Employee__2[[#This Row],[Education]]="Bachelors",Employee__2[[#This Row],[City]]="Pune"),"Yes","No")</f>
        <v>Yes</v>
      </c>
      <c r="P1422" s="1" t="str">
        <f>IF(OR(Employee__2[[#This Row],[Age]]&gt;=30,Employee__2[[#This Row],[Gender]]="Male"),"Mached","Not mached")</f>
        <v>Mached</v>
      </c>
    </row>
    <row r="1423" spans="4:16" x14ac:dyDescent="0.25">
      <c r="D1423" s="6" t="s">
        <v>34</v>
      </c>
      <c r="E1423">
        <v>2014</v>
      </c>
      <c r="F1423" s="6" t="s">
        <v>35</v>
      </c>
      <c r="G1423">
        <v>3</v>
      </c>
      <c r="H1423">
        <v>27</v>
      </c>
      <c r="I1423" s="6" t="s">
        <v>39</v>
      </c>
      <c r="J1423" s="6" t="s">
        <v>37</v>
      </c>
      <c r="K1423">
        <v>5</v>
      </c>
      <c r="M1423" s="1" t="b">
        <f>Employee__2[[#This Row],[Experience]]&gt;1</f>
        <v>1</v>
      </c>
      <c r="N1423" s="1" t="str">
        <f>IF(Employee__2[[#This Row],[City]]="Pune","Yes","No")</f>
        <v>No</v>
      </c>
      <c r="O1423" s="1" t="str">
        <f>IF(AND(Employee__2[[#This Row],[Education]]="Bachelors",Employee__2[[#This Row],[City]]="Pune"),"Yes","No")</f>
        <v>No</v>
      </c>
      <c r="P1423" s="1" t="str">
        <f>IF(OR(Employee__2[[#This Row],[Age]]&gt;=30,Employee__2[[#This Row],[Gender]]="Male"),"Mached","Not mached")</f>
        <v>Not mached</v>
      </c>
    </row>
    <row r="1424" spans="4:16" x14ac:dyDescent="0.25">
      <c r="D1424" s="6" t="s">
        <v>34</v>
      </c>
      <c r="E1424">
        <v>2017</v>
      </c>
      <c r="F1424" s="6" t="s">
        <v>35</v>
      </c>
      <c r="G1424">
        <v>1</v>
      </c>
      <c r="H1424">
        <v>25</v>
      </c>
      <c r="I1424" s="6" t="s">
        <v>36</v>
      </c>
      <c r="J1424" s="6" t="s">
        <v>37</v>
      </c>
      <c r="K1424">
        <v>3</v>
      </c>
      <c r="M1424" s="1" t="b">
        <f>Employee__2[[#This Row],[Experience]]&gt;1</f>
        <v>1</v>
      </c>
      <c r="N1424" s="1" t="str">
        <f>IF(Employee__2[[#This Row],[City]]="Pune","Yes","No")</f>
        <v>No</v>
      </c>
      <c r="O1424" s="1" t="str">
        <f>IF(AND(Employee__2[[#This Row],[Education]]="Bachelors",Employee__2[[#This Row],[City]]="Pune"),"Yes","No")</f>
        <v>No</v>
      </c>
      <c r="P1424" s="1" t="str">
        <f>IF(OR(Employee__2[[#This Row],[Age]]&gt;=30,Employee__2[[#This Row],[Gender]]="Male"),"Mached","Not mached")</f>
        <v>Mached</v>
      </c>
    </row>
    <row r="1425" spans="4:16" x14ac:dyDescent="0.25">
      <c r="D1425" s="6" t="s">
        <v>34</v>
      </c>
      <c r="E1425">
        <v>2015</v>
      </c>
      <c r="F1425" s="6" t="s">
        <v>40</v>
      </c>
      <c r="G1425">
        <v>3</v>
      </c>
      <c r="H1425">
        <v>26</v>
      </c>
      <c r="I1425" s="6" t="s">
        <v>36</v>
      </c>
      <c r="J1425" s="6" t="s">
        <v>37</v>
      </c>
      <c r="K1425">
        <v>4</v>
      </c>
      <c r="M1425" s="1" t="b">
        <f>Employee__2[[#This Row],[Experience]]&gt;1</f>
        <v>1</v>
      </c>
      <c r="N1425" s="1" t="str">
        <f>IF(Employee__2[[#This Row],[City]]="Pune","Yes","No")</f>
        <v>No</v>
      </c>
      <c r="O1425" s="1" t="str">
        <f>IF(AND(Employee__2[[#This Row],[Education]]="Bachelors",Employee__2[[#This Row],[City]]="Pune"),"Yes","No")</f>
        <v>No</v>
      </c>
      <c r="P1425" s="1" t="str">
        <f>IF(OR(Employee__2[[#This Row],[Age]]&gt;=30,Employee__2[[#This Row],[Gender]]="Male"),"Mached","Not mached")</f>
        <v>Mached</v>
      </c>
    </row>
    <row r="1426" spans="4:16" x14ac:dyDescent="0.25">
      <c r="D1426" s="6" t="s">
        <v>34</v>
      </c>
      <c r="E1426">
        <v>2015</v>
      </c>
      <c r="F1426" s="6" t="s">
        <v>38</v>
      </c>
      <c r="G1426">
        <v>3</v>
      </c>
      <c r="H1426">
        <v>24</v>
      </c>
      <c r="I1426" s="6" t="s">
        <v>39</v>
      </c>
      <c r="J1426" s="6" t="s">
        <v>37</v>
      </c>
      <c r="K1426">
        <v>2</v>
      </c>
      <c r="M1426" s="1" t="b">
        <f>Employee__2[[#This Row],[Experience]]&gt;1</f>
        <v>1</v>
      </c>
      <c r="N1426" s="1" t="str">
        <f>IF(Employee__2[[#This Row],[City]]="Pune","Yes","No")</f>
        <v>Yes</v>
      </c>
      <c r="O1426" s="1" t="str">
        <f>IF(AND(Employee__2[[#This Row],[Education]]="Bachelors",Employee__2[[#This Row],[City]]="Pune"),"Yes","No")</f>
        <v>Yes</v>
      </c>
      <c r="P1426" s="1" t="str">
        <f>IF(OR(Employee__2[[#This Row],[Age]]&gt;=30,Employee__2[[#This Row],[Gender]]="Male"),"Mached","Not mached")</f>
        <v>Not mached</v>
      </c>
    </row>
    <row r="1427" spans="4:16" x14ac:dyDescent="0.25">
      <c r="D1427" s="6" t="s">
        <v>34</v>
      </c>
      <c r="E1427">
        <v>2015</v>
      </c>
      <c r="F1427" s="6" t="s">
        <v>35</v>
      </c>
      <c r="G1427">
        <v>3</v>
      </c>
      <c r="H1427">
        <v>28</v>
      </c>
      <c r="I1427" s="6" t="s">
        <v>36</v>
      </c>
      <c r="J1427" s="6" t="s">
        <v>37</v>
      </c>
      <c r="K1427">
        <v>2</v>
      </c>
      <c r="M1427" s="1" t="b">
        <f>Employee__2[[#This Row],[Experience]]&gt;1</f>
        <v>1</v>
      </c>
      <c r="N1427" s="1" t="str">
        <f>IF(Employee__2[[#This Row],[City]]="Pune","Yes","No")</f>
        <v>No</v>
      </c>
      <c r="O1427" s="1" t="str">
        <f>IF(AND(Employee__2[[#This Row],[Education]]="Bachelors",Employee__2[[#This Row],[City]]="Pune"),"Yes","No")</f>
        <v>No</v>
      </c>
      <c r="P1427" s="1" t="str">
        <f>IF(OR(Employee__2[[#This Row],[Age]]&gt;=30,Employee__2[[#This Row],[Gender]]="Male"),"Mached","Not mached")</f>
        <v>Mached</v>
      </c>
    </row>
    <row r="1428" spans="4:16" x14ac:dyDescent="0.25">
      <c r="D1428" s="6" t="s">
        <v>34</v>
      </c>
      <c r="E1428">
        <v>2014</v>
      </c>
      <c r="F1428" s="6" t="s">
        <v>38</v>
      </c>
      <c r="G1428">
        <v>2</v>
      </c>
      <c r="H1428">
        <v>26</v>
      </c>
      <c r="I1428" s="6" t="s">
        <v>39</v>
      </c>
      <c r="J1428" s="6" t="s">
        <v>37</v>
      </c>
      <c r="K1428">
        <v>4</v>
      </c>
      <c r="M1428" s="1" t="b">
        <f>Employee__2[[#This Row],[Experience]]&gt;1</f>
        <v>1</v>
      </c>
      <c r="N1428" s="1" t="str">
        <f>IF(Employee__2[[#This Row],[City]]="Pune","Yes","No")</f>
        <v>Yes</v>
      </c>
      <c r="O1428" s="1" t="str">
        <f>IF(AND(Employee__2[[#This Row],[Education]]="Bachelors",Employee__2[[#This Row],[City]]="Pune"),"Yes","No")</f>
        <v>Yes</v>
      </c>
      <c r="P1428" s="1" t="str">
        <f>IF(OR(Employee__2[[#This Row],[Age]]&gt;=30,Employee__2[[#This Row],[Gender]]="Male"),"Mached","Not mached")</f>
        <v>Not mached</v>
      </c>
    </row>
    <row r="1429" spans="4:16" x14ac:dyDescent="0.25">
      <c r="D1429" s="6" t="s">
        <v>34</v>
      </c>
      <c r="E1429">
        <v>2017</v>
      </c>
      <c r="F1429" s="6" t="s">
        <v>35</v>
      </c>
      <c r="G1429">
        <v>3</v>
      </c>
      <c r="H1429">
        <v>27</v>
      </c>
      <c r="I1429" s="6" t="s">
        <v>36</v>
      </c>
      <c r="J1429" s="6" t="s">
        <v>37</v>
      </c>
      <c r="K1429">
        <v>5</v>
      </c>
      <c r="M1429" s="1" t="b">
        <f>Employee__2[[#This Row],[Experience]]&gt;1</f>
        <v>1</v>
      </c>
      <c r="N1429" s="1" t="str">
        <f>IF(Employee__2[[#This Row],[City]]="Pune","Yes","No")</f>
        <v>No</v>
      </c>
      <c r="O1429" s="1" t="str">
        <f>IF(AND(Employee__2[[#This Row],[Education]]="Bachelors",Employee__2[[#This Row],[City]]="Pune"),"Yes","No")</f>
        <v>No</v>
      </c>
      <c r="P1429" s="1" t="str">
        <f>IF(OR(Employee__2[[#This Row],[Age]]&gt;=30,Employee__2[[#This Row],[Gender]]="Male"),"Mached","Not mached")</f>
        <v>Mached</v>
      </c>
    </row>
    <row r="1430" spans="4:16" x14ac:dyDescent="0.25">
      <c r="D1430" s="6" t="s">
        <v>34</v>
      </c>
      <c r="E1430">
        <v>2014</v>
      </c>
      <c r="F1430" s="6" t="s">
        <v>35</v>
      </c>
      <c r="G1430">
        <v>3</v>
      </c>
      <c r="H1430">
        <v>26</v>
      </c>
      <c r="I1430" s="6" t="s">
        <v>36</v>
      </c>
      <c r="J1430" s="6" t="s">
        <v>37</v>
      </c>
      <c r="K1430">
        <v>4</v>
      </c>
      <c r="M1430" s="1" t="b">
        <f>Employee__2[[#This Row],[Experience]]&gt;1</f>
        <v>1</v>
      </c>
      <c r="N1430" s="1" t="str">
        <f>IF(Employee__2[[#This Row],[City]]="Pune","Yes","No")</f>
        <v>No</v>
      </c>
      <c r="O1430" s="1" t="str">
        <f>IF(AND(Employee__2[[#This Row],[Education]]="Bachelors",Employee__2[[#This Row],[City]]="Pune"),"Yes","No")</f>
        <v>No</v>
      </c>
      <c r="P1430" s="1" t="str">
        <f>IF(OR(Employee__2[[#This Row],[Age]]&gt;=30,Employee__2[[#This Row],[Gender]]="Male"),"Mached","Not mached")</f>
        <v>Mached</v>
      </c>
    </row>
    <row r="1431" spans="4:16" x14ac:dyDescent="0.25">
      <c r="D1431" s="6" t="s">
        <v>34</v>
      </c>
      <c r="E1431">
        <v>2018</v>
      </c>
      <c r="F1431" s="6" t="s">
        <v>40</v>
      </c>
      <c r="G1431">
        <v>3</v>
      </c>
      <c r="H1431">
        <v>28</v>
      </c>
      <c r="I1431" s="6" t="s">
        <v>39</v>
      </c>
      <c r="J1431" s="6" t="s">
        <v>37</v>
      </c>
      <c r="K1431">
        <v>5</v>
      </c>
      <c r="M1431" s="1" t="b">
        <f>Employee__2[[#This Row],[Experience]]&gt;1</f>
        <v>1</v>
      </c>
      <c r="N1431" s="1" t="str">
        <f>IF(Employee__2[[#This Row],[City]]="Pune","Yes","No")</f>
        <v>No</v>
      </c>
      <c r="O1431" s="1" t="str">
        <f>IF(AND(Employee__2[[#This Row],[Education]]="Bachelors",Employee__2[[#This Row],[City]]="Pune"),"Yes","No")</f>
        <v>No</v>
      </c>
      <c r="P1431" s="1" t="str">
        <f>IF(OR(Employee__2[[#This Row],[Age]]&gt;=30,Employee__2[[#This Row],[Gender]]="Male"),"Mached","Not mached")</f>
        <v>Not mached</v>
      </c>
    </row>
    <row r="1432" spans="4:16" x14ac:dyDescent="0.25">
      <c r="D1432" s="6" t="s">
        <v>34</v>
      </c>
      <c r="E1432">
        <v>2015</v>
      </c>
      <c r="F1432" s="6" t="s">
        <v>35</v>
      </c>
      <c r="G1432">
        <v>3</v>
      </c>
      <c r="H1432">
        <v>28</v>
      </c>
      <c r="I1432" s="6" t="s">
        <v>36</v>
      </c>
      <c r="J1432" s="6" t="s">
        <v>37</v>
      </c>
      <c r="K1432">
        <v>0</v>
      </c>
      <c r="M1432" s="1" t="b">
        <f>Employee__2[[#This Row],[Experience]]&gt;1</f>
        <v>0</v>
      </c>
      <c r="N1432" s="1" t="str">
        <f>IF(Employee__2[[#This Row],[City]]="Pune","Yes","No")</f>
        <v>No</v>
      </c>
      <c r="O1432" s="1" t="str">
        <f>IF(AND(Employee__2[[#This Row],[Education]]="Bachelors",Employee__2[[#This Row],[City]]="Pune"),"Yes","No")</f>
        <v>No</v>
      </c>
      <c r="P1432" s="1" t="str">
        <f>IF(OR(Employee__2[[#This Row],[Age]]&gt;=30,Employee__2[[#This Row],[Gender]]="Male"),"Mached","Not mached")</f>
        <v>Mached</v>
      </c>
    </row>
    <row r="1433" spans="4:16" x14ac:dyDescent="0.25">
      <c r="D1433" s="6" t="s">
        <v>34</v>
      </c>
      <c r="E1433">
        <v>2016</v>
      </c>
      <c r="F1433" s="6" t="s">
        <v>40</v>
      </c>
      <c r="G1433">
        <v>3</v>
      </c>
      <c r="H1433">
        <v>28</v>
      </c>
      <c r="I1433" s="6" t="s">
        <v>39</v>
      </c>
      <c r="J1433" s="6" t="s">
        <v>37</v>
      </c>
      <c r="K1433">
        <v>3</v>
      </c>
      <c r="M1433" s="1" t="b">
        <f>Employee__2[[#This Row],[Experience]]&gt;1</f>
        <v>1</v>
      </c>
      <c r="N1433" s="1" t="str">
        <f>IF(Employee__2[[#This Row],[City]]="Pune","Yes","No")</f>
        <v>No</v>
      </c>
      <c r="O1433" s="1" t="str">
        <f>IF(AND(Employee__2[[#This Row],[Education]]="Bachelors",Employee__2[[#This Row],[City]]="Pune"),"Yes","No")</f>
        <v>No</v>
      </c>
      <c r="P1433" s="1" t="str">
        <f>IF(OR(Employee__2[[#This Row],[Age]]&gt;=30,Employee__2[[#This Row],[Gender]]="Male"),"Mached","Not mached")</f>
        <v>Not mached</v>
      </c>
    </row>
    <row r="1434" spans="4:16" x14ac:dyDescent="0.25">
      <c r="D1434" s="6" t="s">
        <v>34</v>
      </c>
      <c r="E1434">
        <v>2017</v>
      </c>
      <c r="F1434" s="6" t="s">
        <v>35</v>
      </c>
      <c r="G1434">
        <v>3</v>
      </c>
      <c r="H1434">
        <v>25</v>
      </c>
      <c r="I1434" s="6" t="s">
        <v>36</v>
      </c>
      <c r="J1434" s="6" t="s">
        <v>37</v>
      </c>
      <c r="K1434">
        <v>3</v>
      </c>
      <c r="M1434" s="1" t="b">
        <f>Employee__2[[#This Row],[Experience]]&gt;1</f>
        <v>1</v>
      </c>
      <c r="N1434" s="1" t="str">
        <f>IF(Employee__2[[#This Row],[City]]="Pune","Yes","No")</f>
        <v>No</v>
      </c>
      <c r="O1434" s="1" t="str">
        <f>IF(AND(Employee__2[[#This Row],[Education]]="Bachelors",Employee__2[[#This Row],[City]]="Pune"),"Yes","No")</f>
        <v>No</v>
      </c>
      <c r="P1434" s="1" t="str">
        <f>IF(OR(Employee__2[[#This Row],[Age]]&gt;=30,Employee__2[[#This Row],[Gender]]="Male"),"Mached","Not mached")</f>
        <v>Mached</v>
      </c>
    </row>
    <row r="1435" spans="4:16" x14ac:dyDescent="0.25">
      <c r="D1435" s="6" t="s">
        <v>34</v>
      </c>
      <c r="E1435">
        <v>2015</v>
      </c>
      <c r="F1435" s="6" t="s">
        <v>38</v>
      </c>
      <c r="G1435">
        <v>3</v>
      </c>
      <c r="H1435">
        <v>24</v>
      </c>
      <c r="I1435" s="6" t="s">
        <v>39</v>
      </c>
      <c r="J1435" s="6" t="s">
        <v>37</v>
      </c>
      <c r="K1435">
        <v>2</v>
      </c>
      <c r="M1435" s="1" t="b">
        <f>Employee__2[[#This Row],[Experience]]&gt;1</f>
        <v>1</v>
      </c>
      <c r="N1435" s="1" t="str">
        <f>IF(Employee__2[[#This Row],[City]]="Pune","Yes","No")</f>
        <v>Yes</v>
      </c>
      <c r="O1435" s="1" t="str">
        <f>IF(AND(Employee__2[[#This Row],[Education]]="Bachelors",Employee__2[[#This Row],[City]]="Pune"),"Yes","No")</f>
        <v>Yes</v>
      </c>
      <c r="P1435" s="1" t="str">
        <f>IF(OR(Employee__2[[#This Row],[Age]]&gt;=30,Employee__2[[#This Row],[Gender]]="Male"),"Mached","Not mached")</f>
        <v>Not mached</v>
      </c>
    </row>
    <row r="1436" spans="4:16" x14ac:dyDescent="0.25">
      <c r="D1436" s="6" t="s">
        <v>41</v>
      </c>
      <c r="E1436">
        <v>2018</v>
      </c>
      <c r="F1436" s="6" t="s">
        <v>40</v>
      </c>
      <c r="G1436">
        <v>3</v>
      </c>
      <c r="H1436">
        <v>28</v>
      </c>
      <c r="I1436" s="6" t="s">
        <v>36</v>
      </c>
      <c r="J1436" s="6" t="s">
        <v>37</v>
      </c>
      <c r="K1436">
        <v>2</v>
      </c>
      <c r="M1436" s="1" t="b">
        <f>Employee__2[[#This Row],[Experience]]&gt;1</f>
        <v>1</v>
      </c>
      <c r="N1436" s="1" t="str">
        <f>IF(Employee__2[[#This Row],[City]]="Pune","Yes","No")</f>
        <v>No</v>
      </c>
      <c r="O1436" s="1" t="str">
        <f>IF(AND(Employee__2[[#This Row],[Education]]="Bachelors",Employee__2[[#This Row],[City]]="Pune"),"Yes","No")</f>
        <v>No</v>
      </c>
      <c r="P1436" s="1" t="str">
        <f>IF(OR(Employee__2[[#This Row],[Age]]&gt;=30,Employee__2[[#This Row],[Gender]]="Male"),"Mached","Not mached")</f>
        <v>Mached</v>
      </c>
    </row>
    <row r="1437" spans="4:16" x14ac:dyDescent="0.25">
      <c r="D1437" s="6" t="s">
        <v>34</v>
      </c>
      <c r="E1437">
        <v>2015</v>
      </c>
      <c r="F1437" s="6" t="s">
        <v>35</v>
      </c>
      <c r="G1437">
        <v>3</v>
      </c>
      <c r="H1437">
        <v>27</v>
      </c>
      <c r="I1437" s="6" t="s">
        <v>39</v>
      </c>
      <c r="J1437" s="6" t="s">
        <v>37</v>
      </c>
      <c r="K1437">
        <v>5</v>
      </c>
      <c r="M1437" s="1" t="b">
        <f>Employee__2[[#This Row],[Experience]]&gt;1</f>
        <v>1</v>
      </c>
      <c r="N1437" s="1" t="str">
        <f>IF(Employee__2[[#This Row],[City]]="Pune","Yes","No")</f>
        <v>No</v>
      </c>
      <c r="O1437" s="1" t="str">
        <f>IF(AND(Employee__2[[#This Row],[Education]]="Bachelors",Employee__2[[#This Row],[City]]="Pune"),"Yes","No")</f>
        <v>No</v>
      </c>
      <c r="P1437" s="1" t="str">
        <f>IF(OR(Employee__2[[#This Row],[Age]]&gt;=30,Employee__2[[#This Row],[Gender]]="Male"),"Mached","Not mached")</f>
        <v>Not mached</v>
      </c>
    </row>
    <row r="1438" spans="4:16" x14ac:dyDescent="0.25">
      <c r="D1438" s="6" t="s">
        <v>34</v>
      </c>
      <c r="E1438">
        <v>2017</v>
      </c>
      <c r="F1438" s="6" t="s">
        <v>35</v>
      </c>
      <c r="G1438">
        <v>3</v>
      </c>
      <c r="H1438">
        <v>24</v>
      </c>
      <c r="I1438" s="6" t="s">
        <v>36</v>
      </c>
      <c r="J1438" s="6" t="s">
        <v>37</v>
      </c>
      <c r="K1438">
        <v>2</v>
      </c>
      <c r="M1438" s="1" t="b">
        <f>Employee__2[[#This Row],[Experience]]&gt;1</f>
        <v>1</v>
      </c>
      <c r="N1438" s="1" t="str">
        <f>IF(Employee__2[[#This Row],[City]]="Pune","Yes","No")</f>
        <v>No</v>
      </c>
      <c r="O1438" s="1" t="str">
        <f>IF(AND(Employee__2[[#This Row],[Education]]="Bachelors",Employee__2[[#This Row],[City]]="Pune"),"Yes","No")</f>
        <v>No</v>
      </c>
      <c r="P1438" s="1" t="str">
        <f>IF(OR(Employee__2[[#This Row],[Age]]&gt;=30,Employee__2[[#This Row],[Gender]]="Male"),"Mached","Not mached")</f>
        <v>Mached</v>
      </c>
    </row>
    <row r="1439" spans="4:16" x14ac:dyDescent="0.25">
      <c r="D1439" s="6" t="s">
        <v>34</v>
      </c>
      <c r="E1439">
        <v>2017</v>
      </c>
      <c r="F1439" s="6" t="s">
        <v>40</v>
      </c>
      <c r="G1439">
        <v>2</v>
      </c>
      <c r="H1439">
        <v>28</v>
      </c>
      <c r="I1439" s="6" t="s">
        <v>39</v>
      </c>
      <c r="J1439" s="6" t="s">
        <v>37</v>
      </c>
      <c r="K1439">
        <v>0</v>
      </c>
      <c r="M1439" s="1" t="b">
        <f>Employee__2[[#This Row],[Experience]]&gt;1</f>
        <v>0</v>
      </c>
      <c r="N1439" s="1" t="str">
        <f>IF(Employee__2[[#This Row],[City]]="Pune","Yes","No")</f>
        <v>No</v>
      </c>
      <c r="O1439" s="1" t="str">
        <f>IF(AND(Employee__2[[#This Row],[Education]]="Bachelors",Employee__2[[#This Row],[City]]="Pune"),"Yes","No")</f>
        <v>No</v>
      </c>
      <c r="P1439" s="1" t="str">
        <f>IF(OR(Employee__2[[#This Row],[Age]]&gt;=30,Employee__2[[#This Row],[Gender]]="Male"),"Mached","Not mached")</f>
        <v>Not mached</v>
      </c>
    </row>
    <row r="1440" spans="4:16" x14ac:dyDescent="0.25">
      <c r="D1440" s="6" t="s">
        <v>34</v>
      </c>
      <c r="E1440">
        <v>2015</v>
      </c>
      <c r="F1440" s="6" t="s">
        <v>35</v>
      </c>
      <c r="G1440">
        <v>3</v>
      </c>
      <c r="H1440">
        <v>25</v>
      </c>
      <c r="I1440" s="6" t="s">
        <v>36</v>
      </c>
      <c r="J1440" s="6" t="s">
        <v>37</v>
      </c>
      <c r="K1440">
        <v>3</v>
      </c>
      <c r="M1440" s="1" t="b">
        <f>Employee__2[[#This Row],[Experience]]&gt;1</f>
        <v>1</v>
      </c>
      <c r="N1440" s="1" t="str">
        <f>IF(Employee__2[[#This Row],[City]]="Pune","Yes","No")</f>
        <v>No</v>
      </c>
      <c r="O1440" s="1" t="str">
        <f>IF(AND(Employee__2[[#This Row],[Education]]="Bachelors",Employee__2[[#This Row],[City]]="Pune"),"Yes","No")</f>
        <v>No</v>
      </c>
      <c r="P1440" s="1" t="str">
        <f>IF(OR(Employee__2[[#This Row],[Age]]&gt;=30,Employee__2[[#This Row],[Gender]]="Male"),"Mached","Not mached")</f>
        <v>Mached</v>
      </c>
    </row>
    <row r="1441" spans="4:16" x14ac:dyDescent="0.25">
      <c r="D1441" s="6" t="s">
        <v>34</v>
      </c>
      <c r="E1441">
        <v>2012</v>
      </c>
      <c r="F1441" s="6" t="s">
        <v>35</v>
      </c>
      <c r="G1441">
        <v>3</v>
      </c>
      <c r="H1441">
        <v>28</v>
      </c>
      <c r="I1441" s="6" t="s">
        <v>36</v>
      </c>
      <c r="J1441" s="6" t="s">
        <v>37</v>
      </c>
      <c r="K1441">
        <v>2</v>
      </c>
      <c r="M1441" s="1" t="b">
        <f>Employee__2[[#This Row],[Experience]]&gt;1</f>
        <v>1</v>
      </c>
      <c r="N1441" s="1" t="str">
        <f>IF(Employee__2[[#This Row],[City]]="Pune","Yes","No")</f>
        <v>No</v>
      </c>
      <c r="O1441" s="1" t="str">
        <f>IF(AND(Employee__2[[#This Row],[Education]]="Bachelors",Employee__2[[#This Row],[City]]="Pune"),"Yes","No")</f>
        <v>No</v>
      </c>
      <c r="P1441" s="1" t="str">
        <f>IF(OR(Employee__2[[#This Row],[Age]]&gt;=30,Employee__2[[#This Row],[Gender]]="Male"),"Mached","Not mached")</f>
        <v>Mached</v>
      </c>
    </row>
    <row r="1442" spans="4:16" x14ac:dyDescent="0.25">
      <c r="D1442" s="6" t="s">
        <v>34</v>
      </c>
      <c r="E1442">
        <v>2013</v>
      </c>
      <c r="F1442" s="6" t="s">
        <v>35</v>
      </c>
      <c r="G1442">
        <v>3</v>
      </c>
      <c r="H1442">
        <v>26</v>
      </c>
      <c r="I1442" s="6" t="s">
        <v>36</v>
      </c>
      <c r="J1442" s="6" t="s">
        <v>37</v>
      </c>
      <c r="K1442">
        <v>4</v>
      </c>
      <c r="M1442" s="1" t="b">
        <f>Employee__2[[#This Row],[Experience]]&gt;1</f>
        <v>1</v>
      </c>
      <c r="N1442" s="1" t="str">
        <f>IF(Employee__2[[#This Row],[City]]="Pune","Yes","No")</f>
        <v>No</v>
      </c>
      <c r="O1442" s="1" t="str">
        <f>IF(AND(Employee__2[[#This Row],[Education]]="Bachelors",Employee__2[[#This Row],[City]]="Pune"),"Yes","No")</f>
        <v>No</v>
      </c>
      <c r="P1442" s="1" t="str">
        <f>IF(OR(Employee__2[[#This Row],[Age]]&gt;=30,Employee__2[[#This Row],[Gender]]="Male"),"Mached","Not mached")</f>
        <v>Mached</v>
      </c>
    </row>
    <row r="1443" spans="4:16" x14ac:dyDescent="0.25">
      <c r="D1443" s="6" t="s">
        <v>34</v>
      </c>
      <c r="E1443">
        <v>2016</v>
      </c>
      <c r="F1443" s="6" t="s">
        <v>35</v>
      </c>
      <c r="G1443">
        <v>1</v>
      </c>
      <c r="H1443">
        <v>24</v>
      </c>
      <c r="I1443" s="6" t="s">
        <v>36</v>
      </c>
      <c r="J1443" s="6" t="s">
        <v>37</v>
      </c>
      <c r="K1443">
        <v>2</v>
      </c>
      <c r="M1443" s="1" t="b">
        <f>Employee__2[[#This Row],[Experience]]&gt;1</f>
        <v>1</v>
      </c>
      <c r="N1443" s="1" t="str">
        <f>IF(Employee__2[[#This Row],[City]]="Pune","Yes","No")</f>
        <v>No</v>
      </c>
      <c r="O1443" s="1" t="str">
        <f>IF(AND(Employee__2[[#This Row],[Education]]="Bachelors",Employee__2[[#This Row],[City]]="Pune"),"Yes","No")</f>
        <v>No</v>
      </c>
      <c r="P1443" s="1" t="str">
        <f>IF(OR(Employee__2[[#This Row],[Age]]&gt;=30,Employee__2[[#This Row],[Gender]]="Male"),"Mached","Not mached")</f>
        <v>Mached</v>
      </c>
    </row>
    <row r="1444" spans="4:16" x14ac:dyDescent="0.25">
      <c r="D1444" s="6" t="s">
        <v>34</v>
      </c>
      <c r="E1444">
        <v>2016</v>
      </c>
      <c r="F1444" s="6" t="s">
        <v>38</v>
      </c>
      <c r="G1444">
        <v>3</v>
      </c>
      <c r="H1444">
        <v>27</v>
      </c>
      <c r="I1444" s="6" t="s">
        <v>36</v>
      </c>
      <c r="J1444" s="6" t="s">
        <v>37</v>
      </c>
      <c r="K1444">
        <v>5</v>
      </c>
      <c r="M1444" s="1" t="b">
        <f>Employee__2[[#This Row],[Experience]]&gt;1</f>
        <v>1</v>
      </c>
      <c r="N1444" s="1" t="str">
        <f>IF(Employee__2[[#This Row],[City]]="Pune","Yes","No")</f>
        <v>Yes</v>
      </c>
      <c r="O1444" s="1" t="str">
        <f>IF(AND(Employee__2[[#This Row],[Education]]="Bachelors",Employee__2[[#This Row],[City]]="Pune"),"Yes","No")</f>
        <v>Yes</v>
      </c>
      <c r="P1444" s="1" t="str">
        <f>IF(OR(Employee__2[[#This Row],[Age]]&gt;=30,Employee__2[[#This Row],[Gender]]="Male"),"Mached","Not mached")</f>
        <v>Mached</v>
      </c>
    </row>
    <row r="1445" spans="4:16" x14ac:dyDescent="0.25">
      <c r="D1445" s="6" t="s">
        <v>34</v>
      </c>
      <c r="E1445">
        <v>2013</v>
      </c>
      <c r="F1445" s="6" t="s">
        <v>38</v>
      </c>
      <c r="G1445">
        <v>3</v>
      </c>
      <c r="H1445">
        <v>24</v>
      </c>
      <c r="I1445" s="6" t="s">
        <v>36</v>
      </c>
      <c r="J1445" s="6" t="s">
        <v>37</v>
      </c>
      <c r="K1445">
        <v>2</v>
      </c>
      <c r="M1445" s="1" t="b">
        <f>Employee__2[[#This Row],[Experience]]&gt;1</f>
        <v>1</v>
      </c>
      <c r="N1445" s="1" t="str">
        <f>IF(Employee__2[[#This Row],[City]]="Pune","Yes","No")</f>
        <v>Yes</v>
      </c>
      <c r="O1445" s="1" t="str">
        <f>IF(AND(Employee__2[[#This Row],[Education]]="Bachelors",Employee__2[[#This Row],[City]]="Pune"),"Yes","No")</f>
        <v>Yes</v>
      </c>
      <c r="P1445" s="1" t="str">
        <f>IF(OR(Employee__2[[#This Row],[Age]]&gt;=30,Employee__2[[#This Row],[Gender]]="Male"),"Mached","Not mached")</f>
        <v>Mached</v>
      </c>
    </row>
    <row r="1446" spans="4:16" x14ac:dyDescent="0.25">
      <c r="D1446" s="6" t="s">
        <v>41</v>
      </c>
      <c r="E1446">
        <v>2017</v>
      </c>
      <c r="F1446" s="6" t="s">
        <v>38</v>
      </c>
      <c r="G1446">
        <v>2</v>
      </c>
      <c r="H1446">
        <v>26</v>
      </c>
      <c r="I1446" s="6" t="s">
        <v>39</v>
      </c>
      <c r="J1446" s="6" t="s">
        <v>37</v>
      </c>
      <c r="K1446">
        <v>4</v>
      </c>
      <c r="M1446" s="1" t="b">
        <f>Employee__2[[#This Row],[Experience]]&gt;1</f>
        <v>1</v>
      </c>
      <c r="N1446" s="1" t="str">
        <f>IF(Employee__2[[#This Row],[City]]="Pune","Yes","No")</f>
        <v>Yes</v>
      </c>
      <c r="O1446" s="1" t="str">
        <f>IF(AND(Employee__2[[#This Row],[Education]]="Bachelors",Employee__2[[#This Row],[City]]="Pune"),"Yes","No")</f>
        <v>No</v>
      </c>
      <c r="P1446" s="1" t="str">
        <f>IF(OR(Employee__2[[#This Row],[Age]]&gt;=30,Employee__2[[#This Row],[Gender]]="Male"),"Mached","Not mached")</f>
        <v>Not mached</v>
      </c>
    </row>
    <row r="1447" spans="4:16" x14ac:dyDescent="0.25">
      <c r="D1447" s="6" t="s">
        <v>34</v>
      </c>
      <c r="E1447">
        <v>2017</v>
      </c>
      <c r="F1447" s="6" t="s">
        <v>40</v>
      </c>
      <c r="G1447">
        <v>3</v>
      </c>
      <c r="H1447">
        <v>26</v>
      </c>
      <c r="I1447" s="6" t="s">
        <v>36</v>
      </c>
      <c r="J1447" s="6" t="s">
        <v>37</v>
      </c>
      <c r="K1447">
        <v>4</v>
      </c>
      <c r="M1447" s="1" t="b">
        <f>Employee__2[[#This Row],[Experience]]&gt;1</f>
        <v>1</v>
      </c>
      <c r="N1447" s="1" t="str">
        <f>IF(Employee__2[[#This Row],[City]]="Pune","Yes","No")</f>
        <v>No</v>
      </c>
      <c r="O1447" s="1" t="str">
        <f>IF(AND(Employee__2[[#This Row],[Education]]="Bachelors",Employee__2[[#This Row],[City]]="Pune"),"Yes","No")</f>
        <v>No</v>
      </c>
      <c r="P1447" s="1" t="str">
        <f>IF(OR(Employee__2[[#This Row],[Age]]&gt;=30,Employee__2[[#This Row],[Gender]]="Male"),"Mached","Not mached")</f>
        <v>Mached</v>
      </c>
    </row>
    <row r="1448" spans="4:16" x14ac:dyDescent="0.25">
      <c r="D1448" s="6" t="s">
        <v>34</v>
      </c>
      <c r="E1448">
        <v>2018</v>
      </c>
      <c r="F1448" s="6" t="s">
        <v>38</v>
      </c>
      <c r="G1448">
        <v>3</v>
      </c>
      <c r="H1448">
        <v>25</v>
      </c>
      <c r="I1448" s="6" t="s">
        <v>39</v>
      </c>
      <c r="J1448" s="6" t="s">
        <v>37</v>
      </c>
      <c r="K1448">
        <v>3</v>
      </c>
      <c r="M1448" s="1" t="b">
        <f>Employee__2[[#This Row],[Experience]]&gt;1</f>
        <v>1</v>
      </c>
      <c r="N1448" s="1" t="str">
        <f>IF(Employee__2[[#This Row],[City]]="Pune","Yes","No")</f>
        <v>Yes</v>
      </c>
      <c r="O1448" s="1" t="str">
        <f>IF(AND(Employee__2[[#This Row],[Education]]="Bachelors",Employee__2[[#This Row],[City]]="Pune"),"Yes","No")</f>
        <v>Yes</v>
      </c>
      <c r="P1448" s="1" t="str">
        <f>IF(OR(Employee__2[[#This Row],[Age]]&gt;=30,Employee__2[[#This Row],[Gender]]="Male"),"Mached","Not mached")</f>
        <v>Not mached</v>
      </c>
    </row>
    <row r="1449" spans="4:16" x14ac:dyDescent="0.25">
      <c r="D1449" s="6" t="s">
        <v>34</v>
      </c>
      <c r="E1449">
        <v>2018</v>
      </c>
      <c r="F1449" s="6" t="s">
        <v>35</v>
      </c>
      <c r="G1449">
        <v>3</v>
      </c>
      <c r="H1449">
        <v>24</v>
      </c>
      <c r="I1449" s="6" t="s">
        <v>36</v>
      </c>
      <c r="J1449" s="6" t="s">
        <v>37</v>
      </c>
      <c r="K1449">
        <v>2</v>
      </c>
      <c r="M1449" s="1" t="b">
        <f>Employee__2[[#This Row],[Experience]]&gt;1</f>
        <v>1</v>
      </c>
      <c r="N1449" s="1" t="str">
        <f>IF(Employee__2[[#This Row],[City]]="Pune","Yes","No")</f>
        <v>No</v>
      </c>
      <c r="O1449" s="1" t="str">
        <f>IF(AND(Employee__2[[#This Row],[Education]]="Bachelors",Employee__2[[#This Row],[City]]="Pune"),"Yes","No")</f>
        <v>No</v>
      </c>
      <c r="P1449" s="1" t="str">
        <f>IF(OR(Employee__2[[#This Row],[Age]]&gt;=30,Employee__2[[#This Row],[Gender]]="Male"),"Mached","Not mached")</f>
        <v>Mached</v>
      </c>
    </row>
    <row r="1450" spans="4:16" x14ac:dyDescent="0.25">
      <c r="D1450" s="6" t="s">
        <v>34</v>
      </c>
      <c r="E1450">
        <v>2015</v>
      </c>
      <c r="F1450" s="6" t="s">
        <v>38</v>
      </c>
      <c r="G1450">
        <v>3</v>
      </c>
      <c r="H1450">
        <v>24</v>
      </c>
      <c r="I1450" s="6" t="s">
        <v>36</v>
      </c>
      <c r="J1450" s="6" t="s">
        <v>42</v>
      </c>
      <c r="K1450">
        <v>2</v>
      </c>
      <c r="M1450" s="1" t="b">
        <f>Employee__2[[#This Row],[Experience]]&gt;1</f>
        <v>1</v>
      </c>
      <c r="N1450" s="1" t="str">
        <f>IF(Employee__2[[#This Row],[City]]="Pune","Yes","No")</f>
        <v>Yes</v>
      </c>
      <c r="O1450" s="1" t="str">
        <f>IF(AND(Employee__2[[#This Row],[Education]]="Bachelors",Employee__2[[#This Row],[City]]="Pune"),"Yes","No")</f>
        <v>Yes</v>
      </c>
      <c r="P1450" s="1" t="str">
        <f>IF(OR(Employee__2[[#This Row],[Age]]&gt;=30,Employee__2[[#This Row],[Gender]]="Male"),"Mached","Not mached")</f>
        <v>Mached</v>
      </c>
    </row>
    <row r="1451" spans="4:16" x14ac:dyDescent="0.25">
      <c r="D1451" s="6" t="s">
        <v>34</v>
      </c>
      <c r="E1451">
        <v>2013</v>
      </c>
      <c r="F1451" s="6" t="s">
        <v>35</v>
      </c>
      <c r="G1451">
        <v>3</v>
      </c>
      <c r="H1451">
        <v>24</v>
      </c>
      <c r="I1451" s="6" t="s">
        <v>39</v>
      </c>
      <c r="J1451" s="6" t="s">
        <v>37</v>
      </c>
      <c r="K1451">
        <v>2</v>
      </c>
      <c r="M1451" s="1" t="b">
        <f>Employee__2[[#This Row],[Experience]]&gt;1</f>
        <v>1</v>
      </c>
      <c r="N1451" s="1" t="str">
        <f>IF(Employee__2[[#This Row],[City]]="Pune","Yes","No")</f>
        <v>No</v>
      </c>
      <c r="O1451" s="1" t="str">
        <f>IF(AND(Employee__2[[#This Row],[Education]]="Bachelors",Employee__2[[#This Row],[City]]="Pune"),"Yes","No")</f>
        <v>No</v>
      </c>
      <c r="P1451" s="1" t="str">
        <f>IF(OR(Employee__2[[#This Row],[Age]]&gt;=30,Employee__2[[#This Row],[Gender]]="Male"),"Mached","Not mached")</f>
        <v>Not mached</v>
      </c>
    </row>
    <row r="1452" spans="4:16" x14ac:dyDescent="0.25">
      <c r="D1452" s="6" t="s">
        <v>34</v>
      </c>
      <c r="E1452">
        <v>2013</v>
      </c>
      <c r="F1452" s="6" t="s">
        <v>38</v>
      </c>
      <c r="G1452">
        <v>2</v>
      </c>
      <c r="H1452">
        <v>28</v>
      </c>
      <c r="I1452" s="6" t="s">
        <v>36</v>
      </c>
      <c r="J1452" s="6" t="s">
        <v>42</v>
      </c>
      <c r="K1452">
        <v>0</v>
      </c>
      <c r="M1452" s="1" t="b">
        <f>Employee__2[[#This Row],[Experience]]&gt;1</f>
        <v>0</v>
      </c>
      <c r="N1452" s="1" t="str">
        <f>IF(Employee__2[[#This Row],[City]]="Pune","Yes","No")</f>
        <v>Yes</v>
      </c>
      <c r="O1452" s="1" t="str">
        <f>IF(AND(Employee__2[[#This Row],[Education]]="Bachelors",Employee__2[[#This Row],[City]]="Pune"),"Yes","No")</f>
        <v>Yes</v>
      </c>
      <c r="P1452" s="1" t="str">
        <f>IF(OR(Employee__2[[#This Row],[Age]]&gt;=30,Employee__2[[#This Row],[Gender]]="Male"),"Mached","Not mached")</f>
        <v>Mached</v>
      </c>
    </row>
    <row r="1453" spans="4:16" x14ac:dyDescent="0.25">
      <c r="D1453" s="6" t="s">
        <v>34</v>
      </c>
      <c r="E1453">
        <v>2018</v>
      </c>
      <c r="F1453" s="6" t="s">
        <v>35</v>
      </c>
      <c r="G1453">
        <v>3</v>
      </c>
      <c r="H1453">
        <v>24</v>
      </c>
      <c r="I1453" s="6" t="s">
        <v>36</v>
      </c>
      <c r="J1453" s="6" t="s">
        <v>37</v>
      </c>
      <c r="K1453">
        <v>2</v>
      </c>
      <c r="M1453" s="1" t="b">
        <f>Employee__2[[#This Row],[Experience]]&gt;1</f>
        <v>1</v>
      </c>
      <c r="N1453" s="1" t="str">
        <f>IF(Employee__2[[#This Row],[City]]="Pune","Yes","No")</f>
        <v>No</v>
      </c>
      <c r="O1453" s="1" t="str">
        <f>IF(AND(Employee__2[[#This Row],[Education]]="Bachelors",Employee__2[[#This Row],[City]]="Pune"),"Yes","No")</f>
        <v>No</v>
      </c>
      <c r="P1453" s="1" t="str">
        <f>IF(OR(Employee__2[[#This Row],[Age]]&gt;=30,Employee__2[[#This Row],[Gender]]="Male"),"Mached","Not mached")</f>
        <v>Mached</v>
      </c>
    </row>
    <row r="1454" spans="4:16" x14ac:dyDescent="0.25">
      <c r="D1454" s="6" t="s">
        <v>34</v>
      </c>
      <c r="E1454">
        <v>2014</v>
      </c>
      <c r="F1454" s="6" t="s">
        <v>35</v>
      </c>
      <c r="G1454">
        <v>3</v>
      </c>
      <c r="H1454">
        <v>24</v>
      </c>
      <c r="I1454" s="6" t="s">
        <v>36</v>
      </c>
      <c r="J1454" s="6" t="s">
        <v>37</v>
      </c>
      <c r="K1454">
        <v>2</v>
      </c>
      <c r="M1454" s="1" t="b">
        <f>Employee__2[[#This Row],[Experience]]&gt;1</f>
        <v>1</v>
      </c>
      <c r="N1454" s="1" t="str">
        <f>IF(Employee__2[[#This Row],[City]]="Pune","Yes","No")</f>
        <v>No</v>
      </c>
      <c r="O1454" s="1" t="str">
        <f>IF(AND(Employee__2[[#This Row],[Education]]="Bachelors",Employee__2[[#This Row],[City]]="Pune"),"Yes","No")</f>
        <v>No</v>
      </c>
      <c r="P1454" s="1" t="str">
        <f>IF(OR(Employee__2[[#This Row],[Age]]&gt;=30,Employee__2[[#This Row],[Gender]]="Male"),"Mached","Not mached")</f>
        <v>Mached</v>
      </c>
    </row>
    <row r="1455" spans="4:16" x14ac:dyDescent="0.25">
      <c r="D1455" s="6" t="s">
        <v>34</v>
      </c>
      <c r="E1455">
        <v>2016</v>
      </c>
      <c r="F1455" s="6" t="s">
        <v>35</v>
      </c>
      <c r="G1455">
        <v>3</v>
      </c>
      <c r="H1455">
        <v>28</v>
      </c>
      <c r="I1455" s="6" t="s">
        <v>39</v>
      </c>
      <c r="J1455" s="6" t="s">
        <v>37</v>
      </c>
      <c r="K1455">
        <v>5</v>
      </c>
      <c r="M1455" s="1" t="b">
        <f>Employee__2[[#This Row],[Experience]]&gt;1</f>
        <v>1</v>
      </c>
      <c r="N1455" s="1" t="str">
        <f>IF(Employee__2[[#This Row],[City]]="Pune","Yes","No")</f>
        <v>No</v>
      </c>
      <c r="O1455" s="1" t="str">
        <f>IF(AND(Employee__2[[#This Row],[Education]]="Bachelors",Employee__2[[#This Row],[City]]="Pune"),"Yes","No")</f>
        <v>No</v>
      </c>
      <c r="P1455" s="1" t="str">
        <f>IF(OR(Employee__2[[#This Row],[Age]]&gt;=30,Employee__2[[#This Row],[Gender]]="Male"),"Mached","Not mached")</f>
        <v>Not mached</v>
      </c>
    </row>
    <row r="1456" spans="4:16" x14ac:dyDescent="0.25">
      <c r="D1456" s="6" t="s">
        <v>34</v>
      </c>
      <c r="E1456">
        <v>2014</v>
      </c>
      <c r="F1456" s="6" t="s">
        <v>35</v>
      </c>
      <c r="G1456">
        <v>3</v>
      </c>
      <c r="H1456">
        <v>25</v>
      </c>
      <c r="I1456" s="6" t="s">
        <v>36</v>
      </c>
      <c r="J1456" s="6" t="s">
        <v>37</v>
      </c>
      <c r="K1456">
        <v>3</v>
      </c>
      <c r="M1456" s="1" t="b">
        <f>Employee__2[[#This Row],[Experience]]&gt;1</f>
        <v>1</v>
      </c>
      <c r="N1456" s="1" t="str">
        <f>IF(Employee__2[[#This Row],[City]]="Pune","Yes","No")</f>
        <v>No</v>
      </c>
      <c r="O1456" s="1" t="str">
        <f>IF(AND(Employee__2[[#This Row],[Education]]="Bachelors",Employee__2[[#This Row],[City]]="Pune"),"Yes","No")</f>
        <v>No</v>
      </c>
      <c r="P1456" s="1" t="str">
        <f>IF(OR(Employee__2[[#This Row],[Age]]&gt;=30,Employee__2[[#This Row],[Gender]]="Male"),"Mached","Not mached")</f>
        <v>Mached</v>
      </c>
    </row>
    <row r="1457" spans="4:16" x14ac:dyDescent="0.25">
      <c r="D1457" s="6" t="s">
        <v>34</v>
      </c>
      <c r="E1457">
        <v>2014</v>
      </c>
      <c r="F1457" s="6" t="s">
        <v>35</v>
      </c>
      <c r="G1457">
        <v>3</v>
      </c>
      <c r="H1457">
        <v>26</v>
      </c>
      <c r="I1457" s="6" t="s">
        <v>39</v>
      </c>
      <c r="J1457" s="6" t="s">
        <v>37</v>
      </c>
      <c r="K1457">
        <v>4</v>
      </c>
      <c r="M1457" s="1" t="b">
        <f>Employee__2[[#This Row],[Experience]]&gt;1</f>
        <v>1</v>
      </c>
      <c r="N1457" s="1" t="str">
        <f>IF(Employee__2[[#This Row],[City]]="Pune","Yes","No")</f>
        <v>No</v>
      </c>
      <c r="O1457" s="1" t="str">
        <f>IF(AND(Employee__2[[#This Row],[Education]]="Bachelors",Employee__2[[#This Row],[City]]="Pune"),"Yes","No")</f>
        <v>No</v>
      </c>
      <c r="P1457" s="1" t="str">
        <f>IF(OR(Employee__2[[#This Row],[Age]]&gt;=30,Employee__2[[#This Row],[Gender]]="Male"),"Mached","Not mached")</f>
        <v>Not mached</v>
      </c>
    </row>
    <row r="1458" spans="4:16" x14ac:dyDescent="0.25">
      <c r="D1458" s="6" t="s">
        <v>41</v>
      </c>
      <c r="E1458">
        <v>2017</v>
      </c>
      <c r="F1458" s="6" t="s">
        <v>35</v>
      </c>
      <c r="G1458">
        <v>2</v>
      </c>
      <c r="H1458">
        <v>28</v>
      </c>
      <c r="I1458" s="6" t="s">
        <v>36</v>
      </c>
      <c r="J1458" s="6" t="s">
        <v>37</v>
      </c>
      <c r="K1458">
        <v>2</v>
      </c>
      <c r="M1458" s="1" t="b">
        <f>Employee__2[[#This Row],[Experience]]&gt;1</f>
        <v>1</v>
      </c>
      <c r="N1458" s="1" t="str">
        <f>IF(Employee__2[[#This Row],[City]]="Pune","Yes","No")</f>
        <v>No</v>
      </c>
      <c r="O1458" s="1" t="str">
        <f>IF(AND(Employee__2[[#This Row],[Education]]="Bachelors",Employee__2[[#This Row],[City]]="Pune"),"Yes","No")</f>
        <v>No</v>
      </c>
      <c r="P1458" s="1" t="str">
        <f>IF(OR(Employee__2[[#This Row],[Age]]&gt;=30,Employee__2[[#This Row],[Gender]]="Male"),"Mached","Not mached")</f>
        <v>Mached</v>
      </c>
    </row>
    <row r="1459" spans="4:16" x14ac:dyDescent="0.25">
      <c r="D1459" s="6" t="s">
        <v>34</v>
      </c>
      <c r="E1459">
        <v>2012</v>
      </c>
      <c r="F1459" s="6" t="s">
        <v>35</v>
      </c>
      <c r="G1459">
        <v>3</v>
      </c>
      <c r="H1459">
        <v>27</v>
      </c>
      <c r="I1459" s="6" t="s">
        <v>36</v>
      </c>
      <c r="J1459" s="6" t="s">
        <v>37</v>
      </c>
      <c r="K1459">
        <v>5</v>
      </c>
      <c r="M1459" s="1" t="b">
        <f>Employee__2[[#This Row],[Experience]]&gt;1</f>
        <v>1</v>
      </c>
      <c r="N1459" s="1" t="str">
        <f>IF(Employee__2[[#This Row],[City]]="Pune","Yes","No")</f>
        <v>No</v>
      </c>
      <c r="O1459" s="1" t="str">
        <f>IF(AND(Employee__2[[#This Row],[Education]]="Bachelors",Employee__2[[#This Row],[City]]="Pune"),"Yes","No")</f>
        <v>No</v>
      </c>
      <c r="P1459" s="1" t="str">
        <f>IF(OR(Employee__2[[#This Row],[Age]]&gt;=30,Employee__2[[#This Row],[Gender]]="Male"),"Mached","Not mached")</f>
        <v>Mached</v>
      </c>
    </row>
    <row r="1460" spans="4:16" x14ac:dyDescent="0.25">
      <c r="D1460" s="6" t="s">
        <v>34</v>
      </c>
      <c r="E1460">
        <v>2016</v>
      </c>
      <c r="F1460" s="6" t="s">
        <v>35</v>
      </c>
      <c r="G1460">
        <v>3</v>
      </c>
      <c r="H1460">
        <v>27</v>
      </c>
      <c r="I1460" s="6" t="s">
        <v>39</v>
      </c>
      <c r="J1460" s="6" t="s">
        <v>37</v>
      </c>
      <c r="K1460">
        <v>5</v>
      </c>
      <c r="M1460" s="1" t="b">
        <f>Employee__2[[#This Row],[Experience]]&gt;1</f>
        <v>1</v>
      </c>
      <c r="N1460" s="1" t="str">
        <f>IF(Employee__2[[#This Row],[City]]="Pune","Yes","No")</f>
        <v>No</v>
      </c>
      <c r="O1460" s="1" t="str">
        <f>IF(AND(Employee__2[[#This Row],[Education]]="Bachelors",Employee__2[[#This Row],[City]]="Pune"),"Yes","No")</f>
        <v>No</v>
      </c>
      <c r="P1460" s="1" t="str">
        <f>IF(OR(Employee__2[[#This Row],[Age]]&gt;=30,Employee__2[[#This Row],[Gender]]="Male"),"Mached","Not mached")</f>
        <v>Not mached</v>
      </c>
    </row>
    <row r="1461" spans="4:16" x14ac:dyDescent="0.25">
      <c r="D1461" s="6" t="s">
        <v>41</v>
      </c>
      <c r="E1461">
        <v>2018</v>
      </c>
      <c r="F1461" s="6" t="s">
        <v>35</v>
      </c>
      <c r="G1461">
        <v>3</v>
      </c>
      <c r="H1461">
        <v>28</v>
      </c>
      <c r="I1461" s="6" t="s">
        <v>36</v>
      </c>
      <c r="J1461" s="6" t="s">
        <v>37</v>
      </c>
      <c r="K1461">
        <v>2</v>
      </c>
      <c r="M1461" s="1" t="b">
        <f>Employee__2[[#This Row],[Experience]]&gt;1</f>
        <v>1</v>
      </c>
      <c r="N1461" s="1" t="str">
        <f>IF(Employee__2[[#This Row],[City]]="Pune","Yes","No")</f>
        <v>No</v>
      </c>
      <c r="O1461" s="1" t="str">
        <f>IF(AND(Employee__2[[#This Row],[Education]]="Bachelors",Employee__2[[#This Row],[City]]="Pune"),"Yes","No")</f>
        <v>No</v>
      </c>
      <c r="P1461" s="1" t="str">
        <f>IF(OR(Employee__2[[#This Row],[Age]]&gt;=30,Employee__2[[#This Row],[Gender]]="Male"),"Mached","Not mached")</f>
        <v>Mached</v>
      </c>
    </row>
    <row r="1462" spans="4:16" x14ac:dyDescent="0.25">
      <c r="D1462" s="6" t="s">
        <v>34</v>
      </c>
      <c r="E1462">
        <v>2017</v>
      </c>
      <c r="F1462" s="6" t="s">
        <v>35</v>
      </c>
      <c r="G1462">
        <v>3</v>
      </c>
      <c r="H1462">
        <v>24</v>
      </c>
      <c r="I1462" s="6" t="s">
        <v>36</v>
      </c>
      <c r="J1462" s="6" t="s">
        <v>37</v>
      </c>
      <c r="K1462">
        <v>2</v>
      </c>
      <c r="M1462" s="1" t="b">
        <f>Employee__2[[#This Row],[Experience]]&gt;1</f>
        <v>1</v>
      </c>
      <c r="N1462" s="1" t="str">
        <f>IF(Employee__2[[#This Row],[City]]="Pune","Yes","No")</f>
        <v>No</v>
      </c>
      <c r="O1462" s="1" t="str">
        <f>IF(AND(Employee__2[[#This Row],[Education]]="Bachelors",Employee__2[[#This Row],[City]]="Pune"),"Yes","No")</f>
        <v>No</v>
      </c>
      <c r="P1462" s="1" t="str">
        <f>IF(OR(Employee__2[[#This Row],[Age]]&gt;=30,Employee__2[[#This Row],[Gender]]="Male"),"Mached","Not mached")</f>
        <v>Mached</v>
      </c>
    </row>
    <row r="1463" spans="4:16" x14ac:dyDescent="0.25">
      <c r="D1463" s="6" t="s">
        <v>34</v>
      </c>
      <c r="E1463">
        <v>2012</v>
      </c>
      <c r="F1463" s="6" t="s">
        <v>38</v>
      </c>
      <c r="G1463">
        <v>3</v>
      </c>
      <c r="H1463">
        <v>24</v>
      </c>
      <c r="I1463" s="6" t="s">
        <v>36</v>
      </c>
      <c r="J1463" s="6" t="s">
        <v>37</v>
      </c>
      <c r="K1463">
        <v>2</v>
      </c>
      <c r="M1463" s="1" t="b">
        <f>Employee__2[[#This Row],[Experience]]&gt;1</f>
        <v>1</v>
      </c>
      <c r="N1463" s="1" t="str">
        <f>IF(Employee__2[[#This Row],[City]]="Pune","Yes","No")</f>
        <v>Yes</v>
      </c>
      <c r="O1463" s="1" t="str">
        <f>IF(AND(Employee__2[[#This Row],[Education]]="Bachelors",Employee__2[[#This Row],[City]]="Pune"),"Yes","No")</f>
        <v>Yes</v>
      </c>
      <c r="P1463" s="1" t="str">
        <f>IF(OR(Employee__2[[#This Row],[Age]]&gt;=30,Employee__2[[#This Row],[Gender]]="Male"),"Mached","Not mached")</f>
        <v>Mached</v>
      </c>
    </row>
    <row r="1464" spans="4:16" x14ac:dyDescent="0.25">
      <c r="D1464" s="6" t="s">
        <v>34</v>
      </c>
      <c r="E1464">
        <v>2016</v>
      </c>
      <c r="F1464" s="6" t="s">
        <v>40</v>
      </c>
      <c r="G1464">
        <v>3</v>
      </c>
      <c r="H1464">
        <v>28</v>
      </c>
      <c r="I1464" s="6" t="s">
        <v>36</v>
      </c>
      <c r="J1464" s="6" t="s">
        <v>37</v>
      </c>
      <c r="K1464">
        <v>0</v>
      </c>
      <c r="M1464" s="1" t="b">
        <f>Employee__2[[#This Row],[Experience]]&gt;1</f>
        <v>0</v>
      </c>
      <c r="N1464" s="1" t="str">
        <f>IF(Employee__2[[#This Row],[City]]="Pune","Yes","No")</f>
        <v>No</v>
      </c>
      <c r="O1464" s="1" t="str">
        <f>IF(AND(Employee__2[[#This Row],[Education]]="Bachelors",Employee__2[[#This Row],[City]]="Pune"),"Yes","No")</f>
        <v>No</v>
      </c>
      <c r="P1464" s="1" t="str">
        <f>IF(OR(Employee__2[[#This Row],[Age]]&gt;=30,Employee__2[[#This Row],[Gender]]="Male"),"Mached","Not mached")</f>
        <v>Mached</v>
      </c>
    </row>
    <row r="1465" spans="4:16" x14ac:dyDescent="0.25">
      <c r="D1465" s="6" t="s">
        <v>34</v>
      </c>
      <c r="E1465">
        <v>2012</v>
      </c>
      <c r="F1465" s="6" t="s">
        <v>35</v>
      </c>
      <c r="G1465">
        <v>3</v>
      </c>
      <c r="H1465">
        <v>27</v>
      </c>
      <c r="I1465" s="6" t="s">
        <v>36</v>
      </c>
      <c r="J1465" s="6" t="s">
        <v>37</v>
      </c>
      <c r="K1465">
        <v>5</v>
      </c>
      <c r="M1465" s="1" t="b">
        <f>Employee__2[[#This Row],[Experience]]&gt;1</f>
        <v>1</v>
      </c>
      <c r="N1465" s="1" t="str">
        <f>IF(Employee__2[[#This Row],[City]]="Pune","Yes","No")</f>
        <v>No</v>
      </c>
      <c r="O1465" s="1" t="str">
        <f>IF(AND(Employee__2[[#This Row],[Education]]="Bachelors",Employee__2[[#This Row],[City]]="Pune"),"Yes","No")</f>
        <v>No</v>
      </c>
      <c r="P1465" s="1" t="str">
        <f>IF(OR(Employee__2[[#This Row],[Age]]&gt;=30,Employee__2[[#This Row],[Gender]]="Male"),"Mached","Not mached")</f>
        <v>Mached</v>
      </c>
    </row>
    <row r="1466" spans="4:16" x14ac:dyDescent="0.25">
      <c r="D1466" s="6" t="s">
        <v>34</v>
      </c>
      <c r="E1466">
        <v>2014</v>
      </c>
      <c r="F1466" s="6" t="s">
        <v>35</v>
      </c>
      <c r="G1466">
        <v>3</v>
      </c>
      <c r="H1466">
        <v>27</v>
      </c>
      <c r="I1466" s="6" t="s">
        <v>36</v>
      </c>
      <c r="J1466" s="6" t="s">
        <v>37</v>
      </c>
      <c r="K1466">
        <v>5</v>
      </c>
      <c r="M1466" s="1" t="b">
        <f>Employee__2[[#This Row],[Experience]]&gt;1</f>
        <v>1</v>
      </c>
      <c r="N1466" s="1" t="str">
        <f>IF(Employee__2[[#This Row],[City]]="Pune","Yes","No")</f>
        <v>No</v>
      </c>
      <c r="O1466" s="1" t="str">
        <f>IF(AND(Employee__2[[#This Row],[Education]]="Bachelors",Employee__2[[#This Row],[City]]="Pune"),"Yes","No")</f>
        <v>No</v>
      </c>
      <c r="P1466" s="1" t="str">
        <f>IF(OR(Employee__2[[#This Row],[Age]]&gt;=30,Employee__2[[#This Row],[Gender]]="Male"),"Mached","Not mached")</f>
        <v>Mached</v>
      </c>
    </row>
    <row r="1467" spans="4:16" x14ac:dyDescent="0.25">
      <c r="D1467" s="6" t="s">
        <v>34</v>
      </c>
      <c r="E1467">
        <v>2017</v>
      </c>
      <c r="F1467" s="6" t="s">
        <v>35</v>
      </c>
      <c r="G1467">
        <v>3</v>
      </c>
      <c r="H1467">
        <v>24</v>
      </c>
      <c r="I1467" s="6" t="s">
        <v>36</v>
      </c>
      <c r="J1467" s="6" t="s">
        <v>37</v>
      </c>
      <c r="K1467">
        <v>2</v>
      </c>
      <c r="M1467" s="1" t="b">
        <f>Employee__2[[#This Row],[Experience]]&gt;1</f>
        <v>1</v>
      </c>
      <c r="N1467" s="1" t="str">
        <f>IF(Employee__2[[#This Row],[City]]="Pune","Yes","No")</f>
        <v>No</v>
      </c>
      <c r="O1467" s="1" t="str">
        <f>IF(AND(Employee__2[[#This Row],[Education]]="Bachelors",Employee__2[[#This Row],[City]]="Pune"),"Yes","No")</f>
        <v>No</v>
      </c>
      <c r="P1467" s="1" t="str">
        <f>IF(OR(Employee__2[[#This Row],[Age]]&gt;=30,Employee__2[[#This Row],[Gender]]="Male"),"Mached","Not mached")</f>
        <v>Mached</v>
      </c>
    </row>
    <row r="1468" spans="4:16" x14ac:dyDescent="0.25">
      <c r="D1468" s="6" t="s">
        <v>34</v>
      </c>
      <c r="E1468">
        <v>2012</v>
      </c>
      <c r="F1468" s="6" t="s">
        <v>35</v>
      </c>
      <c r="G1468">
        <v>1</v>
      </c>
      <c r="H1468">
        <v>27</v>
      </c>
      <c r="I1468" s="6" t="s">
        <v>36</v>
      </c>
      <c r="J1468" s="6" t="s">
        <v>37</v>
      </c>
      <c r="K1468">
        <v>5</v>
      </c>
      <c r="M1468" s="1" t="b">
        <f>Employee__2[[#This Row],[Experience]]&gt;1</f>
        <v>1</v>
      </c>
      <c r="N1468" s="1" t="str">
        <f>IF(Employee__2[[#This Row],[City]]="Pune","Yes","No")</f>
        <v>No</v>
      </c>
      <c r="O1468" s="1" t="str">
        <f>IF(AND(Employee__2[[#This Row],[Education]]="Bachelors",Employee__2[[#This Row],[City]]="Pune"),"Yes","No")</f>
        <v>No</v>
      </c>
      <c r="P1468" s="1" t="str">
        <f>IF(OR(Employee__2[[#This Row],[Age]]&gt;=30,Employee__2[[#This Row],[Gender]]="Male"),"Mached","Not mached")</f>
        <v>Mached</v>
      </c>
    </row>
    <row r="1469" spans="4:16" x14ac:dyDescent="0.25">
      <c r="D1469" s="6" t="s">
        <v>34</v>
      </c>
      <c r="E1469">
        <v>2017</v>
      </c>
      <c r="F1469" s="6" t="s">
        <v>35</v>
      </c>
      <c r="G1469">
        <v>3</v>
      </c>
      <c r="H1469">
        <v>28</v>
      </c>
      <c r="I1469" s="6" t="s">
        <v>39</v>
      </c>
      <c r="J1469" s="6" t="s">
        <v>37</v>
      </c>
      <c r="K1469">
        <v>5</v>
      </c>
      <c r="M1469" s="1" t="b">
        <f>Employee__2[[#This Row],[Experience]]&gt;1</f>
        <v>1</v>
      </c>
      <c r="N1469" s="1" t="str">
        <f>IF(Employee__2[[#This Row],[City]]="Pune","Yes","No")</f>
        <v>No</v>
      </c>
      <c r="O1469" s="1" t="str">
        <f>IF(AND(Employee__2[[#This Row],[Education]]="Bachelors",Employee__2[[#This Row],[City]]="Pune"),"Yes","No")</f>
        <v>No</v>
      </c>
      <c r="P1469" s="1" t="str">
        <f>IF(OR(Employee__2[[#This Row],[Age]]&gt;=30,Employee__2[[#This Row],[Gender]]="Male"),"Mached","Not mached")</f>
        <v>Not mached</v>
      </c>
    </row>
    <row r="1470" spans="4:16" x14ac:dyDescent="0.25">
      <c r="D1470" s="6" t="s">
        <v>34</v>
      </c>
      <c r="E1470">
        <v>2014</v>
      </c>
      <c r="F1470" s="6" t="s">
        <v>38</v>
      </c>
      <c r="G1470">
        <v>3</v>
      </c>
      <c r="H1470">
        <v>25</v>
      </c>
      <c r="I1470" s="6" t="s">
        <v>36</v>
      </c>
      <c r="J1470" s="6" t="s">
        <v>37</v>
      </c>
      <c r="K1470">
        <v>3</v>
      </c>
      <c r="M1470" s="1" t="b">
        <f>Employee__2[[#This Row],[Experience]]&gt;1</f>
        <v>1</v>
      </c>
      <c r="N1470" s="1" t="str">
        <f>IF(Employee__2[[#This Row],[City]]="Pune","Yes","No")</f>
        <v>Yes</v>
      </c>
      <c r="O1470" s="1" t="str">
        <f>IF(AND(Employee__2[[#This Row],[Education]]="Bachelors",Employee__2[[#This Row],[City]]="Pune"),"Yes","No")</f>
        <v>Yes</v>
      </c>
      <c r="P1470" s="1" t="str">
        <f>IF(OR(Employee__2[[#This Row],[Age]]&gt;=30,Employee__2[[#This Row],[Gender]]="Male"),"Mached","Not mached")</f>
        <v>Mached</v>
      </c>
    </row>
    <row r="1471" spans="4:16" x14ac:dyDescent="0.25">
      <c r="D1471" s="6" t="s">
        <v>34</v>
      </c>
      <c r="E1471">
        <v>2015</v>
      </c>
      <c r="F1471" s="6" t="s">
        <v>38</v>
      </c>
      <c r="G1471">
        <v>3</v>
      </c>
      <c r="H1471">
        <v>25</v>
      </c>
      <c r="I1471" s="6" t="s">
        <v>36</v>
      </c>
      <c r="J1471" s="6" t="s">
        <v>37</v>
      </c>
      <c r="K1471">
        <v>3</v>
      </c>
      <c r="M1471" s="1" t="b">
        <f>Employee__2[[#This Row],[Experience]]&gt;1</f>
        <v>1</v>
      </c>
      <c r="N1471" s="1" t="str">
        <f>IF(Employee__2[[#This Row],[City]]="Pune","Yes","No")</f>
        <v>Yes</v>
      </c>
      <c r="O1471" s="1" t="str">
        <f>IF(AND(Employee__2[[#This Row],[Education]]="Bachelors",Employee__2[[#This Row],[City]]="Pune"),"Yes","No")</f>
        <v>Yes</v>
      </c>
      <c r="P1471" s="1" t="str">
        <f>IF(OR(Employee__2[[#This Row],[Age]]&gt;=30,Employee__2[[#This Row],[Gender]]="Male"),"Mached","Not mached")</f>
        <v>Mached</v>
      </c>
    </row>
    <row r="1472" spans="4:16" x14ac:dyDescent="0.25">
      <c r="D1472" s="6" t="s">
        <v>34</v>
      </c>
      <c r="E1472">
        <v>2017</v>
      </c>
      <c r="F1472" s="6" t="s">
        <v>38</v>
      </c>
      <c r="G1472">
        <v>2</v>
      </c>
      <c r="H1472">
        <v>28</v>
      </c>
      <c r="I1472" s="6" t="s">
        <v>36</v>
      </c>
      <c r="J1472" s="6" t="s">
        <v>37</v>
      </c>
      <c r="K1472">
        <v>0</v>
      </c>
      <c r="M1472" s="1" t="b">
        <f>Employee__2[[#This Row],[Experience]]&gt;1</f>
        <v>0</v>
      </c>
      <c r="N1472" s="1" t="str">
        <f>IF(Employee__2[[#This Row],[City]]="Pune","Yes","No")</f>
        <v>Yes</v>
      </c>
      <c r="O1472" s="1" t="str">
        <f>IF(AND(Employee__2[[#This Row],[Education]]="Bachelors",Employee__2[[#This Row],[City]]="Pune"),"Yes","No")</f>
        <v>Yes</v>
      </c>
      <c r="P1472" s="1" t="str">
        <f>IF(OR(Employee__2[[#This Row],[Age]]&gt;=30,Employee__2[[#This Row],[Gender]]="Male"),"Mached","Not mached")</f>
        <v>Mached</v>
      </c>
    </row>
    <row r="1473" spans="4:16" x14ac:dyDescent="0.25">
      <c r="D1473" s="6" t="s">
        <v>34</v>
      </c>
      <c r="E1473">
        <v>2015</v>
      </c>
      <c r="F1473" s="6" t="s">
        <v>38</v>
      </c>
      <c r="G1473">
        <v>2</v>
      </c>
      <c r="H1473">
        <v>26</v>
      </c>
      <c r="I1473" s="6" t="s">
        <v>39</v>
      </c>
      <c r="J1473" s="6" t="s">
        <v>37</v>
      </c>
      <c r="K1473">
        <v>4</v>
      </c>
      <c r="M1473" s="1" t="b">
        <f>Employee__2[[#This Row],[Experience]]&gt;1</f>
        <v>1</v>
      </c>
      <c r="N1473" s="1" t="str">
        <f>IF(Employee__2[[#This Row],[City]]="Pune","Yes","No")</f>
        <v>Yes</v>
      </c>
      <c r="O1473" s="1" t="str">
        <f>IF(AND(Employee__2[[#This Row],[Education]]="Bachelors",Employee__2[[#This Row],[City]]="Pune"),"Yes","No")</f>
        <v>Yes</v>
      </c>
      <c r="P1473" s="1" t="str">
        <f>IF(OR(Employee__2[[#This Row],[Age]]&gt;=30,Employee__2[[#This Row],[Gender]]="Male"),"Mached","Not mached")</f>
        <v>Not mached</v>
      </c>
    </row>
    <row r="1474" spans="4:16" x14ac:dyDescent="0.25">
      <c r="D1474" s="6" t="s">
        <v>34</v>
      </c>
      <c r="E1474">
        <v>2015</v>
      </c>
      <c r="F1474" s="6" t="s">
        <v>38</v>
      </c>
      <c r="G1474">
        <v>2</v>
      </c>
      <c r="H1474">
        <v>27</v>
      </c>
      <c r="I1474" s="6" t="s">
        <v>39</v>
      </c>
      <c r="J1474" s="6" t="s">
        <v>37</v>
      </c>
      <c r="K1474">
        <v>5</v>
      </c>
      <c r="M1474" s="1" t="b">
        <f>Employee__2[[#This Row],[Experience]]&gt;1</f>
        <v>1</v>
      </c>
      <c r="N1474" s="1" t="str">
        <f>IF(Employee__2[[#This Row],[City]]="Pune","Yes","No")</f>
        <v>Yes</v>
      </c>
      <c r="O1474" s="1" t="str">
        <f>IF(AND(Employee__2[[#This Row],[Education]]="Bachelors",Employee__2[[#This Row],[City]]="Pune"),"Yes","No")</f>
        <v>Yes</v>
      </c>
      <c r="P1474" s="1" t="str">
        <f>IF(OR(Employee__2[[#This Row],[Age]]&gt;=30,Employee__2[[#This Row],[Gender]]="Male"),"Mached","Not mached")</f>
        <v>Not mached</v>
      </c>
    </row>
    <row r="1475" spans="4:16" x14ac:dyDescent="0.25">
      <c r="D1475" s="6" t="s">
        <v>34</v>
      </c>
      <c r="E1475">
        <v>2015</v>
      </c>
      <c r="F1475" s="6" t="s">
        <v>38</v>
      </c>
      <c r="G1475">
        <v>3</v>
      </c>
      <c r="H1475">
        <v>26</v>
      </c>
      <c r="I1475" s="6" t="s">
        <v>39</v>
      </c>
      <c r="J1475" s="6" t="s">
        <v>37</v>
      </c>
      <c r="K1475">
        <v>4</v>
      </c>
      <c r="M1475" s="1" t="b">
        <f>Employee__2[[#This Row],[Experience]]&gt;1</f>
        <v>1</v>
      </c>
      <c r="N1475" s="1" t="str">
        <f>IF(Employee__2[[#This Row],[City]]="Pune","Yes","No")</f>
        <v>Yes</v>
      </c>
      <c r="O1475" s="1" t="str">
        <f>IF(AND(Employee__2[[#This Row],[Education]]="Bachelors",Employee__2[[#This Row],[City]]="Pune"),"Yes","No")</f>
        <v>Yes</v>
      </c>
      <c r="P1475" s="1" t="str">
        <f>IF(OR(Employee__2[[#This Row],[Age]]&gt;=30,Employee__2[[#This Row],[Gender]]="Male"),"Mached","Not mached")</f>
        <v>Not mached</v>
      </c>
    </row>
    <row r="1476" spans="4:16" x14ac:dyDescent="0.25">
      <c r="D1476" s="6" t="s">
        <v>34</v>
      </c>
      <c r="E1476">
        <v>2015</v>
      </c>
      <c r="F1476" s="6" t="s">
        <v>35</v>
      </c>
      <c r="G1476">
        <v>2</v>
      </c>
      <c r="H1476">
        <v>28</v>
      </c>
      <c r="I1476" s="6" t="s">
        <v>39</v>
      </c>
      <c r="J1476" s="6" t="s">
        <v>37</v>
      </c>
      <c r="K1476">
        <v>3</v>
      </c>
      <c r="M1476" s="1" t="b">
        <f>Employee__2[[#This Row],[Experience]]&gt;1</f>
        <v>1</v>
      </c>
      <c r="N1476" s="1" t="str">
        <f>IF(Employee__2[[#This Row],[City]]="Pune","Yes","No")</f>
        <v>No</v>
      </c>
      <c r="O1476" s="1" t="str">
        <f>IF(AND(Employee__2[[#This Row],[Education]]="Bachelors",Employee__2[[#This Row],[City]]="Pune"),"Yes","No")</f>
        <v>No</v>
      </c>
      <c r="P1476" s="1" t="str">
        <f>IF(OR(Employee__2[[#This Row],[Age]]&gt;=30,Employee__2[[#This Row],[Gender]]="Male"),"Mached","Not mached")</f>
        <v>Not mached</v>
      </c>
    </row>
    <row r="1477" spans="4:16" x14ac:dyDescent="0.25">
      <c r="D1477" s="6" t="s">
        <v>34</v>
      </c>
      <c r="E1477">
        <v>2012</v>
      </c>
      <c r="F1477" s="6" t="s">
        <v>38</v>
      </c>
      <c r="G1477">
        <v>3</v>
      </c>
      <c r="H1477">
        <v>25</v>
      </c>
      <c r="I1477" s="6" t="s">
        <v>36</v>
      </c>
      <c r="J1477" s="6" t="s">
        <v>37</v>
      </c>
      <c r="K1477">
        <v>3</v>
      </c>
      <c r="M1477" s="1" t="b">
        <f>Employee__2[[#This Row],[Experience]]&gt;1</f>
        <v>1</v>
      </c>
      <c r="N1477" s="1" t="str">
        <f>IF(Employee__2[[#This Row],[City]]="Pune","Yes","No")</f>
        <v>Yes</v>
      </c>
      <c r="O1477" s="1" t="str">
        <f>IF(AND(Employee__2[[#This Row],[Education]]="Bachelors",Employee__2[[#This Row],[City]]="Pune"),"Yes","No")</f>
        <v>Yes</v>
      </c>
      <c r="P1477" s="1" t="str">
        <f>IF(OR(Employee__2[[#This Row],[Age]]&gt;=30,Employee__2[[#This Row],[Gender]]="Male"),"Mached","Not mached")</f>
        <v>Mached</v>
      </c>
    </row>
    <row r="1478" spans="4:16" x14ac:dyDescent="0.25">
      <c r="D1478" s="6" t="s">
        <v>34</v>
      </c>
      <c r="E1478">
        <v>2013</v>
      </c>
      <c r="F1478" s="6" t="s">
        <v>35</v>
      </c>
      <c r="G1478">
        <v>3</v>
      </c>
      <c r="H1478">
        <v>25</v>
      </c>
      <c r="I1478" s="6" t="s">
        <v>36</v>
      </c>
      <c r="J1478" s="6" t="s">
        <v>42</v>
      </c>
      <c r="K1478">
        <v>3</v>
      </c>
      <c r="M1478" s="1" t="b">
        <f>Employee__2[[#This Row],[Experience]]&gt;1</f>
        <v>1</v>
      </c>
      <c r="N1478" s="1" t="str">
        <f>IF(Employee__2[[#This Row],[City]]="Pune","Yes","No")</f>
        <v>No</v>
      </c>
      <c r="O1478" s="1" t="str">
        <f>IF(AND(Employee__2[[#This Row],[Education]]="Bachelors",Employee__2[[#This Row],[City]]="Pune"),"Yes","No")</f>
        <v>No</v>
      </c>
      <c r="P1478" s="1" t="str">
        <f>IF(OR(Employee__2[[#This Row],[Age]]&gt;=30,Employee__2[[#This Row],[Gender]]="Male"),"Mached","Not mached")</f>
        <v>Mached</v>
      </c>
    </row>
    <row r="1479" spans="4:16" x14ac:dyDescent="0.25">
      <c r="D1479" s="6" t="s">
        <v>34</v>
      </c>
      <c r="E1479">
        <v>2016</v>
      </c>
      <c r="F1479" s="6" t="s">
        <v>40</v>
      </c>
      <c r="G1479">
        <v>3</v>
      </c>
      <c r="H1479">
        <v>26</v>
      </c>
      <c r="I1479" s="6" t="s">
        <v>36</v>
      </c>
      <c r="J1479" s="6" t="s">
        <v>37</v>
      </c>
      <c r="K1479">
        <v>4</v>
      </c>
      <c r="M1479" s="1" t="b">
        <f>Employee__2[[#This Row],[Experience]]&gt;1</f>
        <v>1</v>
      </c>
      <c r="N1479" s="1" t="str">
        <f>IF(Employee__2[[#This Row],[City]]="Pune","Yes","No")</f>
        <v>No</v>
      </c>
      <c r="O1479" s="1" t="str">
        <f>IF(AND(Employee__2[[#This Row],[Education]]="Bachelors",Employee__2[[#This Row],[City]]="Pune"),"Yes","No")</f>
        <v>No</v>
      </c>
      <c r="P1479" s="1" t="str">
        <f>IF(OR(Employee__2[[#This Row],[Age]]&gt;=30,Employee__2[[#This Row],[Gender]]="Male"),"Mached","Not mached")</f>
        <v>Mached</v>
      </c>
    </row>
    <row r="1480" spans="4:16" x14ac:dyDescent="0.25">
      <c r="D1480" s="6" t="s">
        <v>43</v>
      </c>
      <c r="E1480">
        <v>2018</v>
      </c>
      <c r="F1480" s="6" t="s">
        <v>40</v>
      </c>
      <c r="G1480">
        <v>3</v>
      </c>
      <c r="H1480">
        <v>24</v>
      </c>
      <c r="I1480" s="6" t="s">
        <v>39</v>
      </c>
      <c r="J1480" s="6" t="s">
        <v>37</v>
      </c>
      <c r="K1480">
        <v>2</v>
      </c>
      <c r="M1480" s="1" t="b">
        <f>Employee__2[[#This Row],[Experience]]&gt;1</f>
        <v>1</v>
      </c>
      <c r="N1480" s="1" t="str">
        <f>IF(Employee__2[[#This Row],[City]]="Pune","Yes","No")</f>
        <v>No</v>
      </c>
      <c r="O1480" s="1" t="str">
        <f>IF(AND(Employee__2[[#This Row],[Education]]="Bachelors",Employee__2[[#This Row],[City]]="Pune"),"Yes","No")</f>
        <v>No</v>
      </c>
      <c r="P1480" s="1" t="str">
        <f>IF(OR(Employee__2[[#This Row],[Age]]&gt;=30,Employee__2[[#This Row],[Gender]]="Male"),"Mached","Not mached")</f>
        <v>Not mached</v>
      </c>
    </row>
    <row r="1481" spans="4:16" x14ac:dyDescent="0.25">
      <c r="D1481" s="6" t="s">
        <v>34</v>
      </c>
      <c r="E1481">
        <v>2014</v>
      </c>
      <c r="F1481" s="6" t="s">
        <v>35</v>
      </c>
      <c r="G1481">
        <v>3</v>
      </c>
      <c r="H1481">
        <v>27</v>
      </c>
      <c r="I1481" s="6" t="s">
        <v>39</v>
      </c>
      <c r="J1481" s="6" t="s">
        <v>37</v>
      </c>
      <c r="K1481">
        <v>5</v>
      </c>
      <c r="M1481" s="1" t="b">
        <f>Employee__2[[#This Row],[Experience]]&gt;1</f>
        <v>1</v>
      </c>
      <c r="N1481" s="1" t="str">
        <f>IF(Employee__2[[#This Row],[City]]="Pune","Yes","No")</f>
        <v>No</v>
      </c>
      <c r="O1481" s="1" t="str">
        <f>IF(AND(Employee__2[[#This Row],[Education]]="Bachelors",Employee__2[[#This Row],[City]]="Pune"),"Yes","No")</f>
        <v>No</v>
      </c>
      <c r="P1481" s="1" t="str">
        <f>IF(OR(Employee__2[[#This Row],[Age]]&gt;=30,Employee__2[[#This Row],[Gender]]="Male"),"Mached","Not mached")</f>
        <v>Not mached</v>
      </c>
    </row>
    <row r="1482" spans="4:16" x14ac:dyDescent="0.25">
      <c r="D1482" s="6" t="s">
        <v>41</v>
      </c>
      <c r="E1482">
        <v>2017</v>
      </c>
      <c r="F1482" s="6" t="s">
        <v>40</v>
      </c>
      <c r="G1482">
        <v>2</v>
      </c>
      <c r="H1482">
        <v>26</v>
      </c>
      <c r="I1482" s="6" t="s">
        <v>36</v>
      </c>
      <c r="J1482" s="6" t="s">
        <v>42</v>
      </c>
      <c r="K1482">
        <v>4</v>
      </c>
      <c r="M1482" s="1" t="b">
        <f>Employee__2[[#This Row],[Experience]]&gt;1</f>
        <v>1</v>
      </c>
      <c r="N1482" s="1" t="str">
        <f>IF(Employee__2[[#This Row],[City]]="Pune","Yes","No")</f>
        <v>No</v>
      </c>
      <c r="O1482" s="1" t="str">
        <f>IF(AND(Employee__2[[#This Row],[Education]]="Bachelors",Employee__2[[#This Row],[City]]="Pune"),"Yes","No")</f>
        <v>No</v>
      </c>
      <c r="P1482" s="1" t="str">
        <f>IF(OR(Employee__2[[#This Row],[Age]]&gt;=30,Employee__2[[#This Row],[Gender]]="Male"),"Mached","Not mached")</f>
        <v>Mached</v>
      </c>
    </row>
    <row r="1483" spans="4:16" x14ac:dyDescent="0.25">
      <c r="D1483" s="6" t="s">
        <v>34</v>
      </c>
      <c r="E1483">
        <v>2015</v>
      </c>
      <c r="F1483" s="6" t="s">
        <v>38</v>
      </c>
      <c r="G1483">
        <v>2</v>
      </c>
      <c r="H1483">
        <v>27</v>
      </c>
      <c r="I1483" s="6" t="s">
        <v>39</v>
      </c>
      <c r="J1483" s="6" t="s">
        <v>37</v>
      </c>
      <c r="K1483">
        <v>5</v>
      </c>
      <c r="M1483" s="1" t="b">
        <f>Employee__2[[#This Row],[Experience]]&gt;1</f>
        <v>1</v>
      </c>
      <c r="N1483" s="1" t="str">
        <f>IF(Employee__2[[#This Row],[City]]="Pune","Yes","No")</f>
        <v>Yes</v>
      </c>
      <c r="O1483" s="1" t="str">
        <f>IF(AND(Employee__2[[#This Row],[Education]]="Bachelors",Employee__2[[#This Row],[City]]="Pune"),"Yes","No")</f>
        <v>Yes</v>
      </c>
      <c r="P1483" s="1" t="str">
        <f>IF(OR(Employee__2[[#This Row],[Age]]&gt;=30,Employee__2[[#This Row],[Gender]]="Male"),"Mached","Not mached")</f>
        <v>Not mached</v>
      </c>
    </row>
    <row r="1484" spans="4:16" x14ac:dyDescent="0.25">
      <c r="D1484" s="6" t="s">
        <v>34</v>
      </c>
      <c r="E1484">
        <v>2014</v>
      </c>
      <c r="F1484" s="6" t="s">
        <v>35</v>
      </c>
      <c r="G1484">
        <v>3</v>
      </c>
      <c r="H1484">
        <v>24</v>
      </c>
      <c r="I1484" s="6" t="s">
        <v>36</v>
      </c>
      <c r="J1484" s="6" t="s">
        <v>37</v>
      </c>
      <c r="K1484">
        <v>2</v>
      </c>
      <c r="M1484" s="1" t="b">
        <f>Employee__2[[#This Row],[Experience]]&gt;1</f>
        <v>1</v>
      </c>
      <c r="N1484" s="1" t="str">
        <f>IF(Employee__2[[#This Row],[City]]="Pune","Yes","No")</f>
        <v>No</v>
      </c>
      <c r="O1484" s="1" t="str">
        <f>IF(AND(Employee__2[[#This Row],[Education]]="Bachelors",Employee__2[[#This Row],[City]]="Pune"),"Yes","No")</f>
        <v>No</v>
      </c>
      <c r="P1484" s="1" t="str">
        <f>IF(OR(Employee__2[[#This Row],[Age]]&gt;=30,Employee__2[[#This Row],[Gender]]="Male"),"Mached","Not mached")</f>
        <v>Mached</v>
      </c>
    </row>
    <row r="1485" spans="4:16" x14ac:dyDescent="0.25">
      <c r="D1485" s="6" t="s">
        <v>41</v>
      </c>
      <c r="E1485">
        <v>2017</v>
      </c>
      <c r="F1485" s="6" t="s">
        <v>38</v>
      </c>
      <c r="G1485">
        <v>2</v>
      </c>
      <c r="H1485">
        <v>25</v>
      </c>
      <c r="I1485" s="6" t="s">
        <v>39</v>
      </c>
      <c r="J1485" s="6" t="s">
        <v>37</v>
      </c>
      <c r="K1485">
        <v>3</v>
      </c>
      <c r="M1485" s="1" t="b">
        <f>Employee__2[[#This Row],[Experience]]&gt;1</f>
        <v>1</v>
      </c>
      <c r="N1485" s="1" t="str">
        <f>IF(Employee__2[[#This Row],[City]]="Pune","Yes","No")</f>
        <v>Yes</v>
      </c>
      <c r="O1485" s="1" t="str">
        <f>IF(AND(Employee__2[[#This Row],[Education]]="Bachelors",Employee__2[[#This Row],[City]]="Pune"),"Yes","No")</f>
        <v>No</v>
      </c>
      <c r="P1485" s="1" t="str">
        <f>IF(OR(Employee__2[[#This Row],[Age]]&gt;=30,Employee__2[[#This Row],[Gender]]="Male"),"Mached","Not mached")</f>
        <v>Not mached</v>
      </c>
    </row>
    <row r="1486" spans="4:16" x14ac:dyDescent="0.25">
      <c r="D1486" s="6" t="s">
        <v>34</v>
      </c>
      <c r="E1486">
        <v>2017</v>
      </c>
      <c r="F1486" s="6" t="s">
        <v>40</v>
      </c>
      <c r="G1486">
        <v>3</v>
      </c>
      <c r="H1486">
        <v>28</v>
      </c>
      <c r="I1486" s="6" t="s">
        <v>39</v>
      </c>
      <c r="J1486" s="6" t="s">
        <v>37</v>
      </c>
      <c r="K1486">
        <v>2</v>
      </c>
      <c r="M1486" s="1" t="b">
        <f>Employee__2[[#This Row],[Experience]]&gt;1</f>
        <v>1</v>
      </c>
      <c r="N1486" s="1" t="str">
        <f>IF(Employee__2[[#This Row],[City]]="Pune","Yes","No")</f>
        <v>No</v>
      </c>
      <c r="O1486" s="1" t="str">
        <f>IF(AND(Employee__2[[#This Row],[Education]]="Bachelors",Employee__2[[#This Row],[City]]="Pune"),"Yes","No")</f>
        <v>No</v>
      </c>
      <c r="P1486" s="1" t="str">
        <f>IF(OR(Employee__2[[#This Row],[Age]]&gt;=30,Employee__2[[#This Row],[Gender]]="Male"),"Mached","Not mached")</f>
        <v>Not mached</v>
      </c>
    </row>
    <row r="1487" spans="4:16" x14ac:dyDescent="0.25">
      <c r="D1487" s="6" t="s">
        <v>34</v>
      </c>
      <c r="E1487">
        <v>2014</v>
      </c>
      <c r="F1487" s="6" t="s">
        <v>35</v>
      </c>
      <c r="G1487">
        <v>3</v>
      </c>
      <c r="H1487">
        <v>27</v>
      </c>
      <c r="I1487" s="6" t="s">
        <v>36</v>
      </c>
      <c r="J1487" s="6" t="s">
        <v>42</v>
      </c>
      <c r="K1487">
        <v>5</v>
      </c>
      <c r="M1487" s="1" t="b">
        <f>Employee__2[[#This Row],[Experience]]&gt;1</f>
        <v>1</v>
      </c>
      <c r="N1487" s="1" t="str">
        <f>IF(Employee__2[[#This Row],[City]]="Pune","Yes","No")</f>
        <v>No</v>
      </c>
      <c r="O1487" s="1" t="str">
        <f>IF(AND(Employee__2[[#This Row],[Education]]="Bachelors",Employee__2[[#This Row],[City]]="Pune"),"Yes","No")</f>
        <v>No</v>
      </c>
      <c r="P1487" s="1" t="str">
        <f>IF(OR(Employee__2[[#This Row],[Age]]&gt;=30,Employee__2[[#This Row],[Gender]]="Male"),"Mached","Not mached")</f>
        <v>Mached</v>
      </c>
    </row>
    <row r="1488" spans="4:16" x14ac:dyDescent="0.25">
      <c r="D1488" s="6" t="s">
        <v>34</v>
      </c>
      <c r="E1488">
        <v>2012</v>
      </c>
      <c r="F1488" s="6" t="s">
        <v>35</v>
      </c>
      <c r="G1488">
        <v>3</v>
      </c>
      <c r="H1488">
        <v>24</v>
      </c>
      <c r="I1488" s="6" t="s">
        <v>36</v>
      </c>
      <c r="J1488" s="6" t="s">
        <v>37</v>
      </c>
      <c r="K1488">
        <v>2</v>
      </c>
      <c r="M1488" s="1" t="b">
        <f>Employee__2[[#This Row],[Experience]]&gt;1</f>
        <v>1</v>
      </c>
      <c r="N1488" s="1" t="str">
        <f>IF(Employee__2[[#This Row],[City]]="Pune","Yes","No")</f>
        <v>No</v>
      </c>
      <c r="O1488" s="1" t="str">
        <f>IF(AND(Employee__2[[#This Row],[Education]]="Bachelors",Employee__2[[#This Row],[City]]="Pune"),"Yes","No")</f>
        <v>No</v>
      </c>
      <c r="P1488" s="1" t="str">
        <f>IF(OR(Employee__2[[#This Row],[Age]]&gt;=30,Employee__2[[#This Row],[Gender]]="Male"),"Mached","Not mached")</f>
        <v>Mached</v>
      </c>
    </row>
    <row r="1489" spans="4:16" x14ac:dyDescent="0.25">
      <c r="D1489" s="6" t="s">
        <v>34</v>
      </c>
      <c r="E1489">
        <v>2018</v>
      </c>
      <c r="F1489" s="6" t="s">
        <v>38</v>
      </c>
      <c r="G1489">
        <v>3</v>
      </c>
      <c r="H1489">
        <v>24</v>
      </c>
      <c r="I1489" s="6" t="s">
        <v>36</v>
      </c>
      <c r="J1489" s="6" t="s">
        <v>37</v>
      </c>
      <c r="K1489">
        <v>2</v>
      </c>
      <c r="M1489" s="1" t="b">
        <f>Employee__2[[#This Row],[Experience]]&gt;1</f>
        <v>1</v>
      </c>
      <c r="N1489" s="1" t="str">
        <f>IF(Employee__2[[#This Row],[City]]="Pune","Yes","No")</f>
        <v>Yes</v>
      </c>
      <c r="O1489" s="1" t="str">
        <f>IF(AND(Employee__2[[#This Row],[Education]]="Bachelors",Employee__2[[#This Row],[City]]="Pune"),"Yes","No")</f>
        <v>Yes</v>
      </c>
      <c r="P1489" s="1" t="str">
        <f>IF(OR(Employee__2[[#This Row],[Age]]&gt;=30,Employee__2[[#This Row],[Gender]]="Male"),"Mached","Not mached")</f>
        <v>Mached</v>
      </c>
    </row>
    <row r="1490" spans="4:16" x14ac:dyDescent="0.25">
      <c r="D1490" s="6" t="s">
        <v>34</v>
      </c>
      <c r="E1490">
        <v>2015</v>
      </c>
      <c r="F1490" s="6" t="s">
        <v>35</v>
      </c>
      <c r="G1490">
        <v>3</v>
      </c>
      <c r="H1490">
        <v>27</v>
      </c>
      <c r="I1490" s="6" t="s">
        <v>39</v>
      </c>
      <c r="J1490" s="6" t="s">
        <v>42</v>
      </c>
      <c r="K1490">
        <v>5</v>
      </c>
      <c r="M1490" s="1" t="b">
        <f>Employee__2[[#This Row],[Experience]]&gt;1</f>
        <v>1</v>
      </c>
      <c r="N1490" s="1" t="str">
        <f>IF(Employee__2[[#This Row],[City]]="Pune","Yes","No")</f>
        <v>No</v>
      </c>
      <c r="O1490" s="1" t="str">
        <f>IF(AND(Employee__2[[#This Row],[Education]]="Bachelors",Employee__2[[#This Row],[City]]="Pune"),"Yes","No")</f>
        <v>No</v>
      </c>
      <c r="P1490" s="1" t="str">
        <f>IF(OR(Employee__2[[#This Row],[Age]]&gt;=30,Employee__2[[#This Row],[Gender]]="Male"),"Mached","Not mached")</f>
        <v>Not mached</v>
      </c>
    </row>
    <row r="1491" spans="4:16" x14ac:dyDescent="0.25">
      <c r="D1491" s="6" t="s">
        <v>34</v>
      </c>
      <c r="E1491">
        <v>2015</v>
      </c>
      <c r="F1491" s="6" t="s">
        <v>40</v>
      </c>
      <c r="G1491">
        <v>3</v>
      </c>
      <c r="H1491">
        <v>28</v>
      </c>
      <c r="I1491" s="6" t="s">
        <v>39</v>
      </c>
      <c r="J1491" s="6" t="s">
        <v>37</v>
      </c>
      <c r="K1491">
        <v>3</v>
      </c>
      <c r="M1491" s="1" t="b">
        <f>Employee__2[[#This Row],[Experience]]&gt;1</f>
        <v>1</v>
      </c>
      <c r="N1491" s="1" t="str">
        <f>IF(Employee__2[[#This Row],[City]]="Pune","Yes","No")</f>
        <v>No</v>
      </c>
      <c r="O1491" s="1" t="str">
        <f>IF(AND(Employee__2[[#This Row],[Education]]="Bachelors",Employee__2[[#This Row],[City]]="Pune"),"Yes","No")</f>
        <v>No</v>
      </c>
      <c r="P1491" s="1" t="str">
        <f>IF(OR(Employee__2[[#This Row],[Age]]&gt;=30,Employee__2[[#This Row],[Gender]]="Male"),"Mached","Not mached")</f>
        <v>Not mached</v>
      </c>
    </row>
    <row r="1492" spans="4:16" x14ac:dyDescent="0.25">
      <c r="D1492" s="6" t="s">
        <v>34</v>
      </c>
      <c r="E1492">
        <v>2015</v>
      </c>
      <c r="F1492" s="6" t="s">
        <v>38</v>
      </c>
      <c r="G1492">
        <v>3</v>
      </c>
      <c r="H1492">
        <v>27</v>
      </c>
      <c r="I1492" s="6" t="s">
        <v>39</v>
      </c>
      <c r="J1492" s="6" t="s">
        <v>37</v>
      </c>
      <c r="K1492">
        <v>5</v>
      </c>
      <c r="M1492" s="1" t="b">
        <f>Employee__2[[#This Row],[Experience]]&gt;1</f>
        <v>1</v>
      </c>
      <c r="N1492" s="1" t="str">
        <f>IF(Employee__2[[#This Row],[City]]="Pune","Yes","No")</f>
        <v>Yes</v>
      </c>
      <c r="O1492" s="1" t="str">
        <f>IF(AND(Employee__2[[#This Row],[Education]]="Bachelors",Employee__2[[#This Row],[City]]="Pune"),"Yes","No")</f>
        <v>Yes</v>
      </c>
      <c r="P1492" s="1" t="str">
        <f>IF(OR(Employee__2[[#This Row],[Age]]&gt;=30,Employee__2[[#This Row],[Gender]]="Male"),"Mached","Not mached")</f>
        <v>Not mached</v>
      </c>
    </row>
    <row r="1493" spans="4:16" x14ac:dyDescent="0.25">
      <c r="D1493" s="6" t="s">
        <v>34</v>
      </c>
      <c r="E1493">
        <v>2015</v>
      </c>
      <c r="F1493" s="6" t="s">
        <v>35</v>
      </c>
      <c r="G1493">
        <v>3</v>
      </c>
      <c r="H1493">
        <v>28</v>
      </c>
      <c r="I1493" s="6" t="s">
        <v>36</v>
      </c>
      <c r="J1493" s="6" t="s">
        <v>37</v>
      </c>
      <c r="K1493">
        <v>5</v>
      </c>
      <c r="M1493" s="1" t="b">
        <f>Employee__2[[#This Row],[Experience]]&gt;1</f>
        <v>1</v>
      </c>
      <c r="N1493" s="1" t="str">
        <f>IF(Employee__2[[#This Row],[City]]="Pune","Yes","No")</f>
        <v>No</v>
      </c>
      <c r="O1493" s="1" t="str">
        <f>IF(AND(Employee__2[[#This Row],[Education]]="Bachelors",Employee__2[[#This Row],[City]]="Pune"),"Yes","No")</f>
        <v>No</v>
      </c>
      <c r="P1493" s="1" t="str">
        <f>IF(OR(Employee__2[[#This Row],[Age]]&gt;=30,Employee__2[[#This Row],[Gender]]="Male"),"Mached","Not mached")</f>
        <v>Mached</v>
      </c>
    </row>
    <row r="1494" spans="4:16" x14ac:dyDescent="0.25">
      <c r="D1494" s="6" t="s">
        <v>34</v>
      </c>
      <c r="E1494">
        <v>2015</v>
      </c>
      <c r="F1494" s="6" t="s">
        <v>40</v>
      </c>
      <c r="G1494">
        <v>2</v>
      </c>
      <c r="H1494">
        <v>27</v>
      </c>
      <c r="I1494" s="6" t="s">
        <v>39</v>
      </c>
      <c r="J1494" s="6" t="s">
        <v>42</v>
      </c>
      <c r="K1494">
        <v>5</v>
      </c>
      <c r="M1494" s="1" t="b">
        <f>Employee__2[[#This Row],[Experience]]&gt;1</f>
        <v>1</v>
      </c>
      <c r="N1494" s="1" t="str">
        <f>IF(Employee__2[[#This Row],[City]]="Pune","Yes","No")</f>
        <v>No</v>
      </c>
      <c r="O1494" s="1" t="str">
        <f>IF(AND(Employee__2[[#This Row],[Education]]="Bachelors",Employee__2[[#This Row],[City]]="Pune"),"Yes","No")</f>
        <v>No</v>
      </c>
      <c r="P1494" s="1" t="str">
        <f>IF(OR(Employee__2[[#This Row],[Age]]&gt;=30,Employee__2[[#This Row],[Gender]]="Male"),"Mached","Not mached")</f>
        <v>Not mached</v>
      </c>
    </row>
    <row r="1495" spans="4:16" x14ac:dyDescent="0.25">
      <c r="D1495" s="6" t="s">
        <v>34</v>
      </c>
      <c r="E1495">
        <v>2016</v>
      </c>
      <c r="F1495" s="6" t="s">
        <v>35</v>
      </c>
      <c r="G1495">
        <v>3</v>
      </c>
      <c r="H1495">
        <v>27</v>
      </c>
      <c r="I1495" s="6" t="s">
        <v>36</v>
      </c>
      <c r="J1495" s="6" t="s">
        <v>37</v>
      </c>
      <c r="K1495">
        <v>5</v>
      </c>
      <c r="M1495" s="1" t="b">
        <f>Employee__2[[#This Row],[Experience]]&gt;1</f>
        <v>1</v>
      </c>
      <c r="N1495" s="1" t="str">
        <f>IF(Employee__2[[#This Row],[City]]="Pune","Yes","No")</f>
        <v>No</v>
      </c>
      <c r="O1495" s="1" t="str">
        <f>IF(AND(Employee__2[[#This Row],[Education]]="Bachelors",Employee__2[[#This Row],[City]]="Pune"),"Yes","No")</f>
        <v>No</v>
      </c>
      <c r="P1495" s="1" t="str">
        <f>IF(OR(Employee__2[[#This Row],[Age]]&gt;=30,Employee__2[[#This Row],[Gender]]="Male"),"Mached","Not mached")</f>
        <v>Mached</v>
      </c>
    </row>
    <row r="1496" spans="4:16" x14ac:dyDescent="0.25">
      <c r="D1496" s="6" t="s">
        <v>41</v>
      </c>
      <c r="E1496">
        <v>2017</v>
      </c>
      <c r="F1496" s="6" t="s">
        <v>40</v>
      </c>
      <c r="G1496">
        <v>3</v>
      </c>
      <c r="H1496">
        <v>27</v>
      </c>
      <c r="I1496" s="6" t="s">
        <v>39</v>
      </c>
      <c r="J1496" s="6" t="s">
        <v>37</v>
      </c>
      <c r="K1496">
        <v>5</v>
      </c>
      <c r="M1496" s="1" t="b">
        <f>Employee__2[[#This Row],[Experience]]&gt;1</f>
        <v>1</v>
      </c>
      <c r="N1496" s="1" t="str">
        <f>IF(Employee__2[[#This Row],[City]]="Pune","Yes","No")</f>
        <v>No</v>
      </c>
      <c r="O1496" s="1" t="str">
        <f>IF(AND(Employee__2[[#This Row],[Education]]="Bachelors",Employee__2[[#This Row],[City]]="Pune"),"Yes","No")</f>
        <v>No</v>
      </c>
      <c r="P1496" s="1" t="str">
        <f>IF(OR(Employee__2[[#This Row],[Age]]&gt;=30,Employee__2[[#This Row],[Gender]]="Male"),"Mached","Not mached")</f>
        <v>Not mached</v>
      </c>
    </row>
    <row r="1497" spans="4:16" x14ac:dyDescent="0.25">
      <c r="D1497" s="6" t="s">
        <v>34</v>
      </c>
      <c r="E1497">
        <v>2017</v>
      </c>
      <c r="F1497" s="6" t="s">
        <v>38</v>
      </c>
      <c r="G1497">
        <v>2</v>
      </c>
      <c r="H1497">
        <v>26</v>
      </c>
      <c r="I1497" s="6" t="s">
        <v>39</v>
      </c>
      <c r="J1497" s="6" t="s">
        <v>37</v>
      </c>
      <c r="K1497">
        <v>4</v>
      </c>
      <c r="M1497" s="1" t="b">
        <f>Employee__2[[#This Row],[Experience]]&gt;1</f>
        <v>1</v>
      </c>
      <c r="N1497" s="1" t="str">
        <f>IF(Employee__2[[#This Row],[City]]="Pune","Yes","No")</f>
        <v>Yes</v>
      </c>
      <c r="O1497" s="1" t="str">
        <f>IF(AND(Employee__2[[#This Row],[Education]]="Bachelors",Employee__2[[#This Row],[City]]="Pune"),"Yes","No")</f>
        <v>Yes</v>
      </c>
      <c r="P1497" s="1" t="str">
        <f>IF(OR(Employee__2[[#This Row],[Age]]&gt;=30,Employee__2[[#This Row],[Gender]]="Male"),"Mached","Not mached")</f>
        <v>Not mached</v>
      </c>
    </row>
    <row r="1498" spans="4:16" x14ac:dyDescent="0.25">
      <c r="D1498" s="6" t="s">
        <v>34</v>
      </c>
      <c r="E1498">
        <v>2015</v>
      </c>
      <c r="F1498" s="6" t="s">
        <v>38</v>
      </c>
      <c r="G1498">
        <v>3</v>
      </c>
      <c r="H1498">
        <v>27</v>
      </c>
      <c r="I1498" s="6" t="s">
        <v>39</v>
      </c>
      <c r="J1498" s="6" t="s">
        <v>37</v>
      </c>
      <c r="K1498">
        <v>5</v>
      </c>
      <c r="M1498" s="1" t="b">
        <f>Employee__2[[#This Row],[Experience]]&gt;1</f>
        <v>1</v>
      </c>
      <c r="N1498" s="1" t="str">
        <f>IF(Employee__2[[#This Row],[City]]="Pune","Yes","No")</f>
        <v>Yes</v>
      </c>
      <c r="O1498" s="1" t="str">
        <f>IF(AND(Employee__2[[#This Row],[Education]]="Bachelors",Employee__2[[#This Row],[City]]="Pune"),"Yes","No")</f>
        <v>Yes</v>
      </c>
      <c r="P1498" s="1" t="str">
        <f>IF(OR(Employee__2[[#This Row],[Age]]&gt;=30,Employee__2[[#This Row],[Gender]]="Male"),"Mached","Not mached")</f>
        <v>Not mached</v>
      </c>
    </row>
    <row r="1499" spans="4:16" x14ac:dyDescent="0.25">
      <c r="D1499" s="6" t="s">
        <v>34</v>
      </c>
      <c r="E1499">
        <v>2018</v>
      </c>
      <c r="F1499" s="6" t="s">
        <v>38</v>
      </c>
      <c r="G1499">
        <v>3</v>
      </c>
      <c r="H1499">
        <v>27</v>
      </c>
      <c r="I1499" s="6" t="s">
        <v>39</v>
      </c>
      <c r="J1499" s="6" t="s">
        <v>37</v>
      </c>
      <c r="K1499">
        <v>5</v>
      </c>
      <c r="M1499" s="1" t="b">
        <f>Employee__2[[#This Row],[Experience]]&gt;1</f>
        <v>1</v>
      </c>
      <c r="N1499" s="1" t="str">
        <f>IF(Employee__2[[#This Row],[City]]="Pune","Yes","No")</f>
        <v>Yes</v>
      </c>
      <c r="O1499" s="1" t="str">
        <f>IF(AND(Employee__2[[#This Row],[Education]]="Bachelors",Employee__2[[#This Row],[City]]="Pune"),"Yes","No")</f>
        <v>Yes</v>
      </c>
      <c r="P1499" s="1" t="str">
        <f>IF(OR(Employee__2[[#This Row],[Age]]&gt;=30,Employee__2[[#This Row],[Gender]]="Male"),"Mached","Not mached")</f>
        <v>Not mached</v>
      </c>
    </row>
    <row r="1500" spans="4:16" x14ac:dyDescent="0.25">
      <c r="D1500" s="6" t="s">
        <v>34</v>
      </c>
      <c r="E1500">
        <v>2012</v>
      </c>
      <c r="F1500" s="6" t="s">
        <v>35</v>
      </c>
      <c r="G1500">
        <v>3</v>
      </c>
      <c r="H1500">
        <v>25</v>
      </c>
      <c r="I1500" s="6" t="s">
        <v>36</v>
      </c>
      <c r="J1500" s="6" t="s">
        <v>37</v>
      </c>
      <c r="K1500">
        <v>3</v>
      </c>
      <c r="M1500" s="1" t="b">
        <f>Employee__2[[#This Row],[Experience]]&gt;1</f>
        <v>1</v>
      </c>
      <c r="N1500" s="1" t="str">
        <f>IF(Employee__2[[#This Row],[City]]="Pune","Yes","No")</f>
        <v>No</v>
      </c>
      <c r="O1500" s="1" t="str">
        <f>IF(AND(Employee__2[[#This Row],[Education]]="Bachelors",Employee__2[[#This Row],[City]]="Pune"),"Yes","No")</f>
        <v>No</v>
      </c>
      <c r="P1500" s="1" t="str">
        <f>IF(OR(Employee__2[[#This Row],[Age]]&gt;=30,Employee__2[[#This Row],[Gender]]="Male"),"Mached","Not mached")</f>
        <v>Mached</v>
      </c>
    </row>
    <row r="1501" spans="4:16" x14ac:dyDescent="0.25">
      <c r="D1501" s="6" t="s">
        <v>34</v>
      </c>
      <c r="E1501">
        <v>2017</v>
      </c>
      <c r="F1501" s="6" t="s">
        <v>35</v>
      </c>
      <c r="G1501">
        <v>3</v>
      </c>
      <c r="H1501">
        <v>25</v>
      </c>
      <c r="I1501" s="6" t="s">
        <v>36</v>
      </c>
      <c r="J1501" s="6" t="s">
        <v>37</v>
      </c>
      <c r="K1501">
        <v>3</v>
      </c>
      <c r="M1501" s="1" t="b">
        <f>Employee__2[[#This Row],[Experience]]&gt;1</f>
        <v>1</v>
      </c>
      <c r="N1501" s="1" t="str">
        <f>IF(Employee__2[[#This Row],[City]]="Pune","Yes","No")</f>
        <v>No</v>
      </c>
      <c r="O1501" s="1" t="str">
        <f>IF(AND(Employee__2[[#This Row],[Education]]="Bachelors",Employee__2[[#This Row],[City]]="Pune"),"Yes","No")</f>
        <v>No</v>
      </c>
      <c r="P1501" s="1" t="str">
        <f>IF(OR(Employee__2[[#This Row],[Age]]&gt;=30,Employee__2[[#This Row],[Gender]]="Male"),"Mached","Not mached")</f>
        <v>Mached</v>
      </c>
    </row>
    <row r="1502" spans="4:16" x14ac:dyDescent="0.25">
      <c r="D1502" s="6" t="s">
        <v>43</v>
      </c>
      <c r="E1502">
        <v>2013</v>
      </c>
      <c r="F1502" s="6" t="s">
        <v>40</v>
      </c>
      <c r="G1502">
        <v>3</v>
      </c>
      <c r="H1502">
        <v>27</v>
      </c>
      <c r="I1502" s="6" t="s">
        <v>39</v>
      </c>
      <c r="J1502" s="6" t="s">
        <v>37</v>
      </c>
      <c r="K1502">
        <v>5</v>
      </c>
      <c r="M1502" s="1" t="b">
        <f>Employee__2[[#This Row],[Experience]]&gt;1</f>
        <v>1</v>
      </c>
      <c r="N1502" s="1" t="str">
        <f>IF(Employee__2[[#This Row],[City]]="Pune","Yes","No")</f>
        <v>No</v>
      </c>
      <c r="O1502" s="1" t="str">
        <f>IF(AND(Employee__2[[#This Row],[Education]]="Bachelors",Employee__2[[#This Row],[City]]="Pune"),"Yes","No")</f>
        <v>No</v>
      </c>
      <c r="P1502" s="1" t="str">
        <f>IF(OR(Employee__2[[#This Row],[Age]]&gt;=30,Employee__2[[#This Row],[Gender]]="Male"),"Mached","Not mached")</f>
        <v>Not mached</v>
      </c>
    </row>
    <row r="1503" spans="4:16" x14ac:dyDescent="0.25">
      <c r="D1503" s="6" t="s">
        <v>34</v>
      </c>
      <c r="E1503">
        <v>2016</v>
      </c>
      <c r="F1503" s="6" t="s">
        <v>35</v>
      </c>
      <c r="G1503">
        <v>3</v>
      </c>
      <c r="H1503">
        <v>28</v>
      </c>
      <c r="I1503" s="6" t="s">
        <v>36</v>
      </c>
      <c r="J1503" s="6" t="s">
        <v>37</v>
      </c>
      <c r="K1503">
        <v>2</v>
      </c>
      <c r="M1503" s="1" t="b">
        <f>Employee__2[[#This Row],[Experience]]&gt;1</f>
        <v>1</v>
      </c>
      <c r="N1503" s="1" t="str">
        <f>IF(Employee__2[[#This Row],[City]]="Pune","Yes","No")</f>
        <v>No</v>
      </c>
      <c r="O1503" s="1" t="str">
        <f>IF(AND(Employee__2[[#This Row],[Education]]="Bachelors",Employee__2[[#This Row],[City]]="Pune"),"Yes","No")</f>
        <v>No</v>
      </c>
      <c r="P1503" s="1" t="str">
        <f>IF(OR(Employee__2[[#This Row],[Age]]&gt;=30,Employee__2[[#This Row],[Gender]]="Male"),"Mached","Not mached")</f>
        <v>Mached</v>
      </c>
    </row>
    <row r="1504" spans="4:16" x14ac:dyDescent="0.25">
      <c r="D1504" s="6" t="s">
        <v>34</v>
      </c>
      <c r="E1504">
        <v>2012</v>
      </c>
      <c r="F1504" s="6" t="s">
        <v>35</v>
      </c>
      <c r="G1504">
        <v>3</v>
      </c>
      <c r="H1504">
        <v>25</v>
      </c>
      <c r="I1504" s="6" t="s">
        <v>39</v>
      </c>
      <c r="J1504" s="6" t="s">
        <v>42</v>
      </c>
      <c r="K1504">
        <v>3</v>
      </c>
      <c r="M1504" s="1" t="b">
        <f>Employee__2[[#This Row],[Experience]]&gt;1</f>
        <v>1</v>
      </c>
      <c r="N1504" s="1" t="str">
        <f>IF(Employee__2[[#This Row],[City]]="Pune","Yes","No")</f>
        <v>No</v>
      </c>
      <c r="O1504" s="1" t="str">
        <f>IF(AND(Employee__2[[#This Row],[Education]]="Bachelors",Employee__2[[#This Row],[City]]="Pune"),"Yes","No")</f>
        <v>No</v>
      </c>
      <c r="P1504" s="1" t="str">
        <f>IF(OR(Employee__2[[#This Row],[Age]]&gt;=30,Employee__2[[#This Row],[Gender]]="Male"),"Mached","Not mached")</f>
        <v>Not mached</v>
      </c>
    </row>
    <row r="1505" spans="4:16" x14ac:dyDescent="0.25">
      <c r="D1505" s="6" t="s">
        <v>34</v>
      </c>
      <c r="E1505">
        <v>2015</v>
      </c>
      <c r="F1505" s="6" t="s">
        <v>35</v>
      </c>
      <c r="G1505">
        <v>3</v>
      </c>
      <c r="H1505">
        <v>27</v>
      </c>
      <c r="I1505" s="6" t="s">
        <v>36</v>
      </c>
      <c r="J1505" s="6" t="s">
        <v>37</v>
      </c>
      <c r="K1505">
        <v>5</v>
      </c>
      <c r="M1505" s="1" t="b">
        <f>Employee__2[[#This Row],[Experience]]&gt;1</f>
        <v>1</v>
      </c>
      <c r="N1505" s="1" t="str">
        <f>IF(Employee__2[[#This Row],[City]]="Pune","Yes","No")</f>
        <v>No</v>
      </c>
      <c r="O1505" s="1" t="str">
        <f>IF(AND(Employee__2[[#This Row],[Education]]="Bachelors",Employee__2[[#This Row],[City]]="Pune"),"Yes","No")</f>
        <v>No</v>
      </c>
      <c r="P1505" s="1" t="str">
        <f>IF(OR(Employee__2[[#This Row],[Age]]&gt;=30,Employee__2[[#This Row],[Gender]]="Male"),"Mached","Not mached")</f>
        <v>Mached</v>
      </c>
    </row>
    <row r="1506" spans="4:16" x14ac:dyDescent="0.25">
      <c r="D1506" s="6" t="s">
        <v>34</v>
      </c>
      <c r="E1506">
        <v>2016</v>
      </c>
      <c r="F1506" s="6" t="s">
        <v>38</v>
      </c>
      <c r="G1506">
        <v>2</v>
      </c>
      <c r="H1506">
        <v>24</v>
      </c>
      <c r="I1506" s="6" t="s">
        <v>39</v>
      </c>
      <c r="J1506" s="6" t="s">
        <v>37</v>
      </c>
      <c r="K1506">
        <v>2</v>
      </c>
      <c r="M1506" s="1" t="b">
        <f>Employee__2[[#This Row],[Experience]]&gt;1</f>
        <v>1</v>
      </c>
      <c r="N1506" s="1" t="str">
        <f>IF(Employee__2[[#This Row],[City]]="Pune","Yes","No")</f>
        <v>Yes</v>
      </c>
      <c r="O1506" s="1" t="str">
        <f>IF(AND(Employee__2[[#This Row],[Education]]="Bachelors",Employee__2[[#This Row],[City]]="Pune"),"Yes","No")</f>
        <v>Yes</v>
      </c>
      <c r="P1506" s="1" t="str">
        <f>IF(OR(Employee__2[[#This Row],[Age]]&gt;=30,Employee__2[[#This Row],[Gender]]="Male"),"Mached","Not mached")</f>
        <v>Not mached</v>
      </c>
    </row>
    <row r="1507" spans="4:16" x14ac:dyDescent="0.25">
      <c r="D1507" s="6" t="s">
        <v>34</v>
      </c>
      <c r="E1507">
        <v>2016</v>
      </c>
      <c r="F1507" s="6" t="s">
        <v>35</v>
      </c>
      <c r="G1507">
        <v>3</v>
      </c>
      <c r="H1507">
        <v>26</v>
      </c>
      <c r="I1507" s="6" t="s">
        <v>36</v>
      </c>
      <c r="J1507" s="6" t="s">
        <v>37</v>
      </c>
      <c r="K1507">
        <v>4</v>
      </c>
      <c r="M1507" s="1" t="b">
        <f>Employee__2[[#This Row],[Experience]]&gt;1</f>
        <v>1</v>
      </c>
      <c r="N1507" s="1" t="str">
        <f>IF(Employee__2[[#This Row],[City]]="Pune","Yes","No")</f>
        <v>No</v>
      </c>
      <c r="O1507" s="1" t="str">
        <f>IF(AND(Employee__2[[#This Row],[Education]]="Bachelors",Employee__2[[#This Row],[City]]="Pune"),"Yes","No")</f>
        <v>No</v>
      </c>
      <c r="P1507" s="1" t="str">
        <f>IF(OR(Employee__2[[#This Row],[Age]]&gt;=30,Employee__2[[#This Row],[Gender]]="Male"),"Mached","Not mached")</f>
        <v>Mached</v>
      </c>
    </row>
    <row r="1508" spans="4:16" x14ac:dyDescent="0.25">
      <c r="D1508" s="6" t="s">
        <v>34</v>
      </c>
      <c r="E1508">
        <v>2014</v>
      </c>
      <c r="F1508" s="6" t="s">
        <v>38</v>
      </c>
      <c r="G1508">
        <v>3</v>
      </c>
      <c r="H1508">
        <v>27</v>
      </c>
      <c r="I1508" s="6" t="s">
        <v>36</v>
      </c>
      <c r="J1508" s="6" t="s">
        <v>42</v>
      </c>
      <c r="K1508">
        <v>5</v>
      </c>
      <c r="M1508" s="1" t="b">
        <f>Employee__2[[#This Row],[Experience]]&gt;1</f>
        <v>1</v>
      </c>
      <c r="N1508" s="1" t="str">
        <f>IF(Employee__2[[#This Row],[City]]="Pune","Yes","No")</f>
        <v>Yes</v>
      </c>
      <c r="O1508" s="1" t="str">
        <f>IF(AND(Employee__2[[#This Row],[Education]]="Bachelors",Employee__2[[#This Row],[City]]="Pune"),"Yes","No")</f>
        <v>Yes</v>
      </c>
      <c r="P1508" s="1" t="str">
        <f>IF(OR(Employee__2[[#This Row],[Age]]&gt;=30,Employee__2[[#This Row],[Gender]]="Male"),"Mached","Not mached")</f>
        <v>Mached</v>
      </c>
    </row>
    <row r="1509" spans="4:16" x14ac:dyDescent="0.25">
      <c r="D1509" s="6" t="s">
        <v>34</v>
      </c>
      <c r="E1509">
        <v>2013</v>
      </c>
      <c r="F1509" s="6" t="s">
        <v>35</v>
      </c>
      <c r="G1509">
        <v>3</v>
      </c>
      <c r="H1509">
        <v>24</v>
      </c>
      <c r="I1509" s="6" t="s">
        <v>36</v>
      </c>
      <c r="J1509" s="6" t="s">
        <v>42</v>
      </c>
      <c r="K1509">
        <v>2</v>
      </c>
      <c r="M1509" s="1" t="b">
        <f>Employee__2[[#This Row],[Experience]]&gt;1</f>
        <v>1</v>
      </c>
      <c r="N1509" s="1" t="str">
        <f>IF(Employee__2[[#This Row],[City]]="Pune","Yes","No")</f>
        <v>No</v>
      </c>
      <c r="O1509" s="1" t="str">
        <f>IF(AND(Employee__2[[#This Row],[Education]]="Bachelors",Employee__2[[#This Row],[City]]="Pune"),"Yes","No")</f>
        <v>No</v>
      </c>
      <c r="P1509" s="1" t="str">
        <f>IF(OR(Employee__2[[#This Row],[Age]]&gt;=30,Employee__2[[#This Row],[Gender]]="Male"),"Mached","Not mached")</f>
        <v>Mached</v>
      </c>
    </row>
    <row r="1510" spans="4:16" x14ac:dyDescent="0.25">
      <c r="D1510" s="6" t="s">
        <v>34</v>
      </c>
      <c r="E1510">
        <v>2017</v>
      </c>
      <c r="F1510" s="6" t="s">
        <v>35</v>
      </c>
      <c r="G1510">
        <v>3</v>
      </c>
      <c r="H1510">
        <v>25</v>
      </c>
      <c r="I1510" s="6" t="s">
        <v>36</v>
      </c>
      <c r="J1510" s="6" t="s">
        <v>37</v>
      </c>
      <c r="K1510">
        <v>3</v>
      </c>
      <c r="M1510" s="1" t="b">
        <f>Employee__2[[#This Row],[Experience]]&gt;1</f>
        <v>1</v>
      </c>
      <c r="N1510" s="1" t="str">
        <f>IF(Employee__2[[#This Row],[City]]="Pune","Yes","No")</f>
        <v>No</v>
      </c>
      <c r="O1510" s="1" t="str">
        <f>IF(AND(Employee__2[[#This Row],[Education]]="Bachelors",Employee__2[[#This Row],[City]]="Pune"),"Yes","No")</f>
        <v>No</v>
      </c>
      <c r="P1510" s="1" t="str">
        <f>IF(OR(Employee__2[[#This Row],[Age]]&gt;=30,Employee__2[[#This Row],[Gender]]="Male"),"Mached","Not mached")</f>
        <v>Mached</v>
      </c>
    </row>
    <row r="1511" spans="4:16" x14ac:dyDescent="0.25">
      <c r="D1511" s="6" t="s">
        <v>34</v>
      </c>
      <c r="E1511">
        <v>2017</v>
      </c>
      <c r="F1511" s="6" t="s">
        <v>38</v>
      </c>
      <c r="G1511">
        <v>2</v>
      </c>
      <c r="H1511">
        <v>24</v>
      </c>
      <c r="I1511" s="6" t="s">
        <v>39</v>
      </c>
      <c r="J1511" s="6" t="s">
        <v>37</v>
      </c>
      <c r="K1511">
        <v>2</v>
      </c>
      <c r="M1511" s="1" t="b">
        <f>Employee__2[[#This Row],[Experience]]&gt;1</f>
        <v>1</v>
      </c>
      <c r="N1511" s="1" t="str">
        <f>IF(Employee__2[[#This Row],[City]]="Pune","Yes","No")</f>
        <v>Yes</v>
      </c>
      <c r="O1511" s="1" t="str">
        <f>IF(AND(Employee__2[[#This Row],[Education]]="Bachelors",Employee__2[[#This Row],[City]]="Pune"),"Yes","No")</f>
        <v>Yes</v>
      </c>
      <c r="P1511" s="1" t="str">
        <f>IF(OR(Employee__2[[#This Row],[Age]]&gt;=30,Employee__2[[#This Row],[Gender]]="Male"),"Mached","Not mached")</f>
        <v>Not mached</v>
      </c>
    </row>
    <row r="1512" spans="4:16" x14ac:dyDescent="0.25">
      <c r="D1512" s="6" t="s">
        <v>34</v>
      </c>
      <c r="E1512">
        <v>2013</v>
      </c>
      <c r="F1512" s="6" t="s">
        <v>35</v>
      </c>
      <c r="G1512">
        <v>3</v>
      </c>
      <c r="H1512">
        <v>27</v>
      </c>
      <c r="I1512" s="6" t="s">
        <v>36</v>
      </c>
      <c r="J1512" s="6" t="s">
        <v>37</v>
      </c>
      <c r="K1512">
        <v>5</v>
      </c>
      <c r="M1512" s="1" t="b">
        <f>Employee__2[[#This Row],[Experience]]&gt;1</f>
        <v>1</v>
      </c>
      <c r="N1512" s="1" t="str">
        <f>IF(Employee__2[[#This Row],[City]]="Pune","Yes","No")</f>
        <v>No</v>
      </c>
      <c r="O1512" s="1" t="str">
        <f>IF(AND(Employee__2[[#This Row],[Education]]="Bachelors",Employee__2[[#This Row],[City]]="Pune"),"Yes","No")</f>
        <v>No</v>
      </c>
      <c r="P1512" s="1" t="str">
        <f>IF(OR(Employee__2[[#This Row],[Age]]&gt;=30,Employee__2[[#This Row],[Gender]]="Male"),"Mached","Not mached")</f>
        <v>Mached</v>
      </c>
    </row>
    <row r="1513" spans="4:16" x14ac:dyDescent="0.25">
      <c r="D1513" s="6" t="s">
        <v>41</v>
      </c>
      <c r="E1513">
        <v>2013</v>
      </c>
      <c r="F1513" s="6" t="s">
        <v>35</v>
      </c>
      <c r="G1513">
        <v>3</v>
      </c>
      <c r="H1513">
        <v>26</v>
      </c>
      <c r="I1513" s="6" t="s">
        <v>39</v>
      </c>
      <c r="J1513" s="6" t="s">
        <v>37</v>
      </c>
      <c r="K1513">
        <v>4</v>
      </c>
      <c r="M1513" s="1" t="b">
        <f>Employee__2[[#This Row],[Experience]]&gt;1</f>
        <v>1</v>
      </c>
      <c r="N1513" s="1" t="str">
        <f>IF(Employee__2[[#This Row],[City]]="Pune","Yes","No")</f>
        <v>No</v>
      </c>
      <c r="O1513" s="1" t="str">
        <f>IF(AND(Employee__2[[#This Row],[Education]]="Bachelors",Employee__2[[#This Row],[City]]="Pune"),"Yes","No")</f>
        <v>No</v>
      </c>
      <c r="P1513" s="1" t="str">
        <f>IF(OR(Employee__2[[#This Row],[Age]]&gt;=30,Employee__2[[#This Row],[Gender]]="Male"),"Mached","Not mached")</f>
        <v>Not mached</v>
      </c>
    </row>
    <row r="1514" spans="4:16" x14ac:dyDescent="0.25">
      <c r="D1514" s="6" t="s">
        <v>34</v>
      </c>
      <c r="E1514">
        <v>2012</v>
      </c>
      <c r="F1514" s="6" t="s">
        <v>38</v>
      </c>
      <c r="G1514">
        <v>3</v>
      </c>
      <c r="H1514">
        <v>25</v>
      </c>
      <c r="I1514" s="6" t="s">
        <v>39</v>
      </c>
      <c r="J1514" s="6" t="s">
        <v>37</v>
      </c>
      <c r="K1514">
        <v>3</v>
      </c>
      <c r="M1514" s="1" t="b">
        <f>Employee__2[[#This Row],[Experience]]&gt;1</f>
        <v>1</v>
      </c>
      <c r="N1514" s="1" t="str">
        <f>IF(Employee__2[[#This Row],[City]]="Pune","Yes","No")</f>
        <v>Yes</v>
      </c>
      <c r="O1514" s="1" t="str">
        <f>IF(AND(Employee__2[[#This Row],[Education]]="Bachelors",Employee__2[[#This Row],[City]]="Pune"),"Yes","No")</f>
        <v>Yes</v>
      </c>
      <c r="P1514" s="1" t="str">
        <f>IF(OR(Employee__2[[#This Row],[Age]]&gt;=30,Employee__2[[#This Row],[Gender]]="Male"),"Mached","Not mached")</f>
        <v>Not mached</v>
      </c>
    </row>
    <row r="1515" spans="4:16" x14ac:dyDescent="0.25">
      <c r="D1515" s="6" t="s">
        <v>34</v>
      </c>
      <c r="E1515">
        <v>2015</v>
      </c>
      <c r="F1515" s="6" t="s">
        <v>40</v>
      </c>
      <c r="G1515">
        <v>3</v>
      </c>
      <c r="H1515">
        <v>28</v>
      </c>
      <c r="I1515" s="6" t="s">
        <v>39</v>
      </c>
      <c r="J1515" s="6" t="s">
        <v>37</v>
      </c>
      <c r="K1515">
        <v>2</v>
      </c>
      <c r="M1515" s="1" t="b">
        <f>Employee__2[[#This Row],[Experience]]&gt;1</f>
        <v>1</v>
      </c>
      <c r="N1515" s="1" t="str">
        <f>IF(Employee__2[[#This Row],[City]]="Pune","Yes","No")</f>
        <v>No</v>
      </c>
      <c r="O1515" s="1" t="str">
        <f>IF(AND(Employee__2[[#This Row],[Education]]="Bachelors",Employee__2[[#This Row],[City]]="Pune"),"Yes","No")</f>
        <v>No</v>
      </c>
      <c r="P1515" s="1" t="str">
        <f>IF(OR(Employee__2[[#This Row],[Age]]&gt;=30,Employee__2[[#This Row],[Gender]]="Male"),"Mached","Not mached")</f>
        <v>Not mached</v>
      </c>
    </row>
    <row r="1516" spans="4:16" x14ac:dyDescent="0.25">
      <c r="D1516" s="6" t="s">
        <v>41</v>
      </c>
      <c r="E1516">
        <v>2017</v>
      </c>
      <c r="F1516" s="6" t="s">
        <v>40</v>
      </c>
      <c r="G1516">
        <v>2</v>
      </c>
      <c r="H1516">
        <v>24</v>
      </c>
      <c r="I1516" s="6" t="s">
        <v>39</v>
      </c>
      <c r="J1516" s="6" t="s">
        <v>37</v>
      </c>
      <c r="K1516">
        <v>2</v>
      </c>
      <c r="M1516" s="1" t="b">
        <f>Employee__2[[#This Row],[Experience]]&gt;1</f>
        <v>1</v>
      </c>
      <c r="N1516" s="1" t="str">
        <f>IF(Employee__2[[#This Row],[City]]="Pune","Yes","No")</f>
        <v>No</v>
      </c>
      <c r="O1516" s="1" t="str">
        <f>IF(AND(Employee__2[[#This Row],[Education]]="Bachelors",Employee__2[[#This Row],[City]]="Pune"),"Yes","No")</f>
        <v>No</v>
      </c>
      <c r="P1516" s="1" t="str">
        <f>IF(OR(Employee__2[[#This Row],[Age]]&gt;=30,Employee__2[[#This Row],[Gender]]="Male"),"Mached","Not mached")</f>
        <v>Not mached</v>
      </c>
    </row>
    <row r="1517" spans="4:16" x14ac:dyDescent="0.25">
      <c r="D1517" s="6" t="s">
        <v>41</v>
      </c>
      <c r="E1517">
        <v>2013</v>
      </c>
      <c r="F1517" s="6" t="s">
        <v>40</v>
      </c>
      <c r="G1517">
        <v>3</v>
      </c>
      <c r="H1517">
        <v>26</v>
      </c>
      <c r="I1517" s="6" t="s">
        <v>36</v>
      </c>
      <c r="J1517" s="6" t="s">
        <v>37</v>
      </c>
      <c r="K1517">
        <v>4</v>
      </c>
      <c r="M1517" s="1" t="b">
        <f>Employee__2[[#This Row],[Experience]]&gt;1</f>
        <v>1</v>
      </c>
      <c r="N1517" s="1" t="str">
        <f>IF(Employee__2[[#This Row],[City]]="Pune","Yes","No")</f>
        <v>No</v>
      </c>
      <c r="O1517" s="1" t="str">
        <f>IF(AND(Employee__2[[#This Row],[Education]]="Bachelors",Employee__2[[#This Row],[City]]="Pune"),"Yes","No")</f>
        <v>No</v>
      </c>
      <c r="P1517" s="1" t="str">
        <f>IF(OR(Employee__2[[#This Row],[Age]]&gt;=30,Employee__2[[#This Row],[Gender]]="Male"),"Mached","Not mached")</f>
        <v>Mached</v>
      </c>
    </row>
    <row r="1518" spans="4:16" x14ac:dyDescent="0.25">
      <c r="D1518" s="6" t="s">
        <v>34</v>
      </c>
      <c r="E1518">
        <v>2014</v>
      </c>
      <c r="F1518" s="6" t="s">
        <v>35</v>
      </c>
      <c r="G1518">
        <v>3</v>
      </c>
      <c r="H1518">
        <v>26</v>
      </c>
      <c r="I1518" s="6" t="s">
        <v>36</v>
      </c>
      <c r="J1518" s="6" t="s">
        <v>37</v>
      </c>
      <c r="K1518">
        <v>4</v>
      </c>
      <c r="M1518" s="1" t="b">
        <f>Employee__2[[#This Row],[Experience]]&gt;1</f>
        <v>1</v>
      </c>
      <c r="N1518" s="1" t="str">
        <f>IF(Employee__2[[#This Row],[City]]="Pune","Yes","No")</f>
        <v>No</v>
      </c>
      <c r="O1518" s="1" t="str">
        <f>IF(AND(Employee__2[[#This Row],[Education]]="Bachelors",Employee__2[[#This Row],[City]]="Pune"),"Yes","No")</f>
        <v>No</v>
      </c>
      <c r="P1518" s="1" t="str">
        <f>IF(OR(Employee__2[[#This Row],[Age]]&gt;=30,Employee__2[[#This Row],[Gender]]="Male"),"Mached","Not mached")</f>
        <v>Mached</v>
      </c>
    </row>
    <row r="1519" spans="4:16" x14ac:dyDescent="0.25">
      <c r="D1519" s="6" t="s">
        <v>43</v>
      </c>
      <c r="E1519">
        <v>2016</v>
      </c>
      <c r="F1519" s="6" t="s">
        <v>40</v>
      </c>
      <c r="G1519">
        <v>3</v>
      </c>
      <c r="H1519">
        <v>24</v>
      </c>
      <c r="I1519" s="6" t="s">
        <v>39</v>
      </c>
      <c r="J1519" s="6" t="s">
        <v>37</v>
      </c>
      <c r="K1519">
        <v>2</v>
      </c>
      <c r="M1519" s="1" t="b">
        <f>Employee__2[[#This Row],[Experience]]&gt;1</f>
        <v>1</v>
      </c>
      <c r="N1519" s="1" t="str">
        <f>IF(Employee__2[[#This Row],[City]]="Pune","Yes","No")</f>
        <v>No</v>
      </c>
      <c r="O1519" s="1" t="str">
        <f>IF(AND(Employee__2[[#This Row],[Education]]="Bachelors",Employee__2[[#This Row],[City]]="Pune"),"Yes","No")</f>
        <v>No</v>
      </c>
      <c r="P1519" s="1" t="str">
        <f>IF(OR(Employee__2[[#This Row],[Age]]&gt;=30,Employee__2[[#This Row],[Gender]]="Male"),"Mached","Not mached")</f>
        <v>Not mached</v>
      </c>
    </row>
    <row r="1520" spans="4:16" x14ac:dyDescent="0.25">
      <c r="D1520" s="6" t="s">
        <v>34</v>
      </c>
      <c r="E1520">
        <v>2017</v>
      </c>
      <c r="F1520" s="6" t="s">
        <v>40</v>
      </c>
      <c r="G1520">
        <v>3</v>
      </c>
      <c r="H1520">
        <v>26</v>
      </c>
      <c r="I1520" s="6" t="s">
        <v>36</v>
      </c>
      <c r="J1520" s="6" t="s">
        <v>37</v>
      </c>
      <c r="K1520">
        <v>4</v>
      </c>
      <c r="M1520" s="1" t="b">
        <f>Employee__2[[#This Row],[Experience]]&gt;1</f>
        <v>1</v>
      </c>
      <c r="N1520" s="1" t="str">
        <f>IF(Employee__2[[#This Row],[City]]="Pune","Yes","No")</f>
        <v>No</v>
      </c>
      <c r="O1520" s="1" t="str">
        <f>IF(AND(Employee__2[[#This Row],[Education]]="Bachelors",Employee__2[[#This Row],[City]]="Pune"),"Yes","No")</f>
        <v>No</v>
      </c>
      <c r="P1520" s="1" t="str">
        <f>IF(OR(Employee__2[[#This Row],[Age]]&gt;=30,Employee__2[[#This Row],[Gender]]="Male"),"Mached","Not mached")</f>
        <v>Mached</v>
      </c>
    </row>
    <row r="1521" spans="4:16" x14ac:dyDescent="0.25">
      <c r="D1521" s="6" t="s">
        <v>34</v>
      </c>
      <c r="E1521">
        <v>2016</v>
      </c>
      <c r="F1521" s="6" t="s">
        <v>35</v>
      </c>
      <c r="G1521">
        <v>3</v>
      </c>
      <c r="H1521">
        <v>26</v>
      </c>
      <c r="I1521" s="6" t="s">
        <v>36</v>
      </c>
      <c r="J1521" s="6" t="s">
        <v>37</v>
      </c>
      <c r="K1521">
        <v>4</v>
      </c>
      <c r="M1521" s="1" t="b">
        <f>Employee__2[[#This Row],[Experience]]&gt;1</f>
        <v>1</v>
      </c>
      <c r="N1521" s="1" t="str">
        <f>IF(Employee__2[[#This Row],[City]]="Pune","Yes","No")</f>
        <v>No</v>
      </c>
      <c r="O1521" s="1" t="str">
        <f>IF(AND(Employee__2[[#This Row],[Education]]="Bachelors",Employee__2[[#This Row],[City]]="Pune"),"Yes","No")</f>
        <v>No</v>
      </c>
      <c r="P1521" s="1" t="str">
        <f>IF(OR(Employee__2[[#This Row],[Age]]&gt;=30,Employee__2[[#This Row],[Gender]]="Male"),"Mached","Not mached")</f>
        <v>Mached</v>
      </c>
    </row>
    <row r="1522" spans="4:16" x14ac:dyDescent="0.25">
      <c r="D1522" s="6" t="s">
        <v>34</v>
      </c>
      <c r="E1522">
        <v>2014</v>
      </c>
      <c r="F1522" s="6" t="s">
        <v>35</v>
      </c>
      <c r="G1522">
        <v>3</v>
      </c>
      <c r="H1522">
        <v>27</v>
      </c>
      <c r="I1522" s="6" t="s">
        <v>36</v>
      </c>
      <c r="J1522" s="6" t="s">
        <v>37</v>
      </c>
      <c r="K1522">
        <v>5</v>
      </c>
      <c r="M1522" s="1" t="b">
        <f>Employee__2[[#This Row],[Experience]]&gt;1</f>
        <v>1</v>
      </c>
      <c r="N1522" s="1" t="str">
        <f>IF(Employee__2[[#This Row],[City]]="Pune","Yes","No")</f>
        <v>No</v>
      </c>
      <c r="O1522" s="1" t="str">
        <f>IF(AND(Employee__2[[#This Row],[Education]]="Bachelors",Employee__2[[#This Row],[City]]="Pune"),"Yes","No")</f>
        <v>No</v>
      </c>
      <c r="P1522" s="1" t="str">
        <f>IF(OR(Employee__2[[#This Row],[Age]]&gt;=30,Employee__2[[#This Row],[Gender]]="Male"),"Mached","Not mached")</f>
        <v>Mached</v>
      </c>
    </row>
    <row r="1523" spans="4:16" x14ac:dyDescent="0.25">
      <c r="D1523" s="6" t="s">
        <v>34</v>
      </c>
      <c r="E1523">
        <v>2017</v>
      </c>
      <c r="F1523" s="6" t="s">
        <v>40</v>
      </c>
      <c r="G1523">
        <v>3</v>
      </c>
      <c r="H1523">
        <v>28</v>
      </c>
      <c r="I1523" s="6" t="s">
        <v>39</v>
      </c>
      <c r="J1523" s="6" t="s">
        <v>37</v>
      </c>
      <c r="K1523">
        <v>0</v>
      </c>
      <c r="M1523" s="1" t="b">
        <f>Employee__2[[#This Row],[Experience]]&gt;1</f>
        <v>0</v>
      </c>
      <c r="N1523" s="1" t="str">
        <f>IF(Employee__2[[#This Row],[City]]="Pune","Yes","No")</f>
        <v>No</v>
      </c>
      <c r="O1523" s="1" t="str">
        <f>IF(AND(Employee__2[[#This Row],[Education]]="Bachelors",Employee__2[[#This Row],[City]]="Pune"),"Yes","No")</f>
        <v>No</v>
      </c>
      <c r="P1523" s="1" t="str">
        <f>IF(OR(Employee__2[[#This Row],[Age]]&gt;=30,Employee__2[[#This Row],[Gender]]="Male"),"Mached","Not mached")</f>
        <v>Not mached</v>
      </c>
    </row>
    <row r="1524" spans="4:16" x14ac:dyDescent="0.25">
      <c r="D1524" s="6" t="s">
        <v>43</v>
      </c>
      <c r="E1524">
        <v>2016</v>
      </c>
      <c r="F1524" s="6" t="s">
        <v>40</v>
      </c>
      <c r="G1524">
        <v>3</v>
      </c>
      <c r="H1524">
        <v>27</v>
      </c>
      <c r="I1524" s="6" t="s">
        <v>39</v>
      </c>
      <c r="J1524" s="6" t="s">
        <v>37</v>
      </c>
      <c r="K1524">
        <v>5</v>
      </c>
      <c r="M1524" s="1" t="b">
        <f>Employee__2[[#This Row],[Experience]]&gt;1</f>
        <v>1</v>
      </c>
      <c r="N1524" s="1" t="str">
        <f>IF(Employee__2[[#This Row],[City]]="Pune","Yes","No")</f>
        <v>No</v>
      </c>
      <c r="O1524" s="1" t="str">
        <f>IF(AND(Employee__2[[#This Row],[Education]]="Bachelors",Employee__2[[#This Row],[City]]="Pune"),"Yes","No")</f>
        <v>No</v>
      </c>
      <c r="P1524" s="1" t="str">
        <f>IF(OR(Employee__2[[#This Row],[Age]]&gt;=30,Employee__2[[#This Row],[Gender]]="Male"),"Mached","Not mached")</f>
        <v>Not mached</v>
      </c>
    </row>
    <row r="1525" spans="4:16" x14ac:dyDescent="0.25">
      <c r="D1525" s="6" t="s">
        <v>41</v>
      </c>
      <c r="E1525">
        <v>2014</v>
      </c>
      <c r="F1525" s="6" t="s">
        <v>35</v>
      </c>
      <c r="G1525">
        <v>3</v>
      </c>
      <c r="H1525">
        <v>28</v>
      </c>
      <c r="I1525" s="6" t="s">
        <v>39</v>
      </c>
      <c r="J1525" s="6" t="s">
        <v>37</v>
      </c>
      <c r="K1525">
        <v>4</v>
      </c>
      <c r="M1525" s="1" t="b">
        <f>Employee__2[[#This Row],[Experience]]&gt;1</f>
        <v>1</v>
      </c>
      <c r="N1525" s="1" t="str">
        <f>IF(Employee__2[[#This Row],[City]]="Pune","Yes","No")</f>
        <v>No</v>
      </c>
      <c r="O1525" s="1" t="str">
        <f>IF(AND(Employee__2[[#This Row],[Education]]="Bachelors",Employee__2[[#This Row],[City]]="Pune"),"Yes","No")</f>
        <v>No</v>
      </c>
      <c r="P1525" s="1" t="str">
        <f>IF(OR(Employee__2[[#This Row],[Age]]&gt;=30,Employee__2[[#This Row],[Gender]]="Male"),"Mached","Not mached")</f>
        <v>Not mached</v>
      </c>
    </row>
    <row r="1526" spans="4:16" x14ac:dyDescent="0.25">
      <c r="D1526" s="6" t="s">
        <v>34</v>
      </c>
      <c r="E1526">
        <v>2014</v>
      </c>
      <c r="F1526" s="6" t="s">
        <v>35</v>
      </c>
      <c r="G1526">
        <v>3</v>
      </c>
      <c r="H1526">
        <v>28</v>
      </c>
      <c r="I1526" s="6" t="s">
        <v>39</v>
      </c>
      <c r="J1526" s="6" t="s">
        <v>37</v>
      </c>
      <c r="K1526">
        <v>2</v>
      </c>
      <c r="M1526" s="1" t="b">
        <f>Employee__2[[#This Row],[Experience]]&gt;1</f>
        <v>1</v>
      </c>
      <c r="N1526" s="1" t="str">
        <f>IF(Employee__2[[#This Row],[City]]="Pune","Yes","No")</f>
        <v>No</v>
      </c>
      <c r="O1526" s="1" t="str">
        <f>IF(AND(Employee__2[[#This Row],[Education]]="Bachelors",Employee__2[[#This Row],[City]]="Pune"),"Yes","No")</f>
        <v>No</v>
      </c>
      <c r="P1526" s="1" t="str">
        <f>IF(OR(Employee__2[[#This Row],[Age]]&gt;=30,Employee__2[[#This Row],[Gender]]="Male"),"Mached","Not mached")</f>
        <v>Not mached</v>
      </c>
    </row>
    <row r="1527" spans="4:16" x14ac:dyDescent="0.25">
      <c r="D1527" s="6" t="s">
        <v>34</v>
      </c>
      <c r="E1527">
        <v>2017</v>
      </c>
      <c r="F1527" s="6" t="s">
        <v>35</v>
      </c>
      <c r="G1527">
        <v>3</v>
      </c>
      <c r="H1527">
        <v>24</v>
      </c>
      <c r="I1527" s="6" t="s">
        <v>39</v>
      </c>
      <c r="J1527" s="6" t="s">
        <v>37</v>
      </c>
      <c r="K1527">
        <v>2</v>
      </c>
      <c r="M1527" s="1" t="b">
        <f>Employee__2[[#This Row],[Experience]]&gt;1</f>
        <v>1</v>
      </c>
      <c r="N1527" s="1" t="str">
        <f>IF(Employee__2[[#This Row],[City]]="Pune","Yes","No")</f>
        <v>No</v>
      </c>
      <c r="O1527" s="1" t="str">
        <f>IF(AND(Employee__2[[#This Row],[Education]]="Bachelors",Employee__2[[#This Row],[City]]="Pune"),"Yes","No")</f>
        <v>No</v>
      </c>
      <c r="P1527" s="1" t="str">
        <f>IF(OR(Employee__2[[#This Row],[Age]]&gt;=30,Employee__2[[#This Row],[Gender]]="Male"),"Mached","Not mached")</f>
        <v>Not mached</v>
      </c>
    </row>
    <row r="1528" spans="4:16" x14ac:dyDescent="0.25">
      <c r="D1528" s="6" t="s">
        <v>41</v>
      </c>
      <c r="E1528">
        <v>2015</v>
      </c>
      <c r="F1528" s="6" t="s">
        <v>40</v>
      </c>
      <c r="G1528">
        <v>3</v>
      </c>
      <c r="H1528">
        <v>28</v>
      </c>
      <c r="I1528" s="6" t="s">
        <v>36</v>
      </c>
      <c r="J1528" s="6" t="s">
        <v>37</v>
      </c>
      <c r="K1528">
        <v>0</v>
      </c>
      <c r="M1528" s="1" t="b">
        <f>Employee__2[[#This Row],[Experience]]&gt;1</f>
        <v>0</v>
      </c>
      <c r="N1528" s="1" t="str">
        <f>IF(Employee__2[[#This Row],[City]]="Pune","Yes","No")</f>
        <v>No</v>
      </c>
      <c r="O1528" s="1" t="str">
        <f>IF(AND(Employee__2[[#This Row],[Education]]="Bachelors",Employee__2[[#This Row],[City]]="Pune"),"Yes","No")</f>
        <v>No</v>
      </c>
      <c r="P1528" s="1" t="str">
        <f>IF(OR(Employee__2[[#This Row],[Age]]&gt;=30,Employee__2[[#This Row],[Gender]]="Male"),"Mached","Not mached")</f>
        <v>Mached</v>
      </c>
    </row>
    <row r="1529" spans="4:16" x14ac:dyDescent="0.25">
      <c r="D1529" s="6" t="s">
        <v>34</v>
      </c>
      <c r="E1529">
        <v>2015</v>
      </c>
      <c r="F1529" s="6" t="s">
        <v>38</v>
      </c>
      <c r="G1529">
        <v>2</v>
      </c>
      <c r="H1529">
        <v>25</v>
      </c>
      <c r="I1529" s="6" t="s">
        <v>39</v>
      </c>
      <c r="J1529" s="6" t="s">
        <v>37</v>
      </c>
      <c r="K1529">
        <v>3</v>
      </c>
      <c r="M1529" s="1" t="b">
        <f>Employee__2[[#This Row],[Experience]]&gt;1</f>
        <v>1</v>
      </c>
      <c r="N1529" s="1" t="str">
        <f>IF(Employee__2[[#This Row],[City]]="Pune","Yes","No")</f>
        <v>Yes</v>
      </c>
      <c r="O1529" s="1" t="str">
        <f>IF(AND(Employee__2[[#This Row],[Education]]="Bachelors",Employee__2[[#This Row],[City]]="Pune"),"Yes","No")</f>
        <v>Yes</v>
      </c>
      <c r="P1529" s="1" t="str">
        <f>IF(OR(Employee__2[[#This Row],[Age]]&gt;=30,Employee__2[[#This Row],[Gender]]="Male"),"Mached","Not mached")</f>
        <v>Not mached</v>
      </c>
    </row>
    <row r="1530" spans="4:16" x14ac:dyDescent="0.25">
      <c r="D1530" s="6" t="s">
        <v>41</v>
      </c>
      <c r="E1530">
        <v>2017</v>
      </c>
      <c r="F1530" s="6" t="s">
        <v>38</v>
      </c>
      <c r="G1530">
        <v>2</v>
      </c>
      <c r="H1530">
        <v>27</v>
      </c>
      <c r="I1530" s="6" t="s">
        <v>36</v>
      </c>
      <c r="J1530" s="6" t="s">
        <v>37</v>
      </c>
      <c r="K1530">
        <v>5</v>
      </c>
      <c r="M1530" s="1" t="b">
        <f>Employee__2[[#This Row],[Experience]]&gt;1</f>
        <v>1</v>
      </c>
      <c r="N1530" s="1" t="str">
        <f>IF(Employee__2[[#This Row],[City]]="Pune","Yes","No")</f>
        <v>Yes</v>
      </c>
      <c r="O1530" s="1" t="str">
        <f>IF(AND(Employee__2[[#This Row],[Education]]="Bachelors",Employee__2[[#This Row],[City]]="Pune"),"Yes","No")</f>
        <v>No</v>
      </c>
      <c r="P1530" s="1" t="str">
        <f>IF(OR(Employee__2[[#This Row],[Age]]&gt;=30,Employee__2[[#This Row],[Gender]]="Male"),"Mached","Not mached")</f>
        <v>Mached</v>
      </c>
    </row>
    <row r="1531" spans="4:16" x14ac:dyDescent="0.25">
      <c r="D1531" s="6" t="s">
        <v>34</v>
      </c>
      <c r="E1531">
        <v>2014</v>
      </c>
      <c r="F1531" s="6" t="s">
        <v>38</v>
      </c>
      <c r="G1531">
        <v>2</v>
      </c>
      <c r="H1531">
        <v>25</v>
      </c>
      <c r="I1531" s="6" t="s">
        <v>39</v>
      </c>
      <c r="J1531" s="6" t="s">
        <v>37</v>
      </c>
      <c r="K1531">
        <v>3</v>
      </c>
      <c r="M1531" s="1" t="b">
        <f>Employee__2[[#This Row],[Experience]]&gt;1</f>
        <v>1</v>
      </c>
      <c r="N1531" s="1" t="str">
        <f>IF(Employee__2[[#This Row],[City]]="Pune","Yes","No")</f>
        <v>Yes</v>
      </c>
      <c r="O1531" s="1" t="str">
        <f>IF(AND(Employee__2[[#This Row],[Education]]="Bachelors",Employee__2[[#This Row],[City]]="Pune"),"Yes","No")</f>
        <v>Yes</v>
      </c>
      <c r="P1531" s="1" t="str">
        <f>IF(OR(Employee__2[[#This Row],[Age]]&gt;=30,Employee__2[[#This Row],[Gender]]="Male"),"Mached","Not mached")</f>
        <v>Not mached</v>
      </c>
    </row>
    <row r="1532" spans="4:16" x14ac:dyDescent="0.25">
      <c r="D1532" s="6" t="s">
        <v>34</v>
      </c>
      <c r="E1532">
        <v>2015</v>
      </c>
      <c r="F1532" s="6" t="s">
        <v>38</v>
      </c>
      <c r="G1532">
        <v>2</v>
      </c>
      <c r="H1532">
        <v>28</v>
      </c>
      <c r="I1532" s="6" t="s">
        <v>39</v>
      </c>
      <c r="J1532" s="6" t="s">
        <v>42</v>
      </c>
      <c r="K1532">
        <v>2</v>
      </c>
      <c r="M1532" s="1" t="b">
        <f>Employee__2[[#This Row],[Experience]]&gt;1</f>
        <v>1</v>
      </c>
      <c r="N1532" s="1" t="str">
        <f>IF(Employee__2[[#This Row],[City]]="Pune","Yes","No")</f>
        <v>Yes</v>
      </c>
      <c r="O1532" s="1" t="str">
        <f>IF(AND(Employee__2[[#This Row],[Education]]="Bachelors",Employee__2[[#This Row],[City]]="Pune"),"Yes","No")</f>
        <v>Yes</v>
      </c>
      <c r="P1532" s="1" t="str">
        <f>IF(OR(Employee__2[[#This Row],[Age]]&gt;=30,Employee__2[[#This Row],[Gender]]="Male"),"Mached","Not mached")</f>
        <v>Not mached</v>
      </c>
    </row>
    <row r="1533" spans="4:16" x14ac:dyDescent="0.25">
      <c r="D1533" s="6" t="s">
        <v>34</v>
      </c>
      <c r="E1533">
        <v>2013</v>
      </c>
      <c r="F1533" s="6" t="s">
        <v>38</v>
      </c>
      <c r="G1533">
        <v>3</v>
      </c>
      <c r="H1533">
        <v>25</v>
      </c>
      <c r="I1533" s="6" t="s">
        <v>36</v>
      </c>
      <c r="J1533" s="6" t="s">
        <v>37</v>
      </c>
      <c r="K1533">
        <v>3</v>
      </c>
      <c r="M1533" s="1" t="b">
        <f>Employee__2[[#This Row],[Experience]]&gt;1</f>
        <v>1</v>
      </c>
      <c r="N1533" s="1" t="str">
        <f>IF(Employee__2[[#This Row],[City]]="Pune","Yes","No")</f>
        <v>Yes</v>
      </c>
      <c r="O1533" s="1" t="str">
        <f>IF(AND(Employee__2[[#This Row],[Education]]="Bachelors",Employee__2[[#This Row],[City]]="Pune"),"Yes","No")</f>
        <v>Yes</v>
      </c>
      <c r="P1533" s="1" t="str">
        <f>IF(OR(Employee__2[[#This Row],[Age]]&gt;=30,Employee__2[[#This Row],[Gender]]="Male"),"Mached","Not mached")</f>
        <v>Mached</v>
      </c>
    </row>
    <row r="1534" spans="4:16" x14ac:dyDescent="0.25">
      <c r="D1534" s="6" t="s">
        <v>34</v>
      </c>
      <c r="E1534">
        <v>2013</v>
      </c>
      <c r="F1534" s="6" t="s">
        <v>38</v>
      </c>
      <c r="G1534">
        <v>1</v>
      </c>
      <c r="H1534">
        <v>26</v>
      </c>
      <c r="I1534" s="6" t="s">
        <v>39</v>
      </c>
      <c r="J1534" s="6" t="s">
        <v>37</v>
      </c>
      <c r="K1534">
        <v>4</v>
      </c>
      <c r="M1534" s="1" t="b">
        <f>Employee__2[[#This Row],[Experience]]&gt;1</f>
        <v>1</v>
      </c>
      <c r="N1534" s="1" t="str">
        <f>IF(Employee__2[[#This Row],[City]]="Pune","Yes","No")</f>
        <v>Yes</v>
      </c>
      <c r="O1534" s="1" t="str">
        <f>IF(AND(Employee__2[[#This Row],[Education]]="Bachelors",Employee__2[[#This Row],[City]]="Pune"),"Yes","No")</f>
        <v>Yes</v>
      </c>
      <c r="P1534" s="1" t="str">
        <f>IF(OR(Employee__2[[#This Row],[Age]]&gt;=30,Employee__2[[#This Row],[Gender]]="Male"),"Mached","Not mached")</f>
        <v>Not mached</v>
      </c>
    </row>
    <row r="1535" spans="4:16" x14ac:dyDescent="0.25">
      <c r="D1535" s="6" t="s">
        <v>34</v>
      </c>
      <c r="E1535">
        <v>2012</v>
      </c>
      <c r="F1535" s="6" t="s">
        <v>38</v>
      </c>
      <c r="G1535">
        <v>2</v>
      </c>
      <c r="H1535">
        <v>27</v>
      </c>
      <c r="I1535" s="6" t="s">
        <v>39</v>
      </c>
      <c r="J1535" s="6" t="s">
        <v>37</v>
      </c>
      <c r="K1535">
        <v>5</v>
      </c>
      <c r="M1535" s="1" t="b">
        <f>Employee__2[[#This Row],[Experience]]&gt;1</f>
        <v>1</v>
      </c>
      <c r="N1535" s="1" t="str">
        <f>IF(Employee__2[[#This Row],[City]]="Pune","Yes","No")</f>
        <v>Yes</v>
      </c>
      <c r="O1535" s="1" t="str">
        <f>IF(AND(Employee__2[[#This Row],[Education]]="Bachelors",Employee__2[[#This Row],[City]]="Pune"),"Yes","No")</f>
        <v>Yes</v>
      </c>
      <c r="P1535" s="1" t="str">
        <f>IF(OR(Employee__2[[#This Row],[Age]]&gt;=30,Employee__2[[#This Row],[Gender]]="Male"),"Mached","Not mached")</f>
        <v>Not mached</v>
      </c>
    </row>
    <row r="1536" spans="4:16" x14ac:dyDescent="0.25">
      <c r="D1536" s="6" t="s">
        <v>41</v>
      </c>
      <c r="E1536">
        <v>2017</v>
      </c>
      <c r="F1536" s="6" t="s">
        <v>40</v>
      </c>
      <c r="G1536">
        <v>3</v>
      </c>
      <c r="H1536">
        <v>28</v>
      </c>
      <c r="I1536" s="6" t="s">
        <v>36</v>
      </c>
      <c r="J1536" s="6" t="s">
        <v>37</v>
      </c>
      <c r="K1536">
        <v>0</v>
      </c>
      <c r="M1536" s="1" t="b">
        <f>Employee__2[[#This Row],[Experience]]&gt;1</f>
        <v>0</v>
      </c>
      <c r="N1536" s="1" t="str">
        <f>IF(Employee__2[[#This Row],[City]]="Pune","Yes","No")</f>
        <v>No</v>
      </c>
      <c r="O1536" s="1" t="str">
        <f>IF(AND(Employee__2[[#This Row],[Education]]="Bachelors",Employee__2[[#This Row],[City]]="Pune"),"Yes","No")</f>
        <v>No</v>
      </c>
      <c r="P1536" s="1" t="str">
        <f>IF(OR(Employee__2[[#This Row],[Age]]&gt;=30,Employee__2[[#This Row],[Gender]]="Male"),"Mached","Not mached")</f>
        <v>Mached</v>
      </c>
    </row>
    <row r="1537" spans="4:16" x14ac:dyDescent="0.25">
      <c r="D1537" s="6" t="s">
        <v>34</v>
      </c>
      <c r="E1537">
        <v>2012</v>
      </c>
      <c r="F1537" s="6" t="s">
        <v>35</v>
      </c>
      <c r="G1537">
        <v>3</v>
      </c>
      <c r="H1537">
        <v>28</v>
      </c>
      <c r="I1537" s="6" t="s">
        <v>39</v>
      </c>
      <c r="J1537" s="6" t="s">
        <v>37</v>
      </c>
      <c r="K1537">
        <v>1</v>
      </c>
      <c r="M1537" s="1" t="b">
        <f>Employee__2[[#This Row],[Experience]]&gt;1</f>
        <v>0</v>
      </c>
      <c r="N1537" s="1" t="str">
        <f>IF(Employee__2[[#This Row],[City]]="Pune","Yes","No")</f>
        <v>No</v>
      </c>
      <c r="O1537" s="1" t="str">
        <f>IF(AND(Employee__2[[#This Row],[Education]]="Bachelors",Employee__2[[#This Row],[City]]="Pune"),"Yes","No")</f>
        <v>No</v>
      </c>
      <c r="P1537" s="1" t="str">
        <f>IF(OR(Employee__2[[#This Row],[Age]]&gt;=30,Employee__2[[#This Row],[Gender]]="Male"),"Mached","Not mached")</f>
        <v>Not mached</v>
      </c>
    </row>
    <row r="1538" spans="4:16" x14ac:dyDescent="0.25">
      <c r="D1538" s="6" t="s">
        <v>34</v>
      </c>
      <c r="E1538">
        <v>2015</v>
      </c>
      <c r="F1538" s="6" t="s">
        <v>38</v>
      </c>
      <c r="G1538">
        <v>2</v>
      </c>
      <c r="H1538">
        <v>25</v>
      </c>
      <c r="I1538" s="6" t="s">
        <v>39</v>
      </c>
      <c r="J1538" s="6" t="s">
        <v>42</v>
      </c>
      <c r="K1538">
        <v>3</v>
      </c>
      <c r="M1538" s="1" t="b">
        <f>Employee__2[[#This Row],[Experience]]&gt;1</f>
        <v>1</v>
      </c>
      <c r="N1538" s="1" t="str">
        <f>IF(Employee__2[[#This Row],[City]]="Pune","Yes","No")</f>
        <v>Yes</v>
      </c>
      <c r="O1538" s="1" t="str">
        <f>IF(AND(Employee__2[[#This Row],[Education]]="Bachelors",Employee__2[[#This Row],[City]]="Pune"),"Yes","No")</f>
        <v>Yes</v>
      </c>
      <c r="P1538" s="1" t="str">
        <f>IF(OR(Employee__2[[#This Row],[Age]]&gt;=30,Employee__2[[#This Row],[Gender]]="Male"),"Mached","Not mached")</f>
        <v>Not mached</v>
      </c>
    </row>
    <row r="1539" spans="4:16" x14ac:dyDescent="0.25">
      <c r="D1539" s="6" t="s">
        <v>34</v>
      </c>
      <c r="E1539">
        <v>2015</v>
      </c>
      <c r="F1539" s="6" t="s">
        <v>35</v>
      </c>
      <c r="G1539">
        <v>3</v>
      </c>
      <c r="H1539">
        <v>26</v>
      </c>
      <c r="I1539" s="6" t="s">
        <v>36</v>
      </c>
      <c r="J1539" s="6" t="s">
        <v>37</v>
      </c>
      <c r="K1539">
        <v>4</v>
      </c>
      <c r="M1539" s="1" t="b">
        <f>Employee__2[[#This Row],[Experience]]&gt;1</f>
        <v>1</v>
      </c>
      <c r="N1539" s="1" t="str">
        <f>IF(Employee__2[[#This Row],[City]]="Pune","Yes","No")</f>
        <v>No</v>
      </c>
      <c r="O1539" s="1" t="str">
        <f>IF(AND(Employee__2[[#This Row],[Education]]="Bachelors",Employee__2[[#This Row],[City]]="Pune"),"Yes","No")</f>
        <v>No</v>
      </c>
      <c r="P1539" s="1" t="str">
        <f>IF(OR(Employee__2[[#This Row],[Age]]&gt;=30,Employee__2[[#This Row],[Gender]]="Male"),"Mached","Not mached")</f>
        <v>Mached</v>
      </c>
    </row>
    <row r="1540" spans="4:16" x14ac:dyDescent="0.25">
      <c r="D1540" s="6" t="s">
        <v>34</v>
      </c>
      <c r="E1540">
        <v>2015</v>
      </c>
      <c r="F1540" s="6" t="s">
        <v>35</v>
      </c>
      <c r="G1540">
        <v>3</v>
      </c>
      <c r="H1540">
        <v>24</v>
      </c>
      <c r="I1540" s="6" t="s">
        <v>39</v>
      </c>
      <c r="J1540" s="6" t="s">
        <v>37</v>
      </c>
      <c r="K1540">
        <v>2</v>
      </c>
      <c r="M1540" s="1" t="b">
        <f>Employee__2[[#This Row],[Experience]]&gt;1</f>
        <v>1</v>
      </c>
      <c r="N1540" s="1" t="str">
        <f>IF(Employee__2[[#This Row],[City]]="Pune","Yes","No")</f>
        <v>No</v>
      </c>
      <c r="O1540" s="1" t="str">
        <f>IF(AND(Employee__2[[#This Row],[Education]]="Bachelors",Employee__2[[#This Row],[City]]="Pune"),"Yes","No")</f>
        <v>No</v>
      </c>
      <c r="P1540" s="1" t="str">
        <f>IF(OR(Employee__2[[#This Row],[Age]]&gt;=30,Employee__2[[#This Row],[Gender]]="Male"),"Mached","Not mached")</f>
        <v>Not mached</v>
      </c>
    </row>
    <row r="1541" spans="4:16" x14ac:dyDescent="0.25">
      <c r="D1541" s="6" t="s">
        <v>34</v>
      </c>
      <c r="E1541">
        <v>2018</v>
      </c>
      <c r="F1541" s="6" t="s">
        <v>40</v>
      </c>
      <c r="G1541">
        <v>3</v>
      </c>
      <c r="H1541">
        <v>24</v>
      </c>
      <c r="I1541" s="6" t="s">
        <v>39</v>
      </c>
      <c r="J1541" s="6" t="s">
        <v>37</v>
      </c>
      <c r="K1541">
        <v>2</v>
      </c>
      <c r="M1541" s="1" t="b">
        <f>Employee__2[[#This Row],[Experience]]&gt;1</f>
        <v>1</v>
      </c>
      <c r="N1541" s="1" t="str">
        <f>IF(Employee__2[[#This Row],[City]]="Pune","Yes","No")</f>
        <v>No</v>
      </c>
      <c r="O1541" s="1" t="str">
        <f>IF(AND(Employee__2[[#This Row],[Education]]="Bachelors",Employee__2[[#This Row],[City]]="Pune"),"Yes","No")</f>
        <v>No</v>
      </c>
      <c r="P1541" s="1" t="str">
        <f>IF(OR(Employee__2[[#This Row],[Age]]&gt;=30,Employee__2[[#This Row],[Gender]]="Male"),"Mached","Not mached")</f>
        <v>Not mached</v>
      </c>
    </row>
    <row r="1542" spans="4:16" x14ac:dyDescent="0.25">
      <c r="D1542" s="6" t="s">
        <v>34</v>
      </c>
      <c r="E1542">
        <v>2017</v>
      </c>
      <c r="F1542" s="6" t="s">
        <v>40</v>
      </c>
      <c r="G1542">
        <v>3</v>
      </c>
      <c r="H1542">
        <v>27</v>
      </c>
      <c r="I1542" s="6" t="s">
        <v>39</v>
      </c>
      <c r="J1542" s="6" t="s">
        <v>42</v>
      </c>
      <c r="K1542">
        <v>5</v>
      </c>
      <c r="M1542" s="1" t="b">
        <f>Employee__2[[#This Row],[Experience]]&gt;1</f>
        <v>1</v>
      </c>
      <c r="N1542" s="1" t="str">
        <f>IF(Employee__2[[#This Row],[City]]="Pune","Yes","No")</f>
        <v>No</v>
      </c>
      <c r="O1542" s="1" t="str">
        <f>IF(AND(Employee__2[[#This Row],[Education]]="Bachelors",Employee__2[[#This Row],[City]]="Pune"),"Yes","No")</f>
        <v>No</v>
      </c>
      <c r="P1542" s="1" t="str">
        <f>IF(OR(Employee__2[[#This Row],[Age]]&gt;=30,Employee__2[[#This Row],[Gender]]="Male"),"Mached","Not mached")</f>
        <v>Not mached</v>
      </c>
    </row>
    <row r="1543" spans="4:16" x14ac:dyDescent="0.25">
      <c r="D1543" s="6" t="s">
        <v>43</v>
      </c>
      <c r="E1543">
        <v>2012</v>
      </c>
      <c r="F1543" s="6" t="s">
        <v>38</v>
      </c>
      <c r="G1543">
        <v>3</v>
      </c>
      <c r="H1543">
        <v>27</v>
      </c>
      <c r="I1543" s="6" t="s">
        <v>36</v>
      </c>
      <c r="J1543" s="6" t="s">
        <v>37</v>
      </c>
      <c r="K1543">
        <v>5</v>
      </c>
      <c r="M1543" s="1" t="b">
        <f>Employee__2[[#This Row],[Experience]]&gt;1</f>
        <v>1</v>
      </c>
      <c r="N1543" s="1" t="str">
        <f>IF(Employee__2[[#This Row],[City]]="Pune","Yes","No")</f>
        <v>Yes</v>
      </c>
      <c r="O1543" s="1" t="str">
        <f>IF(AND(Employee__2[[#This Row],[Education]]="Bachelors",Employee__2[[#This Row],[City]]="Pune"),"Yes","No")</f>
        <v>No</v>
      </c>
      <c r="P1543" s="1" t="str">
        <f>IF(OR(Employee__2[[#This Row],[Age]]&gt;=30,Employee__2[[#This Row],[Gender]]="Male"),"Mached","Not mached")</f>
        <v>Mached</v>
      </c>
    </row>
    <row r="1544" spans="4:16" x14ac:dyDescent="0.25">
      <c r="D1544" s="6" t="s">
        <v>34</v>
      </c>
      <c r="E1544">
        <v>2012</v>
      </c>
      <c r="F1544" s="6" t="s">
        <v>35</v>
      </c>
      <c r="G1544">
        <v>3</v>
      </c>
      <c r="H1544">
        <v>26</v>
      </c>
      <c r="I1544" s="6" t="s">
        <v>36</v>
      </c>
      <c r="J1544" s="6" t="s">
        <v>37</v>
      </c>
      <c r="K1544">
        <v>4</v>
      </c>
      <c r="M1544" s="1" t="b">
        <f>Employee__2[[#This Row],[Experience]]&gt;1</f>
        <v>1</v>
      </c>
      <c r="N1544" s="1" t="str">
        <f>IF(Employee__2[[#This Row],[City]]="Pune","Yes","No")</f>
        <v>No</v>
      </c>
      <c r="O1544" s="1" t="str">
        <f>IF(AND(Employee__2[[#This Row],[Education]]="Bachelors",Employee__2[[#This Row],[City]]="Pune"),"Yes","No")</f>
        <v>No</v>
      </c>
      <c r="P1544" s="1" t="str">
        <f>IF(OR(Employee__2[[#This Row],[Age]]&gt;=30,Employee__2[[#This Row],[Gender]]="Male"),"Mached","Not mached")</f>
        <v>Mached</v>
      </c>
    </row>
    <row r="1545" spans="4:16" x14ac:dyDescent="0.25">
      <c r="D1545" s="6" t="s">
        <v>34</v>
      </c>
      <c r="E1545">
        <v>2013</v>
      </c>
      <c r="F1545" s="6" t="s">
        <v>35</v>
      </c>
      <c r="G1545">
        <v>3</v>
      </c>
      <c r="H1545">
        <v>25</v>
      </c>
      <c r="I1545" s="6" t="s">
        <v>36</v>
      </c>
      <c r="J1545" s="6" t="s">
        <v>37</v>
      </c>
      <c r="K1545">
        <v>3</v>
      </c>
      <c r="M1545" s="1" t="b">
        <f>Employee__2[[#This Row],[Experience]]&gt;1</f>
        <v>1</v>
      </c>
      <c r="N1545" s="1" t="str">
        <f>IF(Employee__2[[#This Row],[City]]="Pune","Yes","No")</f>
        <v>No</v>
      </c>
      <c r="O1545" s="1" t="str">
        <f>IF(AND(Employee__2[[#This Row],[Education]]="Bachelors",Employee__2[[#This Row],[City]]="Pune"),"Yes","No")</f>
        <v>No</v>
      </c>
      <c r="P1545" s="1" t="str">
        <f>IF(OR(Employee__2[[#This Row],[Age]]&gt;=30,Employee__2[[#This Row],[Gender]]="Male"),"Mached","Not mached")</f>
        <v>Mached</v>
      </c>
    </row>
    <row r="1546" spans="4:16" x14ac:dyDescent="0.25">
      <c r="D1546" s="6" t="s">
        <v>34</v>
      </c>
      <c r="E1546">
        <v>2015</v>
      </c>
      <c r="F1546" s="6" t="s">
        <v>40</v>
      </c>
      <c r="G1546">
        <v>3</v>
      </c>
      <c r="H1546">
        <v>24</v>
      </c>
      <c r="I1546" s="6" t="s">
        <v>39</v>
      </c>
      <c r="J1546" s="6" t="s">
        <v>37</v>
      </c>
      <c r="K1546">
        <v>2</v>
      </c>
      <c r="M1546" s="1" t="b">
        <f>Employee__2[[#This Row],[Experience]]&gt;1</f>
        <v>1</v>
      </c>
      <c r="N1546" s="1" t="str">
        <f>IF(Employee__2[[#This Row],[City]]="Pune","Yes","No")</f>
        <v>No</v>
      </c>
      <c r="O1546" s="1" t="str">
        <f>IF(AND(Employee__2[[#This Row],[Education]]="Bachelors",Employee__2[[#This Row],[City]]="Pune"),"Yes","No")</f>
        <v>No</v>
      </c>
      <c r="P1546" s="1" t="str">
        <f>IF(OR(Employee__2[[#This Row],[Age]]&gt;=30,Employee__2[[#This Row],[Gender]]="Male"),"Mached","Not mached")</f>
        <v>Not mached</v>
      </c>
    </row>
    <row r="1547" spans="4:16" x14ac:dyDescent="0.25">
      <c r="D1547" s="6" t="s">
        <v>34</v>
      </c>
      <c r="E1547">
        <v>2013</v>
      </c>
      <c r="F1547" s="6" t="s">
        <v>38</v>
      </c>
      <c r="G1547">
        <v>3</v>
      </c>
      <c r="H1547">
        <v>24</v>
      </c>
      <c r="I1547" s="6" t="s">
        <v>39</v>
      </c>
      <c r="J1547" s="6" t="s">
        <v>37</v>
      </c>
      <c r="K1547">
        <v>2</v>
      </c>
      <c r="M1547" s="1" t="b">
        <f>Employee__2[[#This Row],[Experience]]&gt;1</f>
        <v>1</v>
      </c>
      <c r="N1547" s="1" t="str">
        <f>IF(Employee__2[[#This Row],[City]]="Pune","Yes","No")</f>
        <v>Yes</v>
      </c>
      <c r="O1547" s="1" t="str">
        <f>IF(AND(Employee__2[[#This Row],[Education]]="Bachelors",Employee__2[[#This Row],[City]]="Pune"),"Yes","No")</f>
        <v>Yes</v>
      </c>
      <c r="P1547" s="1" t="str">
        <f>IF(OR(Employee__2[[#This Row],[Age]]&gt;=30,Employee__2[[#This Row],[Gender]]="Male"),"Mached","Not mached")</f>
        <v>Not mached</v>
      </c>
    </row>
    <row r="1548" spans="4:16" x14ac:dyDescent="0.25">
      <c r="D1548" s="6" t="s">
        <v>34</v>
      </c>
      <c r="E1548">
        <v>2016</v>
      </c>
      <c r="F1548" s="6" t="s">
        <v>38</v>
      </c>
      <c r="G1548">
        <v>3</v>
      </c>
      <c r="H1548">
        <v>24</v>
      </c>
      <c r="I1548" s="6" t="s">
        <v>36</v>
      </c>
      <c r="J1548" s="6" t="s">
        <v>37</v>
      </c>
      <c r="K1548">
        <v>2</v>
      </c>
      <c r="M1548" s="1" t="b">
        <f>Employee__2[[#This Row],[Experience]]&gt;1</f>
        <v>1</v>
      </c>
      <c r="N1548" s="1" t="str">
        <f>IF(Employee__2[[#This Row],[City]]="Pune","Yes","No")</f>
        <v>Yes</v>
      </c>
      <c r="O1548" s="1" t="str">
        <f>IF(AND(Employee__2[[#This Row],[Education]]="Bachelors",Employee__2[[#This Row],[City]]="Pune"),"Yes","No")</f>
        <v>Yes</v>
      </c>
      <c r="P1548" s="1" t="str">
        <f>IF(OR(Employee__2[[#This Row],[Age]]&gt;=30,Employee__2[[#This Row],[Gender]]="Male"),"Mached","Not mached")</f>
        <v>Mached</v>
      </c>
    </row>
    <row r="1549" spans="4:16" x14ac:dyDescent="0.25">
      <c r="D1549" s="6" t="s">
        <v>34</v>
      </c>
      <c r="E1549">
        <v>2018</v>
      </c>
      <c r="F1549" s="6" t="s">
        <v>38</v>
      </c>
      <c r="G1549">
        <v>3</v>
      </c>
      <c r="H1549">
        <v>24</v>
      </c>
      <c r="I1549" s="6" t="s">
        <v>36</v>
      </c>
      <c r="J1549" s="6" t="s">
        <v>42</v>
      </c>
      <c r="K1549">
        <v>2</v>
      </c>
      <c r="M1549" s="1" t="b">
        <f>Employee__2[[#This Row],[Experience]]&gt;1</f>
        <v>1</v>
      </c>
      <c r="N1549" s="1" t="str">
        <f>IF(Employee__2[[#This Row],[City]]="Pune","Yes","No")</f>
        <v>Yes</v>
      </c>
      <c r="O1549" s="1" t="str">
        <f>IF(AND(Employee__2[[#This Row],[Education]]="Bachelors",Employee__2[[#This Row],[City]]="Pune"),"Yes","No")</f>
        <v>Yes</v>
      </c>
      <c r="P1549" s="1" t="str">
        <f>IF(OR(Employee__2[[#This Row],[Age]]&gt;=30,Employee__2[[#This Row],[Gender]]="Male"),"Mached","Not mached")</f>
        <v>Mached</v>
      </c>
    </row>
    <row r="1550" spans="4:16" x14ac:dyDescent="0.25">
      <c r="D1550" s="6" t="s">
        <v>34</v>
      </c>
      <c r="E1550">
        <v>2015</v>
      </c>
      <c r="F1550" s="6" t="s">
        <v>35</v>
      </c>
      <c r="G1550">
        <v>3</v>
      </c>
      <c r="H1550">
        <v>27</v>
      </c>
      <c r="I1550" s="6" t="s">
        <v>39</v>
      </c>
      <c r="J1550" s="6" t="s">
        <v>42</v>
      </c>
      <c r="K1550">
        <v>5</v>
      </c>
      <c r="M1550" s="1" t="b">
        <f>Employee__2[[#This Row],[Experience]]&gt;1</f>
        <v>1</v>
      </c>
      <c r="N1550" s="1" t="str">
        <f>IF(Employee__2[[#This Row],[City]]="Pune","Yes","No")</f>
        <v>No</v>
      </c>
      <c r="O1550" s="1" t="str">
        <f>IF(AND(Employee__2[[#This Row],[Education]]="Bachelors",Employee__2[[#This Row],[City]]="Pune"),"Yes","No")</f>
        <v>No</v>
      </c>
      <c r="P1550" s="1" t="str">
        <f>IF(OR(Employee__2[[#This Row],[Age]]&gt;=30,Employee__2[[#This Row],[Gender]]="Male"),"Mached","Not mached")</f>
        <v>Not mached</v>
      </c>
    </row>
    <row r="1551" spans="4:16" x14ac:dyDescent="0.25">
      <c r="D1551" s="6" t="s">
        <v>34</v>
      </c>
      <c r="E1551">
        <v>2018</v>
      </c>
      <c r="F1551" s="6" t="s">
        <v>35</v>
      </c>
      <c r="G1551">
        <v>3</v>
      </c>
      <c r="H1551">
        <v>26</v>
      </c>
      <c r="I1551" s="6" t="s">
        <v>36</v>
      </c>
      <c r="J1551" s="6" t="s">
        <v>37</v>
      </c>
      <c r="K1551">
        <v>4</v>
      </c>
      <c r="M1551" s="1" t="b">
        <f>Employee__2[[#This Row],[Experience]]&gt;1</f>
        <v>1</v>
      </c>
      <c r="N1551" s="1" t="str">
        <f>IF(Employee__2[[#This Row],[City]]="Pune","Yes","No")</f>
        <v>No</v>
      </c>
      <c r="O1551" s="1" t="str">
        <f>IF(AND(Employee__2[[#This Row],[Education]]="Bachelors",Employee__2[[#This Row],[City]]="Pune"),"Yes","No")</f>
        <v>No</v>
      </c>
      <c r="P1551" s="1" t="str">
        <f>IF(OR(Employee__2[[#This Row],[Age]]&gt;=30,Employee__2[[#This Row],[Gender]]="Male"),"Mached","Not mached")</f>
        <v>Mached</v>
      </c>
    </row>
    <row r="1552" spans="4:16" x14ac:dyDescent="0.25">
      <c r="D1552" s="6" t="s">
        <v>34</v>
      </c>
      <c r="E1552">
        <v>2012</v>
      </c>
      <c r="F1552" s="6" t="s">
        <v>38</v>
      </c>
      <c r="G1552">
        <v>3</v>
      </c>
      <c r="H1552">
        <v>24</v>
      </c>
      <c r="I1552" s="6" t="s">
        <v>39</v>
      </c>
      <c r="J1552" s="6" t="s">
        <v>37</v>
      </c>
      <c r="K1552">
        <v>2</v>
      </c>
      <c r="M1552" s="1" t="b">
        <f>Employee__2[[#This Row],[Experience]]&gt;1</f>
        <v>1</v>
      </c>
      <c r="N1552" s="1" t="str">
        <f>IF(Employee__2[[#This Row],[City]]="Pune","Yes","No")</f>
        <v>Yes</v>
      </c>
      <c r="O1552" s="1" t="str">
        <f>IF(AND(Employee__2[[#This Row],[Education]]="Bachelors",Employee__2[[#This Row],[City]]="Pune"),"Yes","No")</f>
        <v>Yes</v>
      </c>
      <c r="P1552" s="1" t="str">
        <f>IF(OR(Employee__2[[#This Row],[Age]]&gt;=30,Employee__2[[#This Row],[Gender]]="Male"),"Mached","Not mached")</f>
        <v>Not mached</v>
      </c>
    </row>
    <row r="1553" spans="4:16" x14ac:dyDescent="0.25">
      <c r="D1553" s="6" t="s">
        <v>41</v>
      </c>
      <c r="E1553">
        <v>2017</v>
      </c>
      <c r="F1553" s="6" t="s">
        <v>40</v>
      </c>
      <c r="G1553">
        <v>3</v>
      </c>
      <c r="H1553">
        <v>27</v>
      </c>
      <c r="I1553" s="6" t="s">
        <v>36</v>
      </c>
      <c r="J1553" s="6" t="s">
        <v>37</v>
      </c>
      <c r="K1553">
        <v>5</v>
      </c>
      <c r="M1553" s="1" t="b">
        <f>Employee__2[[#This Row],[Experience]]&gt;1</f>
        <v>1</v>
      </c>
      <c r="N1553" s="1" t="str">
        <f>IF(Employee__2[[#This Row],[City]]="Pune","Yes","No")</f>
        <v>No</v>
      </c>
      <c r="O1553" s="1" t="str">
        <f>IF(AND(Employee__2[[#This Row],[Education]]="Bachelors",Employee__2[[#This Row],[City]]="Pune"),"Yes","No")</f>
        <v>No</v>
      </c>
      <c r="P1553" s="1" t="str">
        <f>IF(OR(Employee__2[[#This Row],[Age]]&gt;=30,Employee__2[[#This Row],[Gender]]="Male"),"Mached","Not mached")</f>
        <v>Mached</v>
      </c>
    </row>
    <row r="1554" spans="4:16" x14ac:dyDescent="0.25">
      <c r="D1554" s="6" t="s">
        <v>34</v>
      </c>
      <c r="E1554">
        <v>2012</v>
      </c>
      <c r="F1554" s="6" t="s">
        <v>35</v>
      </c>
      <c r="G1554">
        <v>3</v>
      </c>
      <c r="H1554">
        <v>26</v>
      </c>
      <c r="I1554" s="6" t="s">
        <v>36</v>
      </c>
      <c r="J1554" s="6" t="s">
        <v>37</v>
      </c>
      <c r="K1554">
        <v>4</v>
      </c>
      <c r="M1554" s="1" t="b">
        <f>Employee__2[[#This Row],[Experience]]&gt;1</f>
        <v>1</v>
      </c>
      <c r="N1554" s="1" t="str">
        <f>IF(Employee__2[[#This Row],[City]]="Pune","Yes","No")</f>
        <v>No</v>
      </c>
      <c r="O1554" s="1" t="str">
        <f>IF(AND(Employee__2[[#This Row],[Education]]="Bachelors",Employee__2[[#This Row],[City]]="Pune"),"Yes","No")</f>
        <v>No</v>
      </c>
      <c r="P1554" s="1" t="str">
        <f>IF(OR(Employee__2[[#This Row],[Age]]&gt;=30,Employee__2[[#This Row],[Gender]]="Male"),"Mached","Not mached")</f>
        <v>Mached</v>
      </c>
    </row>
    <row r="1555" spans="4:16" x14ac:dyDescent="0.25">
      <c r="D1555" s="6" t="s">
        <v>34</v>
      </c>
      <c r="E1555">
        <v>2013</v>
      </c>
      <c r="F1555" s="6" t="s">
        <v>35</v>
      </c>
      <c r="G1555">
        <v>3</v>
      </c>
      <c r="H1555">
        <v>27</v>
      </c>
      <c r="I1555" s="6" t="s">
        <v>36</v>
      </c>
      <c r="J1555" s="6" t="s">
        <v>37</v>
      </c>
      <c r="K1555">
        <v>5</v>
      </c>
      <c r="M1555" s="1" t="b">
        <f>Employee__2[[#This Row],[Experience]]&gt;1</f>
        <v>1</v>
      </c>
      <c r="N1555" s="1" t="str">
        <f>IF(Employee__2[[#This Row],[City]]="Pune","Yes","No")</f>
        <v>No</v>
      </c>
      <c r="O1555" s="1" t="str">
        <f>IF(AND(Employee__2[[#This Row],[Education]]="Bachelors",Employee__2[[#This Row],[City]]="Pune"),"Yes","No")</f>
        <v>No</v>
      </c>
      <c r="P1555" s="1" t="str">
        <f>IF(OR(Employee__2[[#This Row],[Age]]&gt;=30,Employee__2[[#This Row],[Gender]]="Male"),"Mached","Not mached")</f>
        <v>Mached</v>
      </c>
    </row>
    <row r="1556" spans="4:16" x14ac:dyDescent="0.25">
      <c r="D1556" s="6" t="s">
        <v>34</v>
      </c>
      <c r="E1556">
        <v>2015</v>
      </c>
      <c r="F1556" s="6" t="s">
        <v>40</v>
      </c>
      <c r="G1556">
        <v>3</v>
      </c>
      <c r="H1556">
        <v>25</v>
      </c>
      <c r="I1556" s="6" t="s">
        <v>39</v>
      </c>
      <c r="J1556" s="6" t="s">
        <v>37</v>
      </c>
      <c r="K1556">
        <v>3</v>
      </c>
      <c r="M1556" s="1" t="b">
        <f>Employee__2[[#This Row],[Experience]]&gt;1</f>
        <v>1</v>
      </c>
      <c r="N1556" s="1" t="str">
        <f>IF(Employee__2[[#This Row],[City]]="Pune","Yes","No")</f>
        <v>No</v>
      </c>
      <c r="O1556" s="1" t="str">
        <f>IF(AND(Employee__2[[#This Row],[Education]]="Bachelors",Employee__2[[#This Row],[City]]="Pune"),"Yes","No")</f>
        <v>No</v>
      </c>
      <c r="P1556" s="1" t="str">
        <f>IF(OR(Employee__2[[#This Row],[Age]]&gt;=30,Employee__2[[#This Row],[Gender]]="Male"),"Mached","Not mached")</f>
        <v>Not mached</v>
      </c>
    </row>
    <row r="1557" spans="4:16" x14ac:dyDescent="0.25">
      <c r="D1557" s="6" t="s">
        <v>34</v>
      </c>
      <c r="E1557">
        <v>2018</v>
      </c>
      <c r="F1557" s="6" t="s">
        <v>35</v>
      </c>
      <c r="G1557">
        <v>3</v>
      </c>
      <c r="H1557">
        <v>24</v>
      </c>
      <c r="I1557" s="6" t="s">
        <v>39</v>
      </c>
      <c r="J1557" s="6" t="s">
        <v>37</v>
      </c>
      <c r="K1557">
        <v>2</v>
      </c>
      <c r="M1557" s="1" t="b">
        <f>Employee__2[[#This Row],[Experience]]&gt;1</f>
        <v>1</v>
      </c>
      <c r="N1557" s="1" t="str">
        <f>IF(Employee__2[[#This Row],[City]]="Pune","Yes","No")</f>
        <v>No</v>
      </c>
      <c r="O1557" s="1" t="str">
        <f>IF(AND(Employee__2[[#This Row],[Education]]="Bachelors",Employee__2[[#This Row],[City]]="Pune"),"Yes","No")</f>
        <v>No</v>
      </c>
      <c r="P1557" s="1" t="str">
        <f>IF(OR(Employee__2[[#This Row],[Age]]&gt;=30,Employee__2[[#This Row],[Gender]]="Male"),"Mached","Not mached")</f>
        <v>Not mached</v>
      </c>
    </row>
    <row r="1558" spans="4:16" x14ac:dyDescent="0.25">
      <c r="D1558" s="6" t="s">
        <v>34</v>
      </c>
      <c r="E1558">
        <v>2014</v>
      </c>
      <c r="F1558" s="6" t="s">
        <v>35</v>
      </c>
      <c r="G1558">
        <v>3</v>
      </c>
      <c r="H1558">
        <v>28</v>
      </c>
      <c r="I1558" s="6" t="s">
        <v>36</v>
      </c>
      <c r="J1558" s="6" t="s">
        <v>37</v>
      </c>
      <c r="K1558">
        <v>4</v>
      </c>
      <c r="M1558" s="1" t="b">
        <f>Employee__2[[#This Row],[Experience]]&gt;1</f>
        <v>1</v>
      </c>
      <c r="N1558" s="1" t="str">
        <f>IF(Employee__2[[#This Row],[City]]="Pune","Yes","No")</f>
        <v>No</v>
      </c>
      <c r="O1558" s="1" t="str">
        <f>IF(AND(Employee__2[[#This Row],[Education]]="Bachelors",Employee__2[[#This Row],[City]]="Pune"),"Yes","No")</f>
        <v>No</v>
      </c>
      <c r="P1558" s="1" t="str">
        <f>IF(OR(Employee__2[[#This Row],[Age]]&gt;=30,Employee__2[[#This Row],[Gender]]="Male"),"Mached","Not mached")</f>
        <v>Mached</v>
      </c>
    </row>
    <row r="1559" spans="4:16" x14ac:dyDescent="0.25">
      <c r="D1559" s="6" t="s">
        <v>34</v>
      </c>
      <c r="E1559">
        <v>2013</v>
      </c>
      <c r="F1559" s="6" t="s">
        <v>38</v>
      </c>
      <c r="G1559">
        <v>1</v>
      </c>
      <c r="H1559">
        <v>26</v>
      </c>
      <c r="I1559" s="6" t="s">
        <v>39</v>
      </c>
      <c r="J1559" s="6" t="s">
        <v>37</v>
      </c>
      <c r="K1559">
        <v>4</v>
      </c>
      <c r="M1559" s="1" t="b">
        <f>Employee__2[[#This Row],[Experience]]&gt;1</f>
        <v>1</v>
      </c>
      <c r="N1559" s="1" t="str">
        <f>IF(Employee__2[[#This Row],[City]]="Pune","Yes","No")</f>
        <v>Yes</v>
      </c>
      <c r="O1559" s="1" t="str">
        <f>IF(AND(Employee__2[[#This Row],[Education]]="Bachelors",Employee__2[[#This Row],[City]]="Pune"),"Yes","No")</f>
        <v>Yes</v>
      </c>
      <c r="P1559" s="1" t="str">
        <f>IF(OR(Employee__2[[#This Row],[Age]]&gt;=30,Employee__2[[#This Row],[Gender]]="Male"),"Mached","Not mached")</f>
        <v>Not mached</v>
      </c>
    </row>
    <row r="1560" spans="4:16" x14ac:dyDescent="0.25">
      <c r="D1560" s="6" t="s">
        <v>34</v>
      </c>
      <c r="E1560">
        <v>2015</v>
      </c>
      <c r="F1560" s="6" t="s">
        <v>35</v>
      </c>
      <c r="G1560">
        <v>3</v>
      </c>
      <c r="H1560">
        <v>27</v>
      </c>
      <c r="I1560" s="6" t="s">
        <v>36</v>
      </c>
      <c r="J1560" s="6" t="s">
        <v>37</v>
      </c>
      <c r="K1560">
        <v>5</v>
      </c>
      <c r="M1560" s="1" t="b">
        <f>Employee__2[[#This Row],[Experience]]&gt;1</f>
        <v>1</v>
      </c>
      <c r="N1560" s="1" t="str">
        <f>IF(Employee__2[[#This Row],[City]]="Pune","Yes","No")</f>
        <v>No</v>
      </c>
      <c r="O1560" s="1" t="str">
        <f>IF(AND(Employee__2[[#This Row],[Education]]="Bachelors",Employee__2[[#This Row],[City]]="Pune"),"Yes","No")</f>
        <v>No</v>
      </c>
      <c r="P1560" s="1" t="str">
        <f>IF(OR(Employee__2[[#This Row],[Age]]&gt;=30,Employee__2[[#This Row],[Gender]]="Male"),"Mached","Not mached")</f>
        <v>Mached</v>
      </c>
    </row>
    <row r="1561" spans="4:16" x14ac:dyDescent="0.25">
      <c r="D1561" s="6" t="s">
        <v>34</v>
      </c>
      <c r="E1561">
        <v>2013</v>
      </c>
      <c r="F1561" s="6" t="s">
        <v>35</v>
      </c>
      <c r="G1561">
        <v>3</v>
      </c>
      <c r="H1561">
        <v>24</v>
      </c>
      <c r="I1561" s="6" t="s">
        <v>36</v>
      </c>
      <c r="J1561" s="6" t="s">
        <v>37</v>
      </c>
      <c r="K1561">
        <v>2</v>
      </c>
      <c r="M1561" s="1" t="b">
        <f>Employee__2[[#This Row],[Experience]]&gt;1</f>
        <v>1</v>
      </c>
      <c r="N1561" s="1" t="str">
        <f>IF(Employee__2[[#This Row],[City]]="Pune","Yes","No")</f>
        <v>No</v>
      </c>
      <c r="O1561" s="1" t="str">
        <f>IF(AND(Employee__2[[#This Row],[Education]]="Bachelors",Employee__2[[#This Row],[City]]="Pune"),"Yes","No")</f>
        <v>No</v>
      </c>
      <c r="P1561" s="1" t="str">
        <f>IF(OR(Employee__2[[#This Row],[Age]]&gt;=30,Employee__2[[#This Row],[Gender]]="Male"),"Mached","Not mached")</f>
        <v>Mached</v>
      </c>
    </row>
    <row r="1562" spans="4:16" x14ac:dyDescent="0.25">
      <c r="D1562" s="6" t="s">
        <v>34</v>
      </c>
      <c r="E1562">
        <v>2016</v>
      </c>
      <c r="F1562" s="6" t="s">
        <v>35</v>
      </c>
      <c r="G1562">
        <v>3</v>
      </c>
      <c r="H1562">
        <v>26</v>
      </c>
      <c r="I1562" s="6" t="s">
        <v>36</v>
      </c>
      <c r="J1562" s="6" t="s">
        <v>37</v>
      </c>
      <c r="K1562">
        <v>4</v>
      </c>
      <c r="M1562" s="1" t="b">
        <f>Employee__2[[#This Row],[Experience]]&gt;1</f>
        <v>1</v>
      </c>
      <c r="N1562" s="1" t="str">
        <f>IF(Employee__2[[#This Row],[City]]="Pune","Yes","No")</f>
        <v>No</v>
      </c>
      <c r="O1562" s="1" t="str">
        <f>IF(AND(Employee__2[[#This Row],[Education]]="Bachelors",Employee__2[[#This Row],[City]]="Pune"),"Yes","No")</f>
        <v>No</v>
      </c>
      <c r="P1562" s="1" t="str">
        <f>IF(OR(Employee__2[[#This Row],[Age]]&gt;=30,Employee__2[[#This Row],[Gender]]="Male"),"Mached","Not mached")</f>
        <v>Mached</v>
      </c>
    </row>
    <row r="1563" spans="4:16" x14ac:dyDescent="0.25">
      <c r="D1563" s="6" t="s">
        <v>34</v>
      </c>
      <c r="E1563">
        <v>2013</v>
      </c>
      <c r="F1563" s="6" t="s">
        <v>35</v>
      </c>
      <c r="G1563">
        <v>3</v>
      </c>
      <c r="H1563">
        <v>25</v>
      </c>
      <c r="I1563" s="6" t="s">
        <v>39</v>
      </c>
      <c r="J1563" s="6" t="s">
        <v>37</v>
      </c>
      <c r="K1563">
        <v>3</v>
      </c>
      <c r="M1563" s="1" t="b">
        <f>Employee__2[[#This Row],[Experience]]&gt;1</f>
        <v>1</v>
      </c>
      <c r="N1563" s="1" t="str">
        <f>IF(Employee__2[[#This Row],[City]]="Pune","Yes","No")</f>
        <v>No</v>
      </c>
      <c r="O1563" s="1" t="str">
        <f>IF(AND(Employee__2[[#This Row],[Education]]="Bachelors",Employee__2[[#This Row],[City]]="Pune"),"Yes","No")</f>
        <v>No</v>
      </c>
      <c r="P1563" s="1" t="str">
        <f>IF(OR(Employee__2[[#This Row],[Age]]&gt;=30,Employee__2[[#This Row],[Gender]]="Male"),"Mached","Not mached")</f>
        <v>Not mached</v>
      </c>
    </row>
    <row r="1564" spans="4:16" x14ac:dyDescent="0.25">
      <c r="D1564" s="6" t="s">
        <v>34</v>
      </c>
      <c r="E1564">
        <v>2016</v>
      </c>
      <c r="F1564" s="6" t="s">
        <v>35</v>
      </c>
      <c r="G1564">
        <v>3</v>
      </c>
      <c r="H1564">
        <v>27</v>
      </c>
      <c r="I1564" s="6" t="s">
        <v>36</v>
      </c>
      <c r="J1564" s="6" t="s">
        <v>42</v>
      </c>
      <c r="K1564">
        <v>5</v>
      </c>
      <c r="M1564" s="1" t="b">
        <f>Employee__2[[#This Row],[Experience]]&gt;1</f>
        <v>1</v>
      </c>
      <c r="N1564" s="1" t="str">
        <f>IF(Employee__2[[#This Row],[City]]="Pune","Yes","No")</f>
        <v>No</v>
      </c>
      <c r="O1564" s="1" t="str">
        <f>IF(AND(Employee__2[[#This Row],[Education]]="Bachelors",Employee__2[[#This Row],[City]]="Pune"),"Yes","No")</f>
        <v>No</v>
      </c>
      <c r="P1564" s="1" t="str">
        <f>IF(OR(Employee__2[[#This Row],[Age]]&gt;=30,Employee__2[[#This Row],[Gender]]="Male"),"Mached","Not mached")</f>
        <v>Mached</v>
      </c>
    </row>
    <row r="1565" spans="4:16" x14ac:dyDescent="0.25">
      <c r="D1565" s="6" t="s">
        <v>34</v>
      </c>
      <c r="E1565">
        <v>2017</v>
      </c>
      <c r="F1565" s="6" t="s">
        <v>38</v>
      </c>
      <c r="G1565">
        <v>3</v>
      </c>
      <c r="H1565">
        <v>26</v>
      </c>
      <c r="I1565" s="6" t="s">
        <v>36</v>
      </c>
      <c r="J1565" s="6" t="s">
        <v>37</v>
      </c>
      <c r="K1565">
        <v>4</v>
      </c>
      <c r="M1565" s="1" t="b">
        <f>Employee__2[[#This Row],[Experience]]&gt;1</f>
        <v>1</v>
      </c>
      <c r="N1565" s="1" t="str">
        <f>IF(Employee__2[[#This Row],[City]]="Pune","Yes","No")</f>
        <v>Yes</v>
      </c>
      <c r="O1565" s="1" t="str">
        <f>IF(AND(Employee__2[[#This Row],[Education]]="Bachelors",Employee__2[[#This Row],[City]]="Pune"),"Yes","No")</f>
        <v>Yes</v>
      </c>
      <c r="P1565" s="1" t="str">
        <f>IF(OR(Employee__2[[#This Row],[Age]]&gt;=30,Employee__2[[#This Row],[Gender]]="Male"),"Mached","Not mached")</f>
        <v>Mached</v>
      </c>
    </row>
    <row r="1566" spans="4:16" x14ac:dyDescent="0.25">
      <c r="D1566" s="6" t="s">
        <v>34</v>
      </c>
      <c r="E1566">
        <v>2018</v>
      </c>
      <c r="F1566" s="6" t="s">
        <v>38</v>
      </c>
      <c r="G1566">
        <v>2</v>
      </c>
      <c r="H1566">
        <v>28</v>
      </c>
      <c r="I1566" s="6" t="s">
        <v>39</v>
      </c>
      <c r="J1566" s="6" t="s">
        <v>37</v>
      </c>
      <c r="K1566">
        <v>5</v>
      </c>
      <c r="M1566" s="1" t="b">
        <f>Employee__2[[#This Row],[Experience]]&gt;1</f>
        <v>1</v>
      </c>
      <c r="N1566" s="1" t="str">
        <f>IF(Employee__2[[#This Row],[City]]="Pune","Yes","No")</f>
        <v>Yes</v>
      </c>
      <c r="O1566" s="1" t="str">
        <f>IF(AND(Employee__2[[#This Row],[Education]]="Bachelors",Employee__2[[#This Row],[City]]="Pune"),"Yes","No")</f>
        <v>Yes</v>
      </c>
      <c r="P1566" s="1" t="str">
        <f>IF(OR(Employee__2[[#This Row],[Age]]&gt;=30,Employee__2[[#This Row],[Gender]]="Male"),"Mached","Not mached")</f>
        <v>Not mached</v>
      </c>
    </row>
    <row r="1567" spans="4:16" x14ac:dyDescent="0.25">
      <c r="D1567" s="6" t="s">
        <v>41</v>
      </c>
      <c r="E1567">
        <v>2017</v>
      </c>
      <c r="F1567" s="6" t="s">
        <v>38</v>
      </c>
      <c r="G1567">
        <v>2</v>
      </c>
      <c r="H1567">
        <v>27</v>
      </c>
      <c r="I1567" s="6" t="s">
        <v>36</v>
      </c>
      <c r="J1567" s="6" t="s">
        <v>37</v>
      </c>
      <c r="K1567">
        <v>5</v>
      </c>
      <c r="M1567" s="1" t="b">
        <f>Employee__2[[#This Row],[Experience]]&gt;1</f>
        <v>1</v>
      </c>
      <c r="N1567" s="1" t="str">
        <f>IF(Employee__2[[#This Row],[City]]="Pune","Yes","No")</f>
        <v>Yes</v>
      </c>
      <c r="O1567" s="1" t="str">
        <f>IF(AND(Employee__2[[#This Row],[Education]]="Bachelors",Employee__2[[#This Row],[City]]="Pune"),"Yes","No")</f>
        <v>No</v>
      </c>
      <c r="P1567" s="1" t="str">
        <f>IF(OR(Employee__2[[#This Row],[Age]]&gt;=30,Employee__2[[#This Row],[Gender]]="Male"),"Mached","Not mached")</f>
        <v>Mached</v>
      </c>
    </row>
    <row r="1568" spans="4:16" x14ac:dyDescent="0.25">
      <c r="D1568" s="6" t="s">
        <v>34</v>
      </c>
      <c r="E1568">
        <v>2013</v>
      </c>
      <c r="F1568" s="6" t="s">
        <v>35</v>
      </c>
      <c r="G1568">
        <v>3</v>
      </c>
      <c r="H1568">
        <v>25</v>
      </c>
      <c r="I1568" s="6" t="s">
        <v>39</v>
      </c>
      <c r="J1568" s="6" t="s">
        <v>37</v>
      </c>
      <c r="K1568">
        <v>3</v>
      </c>
      <c r="M1568" s="1" t="b">
        <f>Employee__2[[#This Row],[Experience]]&gt;1</f>
        <v>1</v>
      </c>
      <c r="N1568" s="1" t="str">
        <f>IF(Employee__2[[#This Row],[City]]="Pune","Yes","No")</f>
        <v>No</v>
      </c>
      <c r="O1568" s="1" t="str">
        <f>IF(AND(Employee__2[[#This Row],[Education]]="Bachelors",Employee__2[[#This Row],[City]]="Pune"),"Yes","No")</f>
        <v>No</v>
      </c>
      <c r="P1568" s="1" t="str">
        <f>IF(OR(Employee__2[[#This Row],[Age]]&gt;=30,Employee__2[[#This Row],[Gender]]="Male"),"Mached","Not mached")</f>
        <v>Not mached</v>
      </c>
    </row>
    <row r="1569" spans="4:16" x14ac:dyDescent="0.25">
      <c r="D1569" s="6" t="s">
        <v>34</v>
      </c>
      <c r="E1569">
        <v>2017</v>
      </c>
      <c r="F1569" s="6" t="s">
        <v>35</v>
      </c>
      <c r="G1569">
        <v>3</v>
      </c>
      <c r="H1569">
        <v>24</v>
      </c>
      <c r="I1569" s="6" t="s">
        <v>36</v>
      </c>
      <c r="J1569" s="6" t="s">
        <v>37</v>
      </c>
      <c r="K1569">
        <v>2</v>
      </c>
      <c r="M1569" s="1" t="b">
        <f>Employee__2[[#This Row],[Experience]]&gt;1</f>
        <v>1</v>
      </c>
      <c r="N1569" s="1" t="str">
        <f>IF(Employee__2[[#This Row],[City]]="Pune","Yes","No")</f>
        <v>No</v>
      </c>
      <c r="O1569" s="1" t="str">
        <f>IF(AND(Employee__2[[#This Row],[Education]]="Bachelors",Employee__2[[#This Row],[City]]="Pune"),"Yes","No")</f>
        <v>No</v>
      </c>
      <c r="P1569" s="1" t="str">
        <f>IF(OR(Employee__2[[#This Row],[Age]]&gt;=30,Employee__2[[#This Row],[Gender]]="Male"),"Mached","Not mached")</f>
        <v>Mached</v>
      </c>
    </row>
    <row r="1570" spans="4:16" x14ac:dyDescent="0.25">
      <c r="D1570" s="6" t="s">
        <v>34</v>
      </c>
      <c r="E1570">
        <v>2017</v>
      </c>
      <c r="F1570" s="6" t="s">
        <v>40</v>
      </c>
      <c r="G1570">
        <v>2</v>
      </c>
      <c r="H1570">
        <v>25</v>
      </c>
      <c r="I1570" s="6" t="s">
        <v>39</v>
      </c>
      <c r="J1570" s="6" t="s">
        <v>37</v>
      </c>
      <c r="K1570">
        <v>3</v>
      </c>
      <c r="M1570" s="1" t="b">
        <f>Employee__2[[#This Row],[Experience]]&gt;1</f>
        <v>1</v>
      </c>
      <c r="N1570" s="1" t="str">
        <f>IF(Employee__2[[#This Row],[City]]="Pune","Yes","No")</f>
        <v>No</v>
      </c>
      <c r="O1570" s="1" t="str">
        <f>IF(AND(Employee__2[[#This Row],[Education]]="Bachelors",Employee__2[[#This Row],[City]]="Pune"),"Yes","No")</f>
        <v>No</v>
      </c>
      <c r="P1570" s="1" t="str">
        <f>IF(OR(Employee__2[[#This Row],[Age]]&gt;=30,Employee__2[[#This Row],[Gender]]="Male"),"Mached","Not mached")</f>
        <v>Not mached</v>
      </c>
    </row>
    <row r="1571" spans="4:16" x14ac:dyDescent="0.25">
      <c r="D1571" s="6" t="s">
        <v>34</v>
      </c>
      <c r="E1571">
        <v>2018</v>
      </c>
      <c r="F1571" s="6" t="s">
        <v>38</v>
      </c>
      <c r="G1571">
        <v>3</v>
      </c>
      <c r="H1571">
        <v>27</v>
      </c>
      <c r="I1571" s="6" t="s">
        <v>39</v>
      </c>
      <c r="J1571" s="6" t="s">
        <v>37</v>
      </c>
      <c r="K1571">
        <v>5</v>
      </c>
      <c r="M1571" s="1" t="b">
        <f>Employee__2[[#This Row],[Experience]]&gt;1</f>
        <v>1</v>
      </c>
      <c r="N1571" s="1" t="str">
        <f>IF(Employee__2[[#This Row],[City]]="Pune","Yes","No")</f>
        <v>Yes</v>
      </c>
      <c r="O1571" s="1" t="str">
        <f>IF(AND(Employee__2[[#This Row],[Education]]="Bachelors",Employee__2[[#This Row],[City]]="Pune"),"Yes","No")</f>
        <v>Yes</v>
      </c>
      <c r="P1571" s="1" t="str">
        <f>IF(OR(Employee__2[[#This Row],[Age]]&gt;=30,Employee__2[[#This Row],[Gender]]="Male"),"Mached","Not mached")</f>
        <v>Not mached</v>
      </c>
    </row>
    <row r="1572" spans="4:16" x14ac:dyDescent="0.25">
      <c r="D1572" s="6" t="s">
        <v>34</v>
      </c>
      <c r="E1572">
        <v>2016</v>
      </c>
      <c r="F1572" s="6" t="s">
        <v>38</v>
      </c>
      <c r="G1572">
        <v>3</v>
      </c>
      <c r="H1572">
        <v>27</v>
      </c>
      <c r="I1572" s="6" t="s">
        <v>36</v>
      </c>
      <c r="J1572" s="6" t="s">
        <v>37</v>
      </c>
      <c r="K1572">
        <v>5</v>
      </c>
      <c r="M1572" s="1" t="b">
        <f>Employee__2[[#This Row],[Experience]]&gt;1</f>
        <v>1</v>
      </c>
      <c r="N1572" s="1" t="str">
        <f>IF(Employee__2[[#This Row],[City]]="Pune","Yes","No")</f>
        <v>Yes</v>
      </c>
      <c r="O1572" s="1" t="str">
        <f>IF(AND(Employee__2[[#This Row],[Education]]="Bachelors",Employee__2[[#This Row],[City]]="Pune"),"Yes","No")</f>
        <v>Yes</v>
      </c>
      <c r="P1572" s="1" t="str">
        <f>IF(OR(Employee__2[[#This Row],[Age]]&gt;=30,Employee__2[[#This Row],[Gender]]="Male"),"Mached","Not mached")</f>
        <v>Mached</v>
      </c>
    </row>
    <row r="1573" spans="4:16" x14ac:dyDescent="0.25">
      <c r="D1573" s="6" t="s">
        <v>34</v>
      </c>
      <c r="E1573">
        <v>2013</v>
      </c>
      <c r="F1573" s="6" t="s">
        <v>35</v>
      </c>
      <c r="G1573">
        <v>1</v>
      </c>
      <c r="H1573">
        <v>24</v>
      </c>
      <c r="I1573" s="6" t="s">
        <v>36</v>
      </c>
      <c r="J1573" s="6" t="s">
        <v>37</v>
      </c>
      <c r="K1573">
        <v>2</v>
      </c>
      <c r="M1573" s="1" t="b">
        <f>Employee__2[[#This Row],[Experience]]&gt;1</f>
        <v>1</v>
      </c>
      <c r="N1573" s="1" t="str">
        <f>IF(Employee__2[[#This Row],[City]]="Pune","Yes","No")</f>
        <v>No</v>
      </c>
      <c r="O1573" s="1" t="str">
        <f>IF(AND(Employee__2[[#This Row],[Education]]="Bachelors",Employee__2[[#This Row],[City]]="Pune"),"Yes","No")</f>
        <v>No</v>
      </c>
      <c r="P1573" s="1" t="str">
        <f>IF(OR(Employee__2[[#This Row],[Age]]&gt;=30,Employee__2[[#This Row],[Gender]]="Male"),"Mached","Not mached")</f>
        <v>Mached</v>
      </c>
    </row>
    <row r="1574" spans="4:16" x14ac:dyDescent="0.25">
      <c r="D1574" s="6" t="s">
        <v>34</v>
      </c>
      <c r="E1574">
        <v>2012</v>
      </c>
      <c r="F1574" s="6" t="s">
        <v>35</v>
      </c>
      <c r="G1574">
        <v>1</v>
      </c>
      <c r="H1574">
        <v>28</v>
      </c>
      <c r="I1574" s="6" t="s">
        <v>36</v>
      </c>
      <c r="J1574" s="6" t="s">
        <v>37</v>
      </c>
      <c r="K1574">
        <v>3</v>
      </c>
      <c r="M1574" s="1" t="b">
        <f>Employee__2[[#This Row],[Experience]]&gt;1</f>
        <v>1</v>
      </c>
      <c r="N1574" s="1" t="str">
        <f>IF(Employee__2[[#This Row],[City]]="Pune","Yes","No")</f>
        <v>No</v>
      </c>
      <c r="O1574" s="1" t="str">
        <f>IF(AND(Employee__2[[#This Row],[Education]]="Bachelors",Employee__2[[#This Row],[City]]="Pune"),"Yes","No")</f>
        <v>No</v>
      </c>
      <c r="P1574" s="1" t="str">
        <f>IF(OR(Employee__2[[#This Row],[Age]]&gt;=30,Employee__2[[#This Row],[Gender]]="Male"),"Mached","Not mached")</f>
        <v>Mached</v>
      </c>
    </row>
    <row r="1575" spans="4:16" x14ac:dyDescent="0.25">
      <c r="D1575" s="6" t="s">
        <v>34</v>
      </c>
      <c r="E1575">
        <v>2016</v>
      </c>
      <c r="F1575" s="6" t="s">
        <v>38</v>
      </c>
      <c r="G1575">
        <v>2</v>
      </c>
      <c r="H1575">
        <v>28</v>
      </c>
      <c r="I1575" s="6" t="s">
        <v>39</v>
      </c>
      <c r="J1575" s="6" t="s">
        <v>37</v>
      </c>
      <c r="K1575">
        <v>3</v>
      </c>
      <c r="M1575" s="1" t="b">
        <f>Employee__2[[#This Row],[Experience]]&gt;1</f>
        <v>1</v>
      </c>
      <c r="N1575" s="1" t="str">
        <f>IF(Employee__2[[#This Row],[City]]="Pune","Yes","No")</f>
        <v>Yes</v>
      </c>
      <c r="O1575" s="1" t="str">
        <f>IF(AND(Employee__2[[#This Row],[Education]]="Bachelors",Employee__2[[#This Row],[City]]="Pune"),"Yes","No")</f>
        <v>Yes</v>
      </c>
      <c r="P1575" s="1" t="str">
        <f>IF(OR(Employee__2[[#This Row],[Age]]&gt;=30,Employee__2[[#This Row],[Gender]]="Male"),"Mached","Not mached")</f>
        <v>Not mached</v>
      </c>
    </row>
    <row r="1576" spans="4:16" x14ac:dyDescent="0.25">
      <c r="D1576" s="6" t="s">
        <v>34</v>
      </c>
      <c r="E1576">
        <v>2016</v>
      </c>
      <c r="F1576" s="6" t="s">
        <v>38</v>
      </c>
      <c r="G1576">
        <v>3</v>
      </c>
      <c r="H1576">
        <v>24</v>
      </c>
      <c r="I1576" s="6" t="s">
        <v>36</v>
      </c>
      <c r="J1576" s="6" t="s">
        <v>37</v>
      </c>
      <c r="K1576">
        <v>2</v>
      </c>
      <c r="M1576" s="1" t="b">
        <f>Employee__2[[#This Row],[Experience]]&gt;1</f>
        <v>1</v>
      </c>
      <c r="N1576" s="1" t="str">
        <f>IF(Employee__2[[#This Row],[City]]="Pune","Yes","No")</f>
        <v>Yes</v>
      </c>
      <c r="O1576" s="1" t="str">
        <f>IF(AND(Employee__2[[#This Row],[Education]]="Bachelors",Employee__2[[#This Row],[City]]="Pune"),"Yes","No")</f>
        <v>Yes</v>
      </c>
      <c r="P1576" s="1" t="str">
        <f>IF(OR(Employee__2[[#This Row],[Age]]&gt;=30,Employee__2[[#This Row],[Gender]]="Male"),"Mached","Not mached")</f>
        <v>Mached</v>
      </c>
    </row>
    <row r="1577" spans="4:16" x14ac:dyDescent="0.25">
      <c r="D1577" s="6" t="s">
        <v>34</v>
      </c>
      <c r="E1577">
        <v>2017</v>
      </c>
      <c r="F1577" s="6" t="s">
        <v>35</v>
      </c>
      <c r="G1577">
        <v>3</v>
      </c>
      <c r="H1577">
        <v>28</v>
      </c>
      <c r="I1577" s="6" t="s">
        <v>36</v>
      </c>
      <c r="J1577" s="6" t="s">
        <v>37</v>
      </c>
      <c r="K1577">
        <v>3</v>
      </c>
      <c r="M1577" s="1" t="b">
        <f>Employee__2[[#This Row],[Experience]]&gt;1</f>
        <v>1</v>
      </c>
      <c r="N1577" s="1" t="str">
        <f>IF(Employee__2[[#This Row],[City]]="Pune","Yes","No")</f>
        <v>No</v>
      </c>
      <c r="O1577" s="1" t="str">
        <f>IF(AND(Employee__2[[#This Row],[Education]]="Bachelors",Employee__2[[#This Row],[City]]="Pune"),"Yes","No")</f>
        <v>No</v>
      </c>
      <c r="P1577" s="1" t="str">
        <f>IF(OR(Employee__2[[#This Row],[Age]]&gt;=30,Employee__2[[#This Row],[Gender]]="Male"),"Mached","Not mached")</f>
        <v>Mached</v>
      </c>
    </row>
    <row r="1578" spans="4:16" x14ac:dyDescent="0.25">
      <c r="D1578" s="6" t="s">
        <v>34</v>
      </c>
      <c r="E1578">
        <v>2017</v>
      </c>
      <c r="F1578" s="6" t="s">
        <v>38</v>
      </c>
      <c r="G1578">
        <v>2</v>
      </c>
      <c r="H1578">
        <v>28</v>
      </c>
      <c r="I1578" s="6" t="s">
        <v>36</v>
      </c>
      <c r="J1578" s="6" t="s">
        <v>37</v>
      </c>
      <c r="K1578">
        <v>3</v>
      </c>
      <c r="M1578" s="1" t="b">
        <f>Employee__2[[#This Row],[Experience]]&gt;1</f>
        <v>1</v>
      </c>
      <c r="N1578" s="1" t="str">
        <f>IF(Employee__2[[#This Row],[City]]="Pune","Yes","No")</f>
        <v>Yes</v>
      </c>
      <c r="O1578" s="1" t="str">
        <f>IF(AND(Employee__2[[#This Row],[Education]]="Bachelors",Employee__2[[#This Row],[City]]="Pune"),"Yes","No")</f>
        <v>Yes</v>
      </c>
      <c r="P1578" s="1" t="str">
        <f>IF(OR(Employee__2[[#This Row],[Age]]&gt;=30,Employee__2[[#This Row],[Gender]]="Male"),"Mached","Not mached")</f>
        <v>Mached</v>
      </c>
    </row>
    <row r="1579" spans="4:16" x14ac:dyDescent="0.25">
      <c r="D1579" s="6" t="s">
        <v>34</v>
      </c>
      <c r="E1579">
        <v>2017</v>
      </c>
      <c r="F1579" s="6" t="s">
        <v>35</v>
      </c>
      <c r="G1579">
        <v>3</v>
      </c>
      <c r="H1579">
        <v>25</v>
      </c>
      <c r="I1579" s="6" t="s">
        <v>39</v>
      </c>
      <c r="J1579" s="6" t="s">
        <v>37</v>
      </c>
      <c r="K1579">
        <v>3</v>
      </c>
      <c r="M1579" s="1" t="b">
        <f>Employee__2[[#This Row],[Experience]]&gt;1</f>
        <v>1</v>
      </c>
      <c r="N1579" s="1" t="str">
        <f>IF(Employee__2[[#This Row],[City]]="Pune","Yes","No")</f>
        <v>No</v>
      </c>
      <c r="O1579" s="1" t="str">
        <f>IF(AND(Employee__2[[#This Row],[Education]]="Bachelors",Employee__2[[#This Row],[City]]="Pune"),"Yes","No")</f>
        <v>No</v>
      </c>
      <c r="P1579" s="1" t="str">
        <f>IF(OR(Employee__2[[#This Row],[Age]]&gt;=30,Employee__2[[#This Row],[Gender]]="Male"),"Mached","Not mached")</f>
        <v>Not mached</v>
      </c>
    </row>
    <row r="1580" spans="4:16" x14ac:dyDescent="0.25">
      <c r="D1580" s="6" t="s">
        <v>34</v>
      </c>
      <c r="E1580">
        <v>2015</v>
      </c>
      <c r="F1580" s="6" t="s">
        <v>35</v>
      </c>
      <c r="G1580">
        <v>3</v>
      </c>
      <c r="H1580">
        <v>25</v>
      </c>
      <c r="I1580" s="6" t="s">
        <v>36</v>
      </c>
      <c r="J1580" s="6" t="s">
        <v>37</v>
      </c>
      <c r="K1580">
        <v>3</v>
      </c>
      <c r="M1580" s="1" t="b">
        <f>Employee__2[[#This Row],[Experience]]&gt;1</f>
        <v>1</v>
      </c>
      <c r="N1580" s="1" t="str">
        <f>IF(Employee__2[[#This Row],[City]]="Pune","Yes","No")</f>
        <v>No</v>
      </c>
      <c r="O1580" s="1" t="str">
        <f>IF(AND(Employee__2[[#This Row],[Education]]="Bachelors",Employee__2[[#This Row],[City]]="Pune"),"Yes","No")</f>
        <v>No</v>
      </c>
      <c r="P1580" s="1" t="str">
        <f>IF(OR(Employee__2[[#This Row],[Age]]&gt;=30,Employee__2[[#This Row],[Gender]]="Male"),"Mached","Not mached")</f>
        <v>Mached</v>
      </c>
    </row>
    <row r="1581" spans="4:16" x14ac:dyDescent="0.25">
      <c r="D1581" s="6" t="s">
        <v>41</v>
      </c>
      <c r="E1581">
        <v>2013</v>
      </c>
      <c r="F1581" s="6" t="s">
        <v>40</v>
      </c>
      <c r="G1581">
        <v>3</v>
      </c>
      <c r="H1581">
        <v>25</v>
      </c>
      <c r="I1581" s="6" t="s">
        <v>36</v>
      </c>
      <c r="J1581" s="6" t="s">
        <v>37</v>
      </c>
      <c r="K1581">
        <v>3</v>
      </c>
      <c r="M1581" s="1" t="b">
        <f>Employee__2[[#This Row],[Experience]]&gt;1</f>
        <v>1</v>
      </c>
      <c r="N1581" s="1" t="str">
        <f>IF(Employee__2[[#This Row],[City]]="Pune","Yes","No")</f>
        <v>No</v>
      </c>
      <c r="O1581" s="1" t="str">
        <f>IF(AND(Employee__2[[#This Row],[Education]]="Bachelors",Employee__2[[#This Row],[City]]="Pune"),"Yes","No")</f>
        <v>No</v>
      </c>
      <c r="P1581" s="1" t="str">
        <f>IF(OR(Employee__2[[#This Row],[Age]]&gt;=30,Employee__2[[#This Row],[Gender]]="Male"),"Mached","Not mached")</f>
        <v>Mached</v>
      </c>
    </row>
    <row r="1582" spans="4:16" x14ac:dyDescent="0.25">
      <c r="D1582" s="6" t="s">
        <v>34</v>
      </c>
      <c r="E1582">
        <v>2017</v>
      </c>
      <c r="F1582" s="6" t="s">
        <v>35</v>
      </c>
      <c r="G1582">
        <v>3</v>
      </c>
      <c r="H1582">
        <v>24</v>
      </c>
      <c r="I1582" s="6" t="s">
        <v>36</v>
      </c>
      <c r="J1582" s="6" t="s">
        <v>37</v>
      </c>
      <c r="K1582">
        <v>2</v>
      </c>
      <c r="M1582" s="1" t="b">
        <f>Employee__2[[#This Row],[Experience]]&gt;1</f>
        <v>1</v>
      </c>
      <c r="N1582" s="1" t="str">
        <f>IF(Employee__2[[#This Row],[City]]="Pune","Yes","No")</f>
        <v>No</v>
      </c>
      <c r="O1582" s="1" t="str">
        <f>IF(AND(Employee__2[[#This Row],[Education]]="Bachelors",Employee__2[[#This Row],[City]]="Pune"),"Yes","No")</f>
        <v>No</v>
      </c>
      <c r="P1582" s="1" t="str">
        <f>IF(OR(Employee__2[[#This Row],[Age]]&gt;=30,Employee__2[[#This Row],[Gender]]="Male"),"Mached","Not mached")</f>
        <v>Mached</v>
      </c>
    </row>
    <row r="1583" spans="4:16" x14ac:dyDescent="0.25">
      <c r="D1583" s="6" t="s">
        <v>34</v>
      </c>
      <c r="E1583">
        <v>2013</v>
      </c>
      <c r="F1583" s="6" t="s">
        <v>38</v>
      </c>
      <c r="G1583">
        <v>3</v>
      </c>
      <c r="H1583">
        <v>27</v>
      </c>
      <c r="I1583" s="6" t="s">
        <v>36</v>
      </c>
      <c r="J1583" s="6" t="s">
        <v>37</v>
      </c>
      <c r="K1583">
        <v>5</v>
      </c>
      <c r="M1583" s="1" t="b">
        <f>Employee__2[[#This Row],[Experience]]&gt;1</f>
        <v>1</v>
      </c>
      <c r="N1583" s="1" t="str">
        <f>IF(Employee__2[[#This Row],[City]]="Pune","Yes","No")</f>
        <v>Yes</v>
      </c>
      <c r="O1583" s="1" t="str">
        <f>IF(AND(Employee__2[[#This Row],[Education]]="Bachelors",Employee__2[[#This Row],[City]]="Pune"),"Yes","No")</f>
        <v>Yes</v>
      </c>
      <c r="P1583" s="1" t="str">
        <f>IF(OR(Employee__2[[#This Row],[Age]]&gt;=30,Employee__2[[#This Row],[Gender]]="Male"),"Mached","Not mached")</f>
        <v>Mached</v>
      </c>
    </row>
    <row r="1584" spans="4:16" x14ac:dyDescent="0.25">
      <c r="D1584" s="6" t="s">
        <v>34</v>
      </c>
      <c r="E1584">
        <v>2013</v>
      </c>
      <c r="F1584" s="6" t="s">
        <v>38</v>
      </c>
      <c r="G1584">
        <v>2</v>
      </c>
      <c r="H1584">
        <v>24</v>
      </c>
      <c r="I1584" s="6" t="s">
        <v>39</v>
      </c>
      <c r="J1584" s="6" t="s">
        <v>37</v>
      </c>
      <c r="K1584">
        <v>2</v>
      </c>
      <c r="M1584" s="1" t="b">
        <f>Employee__2[[#This Row],[Experience]]&gt;1</f>
        <v>1</v>
      </c>
      <c r="N1584" s="1" t="str">
        <f>IF(Employee__2[[#This Row],[City]]="Pune","Yes","No")</f>
        <v>Yes</v>
      </c>
      <c r="O1584" s="1" t="str">
        <f>IF(AND(Employee__2[[#This Row],[Education]]="Bachelors",Employee__2[[#This Row],[City]]="Pune"),"Yes","No")</f>
        <v>Yes</v>
      </c>
      <c r="P1584" s="1" t="str">
        <f>IF(OR(Employee__2[[#This Row],[Age]]&gt;=30,Employee__2[[#This Row],[Gender]]="Male"),"Mached","Not mached")</f>
        <v>Not mached</v>
      </c>
    </row>
    <row r="1585" spans="4:16" x14ac:dyDescent="0.25">
      <c r="D1585" s="6" t="s">
        <v>34</v>
      </c>
      <c r="E1585">
        <v>2017</v>
      </c>
      <c r="F1585" s="6" t="s">
        <v>35</v>
      </c>
      <c r="G1585">
        <v>3</v>
      </c>
      <c r="H1585">
        <v>28</v>
      </c>
      <c r="I1585" s="6" t="s">
        <v>36</v>
      </c>
      <c r="J1585" s="6" t="s">
        <v>37</v>
      </c>
      <c r="K1585">
        <v>1</v>
      </c>
      <c r="M1585" s="1" t="b">
        <f>Employee__2[[#This Row],[Experience]]&gt;1</f>
        <v>0</v>
      </c>
      <c r="N1585" s="1" t="str">
        <f>IF(Employee__2[[#This Row],[City]]="Pune","Yes","No")</f>
        <v>No</v>
      </c>
      <c r="O1585" s="1" t="str">
        <f>IF(AND(Employee__2[[#This Row],[Education]]="Bachelors",Employee__2[[#This Row],[City]]="Pune"),"Yes","No")</f>
        <v>No</v>
      </c>
      <c r="P1585" s="1" t="str">
        <f>IF(OR(Employee__2[[#This Row],[Age]]&gt;=30,Employee__2[[#This Row],[Gender]]="Male"),"Mached","Not mached")</f>
        <v>Mached</v>
      </c>
    </row>
    <row r="1586" spans="4:16" x14ac:dyDescent="0.25">
      <c r="D1586" s="6" t="s">
        <v>34</v>
      </c>
      <c r="E1586">
        <v>2012</v>
      </c>
      <c r="F1586" s="6" t="s">
        <v>35</v>
      </c>
      <c r="G1586">
        <v>3</v>
      </c>
      <c r="H1586">
        <v>25</v>
      </c>
      <c r="I1586" s="6" t="s">
        <v>36</v>
      </c>
      <c r="J1586" s="6" t="s">
        <v>37</v>
      </c>
      <c r="K1586">
        <v>3</v>
      </c>
      <c r="M1586" s="1" t="b">
        <f>Employee__2[[#This Row],[Experience]]&gt;1</f>
        <v>1</v>
      </c>
      <c r="N1586" s="1" t="str">
        <f>IF(Employee__2[[#This Row],[City]]="Pune","Yes","No")</f>
        <v>No</v>
      </c>
      <c r="O1586" s="1" t="str">
        <f>IF(AND(Employee__2[[#This Row],[Education]]="Bachelors",Employee__2[[#This Row],[City]]="Pune"),"Yes","No")</f>
        <v>No</v>
      </c>
      <c r="P1586" s="1" t="str">
        <f>IF(OR(Employee__2[[#This Row],[Age]]&gt;=30,Employee__2[[#This Row],[Gender]]="Male"),"Mached","Not mached")</f>
        <v>Mached</v>
      </c>
    </row>
    <row r="1587" spans="4:16" x14ac:dyDescent="0.25">
      <c r="D1587" s="6" t="s">
        <v>34</v>
      </c>
      <c r="E1587">
        <v>2014</v>
      </c>
      <c r="F1587" s="6" t="s">
        <v>38</v>
      </c>
      <c r="G1587">
        <v>3</v>
      </c>
      <c r="H1587">
        <v>26</v>
      </c>
      <c r="I1587" s="6" t="s">
        <v>36</v>
      </c>
      <c r="J1587" s="6" t="s">
        <v>37</v>
      </c>
      <c r="K1587">
        <v>4</v>
      </c>
      <c r="M1587" s="1" t="b">
        <f>Employee__2[[#This Row],[Experience]]&gt;1</f>
        <v>1</v>
      </c>
      <c r="N1587" s="1" t="str">
        <f>IF(Employee__2[[#This Row],[City]]="Pune","Yes","No")</f>
        <v>Yes</v>
      </c>
      <c r="O1587" s="1" t="str">
        <f>IF(AND(Employee__2[[#This Row],[Education]]="Bachelors",Employee__2[[#This Row],[City]]="Pune"),"Yes","No")</f>
        <v>Yes</v>
      </c>
      <c r="P1587" s="1" t="str">
        <f>IF(OR(Employee__2[[#This Row],[Age]]&gt;=30,Employee__2[[#This Row],[Gender]]="Male"),"Mached","Not mached")</f>
        <v>Mached</v>
      </c>
    </row>
    <row r="1588" spans="4:16" x14ac:dyDescent="0.25">
      <c r="D1588" s="6" t="s">
        <v>34</v>
      </c>
      <c r="E1588">
        <v>2015</v>
      </c>
      <c r="F1588" s="6" t="s">
        <v>38</v>
      </c>
      <c r="G1588">
        <v>1</v>
      </c>
      <c r="H1588">
        <v>24</v>
      </c>
      <c r="I1588" s="6" t="s">
        <v>39</v>
      </c>
      <c r="J1588" s="6" t="s">
        <v>37</v>
      </c>
      <c r="K1588">
        <v>2</v>
      </c>
      <c r="M1588" s="1" t="b">
        <f>Employee__2[[#This Row],[Experience]]&gt;1</f>
        <v>1</v>
      </c>
      <c r="N1588" s="1" t="str">
        <f>IF(Employee__2[[#This Row],[City]]="Pune","Yes","No")</f>
        <v>Yes</v>
      </c>
      <c r="O1588" s="1" t="str">
        <f>IF(AND(Employee__2[[#This Row],[Education]]="Bachelors",Employee__2[[#This Row],[City]]="Pune"),"Yes","No")</f>
        <v>Yes</v>
      </c>
      <c r="P1588" s="1" t="str">
        <f>IF(OR(Employee__2[[#This Row],[Age]]&gt;=30,Employee__2[[#This Row],[Gender]]="Male"),"Mached","Not mached")</f>
        <v>Not mached</v>
      </c>
    </row>
    <row r="1589" spans="4:16" x14ac:dyDescent="0.25">
      <c r="D1589" s="6" t="s">
        <v>41</v>
      </c>
      <c r="E1589">
        <v>2013</v>
      </c>
      <c r="F1589" s="6" t="s">
        <v>40</v>
      </c>
      <c r="G1589">
        <v>3</v>
      </c>
      <c r="H1589">
        <v>24</v>
      </c>
      <c r="I1589" s="6" t="s">
        <v>39</v>
      </c>
      <c r="J1589" s="6" t="s">
        <v>42</v>
      </c>
      <c r="K1589">
        <v>2</v>
      </c>
      <c r="M1589" s="1" t="b">
        <f>Employee__2[[#This Row],[Experience]]&gt;1</f>
        <v>1</v>
      </c>
      <c r="N1589" s="1" t="str">
        <f>IF(Employee__2[[#This Row],[City]]="Pune","Yes","No")</f>
        <v>No</v>
      </c>
      <c r="O1589" s="1" t="str">
        <f>IF(AND(Employee__2[[#This Row],[Education]]="Bachelors",Employee__2[[#This Row],[City]]="Pune"),"Yes","No")</f>
        <v>No</v>
      </c>
      <c r="P1589" s="1" t="str">
        <f>IF(OR(Employee__2[[#This Row],[Age]]&gt;=30,Employee__2[[#This Row],[Gender]]="Male"),"Mached","Not mached")</f>
        <v>Not mached</v>
      </c>
    </row>
    <row r="1590" spans="4:16" x14ac:dyDescent="0.25">
      <c r="D1590" s="6" t="s">
        <v>34</v>
      </c>
      <c r="E1590">
        <v>2014</v>
      </c>
      <c r="F1590" s="6" t="s">
        <v>35</v>
      </c>
      <c r="G1590">
        <v>3</v>
      </c>
      <c r="H1590">
        <v>25</v>
      </c>
      <c r="I1590" s="6" t="s">
        <v>36</v>
      </c>
      <c r="J1590" s="6" t="s">
        <v>37</v>
      </c>
      <c r="K1590">
        <v>3</v>
      </c>
      <c r="M1590" s="1" t="b">
        <f>Employee__2[[#This Row],[Experience]]&gt;1</f>
        <v>1</v>
      </c>
      <c r="N1590" s="1" t="str">
        <f>IF(Employee__2[[#This Row],[City]]="Pune","Yes","No")</f>
        <v>No</v>
      </c>
      <c r="O1590" s="1" t="str">
        <f>IF(AND(Employee__2[[#This Row],[Education]]="Bachelors",Employee__2[[#This Row],[City]]="Pune"),"Yes","No")</f>
        <v>No</v>
      </c>
      <c r="P1590" s="1" t="str">
        <f>IF(OR(Employee__2[[#This Row],[Age]]&gt;=30,Employee__2[[#This Row],[Gender]]="Male"),"Mached","Not mached")</f>
        <v>Mached</v>
      </c>
    </row>
    <row r="1591" spans="4:16" x14ac:dyDescent="0.25">
      <c r="D1591" s="6" t="s">
        <v>34</v>
      </c>
      <c r="E1591">
        <v>2017</v>
      </c>
      <c r="F1591" s="6" t="s">
        <v>40</v>
      </c>
      <c r="G1591">
        <v>2</v>
      </c>
      <c r="H1591">
        <v>26</v>
      </c>
      <c r="I1591" s="6" t="s">
        <v>36</v>
      </c>
      <c r="J1591" s="6" t="s">
        <v>37</v>
      </c>
      <c r="K1591">
        <v>4</v>
      </c>
      <c r="M1591" s="1" t="b">
        <f>Employee__2[[#This Row],[Experience]]&gt;1</f>
        <v>1</v>
      </c>
      <c r="N1591" s="1" t="str">
        <f>IF(Employee__2[[#This Row],[City]]="Pune","Yes","No")</f>
        <v>No</v>
      </c>
      <c r="O1591" s="1" t="str">
        <f>IF(AND(Employee__2[[#This Row],[Education]]="Bachelors",Employee__2[[#This Row],[City]]="Pune"),"Yes","No")</f>
        <v>No</v>
      </c>
      <c r="P1591" s="1" t="str">
        <f>IF(OR(Employee__2[[#This Row],[Age]]&gt;=30,Employee__2[[#This Row],[Gender]]="Male"),"Mached","Not mached")</f>
        <v>Mached</v>
      </c>
    </row>
    <row r="1592" spans="4:16" x14ac:dyDescent="0.25">
      <c r="D1592" s="6" t="s">
        <v>34</v>
      </c>
      <c r="E1592">
        <v>2014</v>
      </c>
      <c r="F1592" s="6" t="s">
        <v>35</v>
      </c>
      <c r="G1592">
        <v>3</v>
      </c>
      <c r="H1592">
        <v>25</v>
      </c>
      <c r="I1592" s="6" t="s">
        <v>36</v>
      </c>
      <c r="J1592" s="6" t="s">
        <v>37</v>
      </c>
      <c r="K1592">
        <v>3</v>
      </c>
      <c r="M1592" s="1" t="b">
        <f>Employee__2[[#This Row],[Experience]]&gt;1</f>
        <v>1</v>
      </c>
      <c r="N1592" s="1" t="str">
        <f>IF(Employee__2[[#This Row],[City]]="Pune","Yes","No")</f>
        <v>No</v>
      </c>
      <c r="O1592" s="1" t="str">
        <f>IF(AND(Employee__2[[#This Row],[Education]]="Bachelors",Employee__2[[#This Row],[City]]="Pune"),"Yes","No")</f>
        <v>No</v>
      </c>
      <c r="P1592" s="1" t="str">
        <f>IF(OR(Employee__2[[#This Row],[Age]]&gt;=30,Employee__2[[#This Row],[Gender]]="Male"),"Mached","Not mached")</f>
        <v>Mached</v>
      </c>
    </row>
    <row r="1593" spans="4:16" x14ac:dyDescent="0.25">
      <c r="D1593" s="6" t="s">
        <v>41</v>
      </c>
      <c r="E1593">
        <v>2013</v>
      </c>
      <c r="F1593" s="6" t="s">
        <v>40</v>
      </c>
      <c r="G1593">
        <v>3</v>
      </c>
      <c r="H1593">
        <v>25</v>
      </c>
      <c r="I1593" s="6" t="s">
        <v>36</v>
      </c>
      <c r="J1593" s="6" t="s">
        <v>37</v>
      </c>
      <c r="K1593">
        <v>3</v>
      </c>
      <c r="M1593" s="1" t="b">
        <f>Employee__2[[#This Row],[Experience]]&gt;1</f>
        <v>1</v>
      </c>
      <c r="N1593" s="1" t="str">
        <f>IF(Employee__2[[#This Row],[City]]="Pune","Yes","No")</f>
        <v>No</v>
      </c>
      <c r="O1593" s="1" t="str">
        <f>IF(AND(Employee__2[[#This Row],[Education]]="Bachelors",Employee__2[[#This Row],[City]]="Pune"),"Yes","No")</f>
        <v>No</v>
      </c>
      <c r="P1593" s="1" t="str">
        <f>IF(OR(Employee__2[[#This Row],[Age]]&gt;=30,Employee__2[[#This Row],[Gender]]="Male"),"Mached","Not mached")</f>
        <v>Mached</v>
      </c>
    </row>
    <row r="1594" spans="4:16" x14ac:dyDescent="0.25">
      <c r="D1594" s="6" t="s">
        <v>34</v>
      </c>
      <c r="E1594">
        <v>2014</v>
      </c>
      <c r="F1594" s="6" t="s">
        <v>35</v>
      </c>
      <c r="G1594">
        <v>3</v>
      </c>
      <c r="H1594">
        <v>24</v>
      </c>
      <c r="I1594" s="6" t="s">
        <v>36</v>
      </c>
      <c r="J1594" s="6" t="s">
        <v>37</v>
      </c>
      <c r="K1594">
        <v>2</v>
      </c>
      <c r="M1594" s="1" t="b">
        <f>Employee__2[[#This Row],[Experience]]&gt;1</f>
        <v>1</v>
      </c>
      <c r="N1594" s="1" t="str">
        <f>IF(Employee__2[[#This Row],[City]]="Pune","Yes","No")</f>
        <v>No</v>
      </c>
      <c r="O1594" s="1" t="str">
        <f>IF(AND(Employee__2[[#This Row],[Education]]="Bachelors",Employee__2[[#This Row],[City]]="Pune"),"Yes","No")</f>
        <v>No</v>
      </c>
      <c r="P1594" s="1" t="str">
        <f>IF(OR(Employee__2[[#This Row],[Age]]&gt;=30,Employee__2[[#This Row],[Gender]]="Male"),"Mached","Not mached")</f>
        <v>Mached</v>
      </c>
    </row>
    <row r="1595" spans="4:16" x14ac:dyDescent="0.25">
      <c r="D1595" s="6" t="s">
        <v>34</v>
      </c>
      <c r="E1595">
        <v>2014</v>
      </c>
      <c r="F1595" s="6" t="s">
        <v>38</v>
      </c>
      <c r="G1595">
        <v>2</v>
      </c>
      <c r="H1595">
        <v>28</v>
      </c>
      <c r="I1595" s="6" t="s">
        <v>39</v>
      </c>
      <c r="J1595" s="6" t="s">
        <v>37</v>
      </c>
      <c r="K1595">
        <v>3</v>
      </c>
      <c r="M1595" s="1" t="b">
        <f>Employee__2[[#This Row],[Experience]]&gt;1</f>
        <v>1</v>
      </c>
      <c r="N1595" s="1" t="str">
        <f>IF(Employee__2[[#This Row],[City]]="Pune","Yes","No")</f>
        <v>Yes</v>
      </c>
      <c r="O1595" s="1" t="str">
        <f>IF(AND(Employee__2[[#This Row],[Education]]="Bachelors",Employee__2[[#This Row],[City]]="Pune"),"Yes","No")</f>
        <v>Yes</v>
      </c>
      <c r="P1595" s="1" t="str">
        <f>IF(OR(Employee__2[[#This Row],[Age]]&gt;=30,Employee__2[[#This Row],[Gender]]="Male"),"Mached","Not mached")</f>
        <v>Not mached</v>
      </c>
    </row>
    <row r="1596" spans="4:16" x14ac:dyDescent="0.25">
      <c r="D1596" s="6" t="s">
        <v>41</v>
      </c>
      <c r="E1596">
        <v>2015</v>
      </c>
      <c r="F1596" s="6" t="s">
        <v>40</v>
      </c>
      <c r="G1596">
        <v>3</v>
      </c>
      <c r="H1596">
        <v>28</v>
      </c>
      <c r="I1596" s="6" t="s">
        <v>36</v>
      </c>
      <c r="J1596" s="6" t="s">
        <v>37</v>
      </c>
      <c r="K1596">
        <v>2</v>
      </c>
      <c r="M1596" s="1" t="b">
        <f>Employee__2[[#This Row],[Experience]]&gt;1</f>
        <v>1</v>
      </c>
      <c r="N1596" s="1" t="str">
        <f>IF(Employee__2[[#This Row],[City]]="Pune","Yes","No")</f>
        <v>No</v>
      </c>
      <c r="O1596" s="1" t="str">
        <f>IF(AND(Employee__2[[#This Row],[Education]]="Bachelors",Employee__2[[#This Row],[City]]="Pune"),"Yes","No")</f>
        <v>No</v>
      </c>
      <c r="P1596" s="1" t="str">
        <f>IF(OR(Employee__2[[#This Row],[Age]]&gt;=30,Employee__2[[#This Row],[Gender]]="Male"),"Mached","Not mached")</f>
        <v>Mached</v>
      </c>
    </row>
    <row r="1597" spans="4:16" x14ac:dyDescent="0.25">
      <c r="D1597" s="6" t="s">
        <v>34</v>
      </c>
      <c r="E1597">
        <v>2015</v>
      </c>
      <c r="F1597" s="6" t="s">
        <v>35</v>
      </c>
      <c r="G1597">
        <v>3</v>
      </c>
      <c r="H1597">
        <v>28</v>
      </c>
      <c r="I1597" s="6" t="s">
        <v>36</v>
      </c>
      <c r="J1597" s="6" t="s">
        <v>37</v>
      </c>
      <c r="K1597">
        <v>5</v>
      </c>
      <c r="M1597" s="1" t="b">
        <f>Employee__2[[#This Row],[Experience]]&gt;1</f>
        <v>1</v>
      </c>
      <c r="N1597" s="1" t="str">
        <f>IF(Employee__2[[#This Row],[City]]="Pune","Yes","No")</f>
        <v>No</v>
      </c>
      <c r="O1597" s="1" t="str">
        <f>IF(AND(Employee__2[[#This Row],[Education]]="Bachelors",Employee__2[[#This Row],[City]]="Pune"),"Yes","No")</f>
        <v>No</v>
      </c>
      <c r="P1597" s="1" t="str">
        <f>IF(OR(Employee__2[[#This Row],[Age]]&gt;=30,Employee__2[[#This Row],[Gender]]="Male"),"Mached","Not mached")</f>
        <v>Mached</v>
      </c>
    </row>
    <row r="1598" spans="4:16" x14ac:dyDescent="0.25">
      <c r="D1598" s="6" t="s">
        <v>34</v>
      </c>
      <c r="E1598">
        <v>2017</v>
      </c>
      <c r="F1598" s="6" t="s">
        <v>35</v>
      </c>
      <c r="G1598">
        <v>3</v>
      </c>
      <c r="H1598">
        <v>24</v>
      </c>
      <c r="I1598" s="6" t="s">
        <v>36</v>
      </c>
      <c r="J1598" s="6" t="s">
        <v>37</v>
      </c>
      <c r="K1598">
        <v>2</v>
      </c>
      <c r="M1598" s="1" t="b">
        <f>Employee__2[[#This Row],[Experience]]&gt;1</f>
        <v>1</v>
      </c>
      <c r="N1598" s="1" t="str">
        <f>IF(Employee__2[[#This Row],[City]]="Pune","Yes","No")</f>
        <v>No</v>
      </c>
      <c r="O1598" s="1" t="str">
        <f>IF(AND(Employee__2[[#This Row],[Education]]="Bachelors",Employee__2[[#This Row],[City]]="Pune"),"Yes","No")</f>
        <v>No</v>
      </c>
      <c r="P1598" s="1" t="str">
        <f>IF(OR(Employee__2[[#This Row],[Age]]&gt;=30,Employee__2[[#This Row],[Gender]]="Male"),"Mached","Not mached")</f>
        <v>Mached</v>
      </c>
    </row>
    <row r="1599" spans="4:16" x14ac:dyDescent="0.25">
      <c r="D1599" s="6" t="s">
        <v>34</v>
      </c>
      <c r="E1599">
        <v>2014</v>
      </c>
      <c r="F1599" s="6" t="s">
        <v>38</v>
      </c>
      <c r="G1599">
        <v>3</v>
      </c>
      <c r="H1599">
        <v>27</v>
      </c>
      <c r="I1599" s="6" t="s">
        <v>36</v>
      </c>
      <c r="J1599" s="6" t="s">
        <v>37</v>
      </c>
      <c r="K1599">
        <v>5</v>
      </c>
      <c r="M1599" s="1" t="b">
        <f>Employee__2[[#This Row],[Experience]]&gt;1</f>
        <v>1</v>
      </c>
      <c r="N1599" s="1" t="str">
        <f>IF(Employee__2[[#This Row],[City]]="Pune","Yes","No")</f>
        <v>Yes</v>
      </c>
      <c r="O1599" s="1" t="str">
        <f>IF(AND(Employee__2[[#This Row],[Education]]="Bachelors",Employee__2[[#This Row],[City]]="Pune"),"Yes","No")</f>
        <v>Yes</v>
      </c>
      <c r="P1599" s="1" t="str">
        <f>IF(OR(Employee__2[[#This Row],[Age]]&gt;=30,Employee__2[[#This Row],[Gender]]="Male"),"Mached","Not mached")</f>
        <v>Mached</v>
      </c>
    </row>
    <row r="1600" spans="4:16" x14ac:dyDescent="0.25">
      <c r="D1600" s="6" t="s">
        <v>34</v>
      </c>
      <c r="E1600">
        <v>2015</v>
      </c>
      <c r="F1600" s="6" t="s">
        <v>38</v>
      </c>
      <c r="G1600">
        <v>2</v>
      </c>
      <c r="H1600">
        <v>28</v>
      </c>
      <c r="I1600" s="6" t="s">
        <v>39</v>
      </c>
      <c r="J1600" s="6" t="s">
        <v>37</v>
      </c>
      <c r="K1600">
        <v>5</v>
      </c>
      <c r="M1600" s="1" t="b">
        <f>Employee__2[[#This Row],[Experience]]&gt;1</f>
        <v>1</v>
      </c>
      <c r="N1600" s="1" t="str">
        <f>IF(Employee__2[[#This Row],[City]]="Pune","Yes","No")</f>
        <v>Yes</v>
      </c>
      <c r="O1600" s="1" t="str">
        <f>IF(AND(Employee__2[[#This Row],[Education]]="Bachelors",Employee__2[[#This Row],[City]]="Pune"),"Yes","No")</f>
        <v>Yes</v>
      </c>
      <c r="P1600" s="1" t="str">
        <f>IF(OR(Employee__2[[#This Row],[Age]]&gt;=30,Employee__2[[#This Row],[Gender]]="Male"),"Mached","Not mached")</f>
        <v>Not mached</v>
      </c>
    </row>
    <row r="1601" spans="4:16" x14ac:dyDescent="0.25">
      <c r="D1601" s="6" t="s">
        <v>41</v>
      </c>
      <c r="E1601">
        <v>2017</v>
      </c>
      <c r="F1601" s="6" t="s">
        <v>40</v>
      </c>
      <c r="G1601">
        <v>2</v>
      </c>
      <c r="H1601">
        <v>26</v>
      </c>
      <c r="I1601" s="6" t="s">
        <v>39</v>
      </c>
      <c r="J1601" s="6" t="s">
        <v>37</v>
      </c>
      <c r="K1601">
        <v>4</v>
      </c>
      <c r="M1601" s="1" t="b">
        <f>Employee__2[[#This Row],[Experience]]&gt;1</f>
        <v>1</v>
      </c>
      <c r="N1601" s="1" t="str">
        <f>IF(Employee__2[[#This Row],[City]]="Pune","Yes","No")</f>
        <v>No</v>
      </c>
      <c r="O1601" s="1" t="str">
        <f>IF(AND(Employee__2[[#This Row],[Education]]="Bachelors",Employee__2[[#This Row],[City]]="Pune"),"Yes","No")</f>
        <v>No</v>
      </c>
      <c r="P1601" s="1" t="str">
        <f>IF(OR(Employee__2[[#This Row],[Age]]&gt;=30,Employee__2[[#This Row],[Gender]]="Male"),"Mached","Not mached")</f>
        <v>Not mached</v>
      </c>
    </row>
    <row r="1602" spans="4:16" x14ac:dyDescent="0.25">
      <c r="D1602" s="6" t="s">
        <v>34</v>
      </c>
      <c r="E1602">
        <v>2016</v>
      </c>
      <c r="F1602" s="6" t="s">
        <v>40</v>
      </c>
      <c r="G1602">
        <v>3</v>
      </c>
      <c r="H1602">
        <v>26</v>
      </c>
      <c r="I1602" s="6" t="s">
        <v>39</v>
      </c>
      <c r="J1602" s="6" t="s">
        <v>37</v>
      </c>
      <c r="K1602">
        <v>4</v>
      </c>
      <c r="M1602" s="1" t="b">
        <f>Employee__2[[#This Row],[Experience]]&gt;1</f>
        <v>1</v>
      </c>
      <c r="N1602" s="1" t="str">
        <f>IF(Employee__2[[#This Row],[City]]="Pune","Yes","No")</f>
        <v>No</v>
      </c>
      <c r="O1602" s="1" t="str">
        <f>IF(AND(Employee__2[[#This Row],[Education]]="Bachelors",Employee__2[[#This Row],[City]]="Pune"),"Yes","No")</f>
        <v>No</v>
      </c>
      <c r="P1602" s="1" t="str">
        <f>IF(OR(Employee__2[[#This Row],[Age]]&gt;=30,Employee__2[[#This Row],[Gender]]="Male"),"Mached","Not mached")</f>
        <v>Not mached</v>
      </c>
    </row>
    <row r="1603" spans="4:16" x14ac:dyDescent="0.25">
      <c r="D1603" s="6" t="s">
        <v>34</v>
      </c>
      <c r="E1603">
        <v>2016</v>
      </c>
      <c r="F1603" s="6" t="s">
        <v>35</v>
      </c>
      <c r="G1603">
        <v>3</v>
      </c>
      <c r="H1603">
        <v>26</v>
      </c>
      <c r="I1603" s="6" t="s">
        <v>39</v>
      </c>
      <c r="J1603" s="6" t="s">
        <v>37</v>
      </c>
      <c r="K1603">
        <v>4</v>
      </c>
      <c r="M1603" s="1" t="b">
        <f>Employee__2[[#This Row],[Experience]]&gt;1</f>
        <v>1</v>
      </c>
      <c r="N1603" s="1" t="str">
        <f>IF(Employee__2[[#This Row],[City]]="Pune","Yes","No")</f>
        <v>No</v>
      </c>
      <c r="O1603" s="1" t="str">
        <f>IF(AND(Employee__2[[#This Row],[Education]]="Bachelors",Employee__2[[#This Row],[City]]="Pune"),"Yes","No")</f>
        <v>No</v>
      </c>
      <c r="P1603" s="1" t="str">
        <f>IF(OR(Employee__2[[#This Row],[Age]]&gt;=30,Employee__2[[#This Row],[Gender]]="Male"),"Mached","Not mached")</f>
        <v>Not mached</v>
      </c>
    </row>
    <row r="1604" spans="4:16" x14ac:dyDescent="0.25">
      <c r="D1604" s="6" t="s">
        <v>34</v>
      </c>
      <c r="E1604">
        <v>2013</v>
      </c>
      <c r="F1604" s="6" t="s">
        <v>40</v>
      </c>
      <c r="G1604">
        <v>3</v>
      </c>
      <c r="H1604">
        <v>27</v>
      </c>
      <c r="I1604" s="6" t="s">
        <v>39</v>
      </c>
      <c r="J1604" s="6" t="s">
        <v>37</v>
      </c>
      <c r="K1604">
        <v>5</v>
      </c>
      <c r="M1604" s="1" t="b">
        <f>Employee__2[[#This Row],[Experience]]&gt;1</f>
        <v>1</v>
      </c>
      <c r="N1604" s="1" t="str">
        <f>IF(Employee__2[[#This Row],[City]]="Pune","Yes","No")</f>
        <v>No</v>
      </c>
      <c r="O1604" s="1" t="str">
        <f>IF(AND(Employee__2[[#This Row],[Education]]="Bachelors",Employee__2[[#This Row],[City]]="Pune"),"Yes","No")</f>
        <v>No</v>
      </c>
      <c r="P1604" s="1" t="str">
        <f>IF(OR(Employee__2[[#This Row],[Age]]&gt;=30,Employee__2[[#This Row],[Gender]]="Male"),"Mached","Not mached")</f>
        <v>Not mached</v>
      </c>
    </row>
    <row r="1605" spans="4:16" x14ac:dyDescent="0.25">
      <c r="D1605" s="6" t="s">
        <v>34</v>
      </c>
      <c r="E1605">
        <v>2014</v>
      </c>
      <c r="F1605" s="6" t="s">
        <v>35</v>
      </c>
      <c r="G1605">
        <v>3</v>
      </c>
      <c r="H1605">
        <v>28</v>
      </c>
      <c r="I1605" s="6" t="s">
        <v>36</v>
      </c>
      <c r="J1605" s="6" t="s">
        <v>37</v>
      </c>
      <c r="K1605">
        <v>3</v>
      </c>
      <c r="M1605" s="1" t="b">
        <f>Employee__2[[#This Row],[Experience]]&gt;1</f>
        <v>1</v>
      </c>
      <c r="N1605" s="1" t="str">
        <f>IF(Employee__2[[#This Row],[City]]="Pune","Yes","No")</f>
        <v>No</v>
      </c>
      <c r="O1605" s="1" t="str">
        <f>IF(AND(Employee__2[[#This Row],[Education]]="Bachelors",Employee__2[[#This Row],[City]]="Pune"),"Yes","No")</f>
        <v>No</v>
      </c>
      <c r="P1605" s="1" t="str">
        <f>IF(OR(Employee__2[[#This Row],[Age]]&gt;=30,Employee__2[[#This Row],[Gender]]="Male"),"Mached","Not mached")</f>
        <v>Mached</v>
      </c>
    </row>
    <row r="1606" spans="4:16" x14ac:dyDescent="0.25">
      <c r="D1606" s="6" t="s">
        <v>34</v>
      </c>
      <c r="E1606">
        <v>2017</v>
      </c>
      <c r="F1606" s="6" t="s">
        <v>40</v>
      </c>
      <c r="G1606">
        <v>3</v>
      </c>
      <c r="H1606">
        <v>25</v>
      </c>
      <c r="I1606" s="6" t="s">
        <v>36</v>
      </c>
      <c r="J1606" s="6" t="s">
        <v>37</v>
      </c>
      <c r="K1606">
        <v>3</v>
      </c>
      <c r="M1606" s="1" t="b">
        <f>Employee__2[[#This Row],[Experience]]&gt;1</f>
        <v>1</v>
      </c>
      <c r="N1606" s="1" t="str">
        <f>IF(Employee__2[[#This Row],[City]]="Pune","Yes","No")</f>
        <v>No</v>
      </c>
      <c r="O1606" s="1" t="str">
        <f>IF(AND(Employee__2[[#This Row],[Education]]="Bachelors",Employee__2[[#This Row],[City]]="Pune"),"Yes","No")</f>
        <v>No</v>
      </c>
      <c r="P1606" s="1" t="str">
        <f>IF(OR(Employee__2[[#This Row],[Age]]&gt;=30,Employee__2[[#This Row],[Gender]]="Male"),"Mached","Not mached")</f>
        <v>Mached</v>
      </c>
    </row>
    <row r="1607" spans="4:16" x14ac:dyDescent="0.25">
      <c r="D1607" s="6" t="s">
        <v>34</v>
      </c>
      <c r="E1607">
        <v>2015</v>
      </c>
      <c r="F1607" s="6" t="s">
        <v>35</v>
      </c>
      <c r="G1607">
        <v>1</v>
      </c>
      <c r="H1607">
        <v>27</v>
      </c>
      <c r="I1607" s="6" t="s">
        <v>36</v>
      </c>
      <c r="J1607" s="6" t="s">
        <v>37</v>
      </c>
      <c r="K1607">
        <v>5</v>
      </c>
      <c r="M1607" s="1" t="b">
        <f>Employee__2[[#This Row],[Experience]]&gt;1</f>
        <v>1</v>
      </c>
      <c r="N1607" s="1" t="str">
        <f>IF(Employee__2[[#This Row],[City]]="Pune","Yes","No")</f>
        <v>No</v>
      </c>
      <c r="O1607" s="1" t="str">
        <f>IF(AND(Employee__2[[#This Row],[Education]]="Bachelors",Employee__2[[#This Row],[City]]="Pune"),"Yes","No")</f>
        <v>No</v>
      </c>
      <c r="P1607" s="1" t="str">
        <f>IF(OR(Employee__2[[#This Row],[Age]]&gt;=30,Employee__2[[#This Row],[Gender]]="Male"),"Mached","Not mached")</f>
        <v>Mached</v>
      </c>
    </row>
    <row r="1608" spans="4:16" x14ac:dyDescent="0.25">
      <c r="D1608" s="6" t="s">
        <v>34</v>
      </c>
      <c r="E1608">
        <v>2013</v>
      </c>
      <c r="F1608" s="6" t="s">
        <v>35</v>
      </c>
      <c r="G1608">
        <v>3</v>
      </c>
      <c r="H1608">
        <v>26</v>
      </c>
      <c r="I1608" s="6" t="s">
        <v>36</v>
      </c>
      <c r="J1608" s="6" t="s">
        <v>37</v>
      </c>
      <c r="K1608">
        <v>4</v>
      </c>
      <c r="M1608" s="1" t="b">
        <f>Employee__2[[#This Row],[Experience]]&gt;1</f>
        <v>1</v>
      </c>
      <c r="N1608" s="1" t="str">
        <f>IF(Employee__2[[#This Row],[City]]="Pune","Yes","No")</f>
        <v>No</v>
      </c>
      <c r="O1608" s="1" t="str">
        <f>IF(AND(Employee__2[[#This Row],[Education]]="Bachelors",Employee__2[[#This Row],[City]]="Pune"),"Yes","No")</f>
        <v>No</v>
      </c>
      <c r="P1608" s="1" t="str">
        <f>IF(OR(Employee__2[[#This Row],[Age]]&gt;=30,Employee__2[[#This Row],[Gender]]="Male"),"Mached","Not mached")</f>
        <v>Mached</v>
      </c>
    </row>
    <row r="1609" spans="4:16" x14ac:dyDescent="0.25">
      <c r="D1609" s="6" t="s">
        <v>34</v>
      </c>
      <c r="E1609">
        <v>2014</v>
      </c>
      <c r="F1609" s="6" t="s">
        <v>35</v>
      </c>
      <c r="G1609">
        <v>3</v>
      </c>
      <c r="H1609">
        <v>24</v>
      </c>
      <c r="I1609" s="6" t="s">
        <v>39</v>
      </c>
      <c r="J1609" s="6" t="s">
        <v>37</v>
      </c>
      <c r="K1609">
        <v>2</v>
      </c>
      <c r="M1609" s="1" t="b">
        <f>Employee__2[[#This Row],[Experience]]&gt;1</f>
        <v>1</v>
      </c>
      <c r="N1609" s="1" t="str">
        <f>IF(Employee__2[[#This Row],[City]]="Pune","Yes","No")</f>
        <v>No</v>
      </c>
      <c r="O1609" s="1" t="str">
        <f>IF(AND(Employee__2[[#This Row],[Education]]="Bachelors",Employee__2[[#This Row],[City]]="Pune"),"Yes","No")</f>
        <v>No</v>
      </c>
      <c r="P1609" s="1" t="str">
        <f>IF(OR(Employee__2[[#This Row],[Age]]&gt;=30,Employee__2[[#This Row],[Gender]]="Male"),"Mached","Not mached")</f>
        <v>Not mached</v>
      </c>
    </row>
    <row r="1610" spans="4:16" x14ac:dyDescent="0.25">
      <c r="D1610" s="6" t="s">
        <v>34</v>
      </c>
      <c r="E1610">
        <v>2014</v>
      </c>
      <c r="F1610" s="6" t="s">
        <v>38</v>
      </c>
      <c r="G1610">
        <v>2</v>
      </c>
      <c r="H1610">
        <v>26</v>
      </c>
      <c r="I1610" s="6" t="s">
        <v>36</v>
      </c>
      <c r="J1610" s="6" t="s">
        <v>37</v>
      </c>
      <c r="K1610">
        <v>4</v>
      </c>
      <c r="M1610" s="1" t="b">
        <f>Employee__2[[#This Row],[Experience]]&gt;1</f>
        <v>1</v>
      </c>
      <c r="N1610" s="1" t="str">
        <f>IF(Employee__2[[#This Row],[City]]="Pune","Yes","No")</f>
        <v>Yes</v>
      </c>
      <c r="O1610" s="1" t="str">
        <f>IF(AND(Employee__2[[#This Row],[Education]]="Bachelors",Employee__2[[#This Row],[City]]="Pune"),"Yes","No")</f>
        <v>Yes</v>
      </c>
      <c r="P1610" s="1" t="str">
        <f>IF(OR(Employee__2[[#This Row],[Age]]&gt;=30,Employee__2[[#This Row],[Gender]]="Male"),"Mached","Not mached")</f>
        <v>Mached</v>
      </c>
    </row>
    <row r="1611" spans="4:16" x14ac:dyDescent="0.25">
      <c r="D1611" s="6" t="s">
        <v>34</v>
      </c>
      <c r="E1611">
        <v>2013</v>
      </c>
      <c r="F1611" s="6" t="s">
        <v>35</v>
      </c>
      <c r="G1611">
        <v>3</v>
      </c>
      <c r="H1611">
        <v>24</v>
      </c>
      <c r="I1611" s="6" t="s">
        <v>36</v>
      </c>
      <c r="J1611" s="6" t="s">
        <v>37</v>
      </c>
      <c r="K1611">
        <v>2</v>
      </c>
      <c r="M1611" s="1" t="b">
        <f>Employee__2[[#This Row],[Experience]]&gt;1</f>
        <v>1</v>
      </c>
      <c r="N1611" s="1" t="str">
        <f>IF(Employee__2[[#This Row],[City]]="Pune","Yes","No")</f>
        <v>No</v>
      </c>
      <c r="O1611" s="1" t="str">
        <f>IF(AND(Employee__2[[#This Row],[Education]]="Bachelors",Employee__2[[#This Row],[City]]="Pune"),"Yes","No")</f>
        <v>No</v>
      </c>
      <c r="P1611" s="1" t="str">
        <f>IF(OR(Employee__2[[#This Row],[Age]]&gt;=30,Employee__2[[#This Row],[Gender]]="Male"),"Mached","Not mached")</f>
        <v>Mached</v>
      </c>
    </row>
    <row r="1612" spans="4:16" x14ac:dyDescent="0.25">
      <c r="D1612" s="6" t="s">
        <v>34</v>
      </c>
      <c r="E1612">
        <v>2012</v>
      </c>
      <c r="F1612" s="6" t="s">
        <v>35</v>
      </c>
      <c r="G1612">
        <v>3</v>
      </c>
      <c r="H1612">
        <v>25</v>
      </c>
      <c r="I1612" s="6" t="s">
        <v>36</v>
      </c>
      <c r="J1612" s="6" t="s">
        <v>37</v>
      </c>
      <c r="K1612">
        <v>3</v>
      </c>
      <c r="M1612" s="1" t="b">
        <f>Employee__2[[#This Row],[Experience]]&gt;1</f>
        <v>1</v>
      </c>
      <c r="N1612" s="1" t="str">
        <f>IF(Employee__2[[#This Row],[City]]="Pune","Yes","No")</f>
        <v>No</v>
      </c>
      <c r="O1612" s="1" t="str">
        <f>IF(AND(Employee__2[[#This Row],[Education]]="Bachelors",Employee__2[[#This Row],[City]]="Pune"),"Yes","No")</f>
        <v>No</v>
      </c>
      <c r="P1612" s="1" t="str">
        <f>IF(OR(Employee__2[[#This Row],[Age]]&gt;=30,Employee__2[[#This Row],[Gender]]="Male"),"Mached","Not mached")</f>
        <v>Mached</v>
      </c>
    </row>
    <row r="1613" spans="4:16" x14ac:dyDescent="0.25">
      <c r="D1613" s="6" t="s">
        <v>34</v>
      </c>
      <c r="E1613">
        <v>2012</v>
      </c>
      <c r="F1613" s="6" t="s">
        <v>35</v>
      </c>
      <c r="G1613">
        <v>3</v>
      </c>
      <c r="H1613">
        <v>27</v>
      </c>
      <c r="I1613" s="6" t="s">
        <v>36</v>
      </c>
      <c r="J1613" s="6" t="s">
        <v>42</v>
      </c>
      <c r="K1613">
        <v>5</v>
      </c>
      <c r="M1613" s="1" t="b">
        <f>Employee__2[[#This Row],[Experience]]&gt;1</f>
        <v>1</v>
      </c>
      <c r="N1613" s="1" t="str">
        <f>IF(Employee__2[[#This Row],[City]]="Pune","Yes","No")</f>
        <v>No</v>
      </c>
      <c r="O1613" s="1" t="str">
        <f>IF(AND(Employee__2[[#This Row],[Education]]="Bachelors",Employee__2[[#This Row],[City]]="Pune"),"Yes","No")</f>
        <v>No</v>
      </c>
      <c r="P1613" s="1" t="str">
        <f>IF(OR(Employee__2[[#This Row],[Age]]&gt;=30,Employee__2[[#This Row],[Gender]]="Male"),"Mached","Not mached")</f>
        <v>Mached</v>
      </c>
    </row>
    <row r="1614" spans="4:16" x14ac:dyDescent="0.25">
      <c r="D1614" s="6" t="s">
        <v>34</v>
      </c>
      <c r="E1614">
        <v>2012</v>
      </c>
      <c r="F1614" s="6" t="s">
        <v>35</v>
      </c>
      <c r="G1614">
        <v>3</v>
      </c>
      <c r="H1614">
        <v>28</v>
      </c>
      <c r="I1614" s="6" t="s">
        <v>36</v>
      </c>
      <c r="J1614" s="6" t="s">
        <v>37</v>
      </c>
      <c r="K1614">
        <v>1</v>
      </c>
      <c r="M1614" s="1" t="b">
        <f>Employee__2[[#This Row],[Experience]]&gt;1</f>
        <v>0</v>
      </c>
      <c r="N1614" s="1" t="str">
        <f>IF(Employee__2[[#This Row],[City]]="Pune","Yes","No")</f>
        <v>No</v>
      </c>
      <c r="O1614" s="1" t="str">
        <f>IF(AND(Employee__2[[#This Row],[Education]]="Bachelors",Employee__2[[#This Row],[City]]="Pune"),"Yes","No")</f>
        <v>No</v>
      </c>
      <c r="P1614" s="1" t="str">
        <f>IF(OR(Employee__2[[#This Row],[Age]]&gt;=30,Employee__2[[#This Row],[Gender]]="Male"),"Mached","Not mached")</f>
        <v>Mached</v>
      </c>
    </row>
    <row r="1615" spans="4:16" x14ac:dyDescent="0.25">
      <c r="D1615" s="6" t="s">
        <v>41</v>
      </c>
      <c r="E1615">
        <v>2017</v>
      </c>
      <c r="F1615" s="6" t="s">
        <v>40</v>
      </c>
      <c r="G1615">
        <v>2</v>
      </c>
      <c r="H1615">
        <v>25</v>
      </c>
      <c r="I1615" s="6" t="s">
        <v>39</v>
      </c>
      <c r="J1615" s="6" t="s">
        <v>37</v>
      </c>
      <c r="K1615">
        <v>3</v>
      </c>
      <c r="M1615" s="1" t="b">
        <f>Employee__2[[#This Row],[Experience]]&gt;1</f>
        <v>1</v>
      </c>
      <c r="N1615" s="1" t="str">
        <f>IF(Employee__2[[#This Row],[City]]="Pune","Yes","No")</f>
        <v>No</v>
      </c>
      <c r="O1615" s="1" t="str">
        <f>IF(AND(Employee__2[[#This Row],[Education]]="Bachelors",Employee__2[[#This Row],[City]]="Pune"),"Yes","No")</f>
        <v>No</v>
      </c>
      <c r="P1615" s="1" t="str">
        <f>IF(OR(Employee__2[[#This Row],[Age]]&gt;=30,Employee__2[[#This Row],[Gender]]="Male"),"Mached","Not mached")</f>
        <v>Not mached</v>
      </c>
    </row>
    <row r="1616" spans="4:16" x14ac:dyDescent="0.25">
      <c r="D1616" s="6" t="s">
        <v>34</v>
      </c>
      <c r="E1616">
        <v>2014</v>
      </c>
      <c r="F1616" s="6" t="s">
        <v>35</v>
      </c>
      <c r="G1616">
        <v>3</v>
      </c>
      <c r="H1616">
        <v>25</v>
      </c>
      <c r="I1616" s="6" t="s">
        <v>36</v>
      </c>
      <c r="J1616" s="6" t="s">
        <v>37</v>
      </c>
      <c r="K1616">
        <v>3</v>
      </c>
      <c r="M1616" s="1" t="b">
        <f>Employee__2[[#This Row],[Experience]]&gt;1</f>
        <v>1</v>
      </c>
      <c r="N1616" s="1" t="str">
        <f>IF(Employee__2[[#This Row],[City]]="Pune","Yes","No")</f>
        <v>No</v>
      </c>
      <c r="O1616" s="1" t="str">
        <f>IF(AND(Employee__2[[#This Row],[Education]]="Bachelors",Employee__2[[#This Row],[City]]="Pune"),"Yes","No")</f>
        <v>No</v>
      </c>
      <c r="P1616" s="1" t="str">
        <f>IF(OR(Employee__2[[#This Row],[Age]]&gt;=30,Employee__2[[#This Row],[Gender]]="Male"),"Mached","Not mached")</f>
        <v>Mached</v>
      </c>
    </row>
    <row r="1617" spans="4:16" x14ac:dyDescent="0.25">
      <c r="D1617" s="6" t="s">
        <v>34</v>
      </c>
      <c r="E1617">
        <v>2016</v>
      </c>
      <c r="F1617" s="6" t="s">
        <v>38</v>
      </c>
      <c r="G1617">
        <v>2</v>
      </c>
      <c r="H1617">
        <v>27</v>
      </c>
      <c r="I1617" s="6" t="s">
        <v>39</v>
      </c>
      <c r="J1617" s="6" t="s">
        <v>37</v>
      </c>
      <c r="K1617">
        <v>5</v>
      </c>
      <c r="M1617" s="1" t="b">
        <f>Employee__2[[#This Row],[Experience]]&gt;1</f>
        <v>1</v>
      </c>
      <c r="N1617" s="1" t="str">
        <f>IF(Employee__2[[#This Row],[City]]="Pune","Yes","No")</f>
        <v>Yes</v>
      </c>
      <c r="O1617" s="1" t="str">
        <f>IF(AND(Employee__2[[#This Row],[Education]]="Bachelors",Employee__2[[#This Row],[City]]="Pune"),"Yes","No")</f>
        <v>Yes</v>
      </c>
      <c r="P1617" s="1" t="str">
        <f>IF(OR(Employee__2[[#This Row],[Age]]&gt;=30,Employee__2[[#This Row],[Gender]]="Male"),"Mached","Not mached")</f>
        <v>Not mached</v>
      </c>
    </row>
    <row r="1618" spans="4:16" x14ac:dyDescent="0.25">
      <c r="D1618" s="6" t="s">
        <v>34</v>
      </c>
      <c r="E1618">
        <v>2017</v>
      </c>
      <c r="F1618" s="6" t="s">
        <v>38</v>
      </c>
      <c r="G1618">
        <v>3</v>
      </c>
      <c r="H1618">
        <v>28</v>
      </c>
      <c r="I1618" s="6" t="s">
        <v>36</v>
      </c>
      <c r="J1618" s="6" t="s">
        <v>37</v>
      </c>
      <c r="K1618">
        <v>3</v>
      </c>
      <c r="M1618" s="1" t="b">
        <f>Employee__2[[#This Row],[Experience]]&gt;1</f>
        <v>1</v>
      </c>
      <c r="N1618" s="1" t="str">
        <f>IF(Employee__2[[#This Row],[City]]="Pune","Yes","No")</f>
        <v>Yes</v>
      </c>
      <c r="O1618" s="1" t="str">
        <f>IF(AND(Employee__2[[#This Row],[Education]]="Bachelors",Employee__2[[#This Row],[City]]="Pune"),"Yes","No")</f>
        <v>Yes</v>
      </c>
      <c r="P1618" s="1" t="str">
        <f>IF(OR(Employee__2[[#This Row],[Age]]&gt;=30,Employee__2[[#This Row],[Gender]]="Male"),"Mached","Not mached")</f>
        <v>Mached</v>
      </c>
    </row>
    <row r="1619" spans="4:16" x14ac:dyDescent="0.25">
      <c r="D1619" s="6" t="s">
        <v>41</v>
      </c>
      <c r="E1619">
        <v>2017</v>
      </c>
      <c r="F1619" s="6" t="s">
        <v>40</v>
      </c>
      <c r="G1619">
        <v>3</v>
      </c>
      <c r="H1619">
        <v>28</v>
      </c>
      <c r="I1619" s="6" t="s">
        <v>36</v>
      </c>
      <c r="J1619" s="6" t="s">
        <v>37</v>
      </c>
      <c r="K1619">
        <v>2</v>
      </c>
      <c r="M1619" s="1" t="b">
        <f>Employee__2[[#This Row],[Experience]]&gt;1</f>
        <v>1</v>
      </c>
      <c r="N1619" s="1" t="str">
        <f>IF(Employee__2[[#This Row],[City]]="Pune","Yes","No")</f>
        <v>No</v>
      </c>
      <c r="O1619" s="1" t="str">
        <f>IF(AND(Employee__2[[#This Row],[Education]]="Bachelors",Employee__2[[#This Row],[City]]="Pune"),"Yes","No")</f>
        <v>No</v>
      </c>
      <c r="P1619" s="1" t="str">
        <f>IF(OR(Employee__2[[#This Row],[Age]]&gt;=30,Employee__2[[#This Row],[Gender]]="Male"),"Mached","Not mached")</f>
        <v>Mached</v>
      </c>
    </row>
    <row r="1620" spans="4:16" x14ac:dyDescent="0.25">
      <c r="D1620" s="6" t="s">
        <v>43</v>
      </c>
      <c r="E1620">
        <v>2018</v>
      </c>
      <c r="F1620" s="6" t="s">
        <v>38</v>
      </c>
      <c r="G1620">
        <v>3</v>
      </c>
      <c r="H1620">
        <v>26</v>
      </c>
      <c r="I1620" s="6" t="s">
        <v>36</v>
      </c>
      <c r="J1620" s="6" t="s">
        <v>37</v>
      </c>
      <c r="K1620">
        <v>4</v>
      </c>
      <c r="M1620" s="1" t="b">
        <f>Employee__2[[#This Row],[Experience]]&gt;1</f>
        <v>1</v>
      </c>
      <c r="N1620" s="1" t="str">
        <f>IF(Employee__2[[#This Row],[City]]="Pune","Yes","No")</f>
        <v>Yes</v>
      </c>
      <c r="O1620" s="1" t="str">
        <f>IF(AND(Employee__2[[#This Row],[Education]]="Bachelors",Employee__2[[#This Row],[City]]="Pune"),"Yes","No")</f>
        <v>No</v>
      </c>
      <c r="P1620" s="1" t="str">
        <f>IF(OR(Employee__2[[#This Row],[Age]]&gt;=30,Employee__2[[#This Row],[Gender]]="Male"),"Mached","Not mached")</f>
        <v>Mached</v>
      </c>
    </row>
    <row r="1621" spans="4:16" x14ac:dyDescent="0.25">
      <c r="D1621" s="6" t="s">
        <v>41</v>
      </c>
      <c r="E1621">
        <v>2017</v>
      </c>
      <c r="F1621" s="6" t="s">
        <v>40</v>
      </c>
      <c r="G1621">
        <v>2</v>
      </c>
      <c r="H1621">
        <v>24</v>
      </c>
      <c r="I1621" s="6" t="s">
        <v>36</v>
      </c>
      <c r="J1621" s="6" t="s">
        <v>37</v>
      </c>
      <c r="K1621">
        <v>2</v>
      </c>
      <c r="M1621" s="1" t="b">
        <f>Employee__2[[#This Row],[Experience]]&gt;1</f>
        <v>1</v>
      </c>
      <c r="N1621" s="1" t="str">
        <f>IF(Employee__2[[#This Row],[City]]="Pune","Yes","No")</f>
        <v>No</v>
      </c>
      <c r="O1621" s="1" t="str">
        <f>IF(AND(Employee__2[[#This Row],[Education]]="Bachelors",Employee__2[[#This Row],[City]]="Pune"),"Yes","No")</f>
        <v>No</v>
      </c>
      <c r="P1621" s="1" t="str">
        <f>IF(OR(Employee__2[[#This Row],[Age]]&gt;=30,Employee__2[[#This Row],[Gender]]="Male"),"Mached","Not mached")</f>
        <v>Mached</v>
      </c>
    </row>
    <row r="1622" spans="4:16" x14ac:dyDescent="0.25">
      <c r="D1622" s="6" t="s">
        <v>34</v>
      </c>
      <c r="E1622">
        <v>2014</v>
      </c>
      <c r="F1622" s="6" t="s">
        <v>35</v>
      </c>
      <c r="G1622">
        <v>3</v>
      </c>
      <c r="H1622">
        <v>28</v>
      </c>
      <c r="I1622" s="6" t="s">
        <v>36</v>
      </c>
      <c r="J1622" s="6" t="s">
        <v>37</v>
      </c>
      <c r="K1622">
        <v>0</v>
      </c>
      <c r="M1622" s="1" t="b">
        <f>Employee__2[[#This Row],[Experience]]&gt;1</f>
        <v>0</v>
      </c>
      <c r="N1622" s="1" t="str">
        <f>IF(Employee__2[[#This Row],[City]]="Pune","Yes","No")</f>
        <v>No</v>
      </c>
      <c r="O1622" s="1" t="str">
        <f>IF(AND(Employee__2[[#This Row],[Education]]="Bachelors",Employee__2[[#This Row],[City]]="Pune"),"Yes","No")</f>
        <v>No</v>
      </c>
      <c r="P1622" s="1" t="str">
        <f>IF(OR(Employee__2[[#This Row],[Age]]&gt;=30,Employee__2[[#This Row],[Gender]]="Male"),"Mached","Not mached")</f>
        <v>Mached</v>
      </c>
    </row>
    <row r="1623" spans="4:16" x14ac:dyDescent="0.25">
      <c r="D1623" s="6" t="s">
        <v>41</v>
      </c>
      <c r="E1623">
        <v>2015</v>
      </c>
      <c r="F1623" s="6" t="s">
        <v>38</v>
      </c>
      <c r="G1623">
        <v>3</v>
      </c>
      <c r="H1623">
        <v>26</v>
      </c>
      <c r="I1623" s="6" t="s">
        <v>39</v>
      </c>
      <c r="J1623" s="6" t="s">
        <v>37</v>
      </c>
      <c r="K1623">
        <v>4</v>
      </c>
      <c r="M1623" s="1" t="b">
        <f>Employee__2[[#This Row],[Experience]]&gt;1</f>
        <v>1</v>
      </c>
      <c r="N1623" s="1" t="str">
        <f>IF(Employee__2[[#This Row],[City]]="Pune","Yes","No")</f>
        <v>Yes</v>
      </c>
      <c r="O1623" s="1" t="str">
        <f>IF(AND(Employee__2[[#This Row],[Education]]="Bachelors",Employee__2[[#This Row],[City]]="Pune"),"Yes","No")</f>
        <v>No</v>
      </c>
      <c r="P1623" s="1" t="str">
        <f>IF(OR(Employee__2[[#This Row],[Age]]&gt;=30,Employee__2[[#This Row],[Gender]]="Male"),"Mached","Not mached")</f>
        <v>Not mached</v>
      </c>
    </row>
    <row r="1624" spans="4:16" x14ac:dyDescent="0.25">
      <c r="D1624" s="6" t="s">
        <v>34</v>
      </c>
      <c r="E1624">
        <v>2016</v>
      </c>
      <c r="F1624" s="6" t="s">
        <v>35</v>
      </c>
      <c r="G1624">
        <v>3</v>
      </c>
      <c r="H1624">
        <v>27</v>
      </c>
      <c r="I1624" s="6" t="s">
        <v>36</v>
      </c>
      <c r="J1624" s="6" t="s">
        <v>37</v>
      </c>
      <c r="K1624">
        <v>5</v>
      </c>
      <c r="M1624" s="1" t="b">
        <f>Employee__2[[#This Row],[Experience]]&gt;1</f>
        <v>1</v>
      </c>
      <c r="N1624" s="1" t="str">
        <f>IF(Employee__2[[#This Row],[City]]="Pune","Yes","No")</f>
        <v>No</v>
      </c>
      <c r="O1624" s="1" t="str">
        <f>IF(AND(Employee__2[[#This Row],[Education]]="Bachelors",Employee__2[[#This Row],[City]]="Pune"),"Yes","No")</f>
        <v>No</v>
      </c>
      <c r="P1624" s="1" t="str">
        <f>IF(OR(Employee__2[[#This Row],[Age]]&gt;=30,Employee__2[[#This Row],[Gender]]="Male"),"Mached","Not mached")</f>
        <v>Mached</v>
      </c>
    </row>
    <row r="1625" spans="4:16" x14ac:dyDescent="0.25">
      <c r="D1625" s="6" t="s">
        <v>34</v>
      </c>
      <c r="E1625">
        <v>2016</v>
      </c>
      <c r="F1625" s="6" t="s">
        <v>40</v>
      </c>
      <c r="G1625">
        <v>3</v>
      </c>
      <c r="H1625">
        <v>28</v>
      </c>
      <c r="I1625" s="6" t="s">
        <v>39</v>
      </c>
      <c r="J1625" s="6" t="s">
        <v>37</v>
      </c>
      <c r="K1625">
        <v>4</v>
      </c>
      <c r="M1625" s="1" t="b">
        <f>Employee__2[[#This Row],[Experience]]&gt;1</f>
        <v>1</v>
      </c>
      <c r="N1625" s="1" t="str">
        <f>IF(Employee__2[[#This Row],[City]]="Pune","Yes","No")</f>
        <v>No</v>
      </c>
      <c r="O1625" s="1" t="str">
        <f>IF(AND(Employee__2[[#This Row],[Education]]="Bachelors",Employee__2[[#This Row],[City]]="Pune"),"Yes","No")</f>
        <v>No</v>
      </c>
      <c r="P1625" s="1" t="str">
        <f>IF(OR(Employee__2[[#This Row],[Age]]&gt;=30,Employee__2[[#This Row],[Gender]]="Male"),"Mached","Not mached")</f>
        <v>Not mached</v>
      </c>
    </row>
    <row r="1626" spans="4:16" x14ac:dyDescent="0.25">
      <c r="D1626" s="6" t="s">
        <v>34</v>
      </c>
      <c r="E1626">
        <v>2012</v>
      </c>
      <c r="F1626" s="6" t="s">
        <v>38</v>
      </c>
      <c r="G1626">
        <v>3</v>
      </c>
      <c r="H1626">
        <v>26</v>
      </c>
      <c r="I1626" s="6" t="s">
        <v>36</v>
      </c>
      <c r="J1626" s="6" t="s">
        <v>37</v>
      </c>
      <c r="K1626">
        <v>4</v>
      </c>
      <c r="M1626" s="1" t="b">
        <f>Employee__2[[#This Row],[Experience]]&gt;1</f>
        <v>1</v>
      </c>
      <c r="N1626" s="1" t="str">
        <f>IF(Employee__2[[#This Row],[City]]="Pune","Yes","No")</f>
        <v>Yes</v>
      </c>
      <c r="O1626" s="1" t="str">
        <f>IF(AND(Employee__2[[#This Row],[Education]]="Bachelors",Employee__2[[#This Row],[City]]="Pune"),"Yes","No")</f>
        <v>Yes</v>
      </c>
      <c r="P1626" s="1" t="str">
        <f>IF(OR(Employee__2[[#This Row],[Age]]&gt;=30,Employee__2[[#This Row],[Gender]]="Male"),"Mached","Not mached")</f>
        <v>Mached</v>
      </c>
    </row>
    <row r="1627" spans="4:16" x14ac:dyDescent="0.25">
      <c r="D1627" s="6" t="s">
        <v>41</v>
      </c>
      <c r="E1627">
        <v>2015</v>
      </c>
      <c r="F1627" s="6" t="s">
        <v>35</v>
      </c>
      <c r="G1627">
        <v>2</v>
      </c>
      <c r="H1627">
        <v>27</v>
      </c>
      <c r="I1627" s="6" t="s">
        <v>39</v>
      </c>
      <c r="J1627" s="6" t="s">
        <v>37</v>
      </c>
      <c r="K1627">
        <v>5</v>
      </c>
      <c r="M1627" s="1" t="b">
        <f>Employee__2[[#This Row],[Experience]]&gt;1</f>
        <v>1</v>
      </c>
      <c r="N1627" s="1" t="str">
        <f>IF(Employee__2[[#This Row],[City]]="Pune","Yes","No")</f>
        <v>No</v>
      </c>
      <c r="O1627" s="1" t="str">
        <f>IF(AND(Employee__2[[#This Row],[Education]]="Bachelors",Employee__2[[#This Row],[City]]="Pune"),"Yes","No")</f>
        <v>No</v>
      </c>
      <c r="P1627" s="1" t="str">
        <f>IF(OR(Employee__2[[#This Row],[Age]]&gt;=30,Employee__2[[#This Row],[Gender]]="Male"),"Mached","Not mached")</f>
        <v>Not mached</v>
      </c>
    </row>
    <row r="1628" spans="4:16" x14ac:dyDescent="0.25">
      <c r="D1628" s="6" t="s">
        <v>41</v>
      </c>
      <c r="E1628">
        <v>2017</v>
      </c>
      <c r="F1628" s="6" t="s">
        <v>38</v>
      </c>
      <c r="G1628">
        <v>1</v>
      </c>
      <c r="H1628">
        <v>28</v>
      </c>
      <c r="I1628" s="6" t="s">
        <v>36</v>
      </c>
      <c r="J1628" s="6" t="s">
        <v>37</v>
      </c>
      <c r="K1628">
        <v>0</v>
      </c>
      <c r="M1628" s="1" t="b">
        <f>Employee__2[[#This Row],[Experience]]&gt;1</f>
        <v>0</v>
      </c>
      <c r="N1628" s="1" t="str">
        <f>IF(Employee__2[[#This Row],[City]]="Pune","Yes","No")</f>
        <v>Yes</v>
      </c>
      <c r="O1628" s="1" t="str">
        <f>IF(AND(Employee__2[[#This Row],[Education]]="Bachelors",Employee__2[[#This Row],[City]]="Pune"),"Yes","No")</f>
        <v>No</v>
      </c>
      <c r="P1628" s="1" t="str">
        <f>IF(OR(Employee__2[[#This Row],[Age]]&gt;=30,Employee__2[[#This Row],[Gender]]="Male"),"Mached","Not mached")</f>
        <v>Mached</v>
      </c>
    </row>
    <row r="1629" spans="4:16" x14ac:dyDescent="0.25">
      <c r="D1629" s="6" t="s">
        <v>41</v>
      </c>
      <c r="E1629">
        <v>2015</v>
      </c>
      <c r="F1629" s="6" t="s">
        <v>40</v>
      </c>
      <c r="G1629">
        <v>3</v>
      </c>
      <c r="H1629">
        <v>28</v>
      </c>
      <c r="I1629" s="6" t="s">
        <v>39</v>
      </c>
      <c r="J1629" s="6" t="s">
        <v>37</v>
      </c>
      <c r="K1629">
        <v>2</v>
      </c>
      <c r="M1629" s="1" t="b">
        <f>Employee__2[[#This Row],[Experience]]&gt;1</f>
        <v>1</v>
      </c>
      <c r="N1629" s="1" t="str">
        <f>IF(Employee__2[[#This Row],[City]]="Pune","Yes","No")</f>
        <v>No</v>
      </c>
      <c r="O1629" s="1" t="str">
        <f>IF(AND(Employee__2[[#This Row],[Education]]="Bachelors",Employee__2[[#This Row],[City]]="Pune"),"Yes","No")</f>
        <v>No</v>
      </c>
      <c r="P1629" s="1" t="str">
        <f>IF(OR(Employee__2[[#This Row],[Age]]&gt;=30,Employee__2[[#This Row],[Gender]]="Male"),"Mached","Not mached")</f>
        <v>Not mached</v>
      </c>
    </row>
    <row r="1630" spans="4:16" x14ac:dyDescent="0.25">
      <c r="D1630" s="6" t="s">
        <v>34</v>
      </c>
      <c r="E1630">
        <v>2017</v>
      </c>
      <c r="F1630" s="6" t="s">
        <v>35</v>
      </c>
      <c r="G1630">
        <v>3</v>
      </c>
      <c r="H1630">
        <v>26</v>
      </c>
      <c r="I1630" s="6" t="s">
        <v>36</v>
      </c>
      <c r="J1630" s="6" t="s">
        <v>37</v>
      </c>
      <c r="K1630">
        <v>4</v>
      </c>
      <c r="M1630" s="1" t="b">
        <f>Employee__2[[#This Row],[Experience]]&gt;1</f>
        <v>1</v>
      </c>
      <c r="N1630" s="1" t="str">
        <f>IF(Employee__2[[#This Row],[City]]="Pune","Yes","No")</f>
        <v>No</v>
      </c>
      <c r="O1630" s="1" t="str">
        <f>IF(AND(Employee__2[[#This Row],[Education]]="Bachelors",Employee__2[[#This Row],[City]]="Pune"),"Yes","No")</f>
        <v>No</v>
      </c>
      <c r="P1630" s="1" t="str">
        <f>IF(OR(Employee__2[[#This Row],[Age]]&gt;=30,Employee__2[[#This Row],[Gender]]="Male"),"Mached","Not mached")</f>
        <v>Mached</v>
      </c>
    </row>
    <row r="1631" spans="4:16" x14ac:dyDescent="0.25">
      <c r="D1631" s="6" t="s">
        <v>34</v>
      </c>
      <c r="E1631">
        <v>2017</v>
      </c>
      <c r="F1631" s="6" t="s">
        <v>38</v>
      </c>
      <c r="G1631">
        <v>3</v>
      </c>
      <c r="H1631">
        <v>28</v>
      </c>
      <c r="I1631" s="6" t="s">
        <v>39</v>
      </c>
      <c r="J1631" s="6" t="s">
        <v>37</v>
      </c>
      <c r="K1631">
        <v>4</v>
      </c>
      <c r="M1631" s="1" t="b">
        <f>Employee__2[[#This Row],[Experience]]&gt;1</f>
        <v>1</v>
      </c>
      <c r="N1631" s="1" t="str">
        <f>IF(Employee__2[[#This Row],[City]]="Pune","Yes","No")</f>
        <v>Yes</v>
      </c>
      <c r="O1631" s="1" t="str">
        <f>IF(AND(Employee__2[[#This Row],[Education]]="Bachelors",Employee__2[[#This Row],[City]]="Pune"),"Yes","No")</f>
        <v>Yes</v>
      </c>
      <c r="P1631" s="1" t="str">
        <f>IF(OR(Employee__2[[#This Row],[Age]]&gt;=30,Employee__2[[#This Row],[Gender]]="Male"),"Mached","Not mached")</f>
        <v>Not mached</v>
      </c>
    </row>
    <row r="1632" spans="4:16" x14ac:dyDescent="0.25">
      <c r="D1632" s="6" t="s">
        <v>34</v>
      </c>
      <c r="E1632">
        <v>2015</v>
      </c>
      <c r="F1632" s="6" t="s">
        <v>38</v>
      </c>
      <c r="G1632">
        <v>3</v>
      </c>
      <c r="H1632">
        <v>25</v>
      </c>
      <c r="I1632" s="6" t="s">
        <v>36</v>
      </c>
      <c r="J1632" s="6" t="s">
        <v>37</v>
      </c>
      <c r="K1632">
        <v>3</v>
      </c>
      <c r="M1632" s="1" t="b">
        <f>Employee__2[[#This Row],[Experience]]&gt;1</f>
        <v>1</v>
      </c>
      <c r="N1632" s="1" t="str">
        <f>IF(Employee__2[[#This Row],[City]]="Pune","Yes","No")</f>
        <v>Yes</v>
      </c>
      <c r="O1632" s="1" t="str">
        <f>IF(AND(Employee__2[[#This Row],[Education]]="Bachelors",Employee__2[[#This Row],[City]]="Pune"),"Yes","No")</f>
        <v>Yes</v>
      </c>
      <c r="P1632" s="1" t="str">
        <f>IF(OR(Employee__2[[#This Row],[Age]]&gt;=30,Employee__2[[#This Row],[Gender]]="Male"),"Mached","Not mached")</f>
        <v>Mached</v>
      </c>
    </row>
    <row r="1633" spans="4:16" x14ac:dyDescent="0.25">
      <c r="D1633" s="6" t="s">
        <v>41</v>
      </c>
      <c r="E1633">
        <v>2017</v>
      </c>
      <c r="F1633" s="6" t="s">
        <v>40</v>
      </c>
      <c r="G1633">
        <v>2</v>
      </c>
      <c r="H1633">
        <v>27</v>
      </c>
      <c r="I1633" s="6" t="s">
        <v>39</v>
      </c>
      <c r="J1633" s="6" t="s">
        <v>37</v>
      </c>
      <c r="K1633">
        <v>5</v>
      </c>
      <c r="M1633" s="1" t="b">
        <f>Employee__2[[#This Row],[Experience]]&gt;1</f>
        <v>1</v>
      </c>
      <c r="N1633" s="1" t="str">
        <f>IF(Employee__2[[#This Row],[City]]="Pune","Yes","No")</f>
        <v>No</v>
      </c>
      <c r="O1633" s="1" t="str">
        <f>IF(AND(Employee__2[[#This Row],[Education]]="Bachelors",Employee__2[[#This Row],[City]]="Pune"),"Yes","No")</f>
        <v>No</v>
      </c>
      <c r="P1633" s="1" t="str">
        <f>IF(OR(Employee__2[[#This Row],[Age]]&gt;=30,Employee__2[[#This Row],[Gender]]="Male"),"Mached","Not mached")</f>
        <v>Not mached</v>
      </c>
    </row>
    <row r="1634" spans="4:16" x14ac:dyDescent="0.25">
      <c r="D1634" s="6" t="s">
        <v>41</v>
      </c>
      <c r="E1634">
        <v>2015</v>
      </c>
      <c r="F1634" s="6" t="s">
        <v>38</v>
      </c>
      <c r="G1634">
        <v>2</v>
      </c>
      <c r="H1634">
        <v>27</v>
      </c>
      <c r="I1634" s="6" t="s">
        <v>39</v>
      </c>
      <c r="J1634" s="6" t="s">
        <v>37</v>
      </c>
      <c r="K1634">
        <v>5</v>
      </c>
      <c r="M1634" s="1" t="b">
        <f>Employee__2[[#This Row],[Experience]]&gt;1</f>
        <v>1</v>
      </c>
      <c r="N1634" s="1" t="str">
        <f>IF(Employee__2[[#This Row],[City]]="Pune","Yes","No")</f>
        <v>Yes</v>
      </c>
      <c r="O1634" s="1" t="str">
        <f>IF(AND(Employee__2[[#This Row],[Education]]="Bachelors",Employee__2[[#This Row],[City]]="Pune"),"Yes","No")</f>
        <v>No</v>
      </c>
      <c r="P1634" s="1" t="str">
        <f>IF(OR(Employee__2[[#This Row],[Age]]&gt;=30,Employee__2[[#This Row],[Gender]]="Male"),"Mached","Not mached")</f>
        <v>Not mached</v>
      </c>
    </row>
    <row r="1635" spans="4:16" x14ac:dyDescent="0.25">
      <c r="D1635" s="6" t="s">
        <v>34</v>
      </c>
      <c r="E1635">
        <v>2015</v>
      </c>
      <c r="F1635" s="6" t="s">
        <v>35</v>
      </c>
      <c r="G1635">
        <v>3</v>
      </c>
      <c r="H1635">
        <v>25</v>
      </c>
      <c r="I1635" s="6" t="s">
        <v>36</v>
      </c>
      <c r="J1635" s="6" t="s">
        <v>37</v>
      </c>
      <c r="K1635">
        <v>3</v>
      </c>
      <c r="M1635" s="1" t="b">
        <f>Employee__2[[#This Row],[Experience]]&gt;1</f>
        <v>1</v>
      </c>
      <c r="N1635" s="1" t="str">
        <f>IF(Employee__2[[#This Row],[City]]="Pune","Yes","No")</f>
        <v>No</v>
      </c>
      <c r="O1635" s="1" t="str">
        <f>IF(AND(Employee__2[[#This Row],[Education]]="Bachelors",Employee__2[[#This Row],[City]]="Pune"),"Yes","No")</f>
        <v>No</v>
      </c>
      <c r="P1635" s="1" t="str">
        <f>IF(OR(Employee__2[[#This Row],[Age]]&gt;=30,Employee__2[[#This Row],[Gender]]="Male"),"Mached","Not mached")</f>
        <v>Mached</v>
      </c>
    </row>
    <row r="1636" spans="4:16" x14ac:dyDescent="0.25">
      <c r="D1636" s="6" t="s">
        <v>34</v>
      </c>
      <c r="E1636">
        <v>2013</v>
      </c>
      <c r="F1636" s="6" t="s">
        <v>35</v>
      </c>
      <c r="G1636">
        <v>3</v>
      </c>
      <c r="H1636">
        <v>28</v>
      </c>
      <c r="I1636" s="6" t="s">
        <v>39</v>
      </c>
      <c r="J1636" s="6" t="s">
        <v>37</v>
      </c>
      <c r="K1636">
        <v>1</v>
      </c>
      <c r="M1636" s="1" t="b">
        <f>Employee__2[[#This Row],[Experience]]&gt;1</f>
        <v>0</v>
      </c>
      <c r="N1636" s="1" t="str">
        <f>IF(Employee__2[[#This Row],[City]]="Pune","Yes","No")</f>
        <v>No</v>
      </c>
      <c r="O1636" s="1" t="str">
        <f>IF(AND(Employee__2[[#This Row],[Education]]="Bachelors",Employee__2[[#This Row],[City]]="Pune"),"Yes","No")</f>
        <v>No</v>
      </c>
      <c r="P1636" s="1" t="str">
        <f>IF(OR(Employee__2[[#This Row],[Age]]&gt;=30,Employee__2[[#This Row],[Gender]]="Male"),"Mached","Not mached")</f>
        <v>Not mached</v>
      </c>
    </row>
    <row r="1637" spans="4:16" x14ac:dyDescent="0.25">
      <c r="D1637" s="6" t="s">
        <v>34</v>
      </c>
      <c r="E1637">
        <v>2015</v>
      </c>
      <c r="F1637" s="6" t="s">
        <v>38</v>
      </c>
      <c r="G1637">
        <v>3</v>
      </c>
      <c r="H1637">
        <v>25</v>
      </c>
      <c r="I1637" s="6" t="s">
        <v>39</v>
      </c>
      <c r="J1637" s="6" t="s">
        <v>37</v>
      </c>
      <c r="K1637">
        <v>3</v>
      </c>
      <c r="M1637" s="1" t="b">
        <f>Employee__2[[#This Row],[Experience]]&gt;1</f>
        <v>1</v>
      </c>
      <c r="N1637" s="1" t="str">
        <f>IF(Employee__2[[#This Row],[City]]="Pune","Yes","No")</f>
        <v>Yes</v>
      </c>
      <c r="O1637" s="1" t="str">
        <f>IF(AND(Employee__2[[#This Row],[Education]]="Bachelors",Employee__2[[#This Row],[City]]="Pune"),"Yes","No")</f>
        <v>Yes</v>
      </c>
      <c r="P1637" s="1" t="str">
        <f>IF(OR(Employee__2[[#This Row],[Age]]&gt;=30,Employee__2[[#This Row],[Gender]]="Male"),"Mached","Not mached")</f>
        <v>Not mached</v>
      </c>
    </row>
    <row r="1638" spans="4:16" x14ac:dyDescent="0.25">
      <c r="D1638" s="6" t="s">
        <v>34</v>
      </c>
      <c r="E1638">
        <v>2012</v>
      </c>
      <c r="F1638" s="6" t="s">
        <v>35</v>
      </c>
      <c r="G1638">
        <v>3</v>
      </c>
      <c r="H1638">
        <v>28</v>
      </c>
      <c r="I1638" s="6" t="s">
        <v>39</v>
      </c>
      <c r="J1638" s="6" t="s">
        <v>37</v>
      </c>
      <c r="K1638">
        <v>2</v>
      </c>
      <c r="M1638" s="1" t="b">
        <f>Employee__2[[#This Row],[Experience]]&gt;1</f>
        <v>1</v>
      </c>
      <c r="N1638" s="1" t="str">
        <f>IF(Employee__2[[#This Row],[City]]="Pune","Yes","No")</f>
        <v>No</v>
      </c>
      <c r="O1638" s="1" t="str">
        <f>IF(AND(Employee__2[[#This Row],[Education]]="Bachelors",Employee__2[[#This Row],[City]]="Pune"),"Yes","No")</f>
        <v>No</v>
      </c>
      <c r="P1638" s="1" t="str">
        <f>IF(OR(Employee__2[[#This Row],[Age]]&gt;=30,Employee__2[[#This Row],[Gender]]="Male"),"Mached","Not mached")</f>
        <v>Not mached</v>
      </c>
    </row>
    <row r="1639" spans="4:16" x14ac:dyDescent="0.25">
      <c r="D1639" s="6" t="s">
        <v>34</v>
      </c>
      <c r="E1639">
        <v>2016</v>
      </c>
      <c r="F1639" s="6" t="s">
        <v>38</v>
      </c>
      <c r="G1639">
        <v>3</v>
      </c>
      <c r="H1639">
        <v>27</v>
      </c>
      <c r="I1639" s="6" t="s">
        <v>39</v>
      </c>
      <c r="J1639" s="6" t="s">
        <v>37</v>
      </c>
      <c r="K1639">
        <v>5</v>
      </c>
      <c r="M1639" s="1" t="b">
        <f>Employee__2[[#This Row],[Experience]]&gt;1</f>
        <v>1</v>
      </c>
      <c r="N1639" s="1" t="str">
        <f>IF(Employee__2[[#This Row],[City]]="Pune","Yes","No")</f>
        <v>Yes</v>
      </c>
      <c r="O1639" s="1" t="str">
        <f>IF(AND(Employee__2[[#This Row],[Education]]="Bachelors",Employee__2[[#This Row],[City]]="Pune"),"Yes","No")</f>
        <v>Yes</v>
      </c>
      <c r="P1639" s="1" t="str">
        <f>IF(OR(Employee__2[[#This Row],[Age]]&gt;=30,Employee__2[[#This Row],[Gender]]="Male"),"Mached","Not mached")</f>
        <v>Not mached</v>
      </c>
    </row>
    <row r="1640" spans="4:16" x14ac:dyDescent="0.25">
      <c r="D1640" s="6" t="s">
        <v>34</v>
      </c>
      <c r="E1640">
        <v>2016</v>
      </c>
      <c r="F1640" s="6" t="s">
        <v>35</v>
      </c>
      <c r="G1640">
        <v>3</v>
      </c>
      <c r="H1640">
        <v>26</v>
      </c>
      <c r="I1640" s="6" t="s">
        <v>36</v>
      </c>
      <c r="J1640" s="6" t="s">
        <v>37</v>
      </c>
      <c r="K1640">
        <v>4</v>
      </c>
      <c r="M1640" s="1" t="b">
        <f>Employee__2[[#This Row],[Experience]]&gt;1</f>
        <v>1</v>
      </c>
      <c r="N1640" s="1" t="str">
        <f>IF(Employee__2[[#This Row],[City]]="Pune","Yes","No")</f>
        <v>No</v>
      </c>
      <c r="O1640" s="1" t="str">
        <f>IF(AND(Employee__2[[#This Row],[Education]]="Bachelors",Employee__2[[#This Row],[City]]="Pune"),"Yes","No")</f>
        <v>No</v>
      </c>
      <c r="P1640" s="1" t="str">
        <f>IF(OR(Employee__2[[#This Row],[Age]]&gt;=30,Employee__2[[#This Row],[Gender]]="Male"),"Mached","Not mached")</f>
        <v>Mached</v>
      </c>
    </row>
    <row r="1641" spans="4:16" x14ac:dyDescent="0.25">
      <c r="D1641" s="6" t="s">
        <v>43</v>
      </c>
      <c r="E1641">
        <v>2018</v>
      </c>
      <c r="F1641" s="6" t="s">
        <v>40</v>
      </c>
      <c r="G1641">
        <v>3</v>
      </c>
      <c r="H1641">
        <v>26</v>
      </c>
      <c r="I1641" s="6" t="s">
        <v>36</v>
      </c>
      <c r="J1641" s="6" t="s">
        <v>37</v>
      </c>
      <c r="K1641">
        <v>4</v>
      </c>
      <c r="M1641" s="1" t="b">
        <f>Employee__2[[#This Row],[Experience]]&gt;1</f>
        <v>1</v>
      </c>
      <c r="N1641" s="1" t="str">
        <f>IF(Employee__2[[#This Row],[City]]="Pune","Yes","No")</f>
        <v>No</v>
      </c>
      <c r="O1641" s="1" t="str">
        <f>IF(AND(Employee__2[[#This Row],[Education]]="Bachelors",Employee__2[[#This Row],[City]]="Pune"),"Yes","No")</f>
        <v>No</v>
      </c>
      <c r="P1641" s="1" t="str">
        <f>IF(OR(Employee__2[[#This Row],[Age]]&gt;=30,Employee__2[[#This Row],[Gender]]="Male"),"Mached","Not mached")</f>
        <v>Mached</v>
      </c>
    </row>
    <row r="1642" spans="4:16" x14ac:dyDescent="0.25">
      <c r="D1642" s="6" t="s">
        <v>34</v>
      </c>
      <c r="E1642">
        <v>2017</v>
      </c>
      <c r="F1642" s="6" t="s">
        <v>35</v>
      </c>
      <c r="G1642">
        <v>3</v>
      </c>
      <c r="H1642">
        <v>27</v>
      </c>
      <c r="I1642" s="6" t="s">
        <v>36</v>
      </c>
      <c r="J1642" s="6" t="s">
        <v>37</v>
      </c>
      <c r="K1642">
        <v>5</v>
      </c>
      <c r="M1642" s="1" t="b">
        <f>Employee__2[[#This Row],[Experience]]&gt;1</f>
        <v>1</v>
      </c>
      <c r="N1642" s="1" t="str">
        <f>IF(Employee__2[[#This Row],[City]]="Pune","Yes","No")</f>
        <v>No</v>
      </c>
      <c r="O1642" s="1" t="str">
        <f>IF(AND(Employee__2[[#This Row],[Education]]="Bachelors",Employee__2[[#This Row],[City]]="Pune"),"Yes","No")</f>
        <v>No</v>
      </c>
      <c r="P1642" s="1" t="str">
        <f>IF(OR(Employee__2[[#This Row],[Age]]&gt;=30,Employee__2[[#This Row],[Gender]]="Male"),"Mached","Not mached")</f>
        <v>Mached</v>
      </c>
    </row>
    <row r="1643" spans="4:16" x14ac:dyDescent="0.25">
      <c r="D1643" s="6" t="s">
        <v>34</v>
      </c>
      <c r="E1643">
        <v>2018</v>
      </c>
      <c r="F1643" s="6" t="s">
        <v>38</v>
      </c>
      <c r="G1643">
        <v>3</v>
      </c>
      <c r="H1643">
        <v>28</v>
      </c>
      <c r="I1643" s="6" t="s">
        <v>36</v>
      </c>
      <c r="J1643" s="6" t="s">
        <v>37</v>
      </c>
      <c r="K1643">
        <v>2</v>
      </c>
      <c r="M1643" s="1" t="b">
        <f>Employee__2[[#This Row],[Experience]]&gt;1</f>
        <v>1</v>
      </c>
      <c r="N1643" s="1" t="str">
        <f>IF(Employee__2[[#This Row],[City]]="Pune","Yes","No")</f>
        <v>Yes</v>
      </c>
      <c r="O1643" s="1" t="str">
        <f>IF(AND(Employee__2[[#This Row],[Education]]="Bachelors",Employee__2[[#This Row],[City]]="Pune"),"Yes","No")</f>
        <v>Yes</v>
      </c>
      <c r="P1643" s="1" t="str">
        <f>IF(OR(Employee__2[[#This Row],[Age]]&gt;=30,Employee__2[[#This Row],[Gender]]="Male"),"Mached","Not mached")</f>
        <v>Mached</v>
      </c>
    </row>
    <row r="1644" spans="4:16" x14ac:dyDescent="0.25">
      <c r="D1644" s="6" t="s">
        <v>34</v>
      </c>
      <c r="E1644">
        <v>2013</v>
      </c>
      <c r="F1644" s="6" t="s">
        <v>35</v>
      </c>
      <c r="G1644">
        <v>3</v>
      </c>
      <c r="H1644">
        <v>24</v>
      </c>
      <c r="I1644" s="6" t="s">
        <v>36</v>
      </c>
      <c r="J1644" s="6" t="s">
        <v>37</v>
      </c>
      <c r="K1644">
        <v>2</v>
      </c>
      <c r="M1644" s="1" t="b">
        <f>Employee__2[[#This Row],[Experience]]&gt;1</f>
        <v>1</v>
      </c>
      <c r="N1644" s="1" t="str">
        <f>IF(Employee__2[[#This Row],[City]]="Pune","Yes","No")</f>
        <v>No</v>
      </c>
      <c r="O1644" s="1" t="str">
        <f>IF(AND(Employee__2[[#This Row],[Education]]="Bachelors",Employee__2[[#This Row],[City]]="Pune"),"Yes","No")</f>
        <v>No</v>
      </c>
      <c r="P1644" s="1" t="str">
        <f>IF(OR(Employee__2[[#This Row],[Age]]&gt;=30,Employee__2[[#This Row],[Gender]]="Male"),"Mached","Not mached")</f>
        <v>Mached</v>
      </c>
    </row>
    <row r="1645" spans="4:16" x14ac:dyDescent="0.25">
      <c r="D1645" s="6" t="s">
        <v>34</v>
      </c>
      <c r="E1645">
        <v>2013</v>
      </c>
      <c r="F1645" s="6" t="s">
        <v>40</v>
      </c>
      <c r="G1645">
        <v>3</v>
      </c>
      <c r="H1645">
        <v>26</v>
      </c>
      <c r="I1645" s="6" t="s">
        <v>36</v>
      </c>
      <c r="J1645" s="6" t="s">
        <v>37</v>
      </c>
      <c r="K1645">
        <v>4</v>
      </c>
      <c r="M1645" s="1" t="b">
        <f>Employee__2[[#This Row],[Experience]]&gt;1</f>
        <v>1</v>
      </c>
      <c r="N1645" s="1" t="str">
        <f>IF(Employee__2[[#This Row],[City]]="Pune","Yes","No")</f>
        <v>No</v>
      </c>
      <c r="O1645" s="1" t="str">
        <f>IF(AND(Employee__2[[#This Row],[Education]]="Bachelors",Employee__2[[#This Row],[City]]="Pune"),"Yes","No")</f>
        <v>No</v>
      </c>
      <c r="P1645" s="1" t="str">
        <f>IF(OR(Employee__2[[#This Row],[Age]]&gt;=30,Employee__2[[#This Row],[Gender]]="Male"),"Mached","Not mached")</f>
        <v>Mached</v>
      </c>
    </row>
    <row r="1646" spans="4:16" x14ac:dyDescent="0.25">
      <c r="D1646" s="6" t="s">
        <v>34</v>
      </c>
      <c r="E1646">
        <v>2013</v>
      </c>
      <c r="F1646" s="6" t="s">
        <v>35</v>
      </c>
      <c r="G1646">
        <v>3</v>
      </c>
      <c r="H1646">
        <v>28</v>
      </c>
      <c r="I1646" s="6" t="s">
        <v>36</v>
      </c>
      <c r="J1646" s="6" t="s">
        <v>42</v>
      </c>
      <c r="K1646">
        <v>1</v>
      </c>
      <c r="M1646" s="1" t="b">
        <f>Employee__2[[#This Row],[Experience]]&gt;1</f>
        <v>0</v>
      </c>
      <c r="N1646" s="1" t="str">
        <f>IF(Employee__2[[#This Row],[City]]="Pune","Yes","No")</f>
        <v>No</v>
      </c>
      <c r="O1646" s="1" t="str">
        <f>IF(AND(Employee__2[[#This Row],[Education]]="Bachelors",Employee__2[[#This Row],[City]]="Pune"),"Yes","No")</f>
        <v>No</v>
      </c>
      <c r="P1646" s="1" t="str">
        <f>IF(OR(Employee__2[[#This Row],[Age]]&gt;=30,Employee__2[[#This Row],[Gender]]="Male"),"Mached","Not mached")</f>
        <v>Mached</v>
      </c>
    </row>
    <row r="1647" spans="4:16" x14ac:dyDescent="0.25">
      <c r="D1647" s="6" t="s">
        <v>41</v>
      </c>
      <c r="E1647">
        <v>2017</v>
      </c>
      <c r="F1647" s="6" t="s">
        <v>40</v>
      </c>
      <c r="G1647">
        <v>2</v>
      </c>
      <c r="H1647">
        <v>28</v>
      </c>
      <c r="I1647" s="6" t="s">
        <v>39</v>
      </c>
      <c r="J1647" s="6" t="s">
        <v>37</v>
      </c>
      <c r="K1647">
        <v>2</v>
      </c>
      <c r="M1647" s="1" t="b">
        <f>Employee__2[[#This Row],[Experience]]&gt;1</f>
        <v>1</v>
      </c>
      <c r="N1647" s="1" t="str">
        <f>IF(Employee__2[[#This Row],[City]]="Pune","Yes","No")</f>
        <v>No</v>
      </c>
      <c r="O1647" s="1" t="str">
        <f>IF(AND(Employee__2[[#This Row],[Education]]="Bachelors",Employee__2[[#This Row],[City]]="Pune"),"Yes","No")</f>
        <v>No</v>
      </c>
      <c r="P1647" s="1" t="str">
        <f>IF(OR(Employee__2[[#This Row],[Age]]&gt;=30,Employee__2[[#This Row],[Gender]]="Male"),"Mached","Not mached")</f>
        <v>Not mached</v>
      </c>
    </row>
    <row r="1648" spans="4:16" x14ac:dyDescent="0.25">
      <c r="D1648" s="6" t="s">
        <v>34</v>
      </c>
      <c r="E1648">
        <v>2016</v>
      </c>
      <c r="F1648" s="6" t="s">
        <v>35</v>
      </c>
      <c r="G1648">
        <v>1</v>
      </c>
      <c r="H1648">
        <v>24</v>
      </c>
      <c r="I1648" s="6" t="s">
        <v>36</v>
      </c>
      <c r="J1648" s="6" t="s">
        <v>37</v>
      </c>
      <c r="K1648">
        <v>2</v>
      </c>
      <c r="M1648" s="1" t="b">
        <f>Employee__2[[#This Row],[Experience]]&gt;1</f>
        <v>1</v>
      </c>
      <c r="N1648" s="1" t="str">
        <f>IF(Employee__2[[#This Row],[City]]="Pune","Yes","No")</f>
        <v>No</v>
      </c>
      <c r="O1648" s="1" t="str">
        <f>IF(AND(Employee__2[[#This Row],[Education]]="Bachelors",Employee__2[[#This Row],[City]]="Pune"),"Yes","No")</f>
        <v>No</v>
      </c>
      <c r="P1648" s="1" t="str">
        <f>IF(OR(Employee__2[[#This Row],[Age]]&gt;=30,Employee__2[[#This Row],[Gender]]="Male"),"Mached","Not mached")</f>
        <v>Mached</v>
      </c>
    </row>
    <row r="1649" spans="4:16" x14ac:dyDescent="0.25">
      <c r="D1649" s="6" t="s">
        <v>34</v>
      </c>
      <c r="E1649">
        <v>2017</v>
      </c>
      <c r="F1649" s="6" t="s">
        <v>35</v>
      </c>
      <c r="G1649">
        <v>3</v>
      </c>
      <c r="H1649">
        <v>27</v>
      </c>
      <c r="I1649" s="6" t="s">
        <v>36</v>
      </c>
      <c r="J1649" s="6" t="s">
        <v>37</v>
      </c>
      <c r="K1649">
        <v>5</v>
      </c>
      <c r="M1649" s="1" t="b">
        <f>Employee__2[[#This Row],[Experience]]&gt;1</f>
        <v>1</v>
      </c>
      <c r="N1649" s="1" t="str">
        <f>IF(Employee__2[[#This Row],[City]]="Pune","Yes","No")</f>
        <v>No</v>
      </c>
      <c r="O1649" s="1" t="str">
        <f>IF(AND(Employee__2[[#This Row],[Education]]="Bachelors",Employee__2[[#This Row],[City]]="Pune"),"Yes","No")</f>
        <v>No</v>
      </c>
      <c r="P1649" s="1" t="str">
        <f>IF(OR(Employee__2[[#This Row],[Age]]&gt;=30,Employee__2[[#This Row],[Gender]]="Male"),"Mached","Not mached")</f>
        <v>Mached</v>
      </c>
    </row>
    <row r="1650" spans="4:16" x14ac:dyDescent="0.25">
      <c r="D1650" s="6" t="s">
        <v>34</v>
      </c>
      <c r="E1650">
        <v>2014</v>
      </c>
      <c r="F1650" s="6" t="s">
        <v>38</v>
      </c>
      <c r="G1650">
        <v>2</v>
      </c>
      <c r="H1650">
        <v>27</v>
      </c>
      <c r="I1650" s="6" t="s">
        <v>39</v>
      </c>
      <c r="J1650" s="6" t="s">
        <v>37</v>
      </c>
      <c r="K1650">
        <v>5</v>
      </c>
      <c r="M1650" s="1" t="b">
        <f>Employee__2[[#This Row],[Experience]]&gt;1</f>
        <v>1</v>
      </c>
      <c r="N1650" s="1" t="str">
        <f>IF(Employee__2[[#This Row],[City]]="Pune","Yes","No")</f>
        <v>Yes</v>
      </c>
      <c r="O1650" s="1" t="str">
        <f>IF(AND(Employee__2[[#This Row],[Education]]="Bachelors",Employee__2[[#This Row],[City]]="Pune"),"Yes","No")</f>
        <v>Yes</v>
      </c>
      <c r="P1650" s="1" t="str">
        <f>IF(OR(Employee__2[[#This Row],[Age]]&gt;=30,Employee__2[[#This Row],[Gender]]="Male"),"Mached","Not mached")</f>
        <v>Not mached</v>
      </c>
    </row>
    <row r="1651" spans="4:16" x14ac:dyDescent="0.25">
      <c r="D1651" s="6" t="s">
        <v>34</v>
      </c>
      <c r="E1651">
        <v>2017</v>
      </c>
      <c r="F1651" s="6" t="s">
        <v>35</v>
      </c>
      <c r="G1651">
        <v>3</v>
      </c>
      <c r="H1651">
        <v>27</v>
      </c>
      <c r="I1651" s="6" t="s">
        <v>36</v>
      </c>
      <c r="J1651" s="6" t="s">
        <v>37</v>
      </c>
      <c r="K1651">
        <v>5</v>
      </c>
      <c r="M1651" s="1" t="b">
        <f>Employee__2[[#This Row],[Experience]]&gt;1</f>
        <v>1</v>
      </c>
      <c r="N1651" s="1" t="str">
        <f>IF(Employee__2[[#This Row],[City]]="Pune","Yes","No")</f>
        <v>No</v>
      </c>
      <c r="O1651" s="1" t="str">
        <f>IF(AND(Employee__2[[#This Row],[Education]]="Bachelors",Employee__2[[#This Row],[City]]="Pune"),"Yes","No")</f>
        <v>No</v>
      </c>
      <c r="P1651" s="1" t="str">
        <f>IF(OR(Employee__2[[#This Row],[Age]]&gt;=30,Employee__2[[#This Row],[Gender]]="Male"),"Mached","Not mached")</f>
        <v>Mached</v>
      </c>
    </row>
    <row r="1652" spans="4:16" x14ac:dyDescent="0.25">
      <c r="D1652" s="6" t="s">
        <v>34</v>
      </c>
      <c r="E1652">
        <v>2017</v>
      </c>
      <c r="F1652" s="6" t="s">
        <v>40</v>
      </c>
      <c r="G1652">
        <v>3</v>
      </c>
      <c r="H1652">
        <v>27</v>
      </c>
      <c r="I1652" s="6" t="s">
        <v>36</v>
      </c>
      <c r="J1652" s="6" t="s">
        <v>37</v>
      </c>
      <c r="K1652">
        <v>5</v>
      </c>
      <c r="M1652" s="1" t="b">
        <f>Employee__2[[#This Row],[Experience]]&gt;1</f>
        <v>1</v>
      </c>
      <c r="N1652" s="1" t="str">
        <f>IF(Employee__2[[#This Row],[City]]="Pune","Yes","No")</f>
        <v>No</v>
      </c>
      <c r="O1652" s="1" t="str">
        <f>IF(AND(Employee__2[[#This Row],[Education]]="Bachelors",Employee__2[[#This Row],[City]]="Pune"),"Yes","No")</f>
        <v>No</v>
      </c>
      <c r="P1652" s="1" t="str">
        <f>IF(OR(Employee__2[[#This Row],[Age]]&gt;=30,Employee__2[[#This Row],[Gender]]="Male"),"Mached","Not mached")</f>
        <v>Mached</v>
      </c>
    </row>
    <row r="1653" spans="4:16" x14ac:dyDescent="0.25">
      <c r="D1653" s="6" t="s">
        <v>41</v>
      </c>
      <c r="E1653">
        <v>2018</v>
      </c>
      <c r="F1653" s="6" t="s">
        <v>40</v>
      </c>
      <c r="G1653">
        <v>3</v>
      </c>
      <c r="H1653">
        <v>24</v>
      </c>
      <c r="I1653" s="6" t="s">
        <v>36</v>
      </c>
      <c r="J1653" s="6" t="s">
        <v>37</v>
      </c>
      <c r="K1653">
        <v>2</v>
      </c>
      <c r="M1653" s="1" t="b">
        <f>Employee__2[[#This Row],[Experience]]&gt;1</f>
        <v>1</v>
      </c>
      <c r="N1653" s="1" t="str">
        <f>IF(Employee__2[[#This Row],[City]]="Pune","Yes","No")</f>
        <v>No</v>
      </c>
      <c r="O1653" s="1" t="str">
        <f>IF(AND(Employee__2[[#This Row],[Education]]="Bachelors",Employee__2[[#This Row],[City]]="Pune"),"Yes","No")</f>
        <v>No</v>
      </c>
      <c r="P1653" s="1" t="str">
        <f>IF(OR(Employee__2[[#This Row],[Age]]&gt;=30,Employee__2[[#This Row],[Gender]]="Male"),"Mached","Not mached")</f>
        <v>Mached</v>
      </c>
    </row>
    <row r="1654" spans="4:16" x14ac:dyDescent="0.25">
      <c r="D1654" s="6" t="s">
        <v>34</v>
      </c>
      <c r="E1654">
        <v>2016</v>
      </c>
      <c r="F1654" s="6" t="s">
        <v>35</v>
      </c>
      <c r="G1654">
        <v>3</v>
      </c>
      <c r="H1654">
        <v>26</v>
      </c>
      <c r="I1654" s="6" t="s">
        <v>36</v>
      </c>
      <c r="J1654" s="6" t="s">
        <v>37</v>
      </c>
      <c r="K1654">
        <v>4</v>
      </c>
      <c r="M1654" s="1" t="b">
        <f>Employee__2[[#This Row],[Experience]]&gt;1</f>
        <v>1</v>
      </c>
      <c r="N1654" s="1" t="str">
        <f>IF(Employee__2[[#This Row],[City]]="Pune","Yes","No")</f>
        <v>No</v>
      </c>
      <c r="O1654" s="1" t="str">
        <f>IF(AND(Employee__2[[#This Row],[Education]]="Bachelors",Employee__2[[#This Row],[City]]="Pune"),"Yes","No")</f>
        <v>No</v>
      </c>
      <c r="P1654" s="1" t="str">
        <f>IF(OR(Employee__2[[#This Row],[Age]]&gt;=30,Employee__2[[#This Row],[Gender]]="Male"),"Mached","Not mached")</f>
        <v>Mached</v>
      </c>
    </row>
    <row r="1655" spans="4:16" x14ac:dyDescent="0.25">
      <c r="D1655" s="6" t="s">
        <v>34</v>
      </c>
      <c r="E1655">
        <v>2017</v>
      </c>
      <c r="F1655" s="6" t="s">
        <v>35</v>
      </c>
      <c r="G1655">
        <v>3</v>
      </c>
      <c r="H1655">
        <v>28</v>
      </c>
      <c r="I1655" s="6" t="s">
        <v>36</v>
      </c>
      <c r="J1655" s="6" t="s">
        <v>42</v>
      </c>
      <c r="K1655">
        <v>3</v>
      </c>
      <c r="M1655" s="1" t="b">
        <f>Employee__2[[#This Row],[Experience]]&gt;1</f>
        <v>1</v>
      </c>
      <c r="N1655" s="1" t="str">
        <f>IF(Employee__2[[#This Row],[City]]="Pune","Yes","No")</f>
        <v>No</v>
      </c>
      <c r="O1655" s="1" t="str">
        <f>IF(AND(Employee__2[[#This Row],[Education]]="Bachelors",Employee__2[[#This Row],[City]]="Pune"),"Yes","No")</f>
        <v>No</v>
      </c>
      <c r="P1655" s="1" t="str">
        <f>IF(OR(Employee__2[[#This Row],[Age]]&gt;=30,Employee__2[[#This Row],[Gender]]="Male"),"Mached","Not mached")</f>
        <v>Mached</v>
      </c>
    </row>
    <row r="1656" spans="4:16" x14ac:dyDescent="0.25">
      <c r="D1656" s="6" t="s">
        <v>34</v>
      </c>
      <c r="E1656">
        <v>2017</v>
      </c>
      <c r="F1656" s="6" t="s">
        <v>40</v>
      </c>
      <c r="G1656">
        <v>3</v>
      </c>
      <c r="H1656">
        <v>26</v>
      </c>
      <c r="I1656" s="6" t="s">
        <v>39</v>
      </c>
      <c r="J1656" s="6" t="s">
        <v>37</v>
      </c>
      <c r="K1656">
        <v>4</v>
      </c>
      <c r="M1656" s="1" t="b">
        <f>Employee__2[[#This Row],[Experience]]&gt;1</f>
        <v>1</v>
      </c>
      <c r="N1656" s="1" t="str">
        <f>IF(Employee__2[[#This Row],[City]]="Pune","Yes","No")</f>
        <v>No</v>
      </c>
      <c r="O1656" s="1" t="str">
        <f>IF(AND(Employee__2[[#This Row],[Education]]="Bachelors",Employee__2[[#This Row],[City]]="Pune"),"Yes","No")</f>
        <v>No</v>
      </c>
      <c r="P1656" s="1" t="str">
        <f>IF(OR(Employee__2[[#This Row],[Age]]&gt;=30,Employee__2[[#This Row],[Gender]]="Male"),"Mached","Not mached")</f>
        <v>Not mached</v>
      </c>
    </row>
    <row r="1657" spans="4:16" x14ac:dyDescent="0.25">
      <c r="D1657" s="6" t="s">
        <v>34</v>
      </c>
      <c r="E1657">
        <v>2016</v>
      </c>
      <c r="F1657" s="6" t="s">
        <v>38</v>
      </c>
      <c r="G1657">
        <v>3</v>
      </c>
      <c r="H1657">
        <v>28</v>
      </c>
      <c r="I1657" s="6" t="s">
        <v>36</v>
      </c>
      <c r="J1657" s="6" t="s">
        <v>37</v>
      </c>
      <c r="K1657">
        <v>3</v>
      </c>
      <c r="M1657" s="1" t="b">
        <f>Employee__2[[#This Row],[Experience]]&gt;1</f>
        <v>1</v>
      </c>
      <c r="N1657" s="1" t="str">
        <f>IF(Employee__2[[#This Row],[City]]="Pune","Yes","No")</f>
        <v>Yes</v>
      </c>
      <c r="O1657" s="1" t="str">
        <f>IF(AND(Employee__2[[#This Row],[Education]]="Bachelors",Employee__2[[#This Row],[City]]="Pune"),"Yes","No")</f>
        <v>Yes</v>
      </c>
      <c r="P1657" s="1" t="str">
        <f>IF(OR(Employee__2[[#This Row],[Age]]&gt;=30,Employee__2[[#This Row],[Gender]]="Male"),"Mached","Not mached")</f>
        <v>Mached</v>
      </c>
    </row>
    <row r="1658" spans="4:16" x14ac:dyDescent="0.25">
      <c r="D1658" s="6" t="s">
        <v>34</v>
      </c>
      <c r="E1658">
        <v>2015</v>
      </c>
      <c r="F1658" s="6" t="s">
        <v>40</v>
      </c>
      <c r="G1658">
        <v>3</v>
      </c>
      <c r="H1658">
        <v>26</v>
      </c>
      <c r="I1658" s="6" t="s">
        <v>36</v>
      </c>
      <c r="J1658" s="6" t="s">
        <v>37</v>
      </c>
      <c r="K1658">
        <v>4</v>
      </c>
      <c r="M1658" s="1" t="b">
        <f>Employee__2[[#This Row],[Experience]]&gt;1</f>
        <v>1</v>
      </c>
      <c r="N1658" s="1" t="str">
        <f>IF(Employee__2[[#This Row],[City]]="Pune","Yes","No")</f>
        <v>No</v>
      </c>
      <c r="O1658" s="1" t="str">
        <f>IF(AND(Employee__2[[#This Row],[Education]]="Bachelors",Employee__2[[#This Row],[City]]="Pune"),"Yes","No")</f>
        <v>No</v>
      </c>
      <c r="P1658" s="1" t="str">
        <f>IF(OR(Employee__2[[#This Row],[Age]]&gt;=30,Employee__2[[#This Row],[Gender]]="Male"),"Mached","Not mached")</f>
        <v>Mached</v>
      </c>
    </row>
    <row r="1659" spans="4:16" x14ac:dyDescent="0.25">
      <c r="D1659" s="6" t="s">
        <v>34</v>
      </c>
      <c r="E1659">
        <v>2014</v>
      </c>
      <c r="F1659" s="6" t="s">
        <v>35</v>
      </c>
      <c r="G1659">
        <v>3</v>
      </c>
      <c r="H1659">
        <v>26</v>
      </c>
      <c r="I1659" s="6" t="s">
        <v>36</v>
      </c>
      <c r="J1659" s="6" t="s">
        <v>37</v>
      </c>
      <c r="K1659">
        <v>4</v>
      </c>
      <c r="M1659" s="1" t="b">
        <f>Employee__2[[#This Row],[Experience]]&gt;1</f>
        <v>1</v>
      </c>
      <c r="N1659" s="1" t="str">
        <f>IF(Employee__2[[#This Row],[City]]="Pune","Yes","No")</f>
        <v>No</v>
      </c>
      <c r="O1659" s="1" t="str">
        <f>IF(AND(Employee__2[[#This Row],[Education]]="Bachelors",Employee__2[[#This Row],[City]]="Pune"),"Yes","No")</f>
        <v>No</v>
      </c>
      <c r="P1659" s="1" t="str">
        <f>IF(OR(Employee__2[[#This Row],[Age]]&gt;=30,Employee__2[[#This Row],[Gender]]="Male"),"Mached","Not mached")</f>
        <v>Mached</v>
      </c>
    </row>
    <row r="1660" spans="4:16" x14ac:dyDescent="0.25">
      <c r="D1660" s="6" t="s">
        <v>34</v>
      </c>
      <c r="E1660">
        <v>2017</v>
      </c>
      <c r="F1660" s="6" t="s">
        <v>38</v>
      </c>
      <c r="G1660">
        <v>2</v>
      </c>
      <c r="H1660">
        <v>24</v>
      </c>
      <c r="I1660" s="6" t="s">
        <v>39</v>
      </c>
      <c r="J1660" s="6" t="s">
        <v>37</v>
      </c>
      <c r="K1660">
        <v>2</v>
      </c>
      <c r="M1660" s="1" t="b">
        <f>Employee__2[[#This Row],[Experience]]&gt;1</f>
        <v>1</v>
      </c>
      <c r="N1660" s="1" t="str">
        <f>IF(Employee__2[[#This Row],[City]]="Pune","Yes","No")</f>
        <v>Yes</v>
      </c>
      <c r="O1660" s="1" t="str">
        <f>IF(AND(Employee__2[[#This Row],[Education]]="Bachelors",Employee__2[[#This Row],[City]]="Pune"),"Yes","No")</f>
        <v>Yes</v>
      </c>
      <c r="P1660" s="1" t="str">
        <f>IF(OR(Employee__2[[#This Row],[Age]]&gt;=30,Employee__2[[#This Row],[Gender]]="Male"),"Mached","Not mached")</f>
        <v>Not mached</v>
      </c>
    </row>
    <row r="1661" spans="4:16" x14ac:dyDescent="0.25">
      <c r="D1661" s="6" t="s">
        <v>34</v>
      </c>
      <c r="E1661">
        <v>2016</v>
      </c>
      <c r="F1661" s="6" t="s">
        <v>35</v>
      </c>
      <c r="G1661">
        <v>3</v>
      </c>
      <c r="H1661">
        <v>26</v>
      </c>
      <c r="I1661" s="6" t="s">
        <v>36</v>
      </c>
      <c r="J1661" s="6" t="s">
        <v>37</v>
      </c>
      <c r="K1661">
        <v>4</v>
      </c>
      <c r="M1661" s="1" t="b">
        <f>Employee__2[[#This Row],[Experience]]&gt;1</f>
        <v>1</v>
      </c>
      <c r="N1661" s="1" t="str">
        <f>IF(Employee__2[[#This Row],[City]]="Pune","Yes","No")</f>
        <v>No</v>
      </c>
      <c r="O1661" s="1" t="str">
        <f>IF(AND(Employee__2[[#This Row],[Education]]="Bachelors",Employee__2[[#This Row],[City]]="Pune"),"Yes","No")</f>
        <v>No</v>
      </c>
      <c r="P1661" s="1" t="str">
        <f>IF(OR(Employee__2[[#This Row],[Age]]&gt;=30,Employee__2[[#This Row],[Gender]]="Male"),"Mached","Not mached")</f>
        <v>Mached</v>
      </c>
    </row>
    <row r="1662" spans="4:16" x14ac:dyDescent="0.25">
      <c r="D1662" s="6" t="s">
        <v>43</v>
      </c>
      <c r="E1662">
        <v>2016</v>
      </c>
      <c r="F1662" s="6" t="s">
        <v>40</v>
      </c>
      <c r="G1662">
        <v>1</v>
      </c>
      <c r="H1662">
        <v>26</v>
      </c>
      <c r="I1662" s="6" t="s">
        <v>36</v>
      </c>
      <c r="J1662" s="6" t="s">
        <v>37</v>
      </c>
      <c r="K1662">
        <v>4</v>
      </c>
      <c r="M1662" s="1" t="b">
        <f>Employee__2[[#This Row],[Experience]]&gt;1</f>
        <v>1</v>
      </c>
      <c r="N1662" s="1" t="str">
        <f>IF(Employee__2[[#This Row],[City]]="Pune","Yes","No")</f>
        <v>No</v>
      </c>
      <c r="O1662" s="1" t="str">
        <f>IF(AND(Employee__2[[#This Row],[Education]]="Bachelors",Employee__2[[#This Row],[City]]="Pune"),"Yes","No")</f>
        <v>No</v>
      </c>
      <c r="P1662" s="1" t="str">
        <f>IF(OR(Employee__2[[#This Row],[Age]]&gt;=30,Employee__2[[#This Row],[Gender]]="Male"),"Mached","Not mached")</f>
        <v>Mached</v>
      </c>
    </row>
    <row r="1663" spans="4:16" x14ac:dyDescent="0.25">
      <c r="D1663" s="6" t="s">
        <v>34</v>
      </c>
      <c r="E1663">
        <v>2018</v>
      </c>
      <c r="F1663" s="6" t="s">
        <v>35</v>
      </c>
      <c r="G1663">
        <v>3</v>
      </c>
      <c r="H1663">
        <v>24</v>
      </c>
      <c r="I1663" s="6" t="s">
        <v>39</v>
      </c>
      <c r="J1663" s="6" t="s">
        <v>37</v>
      </c>
      <c r="K1663">
        <v>2</v>
      </c>
      <c r="M1663" s="1" t="b">
        <f>Employee__2[[#This Row],[Experience]]&gt;1</f>
        <v>1</v>
      </c>
      <c r="N1663" s="1" t="str">
        <f>IF(Employee__2[[#This Row],[City]]="Pune","Yes","No")</f>
        <v>No</v>
      </c>
      <c r="O1663" s="1" t="str">
        <f>IF(AND(Employee__2[[#This Row],[Education]]="Bachelors",Employee__2[[#This Row],[City]]="Pune"),"Yes","No")</f>
        <v>No</v>
      </c>
      <c r="P1663" s="1" t="str">
        <f>IF(OR(Employee__2[[#This Row],[Age]]&gt;=30,Employee__2[[#This Row],[Gender]]="Male"),"Mached","Not mached")</f>
        <v>Not mached</v>
      </c>
    </row>
    <row r="1664" spans="4:16" x14ac:dyDescent="0.25">
      <c r="D1664" s="6" t="s">
        <v>34</v>
      </c>
      <c r="E1664">
        <v>2017</v>
      </c>
      <c r="F1664" s="6" t="s">
        <v>35</v>
      </c>
      <c r="G1664">
        <v>2</v>
      </c>
      <c r="H1664">
        <v>28</v>
      </c>
      <c r="I1664" s="6" t="s">
        <v>39</v>
      </c>
      <c r="J1664" s="6" t="s">
        <v>37</v>
      </c>
      <c r="K1664">
        <v>1</v>
      </c>
      <c r="M1664" s="1" t="b">
        <f>Employee__2[[#This Row],[Experience]]&gt;1</f>
        <v>0</v>
      </c>
      <c r="N1664" s="1" t="str">
        <f>IF(Employee__2[[#This Row],[City]]="Pune","Yes","No")</f>
        <v>No</v>
      </c>
      <c r="O1664" s="1" t="str">
        <f>IF(AND(Employee__2[[#This Row],[Education]]="Bachelors",Employee__2[[#This Row],[City]]="Pune"),"Yes","No")</f>
        <v>No</v>
      </c>
      <c r="P1664" s="1" t="str">
        <f>IF(OR(Employee__2[[#This Row],[Age]]&gt;=30,Employee__2[[#This Row],[Gender]]="Male"),"Mached","Not mached")</f>
        <v>Not mached</v>
      </c>
    </row>
    <row r="1665" spans="4:16" x14ac:dyDescent="0.25">
      <c r="D1665" s="6" t="s">
        <v>34</v>
      </c>
      <c r="E1665">
        <v>2013</v>
      </c>
      <c r="F1665" s="6" t="s">
        <v>35</v>
      </c>
      <c r="G1665">
        <v>3</v>
      </c>
      <c r="H1665">
        <v>24</v>
      </c>
      <c r="I1665" s="6" t="s">
        <v>39</v>
      </c>
      <c r="J1665" s="6" t="s">
        <v>37</v>
      </c>
      <c r="K1665">
        <v>2</v>
      </c>
      <c r="M1665" s="1" t="b">
        <f>Employee__2[[#This Row],[Experience]]&gt;1</f>
        <v>1</v>
      </c>
      <c r="N1665" s="1" t="str">
        <f>IF(Employee__2[[#This Row],[City]]="Pune","Yes","No")</f>
        <v>No</v>
      </c>
      <c r="O1665" s="1" t="str">
        <f>IF(AND(Employee__2[[#This Row],[Education]]="Bachelors",Employee__2[[#This Row],[City]]="Pune"),"Yes","No")</f>
        <v>No</v>
      </c>
      <c r="P1665" s="1" t="str">
        <f>IF(OR(Employee__2[[#This Row],[Age]]&gt;=30,Employee__2[[#This Row],[Gender]]="Male"),"Mached","Not mached")</f>
        <v>Not mached</v>
      </c>
    </row>
    <row r="1666" spans="4:16" x14ac:dyDescent="0.25">
      <c r="D1666" s="6" t="s">
        <v>41</v>
      </c>
      <c r="E1666">
        <v>2014</v>
      </c>
      <c r="F1666" s="6" t="s">
        <v>40</v>
      </c>
      <c r="G1666">
        <v>3</v>
      </c>
      <c r="H1666">
        <v>25</v>
      </c>
      <c r="I1666" s="6" t="s">
        <v>39</v>
      </c>
      <c r="J1666" s="6" t="s">
        <v>37</v>
      </c>
      <c r="K1666">
        <v>3</v>
      </c>
      <c r="M1666" s="1" t="b">
        <f>Employee__2[[#This Row],[Experience]]&gt;1</f>
        <v>1</v>
      </c>
      <c r="N1666" s="1" t="str">
        <f>IF(Employee__2[[#This Row],[City]]="Pune","Yes","No")</f>
        <v>No</v>
      </c>
      <c r="O1666" s="1" t="str">
        <f>IF(AND(Employee__2[[#This Row],[Education]]="Bachelors",Employee__2[[#This Row],[City]]="Pune"),"Yes","No")</f>
        <v>No</v>
      </c>
      <c r="P1666" s="1" t="str">
        <f>IF(OR(Employee__2[[#This Row],[Age]]&gt;=30,Employee__2[[#This Row],[Gender]]="Male"),"Mached","Not mached")</f>
        <v>Not mached</v>
      </c>
    </row>
    <row r="1667" spans="4:16" x14ac:dyDescent="0.25">
      <c r="D1667" s="6" t="s">
        <v>34</v>
      </c>
      <c r="E1667">
        <v>2012</v>
      </c>
      <c r="F1667" s="6" t="s">
        <v>38</v>
      </c>
      <c r="G1667">
        <v>1</v>
      </c>
      <c r="H1667">
        <v>26</v>
      </c>
      <c r="I1667" s="6" t="s">
        <v>36</v>
      </c>
      <c r="J1667" s="6" t="s">
        <v>37</v>
      </c>
      <c r="K1667">
        <v>4</v>
      </c>
      <c r="M1667" s="1" t="b">
        <f>Employee__2[[#This Row],[Experience]]&gt;1</f>
        <v>1</v>
      </c>
      <c r="N1667" s="1" t="str">
        <f>IF(Employee__2[[#This Row],[City]]="Pune","Yes","No")</f>
        <v>Yes</v>
      </c>
      <c r="O1667" s="1" t="str">
        <f>IF(AND(Employee__2[[#This Row],[Education]]="Bachelors",Employee__2[[#This Row],[City]]="Pune"),"Yes","No")</f>
        <v>Yes</v>
      </c>
      <c r="P1667" s="1" t="str">
        <f>IF(OR(Employee__2[[#This Row],[Age]]&gt;=30,Employee__2[[#This Row],[Gender]]="Male"),"Mached","Not mached")</f>
        <v>Mached</v>
      </c>
    </row>
    <row r="1668" spans="4:16" x14ac:dyDescent="0.25">
      <c r="D1668" s="6" t="s">
        <v>34</v>
      </c>
      <c r="E1668">
        <v>2014</v>
      </c>
      <c r="F1668" s="6" t="s">
        <v>35</v>
      </c>
      <c r="G1668">
        <v>3</v>
      </c>
      <c r="H1668">
        <v>28</v>
      </c>
      <c r="I1668" s="6" t="s">
        <v>36</v>
      </c>
      <c r="J1668" s="6" t="s">
        <v>37</v>
      </c>
      <c r="K1668">
        <v>5</v>
      </c>
      <c r="M1668" s="1" t="b">
        <f>Employee__2[[#This Row],[Experience]]&gt;1</f>
        <v>1</v>
      </c>
      <c r="N1668" s="1" t="str">
        <f>IF(Employee__2[[#This Row],[City]]="Pune","Yes","No")</f>
        <v>No</v>
      </c>
      <c r="O1668" s="1" t="str">
        <f>IF(AND(Employee__2[[#This Row],[Education]]="Bachelors",Employee__2[[#This Row],[City]]="Pune"),"Yes","No")</f>
        <v>No</v>
      </c>
      <c r="P1668" s="1" t="str">
        <f>IF(OR(Employee__2[[#This Row],[Age]]&gt;=30,Employee__2[[#This Row],[Gender]]="Male"),"Mached","Not mached")</f>
        <v>Mached</v>
      </c>
    </row>
    <row r="1669" spans="4:16" x14ac:dyDescent="0.25">
      <c r="D1669" s="6" t="s">
        <v>34</v>
      </c>
      <c r="E1669">
        <v>2013</v>
      </c>
      <c r="F1669" s="6" t="s">
        <v>35</v>
      </c>
      <c r="G1669">
        <v>3</v>
      </c>
      <c r="H1669">
        <v>28</v>
      </c>
      <c r="I1669" s="6" t="s">
        <v>36</v>
      </c>
      <c r="J1669" s="6" t="s">
        <v>37</v>
      </c>
      <c r="K1669">
        <v>2</v>
      </c>
      <c r="M1669" s="1" t="b">
        <f>Employee__2[[#This Row],[Experience]]&gt;1</f>
        <v>1</v>
      </c>
      <c r="N1669" s="1" t="str">
        <f>IF(Employee__2[[#This Row],[City]]="Pune","Yes","No")</f>
        <v>No</v>
      </c>
      <c r="O1669" s="1" t="str">
        <f>IF(AND(Employee__2[[#This Row],[Education]]="Bachelors",Employee__2[[#This Row],[City]]="Pune"),"Yes","No")</f>
        <v>No</v>
      </c>
      <c r="P1669" s="1" t="str">
        <f>IF(OR(Employee__2[[#This Row],[Age]]&gt;=30,Employee__2[[#This Row],[Gender]]="Male"),"Mached","Not mached")</f>
        <v>Mached</v>
      </c>
    </row>
    <row r="1670" spans="4:16" x14ac:dyDescent="0.25">
      <c r="D1670" s="6" t="s">
        <v>41</v>
      </c>
      <c r="E1670">
        <v>2017</v>
      </c>
      <c r="F1670" s="6" t="s">
        <v>38</v>
      </c>
      <c r="G1670">
        <v>2</v>
      </c>
      <c r="H1670">
        <v>27</v>
      </c>
      <c r="I1670" s="6" t="s">
        <v>36</v>
      </c>
      <c r="J1670" s="6" t="s">
        <v>37</v>
      </c>
      <c r="K1670">
        <v>5</v>
      </c>
      <c r="M1670" s="1" t="b">
        <f>Employee__2[[#This Row],[Experience]]&gt;1</f>
        <v>1</v>
      </c>
      <c r="N1670" s="1" t="str">
        <f>IF(Employee__2[[#This Row],[City]]="Pune","Yes","No")</f>
        <v>Yes</v>
      </c>
      <c r="O1670" s="1" t="str">
        <f>IF(AND(Employee__2[[#This Row],[Education]]="Bachelors",Employee__2[[#This Row],[City]]="Pune"),"Yes","No")</f>
        <v>No</v>
      </c>
      <c r="P1670" s="1" t="str">
        <f>IF(OR(Employee__2[[#This Row],[Age]]&gt;=30,Employee__2[[#This Row],[Gender]]="Male"),"Mached","Not mached")</f>
        <v>Mached</v>
      </c>
    </row>
    <row r="1671" spans="4:16" x14ac:dyDescent="0.25">
      <c r="D1671" s="6" t="s">
        <v>34</v>
      </c>
      <c r="E1671">
        <v>2016</v>
      </c>
      <c r="F1671" s="6" t="s">
        <v>35</v>
      </c>
      <c r="G1671">
        <v>3</v>
      </c>
      <c r="H1671">
        <v>28</v>
      </c>
      <c r="I1671" s="6" t="s">
        <v>36</v>
      </c>
      <c r="J1671" s="6" t="s">
        <v>42</v>
      </c>
      <c r="K1671">
        <v>0</v>
      </c>
      <c r="M1671" s="1" t="b">
        <f>Employee__2[[#This Row],[Experience]]&gt;1</f>
        <v>0</v>
      </c>
      <c r="N1671" s="1" t="str">
        <f>IF(Employee__2[[#This Row],[City]]="Pune","Yes","No")</f>
        <v>No</v>
      </c>
      <c r="O1671" s="1" t="str">
        <f>IF(AND(Employee__2[[#This Row],[Education]]="Bachelors",Employee__2[[#This Row],[City]]="Pune"),"Yes","No")</f>
        <v>No</v>
      </c>
      <c r="P1671" s="1" t="str">
        <f>IF(OR(Employee__2[[#This Row],[Age]]&gt;=30,Employee__2[[#This Row],[Gender]]="Male"),"Mached","Not mached")</f>
        <v>Mached</v>
      </c>
    </row>
    <row r="1672" spans="4:16" x14ac:dyDescent="0.25">
      <c r="D1672" s="6" t="s">
        <v>34</v>
      </c>
      <c r="E1672">
        <v>2014</v>
      </c>
      <c r="F1672" s="6" t="s">
        <v>40</v>
      </c>
      <c r="G1672">
        <v>3</v>
      </c>
      <c r="H1672">
        <v>25</v>
      </c>
      <c r="I1672" s="6" t="s">
        <v>36</v>
      </c>
      <c r="J1672" s="6" t="s">
        <v>37</v>
      </c>
      <c r="K1672">
        <v>3</v>
      </c>
      <c r="M1672" s="1" t="b">
        <f>Employee__2[[#This Row],[Experience]]&gt;1</f>
        <v>1</v>
      </c>
      <c r="N1672" s="1" t="str">
        <f>IF(Employee__2[[#This Row],[City]]="Pune","Yes","No")</f>
        <v>No</v>
      </c>
      <c r="O1672" s="1" t="str">
        <f>IF(AND(Employee__2[[#This Row],[Education]]="Bachelors",Employee__2[[#This Row],[City]]="Pune"),"Yes","No")</f>
        <v>No</v>
      </c>
      <c r="P1672" s="1" t="str">
        <f>IF(OR(Employee__2[[#This Row],[Age]]&gt;=30,Employee__2[[#This Row],[Gender]]="Male"),"Mached","Not mached")</f>
        <v>Mached</v>
      </c>
    </row>
    <row r="1673" spans="4:16" x14ac:dyDescent="0.25">
      <c r="D1673" s="6" t="s">
        <v>34</v>
      </c>
      <c r="E1673">
        <v>2013</v>
      </c>
      <c r="F1673" s="6" t="s">
        <v>35</v>
      </c>
      <c r="G1673">
        <v>3</v>
      </c>
      <c r="H1673">
        <v>25</v>
      </c>
      <c r="I1673" s="6" t="s">
        <v>39</v>
      </c>
      <c r="J1673" s="6" t="s">
        <v>37</v>
      </c>
      <c r="K1673">
        <v>3</v>
      </c>
      <c r="M1673" s="1" t="b">
        <f>Employee__2[[#This Row],[Experience]]&gt;1</f>
        <v>1</v>
      </c>
      <c r="N1673" s="1" t="str">
        <f>IF(Employee__2[[#This Row],[City]]="Pune","Yes","No")</f>
        <v>No</v>
      </c>
      <c r="O1673" s="1" t="str">
        <f>IF(AND(Employee__2[[#This Row],[Education]]="Bachelors",Employee__2[[#This Row],[City]]="Pune"),"Yes","No")</f>
        <v>No</v>
      </c>
      <c r="P1673" s="1" t="str">
        <f>IF(OR(Employee__2[[#This Row],[Age]]&gt;=30,Employee__2[[#This Row],[Gender]]="Male"),"Mached","Not mached")</f>
        <v>Not mached</v>
      </c>
    </row>
    <row r="1674" spans="4:16" x14ac:dyDescent="0.25">
      <c r="D1674" s="6" t="s">
        <v>34</v>
      </c>
      <c r="E1674">
        <v>2017</v>
      </c>
      <c r="F1674" s="6" t="s">
        <v>35</v>
      </c>
      <c r="G1674">
        <v>3</v>
      </c>
      <c r="H1674">
        <v>24</v>
      </c>
      <c r="I1674" s="6" t="s">
        <v>39</v>
      </c>
      <c r="J1674" s="6" t="s">
        <v>37</v>
      </c>
      <c r="K1674">
        <v>2</v>
      </c>
      <c r="M1674" s="1" t="b">
        <f>Employee__2[[#This Row],[Experience]]&gt;1</f>
        <v>1</v>
      </c>
      <c r="N1674" s="1" t="str">
        <f>IF(Employee__2[[#This Row],[City]]="Pune","Yes","No")</f>
        <v>No</v>
      </c>
      <c r="O1674" s="1" t="str">
        <f>IF(AND(Employee__2[[#This Row],[Education]]="Bachelors",Employee__2[[#This Row],[City]]="Pune"),"Yes","No")</f>
        <v>No</v>
      </c>
      <c r="P1674" s="1" t="str">
        <f>IF(OR(Employee__2[[#This Row],[Age]]&gt;=30,Employee__2[[#This Row],[Gender]]="Male"),"Mached","Not mached")</f>
        <v>Not mached</v>
      </c>
    </row>
    <row r="1675" spans="4:16" x14ac:dyDescent="0.25">
      <c r="D1675" s="6" t="s">
        <v>34</v>
      </c>
      <c r="E1675">
        <v>2015</v>
      </c>
      <c r="F1675" s="6" t="s">
        <v>35</v>
      </c>
      <c r="G1675">
        <v>3</v>
      </c>
      <c r="H1675">
        <v>26</v>
      </c>
      <c r="I1675" s="6" t="s">
        <v>39</v>
      </c>
      <c r="J1675" s="6" t="s">
        <v>37</v>
      </c>
      <c r="K1675">
        <v>4</v>
      </c>
      <c r="M1675" s="1" t="b">
        <f>Employee__2[[#This Row],[Experience]]&gt;1</f>
        <v>1</v>
      </c>
      <c r="N1675" s="1" t="str">
        <f>IF(Employee__2[[#This Row],[City]]="Pune","Yes","No")</f>
        <v>No</v>
      </c>
      <c r="O1675" s="1" t="str">
        <f>IF(AND(Employee__2[[#This Row],[Education]]="Bachelors",Employee__2[[#This Row],[City]]="Pune"),"Yes","No")</f>
        <v>No</v>
      </c>
      <c r="P1675" s="1" t="str">
        <f>IF(OR(Employee__2[[#This Row],[Age]]&gt;=30,Employee__2[[#This Row],[Gender]]="Male"),"Mached","Not mached")</f>
        <v>Not mached</v>
      </c>
    </row>
    <row r="1676" spans="4:16" x14ac:dyDescent="0.25">
      <c r="D1676" s="6" t="s">
        <v>34</v>
      </c>
      <c r="E1676">
        <v>2014</v>
      </c>
      <c r="F1676" s="6" t="s">
        <v>35</v>
      </c>
      <c r="G1676">
        <v>3</v>
      </c>
      <c r="H1676">
        <v>28</v>
      </c>
      <c r="I1676" s="6" t="s">
        <v>36</v>
      </c>
      <c r="J1676" s="6" t="s">
        <v>37</v>
      </c>
      <c r="K1676">
        <v>4</v>
      </c>
      <c r="M1676" s="1" t="b">
        <f>Employee__2[[#This Row],[Experience]]&gt;1</f>
        <v>1</v>
      </c>
      <c r="N1676" s="1" t="str">
        <f>IF(Employee__2[[#This Row],[City]]="Pune","Yes","No")</f>
        <v>No</v>
      </c>
      <c r="O1676" s="1" t="str">
        <f>IF(AND(Employee__2[[#This Row],[Education]]="Bachelors",Employee__2[[#This Row],[City]]="Pune"),"Yes","No")</f>
        <v>No</v>
      </c>
      <c r="P1676" s="1" t="str">
        <f>IF(OR(Employee__2[[#This Row],[Age]]&gt;=30,Employee__2[[#This Row],[Gender]]="Male"),"Mached","Not mached")</f>
        <v>Mached</v>
      </c>
    </row>
    <row r="1677" spans="4:16" x14ac:dyDescent="0.25">
      <c r="D1677" s="6" t="s">
        <v>34</v>
      </c>
      <c r="E1677">
        <v>2017</v>
      </c>
      <c r="F1677" s="6" t="s">
        <v>40</v>
      </c>
      <c r="G1677">
        <v>2</v>
      </c>
      <c r="H1677">
        <v>28</v>
      </c>
      <c r="I1677" s="6" t="s">
        <v>36</v>
      </c>
      <c r="J1677" s="6" t="s">
        <v>37</v>
      </c>
      <c r="K1677">
        <v>0</v>
      </c>
      <c r="M1677" s="1" t="b">
        <f>Employee__2[[#This Row],[Experience]]&gt;1</f>
        <v>0</v>
      </c>
      <c r="N1677" s="1" t="str">
        <f>IF(Employee__2[[#This Row],[City]]="Pune","Yes","No")</f>
        <v>No</v>
      </c>
      <c r="O1677" s="1" t="str">
        <f>IF(AND(Employee__2[[#This Row],[Education]]="Bachelors",Employee__2[[#This Row],[City]]="Pune"),"Yes","No")</f>
        <v>No</v>
      </c>
      <c r="P1677" s="1" t="str">
        <f>IF(OR(Employee__2[[#This Row],[Age]]&gt;=30,Employee__2[[#This Row],[Gender]]="Male"),"Mached","Not mached")</f>
        <v>Mached</v>
      </c>
    </row>
    <row r="1678" spans="4:16" x14ac:dyDescent="0.25">
      <c r="D1678" s="6" t="s">
        <v>41</v>
      </c>
      <c r="E1678">
        <v>2017</v>
      </c>
      <c r="F1678" s="6" t="s">
        <v>40</v>
      </c>
      <c r="G1678">
        <v>3</v>
      </c>
      <c r="H1678">
        <v>24</v>
      </c>
      <c r="I1678" s="6" t="s">
        <v>39</v>
      </c>
      <c r="J1678" s="6" t="s">
        <v>37</v>
      </c>
      <c r="K1678">
        <v>2</v>
      </c>
      <c r="M1678" s="1" t="b">
        <f>Employee__2[[#This Row],[Experience]]&gt;1</f>
        <v>1</v>
      </c>
      <c r="N1678" s="1" t="str">
        <f>IF(Employee__2[[#This Row],[City]]="Pune","Yes","No")</f>
        <v>No</v>
      </c>
      <c r="O1678" s="1" t="str">
        <f>IF(AND(Employee__2[[#This Row],[Education]]="Bachelors",Employee__2[[#This Row],[City]]="Pune"),"Yes","No")</f>
        <v>No</v>
      </c>
      <c r="P1678" s="1" t="str">
        <f>IF(OR(Employee__2[[#This Row],[Age]]&gt;=30,Employee__2[[#This Row],[Gender]]="Male"),"Mached","Not mached")</f>
        <v>Not mached</v>
      </c>
    </row>
    <row r="1679" spans="4:16" x14ac:dyDescent="0.25">
      <c r="D1679" s="6" t="s">
        <v>43</v>
      </c>
      <c r="E1679">
        <v>2017</v>
      </c>
      <c r="F1679" s="6" t="s">
        <v>38</v>
      </c>
      <c r="G1679">
        <v>3</v>
      </c>
      <c r="H1679">
        <v>27</v>
      </c>
      <c r="I1679" s="6" t="s">
        <v>36</v>
      </c>
      <c r="J1679" s="6" t="s">
        <v>37</v>
      </c>
      <c r="K1679">
        <v>5</v>
      </c>
      <c r="M1679" s="1" t="b">
        <f>Employee__2[[#This Row],[Experience]]&gt;1</f>
        <v>1</v>
      </c>
      <c r="N1679" s="1" t="str">
        <f>IF(Employee__2[[#This Row],[City]]="Pune","Yes","No")</f>
        <v>Yes</v>
      </c>
      <c r="O1679" s="1" t="str">
        <f>IF(AND(Employee__2[[#This Row],[Education]]="Bachelors",Employee__2[[#This Row],[City]]="Pune"),"Yes","No")</f>
        <v>No</v>
      </c>
      <c r="P1679" s="1" t="str">
        <f>IF(OR(Employee__2[[#This Row],[Age]]&gt;=30,Employee__2[[#This Row],[Gender]]="Male"),"Mached","Not mached")</f>
        <v>Mached</v>
      </c>
    </row>
    <row r="1680" spans="4:16" x14ac:dyDescent="0.25">
      <c r="D1680" s="6" t="s">
        <v>34</v>
      </c>
      <c r="E1680">
        <v>2015</v>
      </c>
      <c r="F1680" s="6" t="s">
        <v>35</v>
      </c>
      <c r="G1680">
        <v>3</v>
      </c>
      <c r="H1680">
        <v>28</v>
      </c>
      <c r="I1680" s="6" t="s">
        <v>39</v>
      </c>
      <c r="J1680" s="6" t="s">
        <v>37</v>
      </c>
      <c r="K1680">
        <v>5</v>
      </c>
      <c r="M1680" s="1" t="b">
        <f>Employee__2[[#This Row],[Experience]]&gt;1</f>
        <v>1</v>
      </c>
      <c r="N1680" s="1" t="str">
        <f>IF(Employee__2[[#This Row],[City]]="Pune","Yes","No")</f>
        <v>No</v>
      </c>
      <c r="O1680" s="1" t="str">
        <f>IF(AND(Employee__2[[#This Row],[Education]]="Bachelors",Employee__2[[#This Row],[City]]="Pune"),"Yes","No")</f>
        <v>No</v>
      </c>
      <c r="P1680" s="1" t="str">
        <f>IF(OR(Employee__2[[#This Row],[Age]]&gt;=30,Employee__2[[#This Row],[Gender]]="Male"),"Mached","Not mached")</f>
        <v>Not mached</v>
      </c>
    </row>
    <row r="1681" spans="4:16" x14ac:dyDescent="0.25">
      <c r="D1681" s="6" t="s">
        <v>34</v>
      </c>
      <c r="E1681">
        <v>2017</v>
      </c>
      <c r="F1681" s="6" t="s">
        <v>40</v>
      </c>
      <c r="G1681">
        <v>3</v>
      </c>
      <c r="H1681">
        <v>25</v>
      </c>
      <c r="I1681" s="6" t="s">
        <v>39</v>
      </c>
      <c r="J1681" s="6" t="s">
        <v>37</v>
      </c>
      <c r="K1681">
        <v>3</v>
      </c>
      <c r="M1681" s="1" t="b">
        <f>Employee__2[[#This Row],[Experience]]&gt;1</f>
        <v>1</v>
      </c>
      <c r="N1681" s="1" t="str">
        <f>IF(Employee__2[[#This Row],[City]]="Pune","Yes","No")</f>
        <v>No</v>
      </c>
      <c r="O1681" s="1" t="str">
        <f>IF(AND(Employee__2[[#This Row],[Education]]="Bachelors",Employee__2[[#This Row],[City]]="Pune"),"Yes","No")</f>
        <v>No</v>
      </c>
      <c r="P1681" s="1" t="str">
        <f>IF(OR(Employee__2[[#This Row],[Age]]&gt;=30,Employee__2[[#This Row],[Gender]]="Male"),"Mached","Not mached")</f>
        <v>Not mached</v>
      </c>
    </row>
    <row r="1682" spans="4:16" x14ac:dyDescent="0.25">
      <c r="D1682" s="6" t="s">
        <v>41</v>
      </c>
      <c r="E1682">
        <v>2017</v>
      </c>
      <c r="F1682" s="6" t="s">
        <v>35</v>
      </c>
      <c r="G1682">
        <v>3</v>
      </c>
      <c r="H1682">
        <v>25</v>
      </c>
      <c r="I1682" s="6" t="s">
        <v>36</v>
      </c>
      <c r="J1682" s="6" t="s">
        <v>37</v>
      </c>
      <c r="K1682">
        <v>3</v>
      </c>
      <c r="M1682" s="1" t="b">
        <f>Employee__2[[#This Row],[Experience]]&gt;1</f>
        <v>1</v>
      </c>
      <c r="N1682" s="1" t="str">
        <f>IF(Employee__2[[#This Row],[City]]="Pune","Yes","No")</f>
        <v>No</v>
      </c>
      <c r="O1682" s="1" t="str">
        <f>IF(AND(Employee__2[[#This Row],[Education]]="Bachelors",Employee__2[[#This Row],[City]]="Pune"),"Yes","No")</f>
        <v>No</v>
      </c>
      <c r="P1682" s="1" t="str">
        <f>IF(OR(Employee__2[[#This Row],[Age]]&gt;=30,Employee__2[[#This Row],[Gender]]="Male"),"Mached","Not mached")</f>
        <v>Mached</v>
      </c>
    </row>
    <row r="1683" spans="4:16" x14ac:dyDescent="0.25">
      <c r="D1683" s="6" t="s">
        <v>41</v>
      </c>
      <c r="E1683">
        <v>2017</v>
      </c>
      <c r="F1683" s="6" t="s">
        <v>35</v>
      </c>
      <c r="G1683">
        <v>1</v>
      </c>
      <c r="H1683">
        <v>26</v>
      </c>
      <c r="I1683" s="6" t="s">
        <v>36</v>
      </c>
      <c r="J1683" s="6" t="s">
        <v>37</v>
      </c>
      <c r="K1683">
        <v>4</v>
      </c>
      <c r="M1683" s="1" t="b">
        <f>Employee__2[[#This Row],[Experience]]&gt;1</f>
        <v>1</v>
      </c>
      <c r="N1683" s="1" t="str">
        <f>IF(Employee__2[[#This Row],[City]]="Pune","Yes","No")</f>
        <v>No</v>
      </c>
      <c r="O1683" s="1" t="str">
        <f>IF(AND(Employee__2[[#This Row],[Education]]="Bachelors",Employee__2[[#This Row],[City]]="Pune"),"Yes","No")</f>
        <v>No</v>
      </c>
      <c r="P1683" s="1" t="str">
        <f>IF(OR(Employee__2[[#This Row],[Age]]&gt;=30,Employee__2[[#This Row],[Gender]]="Male"),"Mached","Not mached")</f>
        <v>Mached</v>
      </c>
    </row>
    <row r="1684" spans="4:16" x14ac:dyDescent="0.25">
      <c r="D1684" s="6" t="s">
        <v>34</v>
      </c>
      <c r="E1684">
        <v>2014</v>
      </c>
      <c r="F1684" s="6" t="s">
        <v>35</v>
      </c>
      <c r="G1684">
        <v>3</v>
      </c>
      <c r="H1684">
        <v>25</v>
      </c>
      <c r="I1684" s="6" t="s">
        <v>36</v>
      </c>
      <c r="J1684" s="6" t="s">
        <v>37</v>
      </c>
      <c r="K1684">
        <v>3</v>
      </c>
      <c r="M1684" s="1" t="b">
        <f>Employee__2[[#This Row],[Experience]]&gt;1</f>
        <v>1</v>
      </c>
      <c r="N1684" s="1" t="str">
        <f>IF(Employee__2[[#This Row],[City]]="Pune","Yes","No")</f>
        <v>No</v>
      </c>
      <c r="O1684" s="1" t="str">
        <f>IF(AND(Employee__2[[#This Row],[Education]]="Bachelors",Employee__2[[#This Row],[City]]="Pune"),"Yes","No")</f>
        <v>No</v>
      </c>
      <c r="P1684" s="1" t="str">
        <f>IF(OR(Employee__2[[#This Row],[Age]]&gt;=30,Employee__2[[#This Row],[Gender]]="Male"),"Mached","Not mached")</f>
        <v>Mached</v>
      </c>
    </row>
    <row r="1685" spans="4:16" x14ac:dyDescent="0.25">
      <c r="D1685" s="6" t="s">
        <v>34</v>
      </c>
      <c r="E1685">
        <v>2016</v>
      </c>
      <c r="F1685" s="6" t="s">
        <v>35</v>
      </c>
      <c r="G1685">
        <v>3</v>
      </c>
      <c r="H1685">
        <v>27</v>
      </c>
      <c r="I1685" s="6" t="s">
        <v>36</v>
      </c>
      <c r="J1685" s="6" t="s">
        <v>37</v>
      </c>
      <c r="K1685">
        <v>5</v>
      </c>
      <c r="M1685" s="1" t="b">
        <f>Employee__2[[#This Row],[Experience]]&gt;1</f>
        <v>1</v>
      </c>
      <c r="N1685" s="1" t="str">
        <f>IF(Employee__2[[#This Row],[City]]="Pune","Yes","No")</f>
        <v>No</v>
      </c>
      <c r="O1685" s="1" t="str">
        <f>IF(AND(Employee__2[[#This Row],[Education]]="Bachelors",Employee__2[[#This Row],[City]]="Pune"),"Yes","No")</f>
        <v>No</v>
      </c>
      <c r="P1685" s="1" t="str">
        <f>IF(OR(Employee__2[[#This Row],[Age]]&gt;=30,Employee__2[[#This Row],[Gender]]="Male"),"Mached","Not mached")</f>
        <v>Mached</v>
      </c>
    </row>
    <row r="1686" spans="4:16" x14ac:dyDescent="0.25">
      <c r="D1686" s="6" t="s">
        <v>34</v>
      </c>
      <c r="E1686">
        <v>2013</v>
      </c>
      <c r="F1686" s="6" t="s">
        <v>35</v>
      </c>
      <c r="G1686">
        <v>3</v>
      </c>
      <c r="H1686">
        <v>24</v>
      </c>
      <c r="I1686" s="6" t="s">
        <v>36</v>
      </c>
      <c r="J1686" s="6" t="s">
        <v>37</v>
      </c>
      <c r="K1686">
        <v>2</v>
      </c>
      <c r="M1686" s="1" t="b">
        <f>Employee__2[[#This Row],[Experience]]&gt;1</f>
        <v>1</v>
      </c>
      <c r="N1686" s="1" t="str">
        <f>IF(Employee__2[[#This Row],[City]]="Pune","Yes","No")</f>
        <v>No</v>
      </c>
      <c r="O1686" s="1" t="str">
        <f>IF(AND(Employee__2[[#This Row],[Education]]="Bachelors",Employee__2[[#This Row],[City]]="Pune"),"Yes","No")</f>
        <v>No</v>
      </c>
      <c r="P1686" s="1" t="str">
        <f>IF(OR(Employee__2[[#This Row],[Age]]&gt;=30,Employee__2[[#This Row],[Gender]]="Male"),"Mached","Not mached")</f>
        <v>Mached</v>
      </c>
    </row>
    <row r="1687" spans="4:16" x14ac:dyDescent="0.25">
      <c r="D1687" s="6" t="s">
        <v>34</v>
      </c>
      <c r="E1687">
        <v>2012</v>
      </c>
      <c r="F1687" s="6" t="s">
        <v>35</v>
      </c>
      <c r="G1687">
        <v>3</v>
      </c>
      <c r="H1687">
        <v>25</v>
      </c>
      <c r="I1687" s="6" t="s">
        <v>36</v>
      </c>
      <c r="J1687" s="6" t="s">
        <v>37</v>
      </c>
      <c r="K1687">
        <v>3</v>
      </c>
      <c r="M1687" s="1" t="b">
        <f>Employee__2[[#This Row],[Experience]]&gt;1</f>
        <v>1</v>
      </c>
      <c r="N1687" s="1" t="str">
        <f>IF(Employee__2[[#This Row],[City]]="Pune","Yes","No")</f>
        <v>No</v>
      </c>
      <c r="O1687" s="1" t="str">
        <f>IF(AND(Employee__2[[#This Row],[Education]]="Bachelors",Employee__2[[#This Row],[City]]="Pune"),"Yes","No")</f>
        <v>No</v>
      </c>
      <c r="P1687" s="1" t="str">
        <f>IF(OR(Employee__2[[#This Row],[Age]]&gt;=30,Employee__2[[#This Row],[Gender]]="Male"),"Mached","Not mached")</f>
        <v>Mached</v>
      </c>
    </row>
    <row r="1688" spans="4:16" x14ac:dyDescent="0.25">
      <c r="D1688" s="6" t="s">
        <v>34</v>
      </c>
      <c r="E1688">
        <v>2014</v>
      </c>
      <c r="F1688" s="6" t="s">
        <v>38</v>
      </c>
      <c r="G1688">
        <v>3</v>
      </c>
      <c r="H1688">
        <v>25</v>
      </c>
      <c r="I1688" s="6" t="s">
        <v>36</v>
      </c>
      <c r="J1688" s="6" t="s">
        <v>37</v>
      </c>
      <c r="K1688">
        <v>3</v>
      </c>
      <c r="M1688" s="1" t="b">
        <f>Employee__2[[#This Row],[Experience]]&gt;1</f>
        <v>1</v>
      </c>
      <c r="N1688" s="1" t="str">
        <f>IF(Employee__2[[#This Row],[City]]="Pune","Yes","No")</f>
        <v>Yes</v>
      </c>
      <c r="O1688" s="1" t="str">
        <f>IF(AND(Employee__2[[#This Row],[Education]]="Bachelors",Employee__2[[#This Row],[City]]="Pune"),"Yes","No")</f>
        <v>Yes</v>
      </c>
      <c r="P1688" s="1" t="str">
        <f>IF(OR(Employee__2[[#This Row],[Age]]&gt;=30,Employee__2[[#This Row],[Gender]]="Male"),"Mached","Not mached")</f>
        <v>Mached</v>
      </c>
    </row>
    <row r="1689" spans="4:16" x14ac:dyDescent="0.25">
      <c r="D1689" s="6" t="s">
        <v>34</v>
      </c>
      <c r="E1689">
        <v>2018</v>
      </c>
      <c r="F1689" s="6" t="s">
        <v>35</v>
      </c>
      <c r="G1689">
        <v>3</v>
      </c>
      <c r="H1689">
        <v>25</v>
      </c>
      <c r="I1689" s="6" t="s">
        <v>39</v>
      </c>
      <c r="J1689" s="6" t="s">
        <v>37</v>
      </c>
      <c r="K1689">
        <v>3</v>
      </c>
      <c r="M1689" s="1" t="b">
        <f>Employee__2[[#This Row],[Experience]]&gt;1</f>
        <v>1</v>
      </c>
      <c r="N1689" s="1" t="str">
        <f>IF(Employee__2[[#This Row],[City]]="Pune","Yes","No")</f>
        <v>No</v>
      </c>
      <c r="O1689" s="1" t="str">
        <f>IF(AND(Employee__2[[#This Row],[Education]]="Bachelors",Employee__2[[#This Row],[City]]="Pune"),"Yes","No")</f>
        <v>No</v>
      </c>
      <c r="P1689" s="1" t="str">
        <f>IF(OR(Employee__2[[#This Row],[Age]]&gt;=30,Employee__2[[#This Row],[Gender]]="Male"),"Mached","Not mached")</f>
        <v>Not mached</v>
      </c>
    </row>
    <row r="1690" spans="4:16" x14ac:dyDescent="0.25">
      <c r="D1690" s="6" t="s">
        <v>41</v>
      </c>
      <c r="E1690">
        <v>2012</v>
      </c>
      <c r="F1690" s="6" t="s">
        <v>38</v>
      </c>
      <c r="G1690">
        <v>3</v>
      </c>
      <c r="H1690">
        <v>26</v>
      </c>
      <c r="I1690" s="6" t="s">
        <v>36</v>
      </c>
      <c r="J1690" s="6" t="s">
        <v>37</v>
      </c>
      <c r="K1690">
        <v>4</v>
      </c>
      <c r="M1690" s="1" t="b">
        <f>Employee__2[[#This Row],[Experience]]&gt;1</f>
        <v>1</v>
      </c>
      <c r="N1690" s="1" t="str">
        <f>IF(Employee__2[[#This Row],[City]]="Pune","Yes","No")</f>
        <v>Yes</v>
      </c>
      <c r="O1690" s="1" t="str">
        <f>IF(AND(Employee__2[[#This Row],[Education]]="Bachelors",Employee__2[[#This Row],[City]]="Pune"),"Yes","No")</f>
        <v>No</v>
      </c>
      <c r="P1690" s="1" t="str">
        <f>IF(OR(Employee__2[[#This Row],[Age]]&gt;=30,Employee__2[[#This Row],[Gender]]="Male"),"Mached","Not mached")</f>
        <v>Mached</v>
      </c>
    </row>
    <row r="1691" spans="4:16" x14ac:dyDescent="0.25">
      <c r="D1691" s="6" t="s">
        <v>43</v>
      </c>
      <c r="E1691">
        <v>2016</v>
      </c>
      <c r="F1691" s="6" t="s">
        <v>35</v>
      </c>
      <c r="G1691">
        <v>3</v>
      </c>
      <c r="H1691">
        <v>25</v>
      </c>
      <c r="I1691" s="6" t="s">
        <v>36</v>
      </c>
      <c r="J1691" s="6" t="s">
        <v>37</v>
      </c>
      <c r="K1691">
        <v>3</v>
      </c>
      <c r="M1691" s="1" t="b">
        <f>Employee__2[[#This Row],[Experience]]&gt;1</f>
        <v>1</v>
      </c>
      <c r="N1691" s="1" t="str">
        <f>IF(Employee__2[[#This Row],[City]]="Pune","Yes","No")</f>
        <v>No</v>
      </c>
      <c r="O1691" s="1" t="str">
        <f>IF(AND(Employee__2[[#This Row],[Education]]="Bachelors",Employee__2[[#This Row],[City]]="Pune"),"Yes","No")</f>
        <v>No</v>
      </c>
      <c r="P1691" s="1" t="str">
        <f>IF(OR(Employee__2[[#This Row],[Age]]&gt;=30,Employee__2[[#This Row],[Gender]]="Male"),"Mached","Not mached")</f>
        <v>Mached</v>
      </c>
    </row>
    <row r="1692" spans="4:16" x14ac:dyDescent="0.25">
      <c r="D1692" s="6" t="s">
        <v>34</v>
      </c>
      <c r="E1692">
        <v>2015</v>
      </c>
      <c r="F1692" s="6" t="s">
        <v>35</v>
      </c>
      <c r="G1692">
        <v>3</v>
      </c>
      <c r="H1692">
        <v>25</v>
      </c>
      <c r="I1692" s="6" t="s">
        <v>36</v>
      </c>
      <c r="J1692" s="6" t="s">
        <v>37</v>
      </c>
      <c r="K1692">
        <v>3</v>
      </c>
      <c r="M1692" s="1" t="b">
        <f>Employee__2[[#This Row],[Experience]]&gt;1</f>
        <v>1</v>
      </c>
      <c r="N1692" s="1" t="str">
        <f>IF(Employee__2[[#This Row],[City]]="Pune","Yes","No")</f>
        <v>No</v>
      </c>
      <c r="O1692" s="1" t="str">
        <f>IF(AND(Employee__2[[#This Row],[Education]]="Bachelors",Employee__2[[#This Row],[City]]="Pune"),"Yes","No")</f>
        <v>No</v>
      </c>
      <c r="P1692" s="1" t="str">
        <f>IF(OR(Employee__2[[#This Row],[Age]]&gt;=30,Employee__2[[#This Row],[Gender]]="Male"),"Mached","Not mached")</f>
        <v>Mached</v>
      </c>
    </row>
    <row r="1693" spans="4:16" x14ac:dyDescent="0.25">
      <c r="D1693" s="6" t="s">
        <v>34</v>
      </c>
      <c r="E1693">
        <v>2017</v>
      </c>
      <c r="F1693" s="6" t="s">
        <v>40</v>
      </c>
      <c r="G1693">
        <v>2</v>
      </c>
      <c r="H1693">
        <v>25</v>
      </c>
      <c r="I1693" s="6" t="s">
        <v>36</v>
      </c>
      <c r="J1693" s="6" t="s">
        <v>37</v>
      </c>
      <c r="K1693">
        <v>3</v>
      </c>
      <c r="M1693" s="1" t="b">
        <f>Employee__2[[#This Row],[Experience]]&gt;1</f>
        <v>1</v>
      </c>
      <c r="N1693" s="1" t="str">
        <f>IF(Employee__2[[#This Row],[City]]="Pune","Yes","No")</f>
        <v>No</v>
      </c>
      <c r="O1693" s="1" t="str">
        <f>IF(AND(Employee__2[[#This Row],[Education]]="Bachelors",Employee__2[[#This Row],[City]]="Pune"),"Yes","No")</f>
        <v>No</v>
      </c>
      <c r="P1693" s="1" t="str">
        <f>IF(OR(Employee__2[[#This Row],[Age]]&gt;=30,Employee__2[[#This Row],[Gender]]="Male"),"Mached","Not mached")</f>
        <v>Mached</v>
      </c>
    </row>
    <row r="1694" spans="4:16" x14ac:dyDescent="0.25">
      <c r="D1694" s="6" t="s">
        <v>34</v>
      </c>
      <c r="E1694">
        <v>2015</v>
      </c>
      <c r="F1694" s="6" t="s">
        <v>40</v>
      </c>
      <c r="G1694">
        <v>3</v>
      </c>
      <c r="H1694">
        <v>27</v>
      </c>
      <c r="I1694" s="6" t="s">
        <v>39</v>
      </c>
      <c r="J1694" s="6" t="s">
        <v>37</v>
      </c>
      <c r="K1694">
        <v>5</v>
      </c>
      <c r="M1694" s="1" t="b">
        <f>Employee__2[[#This Row],[Experience]]&gt;1</f>
        <v>1</v>
      </c>
      <c r="N1694" s="1" t="str">
        <f>IF(Employee__2[[#This Row],[City]]="Pune","Yes","No")</f>
        <v>No</v>
      </c>
      <c r="O1694" s="1" t="str">
        <f>IF(AND(Employee__2[[#This Row],[Education]]="Bachelors",Employee__2[[#This Row],[City]]="Pune"),"Yes","No")</f>
        <v>No</v>
      </c>
      <c r="P1694" s="1" t="str">
        <f>IF(OR(Employee__2[[#This Row],[Age]]&gt;=30,Employee__2[[#This Row],[Gender]]="Male"),"Mached","Not mached")</f>
        <v>Not mached</v>
      </c>
    </row>
    <row r="1695" spans="4:16" x14ac:dyDescent="0.25">
      <c r="D1695" s="6" t="s">
        <v>34</v>
      </c>
      <c r="E1695">
        <v>2017</v>
      </c>
      <c r="F1695" s="6" t="s">
        <v>38</v>
      </c>
      <c r="G1695">
        <v>3</v>
      </c>
      <c r="H1695">
        <v>26</v>
      </c>
      <c r="I1695" s="6" t="s">
        <v>36</v>
      </c>
      <c r="J1695" s="6" t="s">
        <v>37</v>
      </c>
      <c r="K1695">
        <v>4</v>
      </c>
      <c r="M1695" s="1" t="b">
        <f>Employee__2[[#This Row],[Experience]]&gt;1</f>
        <v>1</v>
      </c>
      <c r="N1695" s="1" t="str">
        <f>IF(Employee__2[[#This Row],[City]]="Pune","Yes","No")</f>
        <v>Yes</v>
      </c>
      <c r="O1695" s="1" t="str">
        <f>IF(AND(Employee__2[[#This Row],[Education]]="Bachelors",Employee__2[[#This Row],[City]]="Pune"),"Yes","No")</f>
        <v>Yes</v>
      </c>
      <c r="P1695" s="1" t="str">
        <f>IF(OR(Employee__2[[#This Row],[Age]]&gt;=30,Employee__2[[#This Row],[Gender]]="Male"),"Mached","Not mached")</f>
        <v>Mached</v>
      </c>
    </row>
    <row r="1696" spans="4:16" x14ac:dyDescent="0.25">
      <c r="D1696" s="6" t="s">
        <v>34</v>
      </c>
      <c r="E1696">
        <v>2016</v>
      </c>
      <c r="F1696" s="6" t="s">
        <v>38</v>
      </c>
      <c r="G1696">
        <v>3</v>
      </c>
      <c r="H1696">
        <v>26</v>
      </c>
      <c r="I1696" s="6" t="s">
        <v>36</v>
      </c>
      <c r="J1696" s="6" t="s">
        <v>37</v>
      </c>
      <c r="K1696">
        <v>4</v>
      </c>
      <c r="M1696" s="1" t="b">
        <f>Employee__2[[#This Row],[Experience]]&gt;1</f>
        <v>1</v>
      </c>
      <c r="N1696" s="1" t="str">
        <f>IF(Employee__2[[#This Row],[City]]="Pune","Yes","No")</f>
        <v>Yes</v>
      </c>
      <c r="O1696" s="1" t="str">
        <f>IF(AND(Employee__2[[#This Row],[Education]]="Bachelors",Employee__2[[#This Row],[City]]="Pune"),"Yes","No")</f>
        <v>Yes</v>
      </c>
      <c r="P1696" s="1" t="str">
        <f>IF(OR(Employee__2[[#This Row],[Age]]&gt;=30,Employee__2[[#This Row],[Gender]]="Male"),"Mached","Not mached")</f>
        <v>Mached</v>
      </c>
    </row>
    <row r="1697" spans="4:16" x14ac:dyDescent="0.25">
      <c r="D1697" s="6" t="s">
        <v>34</v>
      </c>
      <c r="E1697">
        <v>2018</v>
      </c>
      <c r="F1697" s="6" t="s">
        <v>35</v>
      </c>
      <c r="G1697">
        <v>3</v>
      </c>
      <c r="H1697">
        <v>26</v>
      </c>
      <c r="I1697" s="6" t="s">
        <v>36</v>
      </c>
      <c r="J1697" s="6" t="s">
        <v>37</v>
      </c>
      <c r="K1697">
        <v>4</v>
      </c>
      <c r="M1697" s="1" t="b">
        <f>Employee__2[[#This Row],[Experience]]&gt;1</f>
        <v>1</v>
      </c>
      <c r="N1697" s="1" t="str">
        <f>IF(Employee__2[[#This Row],[City]]="Pune","Yes","No")</f>
        <v>No</v>
      </c>
      <c r="O1697" s="1" t="str">
        <f>IF(AND(Employee__2[[#This Row],[Education]]="Bachelors",Employee__2[[#This Row],[City]]="Pune"),"Yes","No")</f>
        <v>No</v>
      </c>
      <c r="P1697" s="1" t="str">
        <f>IF(OR(Employee__2[[#This Row],[Age]]&gt;=30,Employee__2[[#This Row],[Gender]]="Male"),"Mached","Not mached")</f>
        <v>Mached</v>
      </c>
    </row>
    <row r="1698" spans="4:16" x14ac:dyDescent="0.25">
      <c r="D1698" s="6" t="s">
        <v>41</v>
      </c>
      <c r="E1698">
        <v>2018</v>
      </c>
      <c r="F1698" s="6" t="s">
        <v>40</v>
      </c>
      <c r="G1698">
        <v>3</v>
      </c>
      <c r="H1698">
        <v>25</v>
      </c>
      <c r="I1698" s="6" t="s">
        <v>39</v>
      </c>
      <c r="J1698" s="6" t="s">
        <v>37</v>
      </c>
      <c r="K1698">
        <v>3</v>
      </c>
      <c r="M1698" s="1" t="b">
        <f>Employee__2[[#This Row],[Experience]]&gt;1</f>
        <v>1</v>
      </c>
      <c r="N1698" s="1" t="str">
        <f>IF(Employee__2[[#This Row],[City]]="Pune","Yes","No")</f>
        <v>No</v>
      </c>
      <c r="O1698" s="1" t="str">
        <f>IF(AND(Employee__2[[#This Row],[Education]]="Bachelors",Employee__2[[#This Row],[City]]="Pune"),"Yes","No")</f>
        <v>No</v>
      </c>
      <c r="P1698" s="1" t="str">
        <f>IF(OR(Employee__2[[#This Row],[Age]]&gt;=30,Employee__2[[#This Row],[Gender]]="Male"),"Mached","Not mached")</f>
        <v>Not mached</v>
      </c>
    </row>
    <row r="1699" spans="4:16" x14ac:dyDescent="0.25">
      <c r="D1699" s="6" t="s">
        <v>41</v>
      </c>
      <c r="E1699">
        <v>2017</v>
      </c>
      <c r="F1699" s="6" t="s">
        <v>38</v>
      </c>
      <c r="G1699">
        <v>2</v>
      </c>
      <c r="H1699">
        <v>25</v>
      </c>
      <c r="I1699" s="6" t="s">
        <v>36</v>
      </c>
      <c r="J1699" s="6" t="s">
        <v>37</v>
      </c>
      <c r="K1699">
        <v>3</v>
      </c>
      <c r="M1699" s="1" t="b">
        <f>Employee__2[[#This Row],[Experience]]&gt;1</f>
        <v>1</v>
      </c>
      <c r="N1699" s="1" t="str">
        <f>IF(Employee__2[[#This Row],[City]]="Pune","Yes","No")</f>
        <v>Yes</v>
      </c>
      <c r="O1699" s="1" t="str">
        <f>IF(AND(Employee__2[[#This Row],[Education]]="Bachelors",Employee__2[[#This Row],[City]]="Pune"),"Yes","No")</f>
        <v>No</v>
      </c>
      <c r="P1699" s="1" t="str">
        <f>IF(OR(Employee__2[[#This Row],[Age]]&gt;=30,Employee__2[[#This Row],[Gender]]="Male"),"Mached","Not mached")</f>
        <v>Mached</v>
      </c>
    </row>
    <row r="1700" spans="4:16" x14ac:dyDescent="0.25">
      <c r="D1700" s="6" t="s">
        <v>41</v>
      </c>
      <c r="E1700">
        <v>2014</v>
      </c>
      <c r="F1700" s="6" t="s">
        <v>35</v>
      </c>
      <c r="G1700">
        <v>3</v>
      </c>
      <c r="H1700">
        <v>24</v>
      </c>
      <c r="I1700" s="6" t="s">
        <v>39</v>
      </c>
      <c r="J1700" s="6" t="s">
        <v>37</v>
      </c>
      <c r="K1700">
        <v>2</v>
      </c>
      <c r="M1700" s="1" t="b">
        <f>Employee__2[[#This Row],[Experience]]&gt;1</f>
        <v>1</v>
      </c>
      <c r="N1700" s="1" t="str">
        <f>IF(Employee__2[[#This Row],[City]]="Pune","Yes","No")</f>
        <v>No</v>
      </c>
      <c r="O1700" s="1" t="str">
        <f>IF(AND(Employee__2[[#This Row],[Education]]="Bachelors",Employee__2[[#This Row],[City]]="Pune"),"Yes","No")</f>
        <v>No</v>
      </c>
      <c r="P1700" s="1" t="str">
        <f>IF(OR(Employee__2[[#This Row],[Age]]&gt;=30,Employee__2[[#This Row],[Gender]]="Male"),"Mached","Not mached")</f>
        <v>Not mached</v>
      </c>
    </row>
    <row r="1701" spans="4:16" x14ac:dyDescent="0.25">
      <c r="D1701" s="6" t="s">
        <v>34</v>
      </c>
      <c r="E1701">
        <v>2014</v>
      </c>
      <c r="F1701" s="6" t="s">
        <v>38</v>
      </c>
      <c r="G1701">
        <v>3</v>
      </c>
      <c r="H1701">
        <v>28</v>
      </c>
      <c r="I1701" s="6" t="s">
        <v>39</v>
      </c>
      <c r="J1701" s="6" t="s">
        <v>37</v>
      </c>
      <c r="K1701">
        <v>2</v>
      </c>
      <c r="M1701" s="1" t="b">
        <f>Employee__2[[#This Row],[Experience]]&gt;1</f>
        <v>1</v>
      </c>
      <c r="N1701" s="1" t="str">
        <f>IF(Employee__2[[#This Row],[City]]="Pune","Yes","No")</f>
        <v>Yes</v>
      </c>
      <c r="O1701" s="1" t="str">
        <f>IF(AND(Employee__2[[#This Row],[Education]]="Bachelors",Employee__2[[#This Row],[City]]="Pune"),"Yes","No")</f>
        <v>Yes</v>
      </c>
      <c r="P1701" s="1" t="str">
        <f>IF(OR(Employee__2[[#This Row],[Age]]&gt;=30,Employee__2[[#This Row],[Gender]]="Male"),"Mached","Not mached")</f>
        <v>Not mached</v>
      </c>
    </row>
    <row r="1702" spans="4:16" x14ac:dyDescent="0.25">
      <c r="D1702" s="6" t="s">
        <v>34</v>
      </c>
      <c r="E1702">
        <v>2012</v>
      </c>
      <c r="F1702" s="6" t="s">
        <v>35</v>
      </c>
      <c r="G1702">
        <v>3</v>
      </c>
      <c r="H1702">
        <v>26</v>
      </c>
      <c r="I1702" s="6" t="s">
        <v>36</v>
      </c>
      <c r="J1702" s="6" t="s">
        <v>37</v>
      </c>
      <c r="K1702">
        <v>4</v>
      </c>
      <c r="M1702" s="1" t="b">
        <f>Employee__2[[#This Row],[Experience]]&gt;1</f>
        <v>1</v>
      </c>
      <c r="N1702" s="1" t="str">
        <f>IF(Employee__2[[#This Row],[City]]="Pune","Yes","No")</f>
        <v>No</v>
      </c>
      <c r="O1702" s="1" t="str">
        <f>IF(AND(Employee__2[[#This Row],[Education]]="Bachelors",Employee__2[[#This Row],[City]]="Pune"),"Yes","No")</f>
        <v>No</v>
      </c>
      <c r="P1702" s="1" t="str">
        <f>IF(OR(Employee__2[[#This Row],[Age]]&gt;=30,Employee__2[[#This Row],[Gender]]="Male"),"Mached","Not mached")</f>
        <v>Mached</v>
      </c>
    </row>
    <row r="1703" spans="4:16" x14ac:dyDescent="0.25">
      <c r="D1703" s="6" t="s">
        <v>34</v>
      </c>
      <c r="E1703">
        <v>2017</v>
      </c>
      <c r="F1703" s="6" t="s">
        <v>38</v>
      </c>
      <c r="G1703">
        <v>3</v>
      </c>
      <c r="H1703">
        <v>26</v>
      </c>
      <c r="I1703" s="6" t="s">
        <v>36</v>
      </c>
      <c r="J1703" s="6" t="s">
        <v>37</v>
      </c>
      <c r="K1703">
        <v>4</v>
      </c>
      <c r="M1703" s="1" t="b">
        <f>Employee__2[[#This Row],[Experience]]&gt;1</f>
        <v>1</v>
      </c>
      <c r="N1703" s="1" t="str">
        <f>IF(Employee__2[[#This Row],[City]]="Pune","Yes","No")</f>
        <v>Yes</v>
      </c>
      <c r="O1703" s="1" t="str">
        <f>IF(AND(Employee__2[[#This Row],[Education]]="Bachelors",Employee__2[[#This Row],[City]]="Pune"),"Yes","No")</f>
        <v>Yes</v>
      </c>
      <c r="P1703" s="1" t="str">
        <f>IF(OR(Employee__2[[#This Row],[Age]]&gt;=30,Employee__2[[#This Row],[Gender]]="Male"),"Mached","Not mached")</f>
        <v>Mached</v>
      </c>
    </row>
    <row r="1704" spans="4:16" x14ac:dyDescent="0.25">
      <c r="D1704" s="6" t="s">
        <v>34</v>
      </c>
      <c r="E1704">
        <v>2014</v>
      </c>
      <c r="F1704" s="6" t="s">
        <v>38</v>
      </c>
      <c r="G1704">
        <v>2</v>
      </c>
      <c r="H1704">
        <v>28</v>
      </c>
      <c r="I1704" s="6" t="s">
        <v>39</v>
      </c>
      <c r="J1704" s="6" t="s">
        <v>37</v>
      </c>
      <c r="K1704">
        <v>0</v>
      </c>
      <c r="M1704" s="1" t="b">
        <f>Employee__2[[#This Row],[Experience]]&gt;1</f>
        <v>0</v>
      </c>
      <c r="N1704" s="1" t="str">
        <f>IF(Employee__2[[#This Row],[City]]="Pune","Yes","No")</f>
        <v>Yes</v>
      </c>
      <c r="O1704" s="1" t="str">
        <f>IF(AND(Employee__2[[#This Row],[Education]]="Bachelors",Employee__2[[#This Row],[City]]="Pune"),"Yes","No")</f>
        <v>Yes</v>
      </c>
      <c r="P1704" s="1" t="str">
        <f>IF(OR(Employee__2[[#This Row],[Age]]&gt;=30,Employee__2[[#This Row],[Gender]]="Male"),"Mached","Not mached")</f>
        <v>Not mached</v>
      </c>
    </row>
    <row r="1705" spans="4:16" x14ac:dyDescent="0.25">
      <c r="D1705" s="6" t="s">
        <v>34</v>
      </c>
      <c r="E1705">
        <v>2017</v>
      </c>
      <c r="F1705" s="6" t="s">
        <v>40</v>
      </c>
      <c r="G1705">
        <v>3</v>
      </c>
      <c r="H1705">
        <v>25</v>
      </c>
      <c r="I1705" s="6" t="s">
        <v>39</v>
      </c>
      <c r="J1705" s="6" t="s">
        <v>42</v>
      </c>
      <c r="K1705">
        <v>3</v>
      </c>
      <c r="M1705" s="1" t="b">
        <f>Employee__2[[#This Row],[Experience]]&gt;1</f>
        <v>1</v>
      </c>
      <c r="N1705" s="1" t="str">
        <f>IF(Employee__2[[#This Row],[City]]="Pune","Yes","No")</f>
        <v>No</v>
      </c>
      <c r="O1705" s="1" t="str">
        <f>IF(AND(Employee__2[[#This Row],[Education]]="Bachelors",Employee__2[[#This Row],[City]]="Pune"),"Yes","No")</f>
        <v>No</v>
      </c>
      <c r="P1705" s="1" t="str">
        <f>IF(OR(Employee__2[[#This Row],[Age]]&gt;=30,Employee__2[[#This Row],[Gender]]="Male"),"Mached","Not mached")</f>
        <v>Not mached</v>
      </c>
    </row>
    <row r="1706" spans="4:16" x14ac:dyDescent="0.25">
      <c r="D1706" s="6" t="s">
        <v>34</v>
      </c>
      <c r="E1706">
        <v>2014</v>
      </c>
      <c r="F1706" s="6" t="s">
        <v>35</v>
      </c>
      <c r="G1706">
        <v>3</v>
      </c>
      <c r="H1706">
        <v>25</v>
      </c>
      <c r="I1706" s="6" t="s">
        <v>36</v>
      </c>
      <c r="J1706" s="6" t="s">
        <v>37</v>
      </c>
      <c r="K1706">
        <v>3</v>
      </c>
      <c r="M1706" s="1" t="b">
        <f>Employee__2[[#This Row],[Experience]]&gt;1</f>
        <v>1</v>
      </c>
      <c r="N1706" s="1" t="str">
        <f>IF(Employee__2[[#This Row],[City]]="Pune","Yes","No")</f>
        <v>No</v>
      </c>
      <c r="O1706" s="1" t="str">
        <f>IF(AND(Employee__2[[#This Row],[Education]]="Bachelors",Employee__2[[#This Row],[City]]="Pune"),"Yes","No")</f>
        <v>No</v>
      </c>
      <c r="P1706" s="1" t="str">
        <f>IF(OR(Employee__2[[#This Row],[Age]]&gt;=30,Employee__2[[#This Row],[Gender]]="Male"),"Mached","Not mached")</f>
        <v>Mached</v>
      </c>
    </row>
    <row r="1707" spans="4:16" x14ac:dyDescent="0.25">
      <c r="D1707" s="6" t="s">
        <v>34</v>
      </c>
      <c r="E1707">
        <v>2012</v>
      </c>
      <c r="F1707" s="6" t="s">
        <v>35</v>
      </c>
      <c r="G1707">
        <v>3</v>
      </c>
      <c r="H1707">
        <v>26</v>
      </c>
      <c r="I1707" s="6" t="s">
        <v>36</v>
      </c>
      <c r="J1707" s="6" t="s">
        <v>37</v>
      </c>
      <c r="K1707">
        <v>4</v>
      </c>
      <c r="M1707" s="1" t="b">
        <f>Employee__2[[#This Row],[Experience]]&gt;1</f>
        <v>1</v>
      </c>
      <c r="N1707" s="1" t="str">
        <f>IF(Employee__2[[#This Row],[City]]="Pune","Yes","No")</f>
        <v>No</v>
      </c>
      <c r="O1707" s="1" t="str">
        <f>IF(AND(Employee__2[[#This Row],[Education]]="Bachelors",Employee__2[[#This Row],[City]]="Pune"),"Yes","No")</f>
        <v>No</v>
      </c>
      <c r="P1707" s="1" t="str">
        <f>IF(OR(Employee__2[[#This Row],[Age]]&gt;=30,Employee__2[[#This Row],[Gender]]="Male"),"Mached","Not mached")</f>
        <v>Mached</v>
      </c>
    </row>
    <row r="1708" spans="4:16" x14ac:dyDescent="0.25">
      <c r="D1708" s="6" t="s">
        <v>34</v>
      </c>
      <c r="E1708">
        <v>2014</v>
      </c>
      <c r="F1708" s="6" t="s">
        <v>35</v>
      </c>
      <c r="G1708">
        <v>3</v>
      </c>
      <c r="H1708">
        <v>26</v>
      </c>
      <c r="I1708" s="6" t="s">
        <v>36</v>
      </c>
      <c r="J1708" s="6" t="s">
        <v>37</v>
      </c>
      <c r="K1708">
        <v>4</v>
      </c>
      <c r="M1708" s="1" t="b">
        <f>Employee__2[[#This Row],[Experience]]&gt;1</f>
        <v>1</v>
      </c>
      <c r="N1708" s="1" t="str">
        <f>IF(Employee__2[[#This Row],[City]]="Pune","Yes","No")</f>
        <v>No</v>
      </c>
      <c r="O1708" s="1" t="str">
        <f>IF(AND(Employee__2[[#This Row],[Education]]="Bachelors",Employee__2[[#This Row],[City]]="Pune"),"Yes","No")</f>
        <v>No</v>
      </c>
      <c r="P1708" s="1" t="str">
        <f>IF(OR(Employee__2[[#This Row],[Age]]&gt;=30,Employee__2[[#This Row],[Gender]]="Male"),"Mached","Not mached")</f>
        <v>Mached</v>
      </c>
    </row>
    <row r="1709" spans="4:16" x14ac:dyDescent="0.25">
      <c r="D1709" s="6" t="s">
        <v>34</v>
      </c>
      <c r="E1709">
        <v>2017</v>
      </c>
      <c r="F1709" s="6" t="s">
        <v>35</v>
      </c>
      <c r="G1709">
        <v>3</v>
      </c>
      <c r="H1709">
        <v>26</v>
      </c>
      <c r="I1709" s="6" t="s">
        <v>39</v>
      </c>
      <c r="J1709" s="6" t="s">
        <v>37</v>
      </c>
      <c r="K1709">
        <v>4</v>
      </c>
      <c r="M1709" s="1" t="b">
        <f>Employee__2[[#This Row],[Experience]]&gt;1</f>
        <v>1</v>
      </c>
      <c r="N1709" s="1" t="str">
        <f>IF(Employee__2[[#This Row],[City]]="Pune","Yes","No")</f>
        <v>No</v>
      </c>
      <c r="O1709" s="1" t="str">
        <f>IF(AND(Employee__2[[#This Row],[Education]]="Bachelors",Employee__2[[#This Row],[City]]="Pune"),"Yes","No")</f>
        <v>No</v>
      </c>
      <c r="P1709" s="1" t="str">
        <f>IF(OR(Employee__2[[#This Row],[Age]]&gt;=30,Employee__2[[#This Row],[Gender]]="Male"),"Mached","Not mached")</f>
        <v>Not mached</v>
      </c>
    </row>
    <row r="1710" spans="4:16" x14ac:dyDescent="0.25">
      <c r="D1710" s="6" t="s">
        <v>41</v>
      </c>
      <c r="E1710">
        <v>2017</v>
      </c>
      <c r="F1710" s="6" t="s">
        <v>35</v>
      </c>
      <c r="G1710">
        <v>2</v>
      </c>
      <c r="H1710">
        <v>26</v>
      </c>
      <c r="I1710" s="6" t="s">
        <v>36</v>
      </c>
      <c r="J1710" s="6" t="s">
        <v>37</v>
      </c>
      <c r="K1710">
        <v>4</v>
      </c>
      <c r="M1710" s="1" t="b">
        <f>Employee__2[[#This Row],[Experience]]&gt;1</f>
        <v>1</v>
      </c>
      <c r="N1710" s="1" t="str">
        <f>IF(Employee__2[[#This Row],[City]]="Pune","Yes","No")</f>
        <v>No</v>
      </c>
      <c r="O1710" s="1" t="str">
        <f>IF(AND(Employee__2[[#This Row],[Education]]="Bachelors",Employee__2[[#This Row],[City]]="Pune"),"Yes","No")</f>
        <v>No</v>
      </c>
      <c r="P1710" s="1" t="str">
        <f>IF(OR(Employee__2[[#This Row],[Age]]&gt;=30,Employee__2[[#This Row],[Gender]]="Male"),"Mached","Not mached")</f>
        <v>Mached</v>
      </c>
    </row>
    <row r="1711" spans="4:16" x14ac:dyDescent="0.25">
      <c r="D1711" s="6" t="s">
        <v>34</v>
      </c>
      <c r="E1711">
        <v>2017</v>
      </c>
      <c r="F1711" s="6" t="s">
        <v>40</v>
      </c>
      <c r="G1711">
        <v>3</v>
      </c>
      <c r="H1711">
        <v>25</v>
      </c>
      <c r="I1711" s="6" t="s">
        <v>39</v>
      </c>
      <c r="J1711" s="6" t="s">
        <v>37</v>
      </c>
      <c r="K1711">
        <v>3</v>
      </c>
      <c r="M1711" s="1" t="b">
        <f>Employee__2[[#This Row],[Experience]]&gt;1</f>
        <v>1</v>
      </c>
      <c r="N1711" s="1" t="str">
        <f>IF(Employee__2[[#This Row],[City]]="Pune","Yes","No")</f>
        <v>No</v>
      </c>
      <c r="O1711" s="1" t="str">
        <f>IF(AND(Employee__2[[#This Row],[Education]]="Bachelors",Employee__2[[#This Row],[City]]="Pune"),"Yes","No")</f>
        <v>No</v>
      </c>
      <c r="P1711" s="1" t="str">
        <f>IF(OR(Employee__2[[#This Row],[Age]]&gt;=30,Employee__2[[#This Row],[Gender]]="Male"),"Mached","Not mached")</f>
        <v>Not mached</v>
      </c>
    </row>
    <row r="1712" spans="4:16" x14ac:dyDescent="0.25">
      <c r="D1712" s="6" t="s">
        <v>34</v>
      </c>
      <c r="E1712">
        <v>2018</v>
      </c>
      <c r="F1712" s="6" t="s">
        <v>35</v>
      </c>
      <c r="G1712">
        <v>3</v>
      </c>
      <c r="H1712">
        <v>25</v>
      </c>
      <c r="I1712" s="6" t="s">
        <v>36</v>
      </c>
      <c r="J1712" s="6" t="s">
        <v>37</v>
      </c>
      <c r="K1712">
        <v>3</v>
      </c>
      <c r="M1712" s="1" t="b">
        <f>Employee__2[[#This Row],[Experience]]&gt;1</f>
        <v>1</v>
      </c>
      <c r="N1712" s="1" t="str">
        <f>IF(Employee__2[[#This Row],[City]]="Pune","Yes","No")</f>
        <v>No</v>
      </c>
      <c r="O1712" s="1" t="str">
        <f>IF(AND(Employee__2[[#This Row],[Education]]="Bachelors",Employee__2[[#This Row],[City]]="Pune"),"Yes","No")</f>
        <v>No</v>
      </c>
      <c r="P1712" s="1" t="str">
        <f>IF(OR(Employee__2[[#This Row],[Age]]&gt;=30,Employee__2[[#This Row],[Gender]]="Male"),"Mached","Not mached")</f>
        <v>Mached</v>
      </c>
    </row>
    <row r="1713" spans="4:16" x14ac:dyDescent="0.25">
      <c r="D1713" s="6" t="s">
        <v>34</v>
      </c>
      <c r="E1713">
        <v>2014</v>
      </c>
      <c r="F1713" s="6" t="s">
        <v>40</v>
      </c>
      <c r="G1713">
        <v>3</v>
      </c>
      <c r="H1713">
        <v>27</v>
      </c>
      <c r="I1713" s="6" t="s">
        <v>39</v>
      </c>
      <c r="J1713" s="6" t="s">
        <v>37</v>
      </c>
      <c r="K1713">
        <v>5</v>
      </c>
      <c r="M1713" s="1" t="b">
        <f>Employee__2[[#This Row],[Experience]]&gt;1</f>
        <v>1</v>
      </c>
      <c r="N1713" s="1" t="str">
        <f>IF(Employee__2[[#This Row],[City]]="Pune","Yes","No")</f>
        <v>No</v>
      </c>
      <c r="O1713" s="1" t="str">
        <f>IF(AND(Employee__2[[#This Row],[Education]]="Bachelors",Employee__2[[#This Row],[City]]="Pune"),"Yes","No")</f>
        <v>No</v>
      </c>
      <c r="P1713" s="1" t="str">
        <f>IF(OR(Employee__2[[#This Row],[Age]]&gt;=30,Employee__2[[#This Row],[Gender]]="Male"),"Mached","Not mached")</f>
        <v>Not mached</v>
      </c>
    </row>
    <row r="1714" spans="4:16" x14ac:dyDescent="0.25">
      <c r="D1714" s="6" t="s">
        <v>34</v>
      </c>
      <c r="E1714">
        <v>2017</v>
      </c>
      <c r="F1714" s="6" t="s">
        <v>35</v>
      </c>
      <c r="G1714">
        <v>3</v>
      </c>
      <c r="H1714">
        <v>28</v>
      </c>
      <c r="I1714" s="6" t="s">
        <v>36</v>
      </c>
      <c r="J1714" s="6" t="s">
        <v>37</v>
      </c>
      <c r="K1714">
        <v>5</v>
      </c>
      <c r="M1714" s="1" t="b">
        <f>Employee__2[[#This Row],[Experience]]&gt;1</f>
        <v>1</v>
      </c>
      <c r="N1714" s="1" t="str">
        <f>IF(Employee__2[[#This Row],[City]]="Pune","Yes","No")</f>
        <v>No</v>
      </c>
      <c r="O1714" s="1" t="str">
        <f>IF(AND(Employee__2[[#This Row],[Education]]="Bachelors",Employee__2[[#This Row],[City]]="Pune"),"Yes","No")</f>
        <v>No</v>
      </c>
      <c r="P1714" s="1" t="str">
        <f>IF(OR(Employee__2[[#This Row],[Age]]&gt;=30,Employee__2[[#This Row],[Gender]]="Male"),"Mached","Not mached")</f>
        <v>Mached</v>
      </c>
    </row>
    <row r="1715" spans="4:16" x14ac:dyDescent="0.25">
      <c r="D1715" s="6" t="s">
        <v>34</v>
      </c>
      <c r="E1715">
        <v>2015</v>
      </c>
      <c r="F1715" s="6" t="s">
        <v>35</v>
      </c>
      <c r="G1715">
        <v>1</v>
      </c>
      <c r="H1715">
        <v>24</v>
      </c>
      <c r="I1715" s="6" t="s">
        <v>39</v>
      </c>
      <c r="J1715" s="6" t="s">
        <v>37</v>
      </c>
      <c r="K1715">
        <v>2</v>
      </c>
      <c r="M1715" s="1" t="b">
        <f>Employee__2[[#This Row],[Experience]]&gt;1</f>
        <v>1</v>
      </c>
      <c r="N1715" s="1" t="str">
        <f>IF(Employee__2[[#This Row],[City]]="Pune","Yes","No")</f>
        <v>No</v>
      </c>
      <c r="O1715" s="1" t="str">
        <f>IF(AND(Employee__2[[#This Row],[Education]]="Bachelors",Employee__2[[#This Row],[City]]="Pune"),"Yes","No")</f>
        <v>No</v>
      </c>
      <c r="P1715" s="1" t="str">
        <f>IF(OR(Employee__2[[#This Row],[Age]]&gt;=30,Employee__2[[#This Row],[Gender]]="Male"),"Mached","Not mached")</f>
        <v>Not mached</v>
      </c>
    </row>
    <row r="1716" spans="4:16" x14ac:dyDescent="0.25">
      <c r="D1716" s="6" t="s">
        <v>34</v>
      </c>
      <c r="E1716">
        <v>2013</v>
      </c>
      <c r="F1716" s="6" t="s">
        <v>35</v>
      </c>
      <c r="G1716">
        <v>3</v>
      </c>
      <c r="H1716">
        <v>27</v>
      </c>
      <c r="I1716" s="6" t="s">
        <v>36</v>
      </c>
      <c r="J1716" s="6" t="s">
        <v>37</v>
      </c>
      <c r="K1716">
        <v>5</v>
      </c>
      <c r="M1716" s="1" t="b">
        <f>Employee__2[[#This Row],[Experience]]&gt;1</f>
        <v>1</v>
      </c>
      <c r="N1716" s="1" t="str">
        <f>IF(Employee__2[[#This Row],[City]]="Pune","Yes","No")</f>
        <v>No</v>
      </c>
      <c r="O1716" s="1" t="str">
        <f>IF(AND(Employee__2[[#This Row],[Education]]="Bachelors",Employee__2[[#This Row],[City]]="Pune"),"Yes","No")</f>
        <v>No</v>
      </c>
      <c r="P1716" s="1" t="str">
        <f>IF(OR(Employee__2[[#This Row],[Age]]&gt;=30,Employee__2[[#This Row],[Gender]]="Male"),"Mached","Not mached")</f>
        <v>Mached</v>
      </c>
    </row>
    <row r="1717" spans="4:16" x14ac:dyDescent="0.25">
      <c r="D1717" s="6" t="s">
        <v>34</v>
      </c>
      <c r="E1717">
        <v>2018</v>
      </c>
      <c r="F1717" s="6" t="s">
        <v>35</v>
      </c>
      <c r="G1717">
        <v>3</v>
      </c>
      <c r="H1717">
        <v>26</v>
      </c>
      <c r="I1717" s="6" t="s">
        <v>39</v>
      </c>
      <c r="J1717" s="6" t="s">
        <v>37</v>
      </c>
      <c r="K1717">
        <v>4</v>
      </c>
      <c r="M1717" s="1" t="b">
        <f>Employee__2[[#This Row],[Experience]]&gt;1</f>
        <v>1</v>
      </c>
      <c r="N1717" s="1" t="str">
        <f>IF(Employee__2[[#This Row],[City]]="Pune","Yes","No")</f>
        <v>No</v>
      </c>
      <c r="O1717" s="1" t="str">
        <f>IF(AND(Employee__2[[#This Row],[Education]]="Bachelors",Employee__2[[#This Row],[City]]="Pune"),"Yes","No")</f>
        <v>No</v>
      </c>
      <c r="P1717" s="1" t="str">
        <f>IF(OR(Employee__2[[#This Row],[Age]]&gt;=30,Employee__2[[#This Row],[Gender]]="Male"),"Mached","Not mached")</f>
        <v>Not mached</v>
      </c>
    </row>
    <row r="1718" spans="4:16" x14ac:dyDescent="0.25">
      <c r="D1718" s="6" t="s">
        <v>41</v>
      </c>
      <c r="E1718">
        <v>2017</v>
      </c>
      <c r="F1718" s="6" t="s">
        <v>40</v>
      </c>
      <c r="G1718">
        <v>2</v>
      </c>
      <c r="H1718">
        <v>28</v>
      </c>
      <c r="I1718" s="6" t="s">
        <v>39</v>
      </c>
      <c r="J1718" s="6" t="s">
        <v>37</v>
      </c>
      <c r="K1718">
        <v>2</v>
      </c>
      <c r="M1718" s="1" t="b">
        <f>Employee__2[[#This Row],[Experience]]&gt;1</f>
        <v>1</v>
      </c>
      <c r="N1718" s="1" t="str">
        <f>IF(Employee__2[[#This Row],[City]]="Pune","Yes","No")</f>
        <v>No</v>
      </c>
      <c r="O1718" s="1" t="str">
        <f>IF(AND(Employee__2[[#This Row],[Education]]="Bachelors",Employee__2[[#This Row],[City]]="Pune"),"Yes","No")</f>
        <v>No</v>
      </c>
      <c r="P1718" s="1" t="str">
        <f>IF(OR(Employee__2[[#This Row],[Age]]&gt;=30,Employee__2[[#This Row],[Gender]]="Male"),"Mached","Not mached")</f>
        <v>Not mached</v>
      </c>
    </row>
    <row r="1719" spans="4:16" x14ac:dyDescent="0.25">
      <c r="D1719" s="6" t="s">
        <v>34</v>
      </c>
      <c r="E1719">
        <v>2016</v>
      </c>
      <c r="F1719" s="6" t="s">
        <v>38</v>
      </c>
      <c r="G1719">
        <v>3</v>
      </c>
      <c r="H1719">
        <v>28</v>
      </c>
      <c r="I1719" s="6" t="s">
        <v>39</v>
      </c>
      <c r="J1719" s="6" t="s">
        <v>37</v>
      </c>
      <c r="K1719">
        <v>4</v>
      </c>
      <c r="M1719" s="1" t="b">
        <f>Employee__2[[#This Row],[Experience]]&gt;1</f>
        <v>1</v>
      </c>
      <c r="N1719" s="1" t="str">
        <f>IF(Employee__2[[#This Row],[City]]="Pune","Yes","No")</f>
        <v>Yes</v>
      </c>
      <c r="O1719" s="1" t="str">
        <f>IF(AND(Employee__2[[#This Row],[Education]]="Bachelors",Employee__2[[#This Row],[City]]="Pune"),"Yes","No")</f>
        <v>Yes</v>
      </c>
      <c r="P1719" s="1" t="str">
        <f>IF(OR(Employee__2[[#This Row],[Age]]&gt;=30,Employee__2[[#This Row],[Gender]]="Male"),"Mached","Not mached")</f>
        <v>Not mached</v>
      </c>
    </row>
    <row r="1720" spans="4:16" x14ac:dyDescent="0.25">
      <c r="D1720" s="6" t="s">
        <v>34</v>
      </c>
      <c r="E1720">
        <v>2016</v>
      </c>
      <c r="F1720" s="6" t="s">
        <v>35</v>
      </c>
      <c r="G1720">
        <v>3</v>
      </c>
      <c r="H1720">
        <v>25</v>
      </c>
      <c r="I1720" s="6" t="s">
        <v>36</v>
      </c>
      <c r="J1720" s="6" t="s">
        <v>37</v>
      </c>
      <c r="K1720">
        <v>3</v>
      </c>
      <c r="M1720" s="1" t="b">
        <f>Employee__2[[#This Row],[Experience]]&gt;1</f>
        <v>1</v>
      </c>
      <c r="N1720" s="1" t="str">
        <f>IF(Employee__2[[#This Row],[City]]="Pune","Yes","No")</f>
        <v>No</v>
      </c>
      <c r="O1720" s="1" t="str">
        <f>IF(AND(Employee__2[[#This Row],[Education]]="Bachelors",Employee__2[[#This Row],[City]]="Pune"),"Yes","No")</f>
        <v>No</v>
      </c>
      <c r="P1720" s="1" t="str">
        <f>IF(OR(Employee__2[[#This Row],[Age]]&gt;=30,Employee__2[[#This Row],[Gender]]="Male"),"Mached","Not mached")</f>
        <v>Mached</v>
      </c>
    </row>
    <row r="1721" spans="4:16" x14ac:dyDescent="0.25">
      <c r="D1721" s="6" t="s">
        <v>34</v>
      </c>
      <c r="E1721">
        <v>2015</v>
      </c>
      <c r="F1721" s="6" t="s">
        <v>38</v>
      </c>
      <c r="G1721">
        <v>3</v>
      </c>
      <c r="H1721">
        <v>27</v>
      </c>
      <c r="I1721" s="6" t="s">
        <v>39</v>
      </c>
      <c r="J1721" s="6" t="s">
        <v>42</v>
      </c>
      <c r="K1721">
        <v>5</v>
      </c>
      <c r="M1721" s="1" t="b">
        <f>Employee__2[[#This Row],[Experience]]&gt;1</f>
        <v>1</v>
      </c>
      <c r="N1721" s="1" t="str">
        <f>IF(Employee__2[[#This Row],[City]]="Pune","Yes","No")</f>
        <v>Yes</v>
      </c>
      <c r="O1721" s="1" t="str">
        <f>IF(AND(Employee__2[[#This Row],[Education]]="Bachelors",Employee__2[[#This Row],[City]]="Pune"),"Yes","No")</f>
        <v>Yes</v>
      </c>
      <c r="P1721" s="1" t="str">
        <f>IF(OR(Employee__2[[#This Row],[Age]]&gt;=30,Employee__2[[#This Row],[Gender]]="Male"),"Mached","Not mached")</f>
        <v>Not mached</v>
      </c>
    </row>
    <row r="1722" spans="4:16" x14ac:dyDescent="0.25">
      <c r="D1722" s="6" t="s">
        <v>34</v>
      </c>
      <c r="E1722">
        <v>2015</v>
      </c>
      <c r="F1722" s="6" t="s">
        <v>35</v>
      </c>
      <c r="G1722">
        <v>3</v>
      </c>
      <c r="H1722">
        <v>26</v>
      </c>
      <c r="I1722" s="6" t="s">
        <v>36</v>
      </c>
      <c r="J1722" s="6" t="s">
        <v>37</v>
      </c>
      <c r="K1722">
        <v>4</v>
      </c>
      <c r="M1722" s="1" t="b">
        <f>Employee__2[[#This Row],[Experience]]&gt;1</f>
        <v>1</v>
      </c>
      <c r="N1722" s="1" t="str">
        <f>IF(Employee__2[[#This Row],[City]]="Pune","Yes","No")</f>
        <v>No</v>
      </c>
      <c r="O1722" s="1" t="str">
        <f>IF(AND(Employee__2[[#This Row],[Education]]="Bachelors",Employee__2[[#This Row],[City]]="Pune"),"Yes","No")</f>
        <v>No</v>
      </c>
      <c r="P1722" s="1" t="str">
        <f>IF(OR(Employee__2[[#This Row],[Age]]&gt;=30,Employee__2[[#This Row],[Gender]]="Male"),"Mached","Not mached")</f>
        <v>Mached</v>
      </c>
    </row>
    <row r="1723" spans="4:16" x14ac:dyDescent="0.25">
      <c r="D1723" s="6" t="s">
        <v>34</v>
      </c>
      <c r="E1723">
        <v>2015</v>
      </c>
      <c r="F1723" s="6" t="s">
        <v>38</v>
      </c>
      <c r="G1723">
        <v>3</v>
      </c>
      <c r="H1723">
        <v>28</v>
      </c>
      <c r="I1723" s="6" t="s">
        <v>39</v>
      </c>
      <c r="J1723" s="6" t="s">
        <v>42</v>
      </c>
      <c r="K1723">
        <v>5</v>
      </c>
      <c r="M1723" s="1" t="b">
        <f>Employee__2[[#This Row],[Experience]]&gt;1</f>
        <v>1</v>
      </c>
      <c r="N1723" s="1" t="str">
        <f>IF(Employee__2[[#This Row],[City]]="Pune","Yes","No")</f>
        <v>Yes</v>
      </c>
      <c r="O1723" s="1" t="str">
        <f>IF(AND(Employee__2[[#This Row],[Education]]="Bachelors",Employee__2[[#This Row],[City]]="Pune"),"Yes","No")</f>
        <v>Yes</v>
      </c>
      <c r="P1723" s="1" t="str">
        <f>IF(OR(Employee__2[[#This Row],[Age]]&gt;=30,Employee__2[[#This Row],[Gender]]="Male"),"Mached","Not mached")</f>
        <v>Not mached</v>
      </c>
    </row>
    <row r="1724" spans="4:16" x14ac:dyDescent="0.25">
      <c r="D1724" s="6" t="s">
        <v>34</v>
      </c>
      <c r="E1724">
        <v>2013</v>
      </c>
      <c r="F1724" s="6" t="s">
        <v>38</v>
      </c>
      <c r="G1724">
        <v>3</v>
      </c>
      <c r="H1724">
        <v>27</v>
      </c>
      <c r="I1724" s="6" t="s">
        <v>36</v>
      </c>
      <c r="J1724" s="6" t="s">
        <v>37</v>
      </c>
      <c r="K1724">
        <v>5</v>
      </c>
      <c r="M1724" s="1" t="b">
        <f>Employee__2[[#This Row],[Experience]]&gt;1</f>
        <v>1</v>
      </c>
      <c r="N1724" s="1" t="str">
        <f>IF(Employee__2[[#This Row],[City]]="Pune","Yes","No")</f>
        <v>Yes</v>
      </c>
      <c r="O1724" s="1" t="str">
        <f>IF(AND(Employee__2[[#This Row],[Education]]="Bachelors",Employee__2[[#This Row],[City]]="Pune"),"Yes","No")</f>
        <v>Yes</v>
      </c>
      <c r="P1724" s="1" t="str">
        <f>IF(OR(Employee__2[[#This Row],[Age]]&gt;=30,Employee__2[[#This Row],[Gender]]="Male"),"Mached","Not mached")</f>
        <v>Mached</v>
      </c>
    </row>
    <row r="1725" spans="4:16" x14ac:dyDescent="0.25">
      <c r="D1725" s="6" t="s">
        <v>41</v>
      </c>
      <c r="E1725">
        <v>2017</v>
      </c>
      <c r="F1725" s="6" t="s">
        <v>38</v>
      </c>
      <c r="G1725">
        <v>2</v>
      </c>
      <c r="H1725">
        <v>25</v>
      </c>
      <c r="I1725" s="6" t="s">
        <v>36</v>
      </c>
      <c r="J1725" s="6" t="s">
        <v>37</v>
      </c>
      <c r="K1725">
        <v>3</v>
      </c>
      <c r="M1725" s="1" t="b">
        <f>Employee__2[[#This Row],[Experience]]&gt;1</f>
        <v>1</v>
      </c>
      <c r="N1725" s="1" t="str">
        <f>IF(Employee__2[[#This Row],[City]]="Pune","Yes","No")</f>
        <v>Yes</v>
      </c>
      <c r="O1725" s="1" t="str">
        <f>IF(AND(Employee__2[[#This Row],[Education]]="Bachelors",Employee__2[[#This Row],[City]]="Pune"),"Yes","No")</f>
        <v>No</v>
      </c>
      <c r="P1725" s="1" t="str">
        <f>IF(OR(Employee__2[[#This Row],[Age]]&gt;=30,Employee__2[[#This Row],[Gender]]="Male"),"Mached","Not mached")</f>
        <v>Mached</v>
      </c>
    </row>
    <row r="1726" spans="4:16" x14ac:dyDescent="0.25">
      <c r="D1726" s="6" t="s">
        <v>34</v>
      </c>
      <c r="E1726">
        <v>2015</v>
      </c>
      <c r="F1726" s="6" t="s">
        <v>38</v>
      </c>
      <c r="G1726">
        <v>2</v>
      </c>
      <c r="H1726">
        <v>25</v>
      </c>
      <c r="I1726" s="6" t="s">
        <v>39</v>
      </c>
      <c r="J1726" s="6" t="s">
        <v>42</v>
      </c>
      <c r="K1726">
        <v>3</v>
      </c>
      <c r="M1726" s="1" t="b">
        <f>Employee__2[[#This Row],[Experience]]&gt;1</f>
        <v>1</v>
      </c>
      <c r="N1726" s="1" t="str">
        <f>IF(Employee__2[[#This Row],[City]]="Pune","Yes","No")</f>
        <v>Yes</v>
      </c>
      <c r="O1726" s="1" t="str">
        <f>IF(AND(Employee__2[[#This Row],[Education]]="Bachelors",Employee__2[[#This Row],[City]]="Pune"),"Yes","No")</f>
        <v>Yes</v>
      </c>
      <c r="P1726" s="1" t="str">
        <f>IF(OR(Employee__2[[#This Row],[Age]]&gt;=30,Employee__2[[#This Row],[Gender]]="Male"),"Mached","Not mached")</f>
        <v>Not mached</v>
      </c>
    </row>
    <row r="1727" spans="4:16" x14ac:dyDescent="0.25">
      <c r="D1727" s="6" t="s">
        <v>34</v>
      </c>
      <c r="E1727">
        <v>2015</v>
      </c>
      <c r="F1727" s="6" t="s">
        <v>38</v>
      </c>
      <c r="G1727">
        <v>2</v>
      </c>
      <c r="H1727">
        <v>24</v>
      </c>
      <c r="I1727" s="6" t="s">
        <v>39</v>
      </c>
      <c r="J1727" s="6" t="s">
        <v>37</v>
      </c>
      <c r="K1727">
        <v>2</v>
      </c>
      <c r="M1727" s="1" t="b">
        <f>Employee__2[[#This Row],[Experience]]&gt;1</f>
        <v>1</v>
      </c>
      <c r="N1727" s="1" t="str">
        <f>IF(Employee__2[[#This Row],[City]]="Pune","Yes","No")</f>
        <v>Yes</v>
      </c>
      <c r="O1727" s="1" t="str">
        <f>IF(AND(Employee__2[[#This Row],[Education]]="Bachelors",Employee__2[[#This Row],[City]]="Pune"),"Yes","No")</f>
        <v>Yes</v>
      </c>
      <c r="P1727" s="1" t="str">
        <f>IF(OR(Employee__2[[#This Row],[Age]]&gt;=30,Employee__2[[#This Row],[Gender]]="Male"),"Mached","Not mached")</f>
        <v>Not mached</v>
      </c>
    </row>
    <row r="1728" spans="4:16" x14ac:dyDescent="0.25">
      <c r="D1728" s="6" t="s">
        <v>41</v>
      </c>
      <c r="E1728">
        <v>2017</v>
      </c>
      <c r="F1728" s="6" t="s">
        <v>40</v>
      </c>
      <c r="G1728">
        <v>2</v>
      </c>
      <c r="H1728">
        <v>28</v>
      </c>
      <c r="I1728" s="6" t="s">
        <v>39</v>
      </c>
      <c r="J1728" s="6" t="s">
        <v>37</v>
      </c>
      <c r="K1728">
        <v>2</v>
      </c>
      <c r="M1728" s="1" t="b">
        <f>Employee__2[[#This Row],[Experience]]&gt;1</f>
        <v>1</v>
      </c>
      <c r="N1728" s="1" t="str">
        <f>IF(Employee__2[[#This Row],[City]]="Pune","Yes","No")</f>
        <v>No</v>
      </c>
      <c r="O1728" s="1" t="str">
        <f>IF(AND(Employee__2[[#This Row],[Education]]="Bachelors",Employee__2[[#This Row],[City]]="Pune"),"Yes","No")</f>
        <v>No</v>
      </c>
      <c r="P1728" s="1" t="str">
        <f>IF(OR(Employee__2[[#This Row],[Age]]&gt;=30,Employee__2[[#This Row],[Gender]]="Male"),"Mached","Not mached")</f>
        <v>Not mached</v>
      </c>
    </row>
    <row r="1729" spans="4:16" x14ac:dyDescent="0.25">
      <c r="D1729" s="6" t="s">
        <v>34</v>
      </c>
      <c r="E1729">
        <v>2014</v>
      </c>
      <c r="F1729" s="6" t="s">
        <v>40</v>
      </c>
      <c r="G1729">
        <v>3</v>
      </c>
      <c r="H1729">
        <v>24</v>
      </c>
      <c r="I1729" s="6" t="s">
        <v>39</v>
      </c>
      <c r="J1729" s="6" t="s">
        <v>37</v>
      </c>
      <c r="K1729">
        <v>2</v>
      </c>
      <c r="M1729" s="1" t="b">
        <f>Employee__2[[#This Row],[Experience]]&gt;1</f>
        <v>1</v>
      </c>
      <c r="N1729" s="1" t="str">
        <f>IF(Employee__2[[#This Row],[City]]="Pune","Yes","No")</f>
        <v>No</v>
      </c>
      <c r="O1729" s="1" t="str">
        <f>IF(AND(Employee__2[[#This Row],[Education]]="Bachelors",Employee__2[[#This Row],[City]]="Pune"),"Yes","No")</f>
        <v>No</v>
      </c>
      <c r="P1729" s="1" t="str">
        <f>IF(OR(Employee__2[[#This Row],[Age]]&gt;=30,Employee__2[[#This Row],[Gender]]="Male"),"Mached","Not mached")</f>
        <v>Not mached</v>
      </c>
    </row>
    <row r="1730" spans="4:16" x14ac:dyDescent="0.25">
      <c r="D1730" s="6" t="s">
        <v>34</v>
      </c>
      <c r="E1730">
        <v>2012</v>
      </c>
      <c r="F1730" s="6" t="s">
        <v>35</v>
      </c>
      <c r="G1730">
        <v>3</v>
      </c>
      <c r="H1730">
        <v>27</v>
      </c>
      <c r="I1730" s="6" t="s">
        <v>36</v>
      </c>
      <c r="J1730" s="6" t="s">
        <v>37</v>
      </c>
      <c r="K1730">
        <v>5</v>
      </c>
      <c r="M1730" s="1" t="b">
        <f>Employee__2[[#This Row],[Experience]]&gt;1</f>
        <v>1</v>
      </c>
      <c r="N1730" s="1" t="str">
        <f>IF(Employee__2[[#This Row],[City]]="Pune","Yes","No")</f>
        <v>No</v>
      </c>
      <c r="O1730" s="1" t="str">
        <f>IF(AND(Employee__2[[#This Row],[Education]]="Bachelors",Employee__2[[#This Row],[City]]="Pune"),"Yes","No")</f>
        <v>No</v>
      </c>
      <c r="P1730" s="1" t="str">
        <f>IF(OR(Employee__2[[#This Row],[Age]]&gt;=30,Employee__2[[#This Row],[Gender]]="Male"),"Mached","Not mached")</f>
        <v>Mached</v>
      </c>
    </row>
    <row r="1731" spans="4:16" x14ac:dyDescent="0.25">
      <c r="D1731" s="6" t="s">
        <v>34</v>
      </c>
      <c r="E1731">
        <v>2015</v>
      </c>
      <c r="F1731" s="6" t="s">
        <v>38</v>
      </c>
      <c r="G1731">
        <v>2</v>
      </c>
      <c r="H1731">
        <v>28</v>
      </c>
      <c r="I1731" s="6" t="s">
        <v>39</v>
      </c>
      <c r="J1731" s="6" t="s">
        <v>37</v>
      </c>
      <c r="K1731">
        <v>5</v>
      </c>
      <c r="M1731" s="1" t="b">
        <f>Employee__2[[#This Row],[Experience]]&gt;1</f>
        <v>1</v>
      </c>
      <c r="N1731" s="1" t="str">
        <f>IF(Employee__2[[#This Row],[City]]="Pune","Yes","No")</f>
        <v>Yes</v>
      </c>
      <c r="O1731" s="1" t="str">
        <f>IF(AND(Employee__2[[#This Row],[Education]]="Bachelors",Employee__2[[#This Row],[City]]="Pune"),"Yes","No")</f>
        <v>Yes</v>
      </c>
      <c r="P1731" s="1" t="str">
        <f>IF(OR(Employee__2[[#This Row],[Age]]&gt;=30,Employee__2[[#This Row],[Gender]]="Male"),"Mached","Not mached")</f>
        <v>Not mached</v>
      </c>
    </row>
    <row r="1732" spans="4:16" x14ac:dyDescent="0.25">
      <c r="D1732" s="6" t="s">
        <v>34</v>
      </c>
      <c r="E1732">
        <v>2015</v>
      </c>
      <c r="F1732" s="6" t="s">
        <v>40</v>
      </c>
      <c r="G1732">
        <v>2</v>
      </c>
      <c r="H1732">
        <v>27</v>
      </c>
      <c r="I1732" s="6" t="s">
        <v>39</v>
      </c>
      <c r="J1732" s="6" t="s">
        <v>37</v>
      </c>
      <c r="K1732">
        <v>5</v>
      </c>
      <c r="M1732" s="1" t="b">
        <f>Employee__2[[#This Row],[Experience]]&gt;1</f>
        <v>1</v>
      </c>
      <c r="N1732" s="1" t="str">
        <f>IF(Employee__2[[#This Row],[City]]="Pune","Yes","No")</f>
        <v>No</v>
      </c>
      <c r="O1732" s="1" t="str">
        <f>IF(AND(Employee__2[[#This Row],[Education]]="Bachelors",Employee__2[[#This Row],[City]]="Pune"),"Yes","No")</f>
        <v>No</v>
      </c>
      <c r="P1732" s="1" t="str">
        <f>IF(OR(Employee__2[[#This Row],[Age]]&gt;=30,Employee__2[[#This Row],[Gender]]="Male"),"Mached","Not mached")</f>
        <v>Not mached</v>
      </c>
    </row>
    <row r="1733" spans="4:16" x14ac:dyDescent="0.25">
      <c r="D1733" s="6" t="s">
        <v>34</v>
      </c>
      <c r="E1733">
        <v>2017</v>
      </c>
      <c r="F1733" s="6" t="s">
        <v>35</v>
      </c>
      <c r="G1733">
        <v>3</v>
      </c>
      <c r="H1733">
        <v>24</v>
      </c>
      <c r="I1733" s="6" t="s">
        <v>39</v>
      </c>
      <c r="J1733" s="6" t="s">
        <v>37</v>
      </c>
      <c r="K1733">
        <v>2</v>
      </c>
      <c r="M1733" s="1" t="b">
        <f>Employee__2[[#This Row],[Experience]]&gt;1</f>
        <v>1</v>
      </c>
      <c r="N1733" s="1" t="str">
        <f>IF(Employee__2[[#This Row],[City]]="Pune","Yes","No")</f>
        <v>No</v>
      </c>
      <c r="O1733" s="1" t="str">
        <f>IF(AND(Employee__2[[#This Row],[Education]]="Bachelors",Employee__2[[#This Row],[City]]="Pune"),"Yes","No")</f>
        <v>No</v>
      </c>
      <c r="P1733" s="1" t="str">
        <f>IF(OR(Employee__2[[#This Row],[Age]]&gt;=30,Employee__2[[#This Row],[Gender]]="Male"),"Mached","Not mached")</f>
        <v>Not mached</v>
      </c>
    </row>
    <row r="1734" spans="4:16" x14ac:dyDescent="0.25">
      <c r="D1734" s="6" t="s">
        <v>41</v>
      </c>
      <c r="E1734">
        <v>2016</v>
      </c>
      <c r="F1734" s="6" t="s">
        <v>40</v>
      </c>
      <c r="G1734">
        <v>3</v>
      </c>
      <c r="H1734">
        <v>25</v>
      </c>
      <c r="I1734" s="6" t="s">
        <v>39</v>
      </c>
      <c r="J1734" s="6" t="s">
        <v>37</v>
      </c>
      <c r="K1734">
        <v>3</v>
      </c>
      <c r="M1734" s="1" t="b">
        <f>Employee__2[[#This Row],[Experience]]&gt;1</f>
        <v>1</v>
      </c>
      <c r="N1734" s="1" t="str">
        <f>IF(Employee__2[[#This Row],[City]]="Pune","Yes","No")</f>
        <v>No</v>
      </c>
      <c r="O1734" s="1" t="str">
        <f>IF(AND(Employee__2[[#This Row],[Education]]="Bachelors",Employee__2[[#This Row],[City]]="Pune"),"Yes","No")</f>
        <v>No</v>
      </c>
      <c r="P1734" s="1" t="str">
        <f>IF(OR(Employee__2[[#This Row],[Age]]&gt;=30,Employee__2[[#This Row],[Gender]]="Male"),"Mached","Not mached")</f>
        <v>Not mached</v>
      </c>
    </row>
    <row r="1735" spans="4:16" x14ac:dyDescent="0.25">
      <c r="D1735" s="6" t="s">
        <v>34</v>
      </c>
      <c r="E1735">
        <v>2012</v>
      </c>
      <c r="F1735" s="6" t="s">
        <v>38</v>
      </c>
      <c r="G1735">
        <v>3</v>
      </c>
      <c r="H1735">
        <v>24</v>
      </c>
      <c r="I1735" s="6" t="s">
        <v>36</v>
      </c>
      <c r="J1735" s="6" t="s">
        <v>42</v>
      </c>
      <c r="K1735">
        <v>2</v>
      </c>
      <c r="M1735" s="1" t="b">
        <f>Employee__2[[#This Row],[Experience]]&gt;1</f>
        <v>1</v>
      </c>
      <c r="N1735" s="1" t="str">
        <f>IF(Employee__2[[#This Row],[City]]="Pune","Yes","No")</f>
        <v>Yes</v>
      </c>
      <c r="O1735" s="1" t="str">
        <f>IF(AND(Employee__2[[#This Row],[Education]]="Bachelors",Employee__2[[#This Row],[City]]="Pune"),"Yes","No")</f>
        <v>Yes</v>
      </c>
      <c r="P1735" s="1" t="str">
        <f>IF(OR(Employee__2[[#This Row],[Age]]&gt;=30,Employee__2[[#This Row],[Gender]]="Male"),"Mached","Not mached")</f>
        <v>Mached</v>
      </c>
    </row>
    <row r="1736" spans="4:16" x14ac:dyDescent="0.25">
      <c r="D1736" s="6" t="s">
        <v>34</v>
      </c>
      <c r="E1736">
        <v>2015</v>
      </c>
      <c r="F1736" s="6" t="s">
        <v>40</v>
      </c>
      <c r="G1736">
        <v>3</v>
      </c>
      <c r="H1736">
        <v>24</v>
      </c>
      <c r="I1736" s="6" t="s">
        <v>39</v>
      </c>
      <c r="J1736" s="6" t="s">
        <v>37</v>
      </c>
      <c r="K1736">
        <v>2</v>
      </c>
      <c r="M1736" s="1" t="b">
        <f>Employee__2[[#This Row],[Experience]]&gt;1</f>
        <v>1</v>
      </c>
      <c r="N1736" s="1" t="str">
        <f>IF(Employee__2[[#This Row],[City]]="Pune","Yes","No")</f>
        <v>No</v>
      </c>
      <c r="O1736" s="1" t="str">
        <f>IF(AND(Employee__2[[#This Row],[Education]]="Bachelors",Employee__2[[#This Row],[City]]="Pune"),"Yes","No")</f>
        <v>No</v>
      </c>
      <c r="P1736" s="1" t="str">
        <f>IF(OR(Employee__2[[#This Row],[Age]]&gt;=30,Employee__2[[#This Row],[Gender]]="Male"),"Mached","Not mached")</f>
        <v>Not mached</v>
      </c>
    </row>
    <row r="1737" spans="4:16" x14ac:dyDescent="0.25">
      <c r="D1737" s="6" t="s">
        <v>34</v>
      </c>
      <c r="E1737">
        <v>2015</v>
      </c>
      <c r="F1737" s="6" t="s">
        <v>38</v>
      </c>
      <c r="G1737">
        <v>2</v>
      </c>
      <c r="H1737">
        <v>26</v>
      </c>
      <c r="I1737" s="6" t="s">
        <v>39</v>
      </c>
      <c r="J1737" s="6" t="s">
        <v>37</v>
      </c>
      <c r="K1737">
        <v>4</v>
      </c>
      <c r="M1737" s="1" t="b">
        <f>Employee__2[[#This Row],[Experience]]&gt;1</f>
        <v>1</v>
      </c>
      <c r="N1737" s="1" t="str">
        <f>IF(Employee__2[[#This Row],[City]]="Pune","Yes","No")</f>
        <v>Yes</v>
      </c>
      <c r="O1737" s="1" t="str">
        <f>IF(AND(Employee__2[[#This Row],[Education]]="Bachelors",Employee__2[[#This Row],[City]]="Pune"),"Yes","No")</f>
        <v>Yes</v>
      </c>
      <c r="P1737" s="1" t="str">
        <f>IF(OR(Employee__2[[#This Row],[Age]]&gt;=30,Employee__2[[#This Row],[Gender]]="Male"),"Mached","Not mached")</f>
        <v>Not mached</v>
      </c>
    </row>
    <row r="1738" spans="4:16" x14ac:dyDescent="0.25">
      <c r="D1738" s="6" t="s">
        <v>41</v>
      </c>
      <c r="E1738">
        <v>2017</v>
      </c>
      <c r="F1738" s="6" t="s">
        <v>38</v>
      </c>
      <c r="G1738">
        <v>2</v>
      </c>
      <c r="H1738">
        <v>27</v>
      </c>
      <c r="I1738" s="6" t="s">
        <v>39</v>
      </c>
      <c r="J1738" s="6" t="s">
        <v>37</v>
      </c>
      <c r="K1738">
        <v>5</v>
      </c>
      <c r="M1738" s="1" t="b">
        <f>Employee__2[[#This Row],[Experience]]&gt;1</f>
        <v>1</v>
      </c>
      <c r="N1738" s="1" t="str">
        <f>IF(Employee__2[[#This Row],[City]]="Pune","Yes","No")</f>
        <v>Yes</v>
      </c>
      <c r="O1738" s="1" t="str">
        <f>IF(AND(Employee__2[[#This Row],[Education]]="Bachelors",Employee__2[[#This Row],[City]]="Pune"),"Yes","No")</f>
        <v>No</v>
      </c>
      <c r="P1738" s="1" t="str">
        <f>IF(OR(Employee__2[[#This Row],[Age]]&gt;=30,Employee__2[[#This Row],[Gender]]="Male"),"Mached","Not mached")</f>
        <v>Not mached</v>
      </c>
    </row>
    <row r="1739" spans="4:16" x14ac:dyDescent="0.25">
      <c r="D1739" s="6" t="s">
        <v>34</v>
      </c>
      <c r="E1739">
        <v>2013</v>
      </c>
      <c r="F1739" s="6" t="s">
        <v>35</v>
      </c>
      <c r="G1739">
        <v>1</v>
      </c>
      <c r="H1739">
        <v>24</v>
      </c>
      <c r="I1739" s="6" t="s">
        <v>39</v>
      </c>
      <c r="J1739" s="6" t="s">
        <v>37</v>
      </c>
      <c r="K1739">
        <v>2</v>
      </c>
      <c r="M1739" s="1" t="b">
        <f>Employee__2[[#This Row],[Experience]]&gt;1</f>
        <v>1</v>
      </c>
      <c r="N1739" s="1" t="str">
        <f>IF(Employee__2[[#This Row],[City]]="Pune","Yes","No")</f>
        <v>No</v>
      </c>
      <c r="O1739" s="1" t="str">
        <f>IF(AND(Employee__2[[#This Row],[Education]]="Bachelors",Employee__2[[#This Row],[City]]="Pune"),"Yes","No")</f>
        <v>No</v>
      </c>
      <c r="P1739" s="1" t="str">
        <f>IF(OR(Employee__2[[#This Row],[Age]]&gt;=30,Employee__2[[#This Row],[Gender]]="Male"),"Mached","Not mached")</f>
        <v>Not mached</v>
      </c>
    </row>
    <row r="1740" spans="4:16" x14ac:dyDescent="0.25">
      <c r="D1740" s="6" t="s">
        <v>43</v>
      </c>
      <c r="E1740">
        <v>2017</v>
      </c>
      <c r="F1740" s="6" t="s">
        <v>38</v>
      </c>
      <c r="G1740">
        <v>3</v>
      </c>
      <c r="H1740">
        <v>28</v>
      </c>
      <c r="I1740" s="6" t="s">
        <v>36</v>
      </c>
      <c r="J1740" s="6" t="s">
        <v>37</v>
      </c>
      <c r="K1740">
        <v>1</v>
      </c>
      <c r="M1740" s="1" t="b">
        <f>Employee__2[[#This Row],[Experience]]&gt;1</f>
        <v>0</v>
      </c>
      <c r="N1740" s="1" t="str">
        <f>IF(Employee__2[[#This Row],[City]]="Pune","Yes","No")</f>
        <v>Yes</v>
      </c>
      <c r="O1740" s="1" t="str">
        <f>IF(AND(Employee__2[[#This Row],[Education]]="Bachelors",Employee__2[[#This Row],[City]]="Pune"),"Yes","No")</f>
        <v>No</v>
      </c>
      <c r="P1740" s="1" t="str">
        <f>IF(OR(Employee__2[[#This Row],[Age]]&gt;=30,Employee__2[[#This Row],[Gender]]="Male"),"Mached","Not mached")</f>
        <v>Mached</v>
      </c>
    </row>
    <row r="1741" spans="4:16" x14ac:dyDescent="0.25">
      <c r="D1741" s="6" t="s">
        <v>34</v>
      </c>
      <c r="E1741">
        <v>2017</v>
      </c>
      <c r="F1741" s="6" t="s">
        <v>35</v>
      </c>
      <c r="G1741">
        <v>3</v>
      </c>
      <c r="H1741">
        <v>24</v>
      </c>
      <c r="I1741" s="6" t="s">
        <v>39</v>
      </c>
      <c r="J1741" s="6" t="s">
        <v>37</v>
      </c>
      <c r="K1741">
        <v>2</v>
      </c>
      <c r="M1741" s="1" t="b">
        <f>Employee__2[[#This Row],[Experience]]&gt;1</f>
        <v>1</v>
      </c>
      <c r="N1741" s="1" t="str">
        <f>IF(Employee__2[[#This Row],[City]]="Pune","Yes","No")</f>
        <v>No</v>
      </c>
      <c r="O1741" s="1" t="str">
        <f>IF(AND(Employee__2[[#This Row],[Education]]="Bachelors",Employee__2[[#This Row],[City]]="Pune"),"Yes","No")</f>
        <v>No</v>
      </c>
      <c r="P1741" s="1" t="str">
        <f>IF(OR(Employee__2[[#This Row],[Age]]&gt;=30,Employee__2[[#This Row],[Gender]]="Male"),"Mached","Not mached")</f>
        <v>Not mached</v>
      </c>
    </row>
    <row r="1742" spans="4:16" x14ac:dyDescent="0.25">
      <c r="D1742" s="6" t="s">
        <v>34</v>
      </c>
      <c r="E1742">
        <v>2015</v>
      </c>
      <c r="F1742" s="6" t="s">
        <v>38</v>
      </c>
      <c r="G1742">
        <v>2</v>
      </c>
      <c r="H1742">
        <v>24</v>
      </c>
      <c r="I1742" s="6" t="s">
        <v>39</v>
      </c>
      <c r="J1742" s="6" t="s">
        <v>37</v>
      </c>
      <c r="K1742">
        <v>2</v>
      </c>
      <c r="M1742" s="1" t="b">
        <f>Employee__2[[#This Row],[Experience]]&gt;1</f>
        <v>1</v>
      </c>
      <c r="N1742" s="1" t="str">
        <f>IF(Employee__2[[#This Row],[City]]="Pune","Yes","No")</f>
        <v>Yes</v>
      </c>
      <c r="O1742" s="1" t="str">
        <f>IF(AND(Employee__2[[#This Row],[Education]]="Bachelors",Employee__2[[#This Row],[City]]="Pune"),"Yes","No")</f>
        <v>Yes</v>
      </c>
      <c r="P1742" s="1" t="str">
        <f>IF(OR(Employee__2[[#This Row],[Age]]&gt;=30,Employee__2[[#This Row],[Gender]]="Male"),"Mached","Not mached")</f>
        <v>Not mached</v>
      </c>
    </row>
    <row r="1743" spans="4:16" x14ac:dyDescent="0.25">
      <c r="D1743" s="6" t="s">
        <v>34</v>
      </c>
      <c r="E1743">
        <v>2017</v>
      </c>
      <c r="F1743" s="6" t="s">
        <v>35</v>
      </c>
      <c r="G1743">
        <v>3</v>
      </c>
      <c r="H1743">
        <v>27</v>
      </c>
      <c r="I1743" s="6" t="s">
        <v>36</v>
      </c>
      <c r="J1743" s="6" t="s">
        <v>37</v>
      </c>
      <c r="K1743">
        <v>5</v>
      </c>
      <c r="M1743" s="1" t="b">
        <f>Employee__2[[#This Row],[Experience]]&gt;1</f>
        <v>1</v>
      </c>
      <c r="N1743" s="1" t="str">
        <f>IF(Employee__2[[#This Row],[City]]="Pune","Yes","No")</f>
        <v>No</v>
      </c>
      <c r="O1743" s="1" t="str">
        <f>IF(AND(Employee__2[[#This Row],[Education]]="Bachelors",Employee__2[[#This Row],[City]]="Pune"),"Yes","No")</f>
        <v>No</v>
      </c>
      <c r="P1743" s="1" t="str">
        <f>IF(OR(Employee__2[[#This Row],[Age]]&gt;=30,Employee__2[[#This Row],[Gender]]="Male"),"Mached","Not mached")</f>
        <v>Mached</v>
      </c>
    </row>
    <row r="1744" spans="4:16" x14ac:dyDescent="0.25">
      <c r="D1744" s="6" t="s">
        <v>34</v>
      </c>
      <c r="E1744">
        <v>2016</v>
      </c>
      <c r="F1744" s="6" t="s">
        <v>40</v>
      </c>
      <c r="G1744">
        <v>3</v>
      </c>
      <c r="H1744">
        <v>28</v>
      </c>
      <c r="I1744" s="6" t="s">
        <v>36</v>
      </c>
      <c r="J1744" s="6" t="s">
        <v>37</v>
      </c>
      <c r="K1744">
        <v>4</v>
      </c>
      <c r="M1744" s="1" t="b">
        <f>Employee__2[[#This Row],[Experience]]&gt;1</f>
        <v>1</v>
      </c>
      <c r="N1744" s="1" t="str">
        <f>IF(Employee__2[[#This Row],[City]]="Pune","Yes","No")</f>
        <v>No</v>
      </c>
      <c r="O1744" s="1" t="str">
        <f>IF(AND(Employee__2[[#This Row],[Education]]="Bachelors",Employee__2[[#This Row],[City]]="Pune"),"Yes","No")</f>
        <v>No</v>
      </c>
      <c r="P1744" s="1" t="str">
        <f>IF(OR(Employee__2[[#This Row],[Age]]&gt;=30,Employee__2[[#This Row],[Gender]]="Male"),"Mached","Not mached")</f>
        <v>Mached</v>
      </c>
    </row>
    <row r="1745" spans="4:16" x14ac:dyDescent="0.25">
      <c r="D1745" s="6" t="s">
        <v>41</v>
      </c>
      <c r="E1745">
        <v>2017</v>
      </c>
      <c r="F1745" s="6" t="s">
        <v>40</v>
      </c>
      <c r="G1745">
        <v>2</v>
      </c>
      <c r="H1745">
        <v>28</v>
      </c>
      <c r="I1745" s="6" t="s">
        <v>39</v>
      </c>
      <c r="J1745" s="6" t="s">
        <v>37</v>
      </c>
      <c r="K1745">
        <v>2</v>
      </c>
      <c r="M1745" s="1" t="b">
        <f>Employee__2[[#This Row],[Experience]]&gt;1</f>
        <v>1</v>
      </c>
      <c r="N1745" s="1" t="str">
        <f>IF(Employee__2[[#This Row],[City]]="Pune","Yes","No")</f>
        <v>No</v>
      </c>
      <c r="O1745" s="1" t="str">
        <f>IF(AND(Employee__2[[#This Row],[Education]]="Bachelors",Employee__2[[#This Row],[City]]="Pune"),"Yes","No")</f>
        <v>No</v>
      </c>
      <c r="P1745" s="1" t="str">
        <f>IF(OR(Employee__2[[#This Row],[Age]]&gt;=30,Employee__2[[#This Row],[Gender]]="Male"),"Mached","Not mached")</f>
        <v>Not mached</v>
      </c>
    </row>
    <row r="1746" spans="4:16" x14ac:dyDescent="0.25">
      <c r="D1746" s="6" t="s">
        <v>43</v>
      </c>
      <c r="E1746">
        <v>2014</v>
      </c>
      <c r="F1746" s="6" t="s">
        <v>40</v>
      </c>
      <c r="G1746">
        <v>3</v>
      </c>
      <c r="H1746">
        <v>24</v>
      </c>
      <c r="I1746" s="6" t="s">
        <v>36</v>
      </c>
      <c r="J1746" s="6" t="s">
        <v>37</v>
      </c>
      <c r="K1746">
        <v>2</v>
      </c>
      <c r="M1746" s="1" t="b">
        <f>Employee__2[[#This Row],[Experience]]&gt;1</f>
        <v>1</v>
      </c>
      <c r="N1746" s="1" t="str">
        <f>IF(Employee__2[[#This Row],[City]]="Pune","Yes","No")</f>
        <v>No</v>
      </c>
      <c r="O1746" s="1" t="str">
        <f>IF(AND(Employee__2[[#This Row],[Education]]="Bachelors",Employee__2[[#This Row],[City]]="Pune"),"Yes","No")</f>
        <v>No</v>
      </c>
      <c r="P1746" s="1" t="str">
        <f>IF(OR(Employee__2[[#This Row],[Age]]&gt;=30,Employee__2[[#This Row],[Gender]]="Male"),"Mached","Not mached")</f>
        <v>Mached</v>
      </c>
    </row>
    <row r="1747" spans="4:16" x14ac:dyDescent="0.25">
      <c r="D1747" s="6" t="s">
        <v>34</v>
      </c>
      <c r="E1747">
        <v>2013</v>
      </c>
      <c r="F1747" s="6" t="s">
        <v>35</v>
      </c>
      <c r="G1747">
        <v>3</v>
      </c>
      <c r="H1747">
        <v>26</v>
      </c>
      <c r="I1747" s="6" t="s">
        <v>39</v>
      </c>
      <c r="J1747" s="6" t="s">
        <v>37</v>
      </c>
      <c r="K1747">
        <v>4</v>
      </c>
      <c r="M1747" s="1" t="b">
        <f>Employee__2[[#This Row],[Experience]]&gt;1</f>
        <v>1</v>
      </c>
      <c r="N1747" s="1" t="str">
        <f>IF(Employee__2[[#This Row],[City]]="Pune","Yes","No")</f>
        <v>No</v>
      </c>
      <c r="O1747" s="1" t="str">
        <f>IF(AND(Employee__2[[#This Row],[Education]]="Bachelors",Employee__2[[#This Row],[City]]="Pune"),"Yes","No")</f>
        <v>No</v>
      </c>
      <c r="P1747" s="1" t="str">
        <f>IF(OR(Employee__2[[#This Row],[Age]]&gt;=30,Employee__2[[#This Row],[Gender]]="Male"),"Mached","Not mached")</f>
        <v>Not mached</v>
      </c>
    </row>
    <row r="1748" spans="4:16" x14ac:dyDescent="0.25">
      <c r="D1748" s="6" t="s">
        <v>41</v>
      </c>
      <c r="E1748">
        <v>2014</v>
      </c>
      <c r="F1748" s="6" t="s">
        <v>40</v>
      </c>
      <c r="G1748">
        <v>3</v>
      </c>
      <c r="H1748">
        <v>24</v>
      </c>
      <c r="I1748" s="6" t="s">
        <v>36</v>
      </c>
      <c r="J1748" s="6" t="s">
        <v>37</v>
      </c>
      <c r="K1748">
        <v>2</v>
      </c>
      <c r="M1748" s="1" t="b">
        <f>Employee__2[[#This Row],[Experience]]&gt;1</f>
        <v>1</v>
      </c>
      <c r="N1748" s="1" t="str">
        <f>IF(Employee__2[[#This Row],[City]]="Pune","Yes","No")</f>
        <v>No</v>
      </c>
      <c r="O1748" s="1" t="str">
        <f>IF(AND(Employee__2[[#This Row],[Education]]="Bachelors",Employee__2[[#This Row],[City]]="Pune"),"Yes","No")</f>
        <v>No</v>
      </c>
      <c r="P1748" s="1" t="str">
        <f>IF(OR(Employee__2[[#This Row],[Age]]&gt;=30,Employee__2[[#This Row],[Gender]]="Male"),"Mached","Not mached")</f>
        <v>Mached</v>
      </c>
    </row>
    <row r="1749" spans="4:16" x14ac:dyDescent="0.25">
      <c r="D1749" s="6" t="s">
        <v>34</v>
      </c>
      <c r="E1749">
        <v>2013</v>
      </c>
      <c r="F1749" s="6" t="s">
        <v>40</v>
      </c>
      <c r="G1749">
        <v>3</v>
      </c>
      <c r="H1749">
        <v>24</v>
      </c>
      <c r="I1749" s="6" t="s">
        <v>39</v>
      </c>
      <c r="J1749" s="6" t="s">
        <v>37</v>
      </c>
      <c r="K1749">
        <v>2</v>
      </c>
      <c r="M1749" s="1" t="b">
        <f>Employee__2[[#This Row],[Experience]]&gt;1</f>
        <v>1</v>
      </c>
      <c r="N1749" s="1" t="str">
        <f>IF(Employee__2[[#This Row],[City]]="Pune","Yes","No")</f>
        <v>No</v>
      </c>
      <c r="O1749" s="1" t="str">
        <f>IF(AND(Employee__2[[#This Row],[Education]]="Bachelors",Employee__2[[#This Row],[City]]="Pune"),"Yes","No")</f>
        <v>No</v>
      </c>
      <c r="P1749" s="1" t="str">
        <f>IF(OR(Employee__2[[#This Row],[Age]]&gt;=30,Employee__2[[#This Row],[Gender]]="Male"),"Mached","Not mached")</f>
        <v>Not mached</v>
      </c>
    </row>
    <row r="1750" spans="4:16" x14ac:dyDescent="0.25">
      <c r="D1750" s="6" t="s">
        <v>41</v>
      </c>
      <c r="E1750">
        <v>2017</v>
      </c>
      <c r="F1750" s="6" t="s">
        <v>40</v>
      </c>
      <c r="G1750">
        <v>3</v>
      </c>
      <c r="H1750">
        <v>26</v>
      </c>
      <c r="I1750" s="6" t="s">
        <v>36</v>
      </c>
      <c r="J1750" s="6" t="s">
        <v>37</v>
      </c>
      <c r="K1750">
        <v>4</v>
      </c>
      <c r="M1750" s="1" t="b">
        <f>Employee__2[[#This Row],[Experience]]&gt;1</f>
        <v>1</v>
      </c>
      <c r="N1750" s="1" t="str">
        <f>IF(Employee__2[[#This Row],[City]]="Pune","Yes","No")</f>
        <v>No</v>
      </c>
      <c r="O1750" s="1" t="str">
        <f>IF(AND(Employee__2[[#This Row],[Education]]="Bachelors",Employee__2[[#This Row],[City]]="Pune"),"Yes","No")</f>
        <v>No</v>
      </c>
      <c r="P1750" s="1" t="str">
        <f>IF(OR(Employee__2[[#This Row],[Age]]&gt;=30,Employee__2[[#This Row],[Gender]]="Male"),"Mached","Not mached")</f>
        <v>Mached</v>
      </c>
    </row>
    <row r="1751" spans="4:16" x14ac:dyDescent="0.25">
      <c r="D1751" s="6" t="s">
        <v>34</v>
      </c>
      <c r="E1751">
        <v>2014</v>
      </c>
      <c r="F1751" s="6" t="s">
        <v>38</v>
      </c>
      <c r="G1751">
        <v>2</v>
      </c>
      <c r="H1751">
        <v>27</v>
      </c>
      <c r="I1751" s="6" t="s">
        <v>36</v>
      </c>
      <c r="J1751" s="6" t="s">
        <v>37</v>
      </c>
      <c r="K1751">
        <v>5</v>
      </c>
      <c r="M1751" s="1" t="b">
        <f>Employee__2[[#This Row],[Experience]]&gt;1</f>
        <v>1</v>
      </c>
      <c r="N1751" s="1" t="str">
        <f>IF(Employee__2[[#This Row],[City]]="Pune","Yes","No")</f>
        <v>Yes</v>
      </c>
      <c r="O1751" s="1" t="str">
        <f>IF(AND(Employee__2[[#This Row],[Education]]="Bachelors",Employee__2[[#This Row],[City]]="Pune"),"Yes","No")</f>
        <v>Yes</v>
      </c>
      <c r="P1751" s="1" t="str">
        <f>IF(OR(Employee__2[[#This Row],[Age]]&gt;=30,Employee__2[[#This Row],[Gender]]="Male"),"Mached","Not mached")</f>
        <v>Mached</v>
      </c>
    </row>
    <row r="1752" spans="4:16" x14ac:dyDescent="0.25">
      <c r="D1752" s="6" t="s">
        <v>41</v>
      </c>
      <c r="E1752">
        <v>2013</v>
      </c>
      <c r="F1752" s="6" t="s">
        <v>35</v>
      </c>
      <c r="G1752">
        <v>3</v>
      </c>
      <c r="H1752">
        <v>25</v>
      </c>
      <c r="I1752" s="6" t="s">
        <v>36</v>
      </c>
      <c r="J1752" s="6" t="s">
        <v>37</v>
      </c>
      <c r="K1752">
        <v>3</v>
      </c>
      <c r="M1752" s="1" t="b">
        <f>Employee__2[[#This Row],[Experience]]&gt;1</f>
        <v>1</v>
      </c>
      <c r="N1752" s="1" t="str">
        <f>IF(Employee__2[[#This Row],[City]]="Pune","Yes","No")</f>
        <v>No</v>
      </c>
      <c r="O1752" s="1" t="str">
        <f>IF(AND(Employee__2[[#This Row],[Education]]="Bachelors",Employee__2[[#This Row],[City]]="Pune"),"Yes","No")</f>
        <v>No</v>
      </c>
      <c r="P1752" s="1" t="str">
        <f>IF(OR(Employee__2[[#This Row],[Age]]&gt;=30,Employee__2[[#This Row],[Gender]]="Male"),"Mached","Not mached")</f>
        <v>Mached</v>
      </c>
    </row>
    <row r="1753" spans="4:16" x14ac:dyDescent="0.25">
      <c r="D1753" s="6" t="s">
        <v>41</v>
      </c>
      <c r="E1753">
        <v>2012</v>
      </c>
      <c r="F1753" s="6" t="s">
        <v>40</v>
      </c>
      <c r="G1753">
        <v>3</v>
      </c>
      <c r="H1753">
        <v>27</v>
      </c>
      <c r="I1753" s="6" t="s">
        <v>39</v>
      </c>
      <c r="J1753" s="6" t="s">
        <v>37</v>
      </c>
      <c r="K1753">
        <v>5</v>
      </c>
      <c r="M1753" s="1" t="b">
        <f>Employee__2[[#This Row],[Experience]]&gt;1</f>
        <v>1</v>
      </c>
      <c r="N1753" s="1" t="str">
        <f>IF(Employee__2[[#This Row],[City]]="Pune","Yes","No")</f>
        <v>No</v>
      </c>
      <c r="O1753" s="1" t="str">
        <f>IF(AND(Employee__2[[#This Row],[Education]]="Bachelors",Employee__2[[#This Row],[City]]="Pune"),"Yes","No")</f>
        <v>No</v>
      </c>
      <c r="P1753" s="1" t="str">
        <f>IF(OR(Employee__2[[#This Row],[Age]]&gt;=30,Employee__2[[#This Row],[Gender]]="Male"),"Mached","Not mached")</f>
        <v>Not mached</v>
      </c>
    </row>
    <row r="1754" spans="4:16" x14ac:dyDescent="0.25">
      <c r="D1754" s="6" t="s">
        <v>41</v>
      </c>
      <c r="E1754">
        <v>2017</v>
      </c>
      <c r="F1754" s="6" t="s">
        <v>35</v>
      </c>
      <c r="G1754">
        <v>2</v>
      </c>
      <c r="H1754">
        <v>25</v>
      </c>
      <c r="I1754" s="6" t="s">
        <v>36</v>
      </c>
      <c r="J1754" s="6" t="s">
        <v>37</v>
      </c>
      <c r="K1754">
        <v>3</v>
      </c>
      <c r="M1754" s="1" t="b">
        <f>Employee__2[[#This Row],[Experience]]&gt;1</f>
        <v>1</v>
      </c>
      <c r="N1754" s="1" t="str">
        <f>IF(Employee__2[[#This Row],[City]]="Pune","Yes","No")</f>
        <v>No</v>
      </c>
      <c r="O1754" s="1" t="str">
        <f>IF(AND(Employee__2[[#This Row],[Education]]="Bachelors",Employee__2[[#This Row],[City]]="Pune"),"Yes","No")</f>
        <v>No</v>
      </c>
      <c r="P1754" s="1" t="str">
        <f>IF(OR(Employee__2[[#This Row],[Age]]&gt;=30,Employee__2[[#This Row],[Gender]]="Male"),"Mached","Not mached")</f>
        <v>Mached</v>
      </c>
    </row>
    <row r="1755" spans="4:16" x14ac:dyDescent="0.25">
      <c r="D1755" s="6" t="s">
        <v>34</v>
      </c>
      <c r="E1755">
        <v>2012</v>
      </c>
      <c r="F1755" s="6" t="s">
        <v>40</v>
      </c>
      <c r="G1755">
        <v>3</v>
      </c>
      <c r="H1755">
        <v>28</v>
      </c>
      <c r="I1755" s="6" t="s">
        <v>36</v>
      </c>
      <c r="J1755" s="6" t="s">
        <v>37</v>
      </c>
      <c r="K1755">
        <v>5</v>
      </c>
      <c r="M1755" s="1" t="b">
        <f>Employee__2[[#This Row],[Experience]]&gt;1</f>
        <v>1</v>
      </c>
      <c r="N1755" s="1" t="str">
        <f>IF(Employee__2[[#This Row],[City]]="Pune","Yes","No")</f>
        <v>No</v>
      </c>
      <c r="O1755" s="1" t="str">
        <f>IF(AND(Employee__2[[#This Row],[Education]]="Bachelors",Employee__2[[#This Row],[City]]="Pune"),"Yes","No")</f>
        <v>No</v>
      </c>
      <c r="P1755" s="1" t="str">
        <f>IF(OR(Employee__2[[#This Row],[Age]]&gt;=30,Employee__2[[#This Row],[Gender]]="Male"),"Mached","Not mached")</f>
        <v>Mached</v>
      </c>
    </row>
    <row r="1756" spans="4:16" x14ac:dyDescent="0.25">
      <c r="D1756" s="6" t="s">
        <v>34</v>
      </c>
      <c r="E1756">
        <v>2014</v>
      </c>
      <c r="F1756" s="6" t="s">
        <v>35</v>
      </c>
      <c r="G1756">
        <v>3</v>
      </c>
      <c r="H1756">
        <v>28</v>
      </c>
      <c r="I1756" s="6" t="s">
        <v>36</v>
      </c>
      <c r="J1756" s="6" t="s">
        <v>37</v>
      </c>
      <c r="K1756">
        <v>0</v>
      </c>
      <c r="M1756" s="1" t="b">
        <f>Employee__2[[#This Row],[Experience]]&gt;1</f>
        <v>0</v>
      </c>
      <c r="N1756" s="1" t="str">
        <f>IF(Employee__2[[#This Row],[City]]="Pune","Yes","No")</f>
        <v>No</v>
      </c>
      <c r="O1756" s="1" t="str">
        <f>IF(AND(Employee__2[[#This Row],[Education]]="Bachelors",Employee__2[[#This Row],[City]]="Pune"),"Yes","No")</f>
        <v>No</v>
      </c>
      <c r="P1756" s="1" t="str">
        <f>IF(OR(Employee__2[[#This Row],[Age]]&gt;=30,Employee__2[[#This Row],[Gender]]="Male"),"Mached","Not mached")</f>
        <v>Mached</v>
      </c>
    </row>
    <row r="1757" spans="4:16" x14ac:dyDescent="0.25">
      <c r="D1757" s="6" t="s">
        <v>34</v>
      </c>
      <c r="E1757">
        <v>2017</v>
      </c>
      <c r="F1757" s="6" t="s">
        <v>40</v>
      </c>
      <c r="G1757">
        <v>3</v>
      </c>
      <c r="H1757">
        <v>28</v>
      </c>
      <c r="I1757" s="6" t="s">
        <v>39</v>
      </c>
      <c r="J1757" s="6" t="s">
        <v>37</v>
      </c>
      <c r="K1757">
        <v>4</v>
      </c>
      <c r="M1757" s="1" t="b">
        <f>Employee__2[[#This Row],[Experience]]&gt;1</f>
        <v>1</v>
      </c>
      <c r="N1757" s="1" t="str">
        <f>IF(Employee__2[[#This Row],[City]]="Pune","Yes","No")</f>
        <v>No</v>
      </c>
      <c r="O1757" s="1" t="str">
        <f>IF(AND(Employee__2[[#This Row],[Education]]="Bachelors",Employee__2[[#This Row],[City]]="Pune"),"Yes","No")</f>
        <v>No</v>
      </c>
      <c r="P1757" s="1" t="str">
        <f>IF(OR(Employee__2[[#This Row],[Age]]&gt;=30,Employee__2[[#This Row],[Gender]]="Male"),"Mached","Not mached")</f>
        <v>Not mached</v>
      </c>
    </row>
    <row r="1758" spans="4:16" x14ac:dyDescent="0.25">
      <c r="D1758" s="6" t="s">
        <v>34</v>
      </c>
      <c r="E1758">
        <v>2016</v>
      </c>
      <c r="F1758" s="6" t="s">
        <v>38</v>
      </c>
      <c r="G1758">
        <v>3</v>
      </c>
      <c r="H1758">
        <v>27</v>
      </c>
      <c r="I1758" s="6" t="s">
        <v>36</v>
      </c>
      <c r="J1758" s="6" t="s">
        <v>37</v>
      </c>
      <c r="K1758">
        <v>5</v>
      </c>
      <c r="M1758" s="1" t="b">
        <f>Employee__2[[#This Row],[Experience]]&gt;1</f>
        <v>1</v>
      </c>
      <c r="N1758" s="1" t="str">
        <f>IF(Employee__2[[#This Row],[City]]="Pune","Yes","No")</f>
        <v>Yes</v>
      </c>
      <c r="O1758" s="1" t="str">
        <f>IF(AND(Employee__2[[#This Row],[Education]]="Bachelors",Employee__2[[#This Row],[City]]="Pune"),"Yes","No")</f>
        <v>Yes</v>
      </c>
      <c r="P1758" s="1" t="str">
        <f>IF(OR(Employee__2[[#This Row],[Age]]&gt;=30,Employee__2[[#This Row],[Gender]]="Male"),"Mached","Not mached")</f>
        <v>Mached</v>
      </c>
    </row>
    <row r="1759" spans="4:16" x14ac:dyDescent="0.25">
      <c r="D1759" s="6" t="s">
        <v>34</v>
      </c>
      <c r="E1759">
        <v>2017</v>
      </c>
      <c r="F1759" s="6" t="s">
        <v>40</v>
      </c>
      <c r="G1759">
        <v>2</v>
      </c>
      <c r="H1759">
        <v>27</v>
      </c>
      <c r="I1759" s="6" t="s">
        <v>39</v>
      </c>
      <c r="J1759" s="6" t="s">
        <v>37</v>
      </c>
      <c r="K1759">
        <v>5</v>
      </c>
      <c r="M1759" s="1" t="b">
        <f>Employee__2[[#This Row],[Experience]]&gt;1</f>
        <v>1</v>
      </c>
      <c r="N1759" s="1" t="str">
        <f>IF(Employee__2[[#This Row],[City]]="Pune","Yes","No")</f>
        <v>No</v>
      </c>
      <c r="O1759" s="1" t="str">
        <f>IF(AND(Employee__2[[#This Row],[Education]]="Bachelors",Employee__2[[#This Row],[City]]="Pune"),"Yes","No")</f>
        <v>No</v>
      </c>
      <c r="P1759" s="1" t="str">
        <f>IF(OR(Employee__2[[#This Row],[Age]]&gt;=30,Employee__2[[#This Row],[Gender]]="Male"),"Mached","Not mached")</f>
        <v>Not mached</v>
      </c>
    </row>
    <row r="1760" spans="4:16" x14ac:dyDescent="0.25">
      <c r="D1760" s="6" t="s">
        <v>43</v>
      </c>
      <c r="E1760">
        <v>2014</v>
      </c>
      <c r="F1760" s="6" t="s">
        <v>35</v>
      </c>
      <c r="G1760">
        <v>3</v>
      </c>
      <c r="H1760">
        <v>28</v>
      </c>
      <c r="I1760" s="6" t="s">
        <v>39</v>
      </c>
      <c r="J1760" s="6" t="s">
        <v>37</v>
      </c>
      <c r="K1760">
        <v>0</v>
      </c>
      <c r="M1760" s="1" t="b">
        <f>Employee__2[[#This Row],[Experience]]&gt;1</f>
        <v>0</v>
      </c>
      <c r="N1760" s="1" t="str">
        <f>IF(Employee__2[[#This Row],[City]]="Pune","Yes","No")</f>
        <v>No</v>
      </c>
      <c r="O1760" s="1" t="str">
        <f>IF(AND(Employee__2[[#This Row],[Education]]="Bachelors",Employee__2[[#This Row],[City]]="Pune"),"Yes","No")</f>
        <v>No</v>
      </c>
      <c r="P1760" s="1" t="str">
        <f>IF(OR(Employee__2[[#This Row],[Age]]&gt;=30,Employee__2[[#This Row],[Gender]]="Male"),"Mached","Not mached")</f>
        <v>Not mached</v>
      </c>
    </row>
    <row r="1761" spans="4:16" x14ac:dyDescent="0.25">
      <c r="D1761" s="6" t="s">
        <v>34</v>
      </c>
      <c r="E1761">
        <v>2013</v>
      </c>
      <c r="F1761" s="6" t="s">
        <v>38</v>
      </c>
      <c r="G1761">
        <v>2</v>
      </c>
      <c r="H1761">
        <v>25</v>
      </c>
      <c r="I1761" s="6" t="s">
        <v>36</v>
      </c>
      <c r="J1761" s="6" t="s">
        <v>37</v>
      </c>
      <c r="K1761">
        <v>3</v>
      </c>
      <c r="M1761" s="1" t="b">
        <f>Employee__2[[#This Row],[Experience]]&gt;1</f>
        <v>1</v>
      </c>
      <c r="N1761" s="1" t="str">
        <f>IF(Employee__2[[#This Row],[City]]="Pune","Yes","No")</f>
        <v>Yes</v>
      </c>
      <c r="O1761" s="1" t="str">
        <f>IF(AND(Employee__2[[#This Row],[Education]]="Bachelors",Employee__2[[#This Row],[City]]="Pune"),"Yes","No")</f>
        <v>Yes</v>
      </c>
      <c r="P1761" s="1" t="str">
        <f>IF(OR(Employee__2[[#This Row],[Age]]&gt;=30,Employee__2[[#This Row],[Gender]]="Male"),"Mached","Not mached")</f>
        <v>Mached</v>
      </c>
    </row>
    <row r="1762" spans="4:16" x14ac:dyDescent="0.25">
      <c r="D1762" s="6" t="s">
        <v>34</v>
      </c>
      <c r="E1762">
        <v>2017</v>
      </c>
      <c r="F1762" s="6" t="s">
        <v>38</v>
      </c>
      <c r="G1762">
        <v>3</v>
      </c>
      <c r="H1762">
        <v>28</v>
      </c>
      <c r="I1762" s="6" t="s">
        <v>36</v>
      </c>
      <c r="J1762" s="6" t="s">
        <v>37</v>
      </c>
      <c r="K1762">
        <v>3</v>
      </c>
      <c r="M1762" s="1" t="b">
        <f>Employee__2[[#This Row],[Experience]]&gt;1</f>
        <v>1</v>
      </c>
      <c r="N1762" s="1" t="str">
        <f>IF(Employee__2[[#This Row],[City]]="Pune","Yes","No")</f>
        <v>Yes</v>
      </c>
      <c r="O1762" s="1" t="str">
        <f>IF(AND(Employee__2[[#This Row],[Education]]="Bachelors",Employee__2[[#This Row],[City]]="Pune"),"Yes","No")</f>
        <v>Yes</v>
      </c>
      <c r="P1762" s="1" t="str">
        <f>IF(OR(Employee__2[[#This Row],[Age]]&gt;=30,Employee__2[[#This Row],[Gender]]="Male"),"Mached","Not mached")</f>
        <v>Mached</v>
      </c>
    </row>
    <row r="1763" spans="4:16" x14ac:dyDescent="0.25">
      <c r="D1763" s="6" t="s">
        <v>34</v>
      </c>
      <c r="E1763">
        <v>2012</v>
      </c>
      <c r="F1763" s="6" t="s">
        <v>35</v>
      </c>
      <c r="G1763">
        <v>3</v>
      </c>
      <c r="H1763">
        <v>27</v>
      </c>
      <c r="I1763" s="6" t="s">
        <v>36</v>
      </c>
      <c r="J1763" s="6" t="s">
        <v>37</v>
      </c>
      <c r="K1763">
        <v>5</v>
      </c>
      <c r="M1763" s="1" t="b">
        <f>Employee__2[[#This Row],[Experience]]&gt;1</f>
        <v>1</v>
      </c>
      <c r="N1763" s="1" t="str">
        <f>IF(Employee__2[[#This Row],[City]]="Pune","Yes","No")</f>
        <v>No</v>
      </c>
      <c r="O1763" s="1" t="str">
        <f>IF(AND(Employee__2[[#This Row],[Education]]="Bachelors",Employee__2[[#This Row],[City]]="Pune"),"Yes","No")</f>
        <v>No</v>
      </c>
      <c r="P1763" s="1" t="str">
        <f>IF(OR(Employee__2[[#This Row],[Age]]&gt;=30,Employee__2[[#This Row],[Gender]]="Male"),"Mached","Not mached")</f>
        <v>Mached</v>
      </c>
    </row>
    <row r="1764" spans="4:16" x14ac:dyDescent="0.25">
      <c r="D1764" s="6" t="s">
        <v>34</v>
      </c>
      <c r="E1764">
        <v>2013</v>
      </c>
      <c r="F1764" s="6" t="s">
        <v>35</v>
      </c>
      <c r="G1764">
        <v>2</v>
      </c>
      <c r="H1764">
        <v>24</v>
      </c>
      <c r="I1764" s="6" t="s">
        <v>39</v>
      </c>
      <c r="J1764" s="6" t="s">
        <v>37</v>
      </c>
      <c r="K1764">
        <v>2</v>
      </c>
      <c r="M1764" s="1" t="b">
        <f>Employee__2[[#This Row],[Experience]]&gt;1</f>
        <v>1</v>
      </c>
      <c r="N1764" s="1" t="str">
        <f>IF(Employee__2[[#This Row],[City]]="Pune","Yes","No")</f>
        <v>No</v>
      </c>
      <c r="O1764" s="1" t="str">
        <f>IF(AND(Employee__2[[#This Row],[Education]]="Bachelors",Employee__2[[#This Row],[City]]="Pune"),"Yes","No")</f>
        <v>No</v>
      </c>
      <c r="P1764" s="1" t="str">
        <f>IF(OR(Employee__2[[#This Row],[Age]]&gt;=30,Employee__2[[#This Row],[Gender]]="Male"),"Mached","Not mached")</f>
        <v>Not mached</v>
      </c>
    </row>
    <row r="1765" spans="4:16" x14ac:dyDescent="0.25">
      <c r="D1765" s="6" t="s">
        <v>41</v>
      </c>
      <c r="E1765">
        <v>2017</v>
      </c>
      <c r="F1765" s="6" t="s">
        <v>40</v>
      </c>
      <c r="G1765">
        <v>2</v>
      </c>
      <c r="H1765">
        <v>25</v>
      </c>
      <c r="I1765" s="6" t="s">
        <v>36</v>
      </c>
      <c r="J1765" s="6" t="s">
        <v>37</v>
      </c>
      <c r="K1765">
        <v>3</v>
      </c>
      <c r="M1765" s="1" t="b">
        <f>Employee__2[[#This Row],[Experience]]&gt;1</f>
        <v>1</v>
      </c>
      <c r="N1765" s="1" t="str">
        <f>IF(Employee__2[[#This Row],[City]]="Pune","Yes","No")</f>
        <v>No</v>
      </c>
      <c r="O1765" s="1" t="str">
        <f>IF(AND(Employee__2[[#This Row],[Education]]="Bachelors",Employee__2[[#This Row],[City]]="Pune"),"Yes","No")</f>
        <v>No</v>
      </c>
      <c r="P1765" s="1" t="str">
        <f>IF(OR(Employee__2[[#This Row],[Age]]&gt;=30,Employee__2[[#This Row],[Gender]]="Male"),"Mached","Not mached")</f>
        <v>Mached</v>
      </c>
    </row>
    <row r="1766" spans="4:16" x14ac:dyDescent="0.25">
      <c r="D1766" s="6" t="s">
        <v>34</v>
      </c>
      <c r="E1766">
        <v>2014</v>
      </c>
      <c r="F1766" s="6" t="s">
        <v>38</v>
      </c>
      <c r="G1766">
        <v>3</v>
      </c>
      <c r="H1766">
        <v>24</v>
      </c>
      <c r="I1766" s="6" t="s">
        <v>36</v>
      </c>
      <c r="J1766" s="6" t="s">
        <v>37</v>
      </c>
      <c r="K1766">
        <v>2</v>
      </c>
      <c r="M1766" s="1" t="b">
        <f>Employee__2[[#This Row],[Experience]]&gt;1</f>
        <v>1</v>
      </c>
      <c r="N1766" s="1" t="str">
        <f>IF(Employee__2[[#This Row],[City]]="Pune","Yes","No")</f>
        <v>Yes</v>
      </c>
      <c r="O1766" s="1" t="str">
        <f>IF(AND(Employee__2[[#This Row],[Education]]="Bachelors",Employee__2[[#This Row],[City]]="Pune"),"Yes","No")</f>
        <v>Yes</v>
      </c>
      <c r="P1766" s="1" t="str">
        <f>IF(OR(Employee__2[[#This Row],[Age]]&gt;=30,Employee__2[[#This Row],[Gender]]="Male"),"Mached","Not mached")</f>
        <v>Mached</v>
      </c>
    </row>
    <row r="1767" spans="4:16" x14ac:dyDescent="0.25">
      <c r="D1767" s="6" t="s">
        <v>34</v>
      </c>
      <c r="E1767">
        <v>2013</v>
      </c>
      <c r="F1767" s="6" t="s">
        <v>40</v>
      </c>
      <c r="G1767">
        <v>1</v>
      </c>
      <c r="H1767">
        <v>25</v>
      </c>
      <c r="I1767" s="6" t="s">
        <v>39</v>
      </c>
      <c r="J1767" s="6" t="s">
        <v>37</v>
      </c>
      <c r="K1767">
        <v>3</v>
      </c>
      <c r="M1767" s="1" t="b">
        <f>Employee__2[[#This Row],[Experience]]&gt;1</f>
        <v>1</v>
      </c>
      <c r="N1767" s="1" t="str">
        <f>IF(Employee__2[[#This Row],[City]]="Pune","Yes","No")</f>
        <v>No</v>
      </c>
      <c r="O1767" s="1" t="str">
        <f>IF(AND(Employee__2[[#This Row],[Education]]="Bachelors",Employee__2[[#This Row],[City]]="Pune"),"Yes","No")</f>
        <v>No</v>
      </c>
      <c r="P1767" s="1" t="str">
        <f>IF(OR(Employee__2[[#This Row],[Age]]&gt;=30,Employee__2[[#This Row],[Gender]]="Male"),"Mached","Not mached")</f>
        <v>Not mached</v>
      </c>
    </row>
    <row r="1768" spans="4:16" x14ac:dyDescent="0.25">
      <c r="D1768" s="6" t="s">
        <v>34</v>
      </c>
      <c r="E1768">
        <v>2015</v>
      </c>
      <c r="F1768" s="6" t="s">
        <v>38</v>
      </c>
      <c r="G1768">
        <v>3</v>
      </c>
      <c r="H1768">
        <v>28</v>
      </c>
      <c r="I1768" s="6" t="s">
        <v>36</v>
      </c>
      <c r="J1768" s="6" t="s">
        <v>37</v>
      </c>
      <c r="K1768">
        <v>2</v>
      </c>
      <c r="M1768" s="1" t="b">
        <f>Employee__2[[#This Row],[Experience]]&gt;1</f>
        <v>1</v>
      </c>
      <c r="N1768" s="1" t="str">
        <f>IF(Employee__2[[#This Row],[City]]="Pune","Yes","No")</f>
        <v>Yes</v>
      </c>
      <c r="O1768" s="1" t="str">
        <f>IF(AND(Employee__2[[#This Row],[Education]]="Bachelors",Employee__2[[#This Row],[City]]="Pune"),"Yes","No")</f>
        <v>Yes</v>
      </c>
      <c r="P1768" s="1" t="str">
        <f>IF(OR(Employee__2[[#This Row],[Age]]&gt;=30,Employee__2[[#This Row],[Gender]]="Male"),"Mached","Not mached")</f>
        <v>Mached</v>
      </c>
    </row>
    <row r="1769" spans="4:16" x14ac:dyDescent="0.25">
      <c r="D1769" s="6" t="s">
        <v>41</v>
      </c>
      <c r="E1769">
        <v>2017</v>
      </c>
      <c r="F1769" s="6" t="s">
        <v>40</v>
      </c>
      <c r="G1769">
        <v>3</v>
      </c>
      <c r="H1769">
        <v>28</v>
      </c>
      <c r="I1769" s="6" t="s">
        <v>36</v>
      </c>
      <c r="J1769" s="6" t="s">
        <v>37</v>
      </c>
      <c r="K1769">
        <v>1</v>
      </c>
      <c r="M1769" s="1" t="b">
        <f>Employee__2[[#This Row],[Experience]]&gt;1</f>
        <v>0</v>
      </c>
      <c r="N1769" s="1" t="str">
        <f>IF(Employee__2[[#This Row],[City]]="Pune","Yes","No")</f>
        <v>No</v>
      </c>
      <c r="O1769" s="1" t="str">
        <f>IF(AND(Employee__2[[#This Row],[Education]]="Bachelors",Employee__2[[#This Row],[City]]="Pune"),"Yes","No")</f>
        <v>No</v>
      </c>
      <c r="P1769" s="1" t="str">
        <f>IF(OR(Employee__2[[#This Row],[Age]]&gt;=30,Employee__2[[#This Row],[Gender]]="Male"),"Mached","Not mached")</f>
        <v>Mached</v>
      </c>
    </row>
    <row r="1770" spans="4:16" x14ac:dyDescent="0.25">
      <c r="D1770" s="6" t="s">
        <v>34</v>
      </c>
      <c r="E1770">
        <v>2017</v>
      </c>
      <c r="F1770" s="6" t="s">
        <v>40</v>
      </c>
      <c r="G1770">
        <v>2</v>
      </c>
      <c r="H1770">
        <v>27</v>
      </c>
      <c r="I1770" s="6" t="s">
        <v>39</v>
      </c>
      <c r="J1770" s="6" t="s">
        <v>37</v>
      </c>
      <c r="K1770">
        <v>5</v>
      </c>
      <c r="M1770" s="1" t="b">
        <f>Employee__2[[#This Row],[Experience]]&gt;1</f>
        <v>1</v>
      </c>
      <c r="N1770" s="1" t="str">
        <f>IF(Employee__2[[#This Row],[City]]="Pune","Yes","No")</f>
        <v>No</v>
      </c>
      <c r="O1770" s="1" t="str">
        <f>IF(AND(Employee__2[[#This Row],[Education]]="Bachelors",Employee__2[[#This Row],[City]]="Pune"),"Yes","No")</f>
        <v>No</v>
      </c>
      <c r="P1770" s="1" t="str">
        <f>IF(OR(Employee__2[[#This Row],[Age]]&gt;=30,Employee__2[[#This Row],[Gender]]="Male"),"Mached","Not mached")</f>
        <v>Not mached</v>
      </c>
    </row>
    <row r="1771" spans="4:16" x14ac:dyDescent="0.25">
      <c r="D1771" s="6" t="s">
        <v>34</v>
      </c>
      <c r="E1771">
        <v>2018</v>
      </c>
      <c r="F1771" s="6" t="s">
        <v>38</v>
      </c>
      <c r="G1771">
        <v>3</v>
      </c>
      <c r="H1771">
        <v>24</v>
      </c>
      <c r="I1771" s="6" t="s">
        <v>36</v>
      </c>
      <c r="J1771" s="6" t="s">
        <v>37</v>
      </c>
      <c r="K1771">
        <v>2</v>
      </c>
      <c r="M1771" s="1" t="b">
        <f>Employee__2[[#This Row],[Experience]]&gt;1</f>
        <v>1</v>
      </c>
      <c r="N1771" s="1" t="str">
        <f>IF(Employee__2[[#This Row],[City]]="Pune","Yes","No")</f>
        <v>Yes</v>
      </c>
      <c r="O1771" s="1" t="str">
        <f>IF(AND(Employee__2[[#This Row],[Education]]="Bachelors",Employee__2[[#This Row],[City]]="Pune"),"Yes","No")</f>
        <v>Yes</v>
      </c>
      <c r="P1771" s="1" t="str">
        <f>IF(OR(Employee__2[[#This Row],[Age]]&gt;=30,Employee__2[[#This Row],[Gender]]="Male"),"Mached","Not mached")</f>
        <v>Mached</v>
      </c>
    </row>
    <row r="1772" spans="4:16" x14ac:dyDescent="0.25">
      <c r="D1772" s="6" t="s">
        <v>34</v>
      </c>
      <c r="E1772">
        <v>2013</v>
      </c>
      <c r="F1772" s="6" t="s">
        <v>35</v>
      </c>
      <c r="G1772">
        <v>3</v>
      </c>
      <c r="H1772">
        <v>26</v>
      </c>
      <c r="I1772" s="6" t="s">
        <v>36</v>
      </c>
      <c r="J1772" s="6" t="s">
        <v>37</v>
      </c>
      <c r="K1772">
        <v>4</v>
      </c>
      <c r="M1772" s="1" t="b">
        <f>Employee__2[[#This Row],[Experience]]&gt;1</f>
        <v>1</v>
      </c>
      <c r="N1772" s="1" t="str">
        <f>IF(Employee__2[[#This Row],[City]]="Pune","Yes","No")</f>
        <v>No</v>
      </c>
      <c r="O1772" s="1" t="str">
        <f>IF(AND(Employee__2[[#This Row],[Education]]="Bachelors",Employee__2[[#This Row],[City]]="Pune"),"Yes","No")</f>
        <v>No</v>
      </c>
      <c r="P1772" s="1" t="str">
        <f>IF(OR(Employee__2[[#This Row],[Age]]&gt;=30,Employee__2[[#This Row],[Gender]]="Male"),"Mached","Not mached")</f>
        <v>Mached</v>
      </c>
    </row>
    <row r="1773" spans="4:16" x14ac:dyDescent="0.25">
      <c r="D1773" s="6" t="s">
        <v>34</v>
      </c>
      <c r="E1773">
        <v>2017</v>
      </c>
      <c r="F1773" s="6" t="s">
        <v>35</v>
      </c>
      <c r="G1773">
        <v>3</v>
      </c>
      <c r="H1773">
        <v>27</v>
      </c>
      <c r="I1773" s="6" t="s">
        <v>39</v>
      </c>
      <c r="J1773" s="6" t="s">
        <v>42</v>
      </c>
      <c r="K1773">
        <v>5</v>
      </c>
      <c r="M1773" s="1" t="b">
        <f>Employee__2[[#This Row],[Experience]]&gt;1</f>
        <v>1</v>
      </c>
      <c r="N1773" s="1" t="str">
        <f>IF(Employee__2[[#This Row],[City]]="Pune","Yes","No")</f>
        <v>No</v>
      </c>
      <c r="O1773" s="1" t="str">
        <f>IF(AND(Employee__2[[#This Row],[Education]]="Bachelors",Employee__2[[#This Row],[City]]="Pune"),"Yes","No")</f>
        <v>No</v>
      </c>
      <c r="P1773" s="1" t="str">
        <f>IF(OR(Employee__2[[#This Row],[Age]]&gt;=30,Employee__2[[#This Row],[Gender]]="Male"),"Mached","Not mached")</f>
        <v>Not mached</v>
      </c>
    </row>
    <row r="1774" spans="4:16" x14ac:dyDescent="0.25">
      <c r="D1774" s="6" t="s">
        <v>41</v>
      </c>
      <c r="E1774">
        <v>2017</v>
      </c>
      <c r="F1774" s="6" t="s">
        <v>40</v>
      </c>
      <c r="G1774">
        <v>1</v>
      </c>
      <c r="H1774">
        <v>26</v>
      </c>
      <c r="I1774" s="6" t="s">
        <v>39</v>
      </c>
      <c r="J1774" s="6" t="s">
        <v>37</v>
      </c>
      <c r="K1774">
        <v>4</v>
      </c>
      <c r="M1774" s="1" t="b">
        <f>Employee__2[[#This Row],[Experience]]&gt;1</f>
        <v>1</v>
      </c>
      <c r="N1774" s="1" t="str">
        <f>IF(Employee__2[[#This Row],[City]]="Pune","Yes","No")</f>
        <v>No</v>
      </c>
      <c r="O1774" s="1" t="str">
        <f>IF(AND(Employee__2[[#This Row],[Education]]="Bachelors",Employee__2[[#This Row],[City]]="Pune"),"Yes","No")</f>
        <v>No</v>
      </c>
      <c r="P1774" s="1" t="str">
        <f>IF(OR(Employee__2[[#This Row],[Age]]&gt;=30,Employee__2[[#This Row],[Gender]]="Male"),"Mached","Not mached")</f>
        <v>Not mached</v>
      </c>
    </row>
    <row r="1775" spans="4:16" x14ac:dyDescent="0.25">
      <c r="D1775" s="6" t="s">
        <v>41</v>
      </c>
      <c r="E1775">
        <v>2017</v>
      </c>
      <c r="F1775" s="6" t="s">
        <v>35</v>
      </c>
      <c r="G1775">
        <v>2</v>
      </c>
      <c r="H1775">
        <v>26</v>
      </c>
      <c r="I1775" s="6" t="s">
        <v>39</v>
      </c>
      <c r="J1775" s="6" t="s">
        <v>37</v>
      </c>
      <c r="K1775">
        <v>4</v>
      </c>
      <c r="M1775" s="1" t="b">
        <f>Employee__2[[#This Row],[Experience]]&gt;1</f>
        <v>1</v>
      </c>
      <c r="N1775" s="1" t="str">
        <f>IF(Employee__2[[#This Row],[City]]="Pune","Yes","No")</f>
        <v>No</v>
      </c>
      <c r="O1775" s="1" t="str">
        <f>IF(AND(Employee__2[[#This Row],[Education]]="Bachelors",Employee__2[[#This Row],[City]]="Pune"),"Yes","No")</f>
        <v>No</v>
      </c>
      <c r="P1775" s="1" t="str">
        <f>IF(OR(Employee__2[[#This Row],[Age]]&gt;=30,Employee__2[[#This Row],[Gender]]="Male"),"Mached","Not mached")</f>
        <v>Not mached</v>
      </c>
    </row>
    <row r="1776" spans="4:16" x14ac:dyDescent="0.25">
      <c r="D1776" s="6" t="s">
        <v>34</v>
      </c>
      <c r="E1776">
        <v>2013</v>
      </c>
      <c r="F1776" s="6" t="s">
        <v>38</v>
      </c>
      <c r="G1776">
        <v>3</v>
      </c>
      <c r="H1776">
        <v>26</v>
      </c>
      <c r="I1776" s="6" t="s">
        <v>36</v>
      </c>
      <c r="J1776" s="6" t="s">
        <v>37</v>
      </c>
      <c r="K1776">
        <v>4</v>
      </c>
      <c r="M1776" s="1" t="b">
        <f>Employee__2[[#This Row],[Experience]]&gt;1</f>
        <v>1</v>
      </c>
      <c r="N1776" s="1" t="str">
        <f>IF(Employee__2[[#This Row],[City]]="Pune","Yes","No")</f>
        <v>Yes</v>
      </c>
      <c r="O1776" s="1" t="str">
        <f>IF(AND(Employee__2[[#This Row],[Education]]="Bachelors",Employee__2[[#This Row],[City]]="Pune"),"Yes","No")</f>
        <v>Yes</v>
      </c>
      <c r="P1776" s="1" t="str">
        <f>IF(OR(Employee__2[[#This Row],[Age]]&gt;=30,Employee__2[[#This Row],[Gender]]="Male"),"Mached","Not mached")</f>
        <v>Mached</v>
      </c>
    </row>
    <row r="1777" spans="4:16" x14ac:dyDescent="0.25">
      <c r="D1777" s="6" t="s">
        <v>41</v>
      </c>
      <c r="E1777">
        <v>2014</v>
      </c>
      <c r="F1777" s="6" t="s">
        <v>40</v>
      </c>
      <c r="G1777">
        <v>1</v>
      </c>
      <c r="H1777">
        <v>25</v>
      </c>
      <c r="I1777" s="6" t="s">
        <v>39</v>
      </c>
      <c r="J1777" s="6" t="s">
        <v>37</v>
      </c>
      <c r="K1777">
        <v>3</v>
      </c>
      <c r="M1777" s="1" t="b">
        <f>Employee__2[[#This Row],[Experience]]&gt;1</f>
        <v>1</v>
      </c>
      <c r="N1777" s="1" t="str">
        <f>IF(Employee__2[[#This Row],[City]]="Pune","Yes","No")</f>
        <v>No</v>
      </c>
      <c r="O1777" s="1" t="str">
        <f>IF(AND(Employee__2[[#This Row],[Education]]="Bachelors",Employee__2[[#This Row],[City]]="Pune"),"Yes","No")</f>
        <v>No</v>
      </c>
      <c r="P1777" s="1" t="str">
        <f>IF(OR(Employee__2[[#This Row],[Age]]&gt;=30,Employee__2[[#This Row],[Gender]]="Male"),"Mached","Not mached")</f>
        <v>Not mached</v>
      </c>
    </row>
    <row r="1778" spans="4:16" x14ac:dyDescent="0.25">
      <c r="D1778" s="6" t="s">
        <v>34</v>
      </c>
      <c r="E1778">
        <v>2014</v>
      </c>
      <c r="F1778" s="6" t="s">
        <v>35</v>
      </c>
      <c r="G1778">
        <v>3</v>
      </c>
      <c r="H1778">
        <v>27</v>
      </c>
      <c r="I1778" s="6" t="s">
        <v>36</v>
      </c>
      <c r="J1778" s="6" t="s">
        <v>37</v>
      </c>
      <c r="K1778">
        <v>5</v>
      </c>
      <c r="M1778" s="1" t="b">
        <f>Employee__2[[#This Row],[Experience]]&gt;1</f>
        <v>1</v>
      </c>
      <c r="N1778" s="1" t="str">
        <f>IF(Employee__2[[#This Row],[City]]="Pune","Yes","No")</f>
        <v>No</v>
      </c>
      <c r="O1778" s="1" t="str">
        <f>IF(AND(Employee__2[[#This Row],[Education]]="Bachelors",Employee__2[[#This Row],[City]]="Pune"),"Yes","No")</f>
        <v>No</v>
      </c>
      <c r="P1778" s="1" t="str">
        <f>IF(OR(Employee__2[[#This Row],[Age]]&gt;=30,Employee__2[[#This Row],[Gender]]="Male"),"Mached","Not mached")</f>
        <v>Mached</v>
      </c>
    </row>
    <row r="1779" spans="4:16" x14ac:dyDescent="0.25">
      <c r="D1779" s="6" t="s">
        <v>34</v>
      </c>
      <c r="E1779">
        <v>2016</v>
      </c>
      <c r="F1779" s="6" t="s">
        <v>35</v>
      </c>
      <c r="G1779">
        <v>3</v>
      </c>
      <c r="H1779">
        <v>25</v>
      </c>
      <c r="I1779" s="6" t="s">
        <v>36</v>
      </c>
      <c r="J1779" s="6" t="s">
        <v>37</v>
      </c>
      <c r="K1779">
        <v>3</v>
      </c>
      <c r="M1779" s="1" t="b">
        <f>Employee__2[[#This Row],[Experience]]&gt;1</f>
        <v>1</v>
      </c>
      <c r="N1779" s="1" t="str">
        <f>IF(Employee__2[[#This Row],[City]]="Pune","Yes","No")</f>
        <v>No</v>
      </c>
      <c r="O1779" s="1" t="str">
        <f>IF(AND(Employee__2[[#This Row],[Education]]="Bachelors",Employee__2[[#This Row],[City]]="Pune"),"Yes","No")</f>
        <v>No</v>
      </c>
      <c r="P1779" s="1" t="str">
        <f>IF(OR(Employee__2[[#This Row],[Age]]&gt;=30,Employee__2[[#This Row],[Gender]]="Male"),"Mached","Not mached")</f>
        <v>Mached</v>
      </c>
    </row>
    <row r="1780" spans="4:16" x14ac:dyDescent="0.25">
      <c r="D1780" s="6" t="s">
        <v>34</v>
      </c>
      <c r="E1780">
        <v>2016</v>
      </c>
      <c r="F1780" s="6" t="s">
        <v>35</v>
      </c>
      <c r="G1780">
        <v>3</v>
      </c>
      <c r="H1780">
        <v>27</v>
      </c>
      <c r="I1780" s="6" t="s">
        <v>36</v>
      </c>
      <c r="J1780" s="6" t="s">
        <v>37</v>
      </c>
      <c r="K1780">
        <v>5</v>
      </c>
      <c r="M1780" s="1" t="b">
        <f>Employee__2[[#This Row],[Experience]]&gt;1</f>
        <v>1</v>
      </c>
      <c r="N1780" s="1" t="str">
        <f>IF(Employee__2[[#This Row],[City]]="Pune","Yes","No")</f>
        <v>No</v>
      </c>
      <c r="O1780" s="1" t="str">
        <f>IF(AND(Employee__2[[#This Row],[Education]]="Bachelors",Employee__2[[#This Row],[City]]="Pune"),"Yes","No")</f>
        <v>No</v>
      </c>
      <c r="P1780" s="1" t="str">
        <f>IF(OR(Employee__2[[#This Row],[Age]]&gt;=30,Employee__2[[#This Row],[Gender]]="Male"),"Mached","Not mached")</f>
        <v>Mached</v>
      </c>
    </row>
    <row r="1781" spans="4:16" x14ac:dyDescent="0.25">
      <c r="D1781" s="6" t="s">
        <v>34</v>
      </c>
      <c r="E1781">
        <v>2015</v>
      </c>
      <c r="F1781" s="6" t="s">
        <v>35</v>
      </c>
      <c r="G1781">
        <v>3</v>
      </c>
      <c r="H1781">
        <v>28</v>
      </c>
      <c r="I1781" s="6" t="s">
        <v>39</v>
      </c>
      <c r="J1781" s="6" t="s">
        <v>37</v>
      </c>
      <c r="K1781">
        <v>5</v>
      </c>
      <c r="M1781" s="1" t="b">
        <f>Employee__2[[#This Row],[Experience]]&gt;1</f>
        <v>1</v>
      </c>
      <c r="N1781" s="1" t="str">
        <f>IF(Employee__2[[#This Row],[City]]="Pune","Yes","No")</f>
        <v>No</v>
      </c>
      <c r="O1781" s="1" t="str">
        <f>IF(AND(Employee__2[[#This Row],[Education]]="Bachelors",Employee__2[[#This Row],[City]]="Pune"),"Yes","No")</f>
        <v>No</v>
      </c>
      <c r="P1781" s="1" t="str">
        <f>IF(OR(Employee__2[[#This Row],[Age]]&gt;=30,Employee__2[[#This Row],[Gender]]="Male"),"Mached","Not mached")</f>
        <v>Not mached</v>
      </c>
    </row>
    <row r="1782" spans="4:16" x14ac:dyDescent="0.25">
      <c r="D1782" s="6" t="s">
        <v>41</v>
      </c>
      <c r="E1782">
        <v>2012</v>
      </c>
      <c r="F1782" s="6" t="s">
        <v>40</v>
      </c>
      <c r="G1782">
        <v>3</v>
      </c>
      <c r="H1782">
        <v>25</v>
      </c>
      <c r="I1782" s="6" t="s">
        <v>36</v>
      </c>
      <c r="J1782" s="6" t="s">
        <v>37</v>
      </c>
      <c r="K1782">
        <v>3</v>
      </c>
      <c r="M1782" s="1" t="b">
        <f>Employee__2[[#This Row],[Experience]]&gt;1</f>
        <v>1</v>
      </c>
      <c r="N1782" s="1" t="str">
        <f>IF(Employee__2[[#This Row],[City]]="Pune","Yes","No")</f>
        <v>No</v>
      </c>
      <c r="O1782" s="1" t="str">
        <f>IF(AND(Employee__2[[#This Row],[Education]]="Bachelors",Employee__2[[#This Row],[City]]="Pune"),"Yes","No")</f>
        <v>No</v>
      </c>
      <c r="P1782" s="1" t="str">
        <f>IF(OR(Employee__2[[#This Row],[Age]]&gt;=30,Employee__2[[#This Row],[Gender]]="Male"),"Mached","Not mached")</f>
        <v>Mached</v>
      </c>
    </row>
    <row r="1783" spans="4:16" x14ac:dyDescent="0.25">
      <c r="D1783" s="6" t="s">
        <v>34</v>
      </c>
      <c r="E1783">
        <v>2013</v>
      </c>
      <c r="F1783" s="6" t="s">
        <v>35</v>
      </c>
      <c r="G1783">
        <v>3</v>
      </c>
      <c r="H1783">
        <v>28</v>
      </c>
      <c r="I1783" s="6" t="s">
        <v>36</v>
      </c>
      <c r="J1783" s="6" t="s">
        <v>37</v>
      </c>
      <c r="K1783">
        <v>2</v>
      </c>
      <c r="M1783" s="1" t="b">
        <f>Employee__2[[#This Row],[Experience]]&gt;1</f>
        <v>1</v>
      </c>
      <c r="N1783" s="1" t="str">
        <f>IF(Employee__2[[#This Row],[City]]="Pune","Yes","No")</f>
        <v>No</v>
      </c>
      <c r="O1783" s="1" t="str">
        <f>IF(AND(Employee__2[[#This Row],[Education]]="Bachelors",Employee__2[[#This Row],[City]]="Pune"),"Yes","No")</f>
        <v>No</v>
      </c>
      <c r="P1783" s="1" t="str">
        <f>IF(OR(Employee__2[[#This Row],[Age]]&gt;=30,Employee__2[[#This Row],[Gender]]="Male"),"Mached","Not mached")</f>
        <v>Mached</v>
      </c>
    </row>
    <row r="1784" spans="4:16" x14ac:dyDescent="0.25">
      <c r="D1784" s="6" t="s">
        <v>34</v>
      </c>
      <c r="E1784">
        <v>2014</v>
      </c>
      <c r="F1784" s="6" t="s">
        <v>35</v>
      </c>
      <c r="G1784">
        <v>1</v>
      </c>
      <c r="H1784">
        <v>25</v>
      </c>
      <c r="I1784" s="6" t="s">
        <v>36</v>
      </c>
      <c r="J1784" s="6" t="s">
        <v>37</v>
      </c>
      <c r="K1784">
        <v>3</v>
      </c>
      <c r="M1784" s="1" t="b">
        <f>Employee__2[[#This Row],[Experience]]&gt;1</f>
        <v>1</v>
      </c>
      <c r="N1784" s="1" t="str">
        <f>IF(Employee__2[[#This Row],[City]]="Pune","Yes","No")</f>
        <v>No</v>
      </c>
      <c r="O1784" s="1" t="str">
        <f>IF(AND(Employee__2[[#This Row],[Education]]="Bachelors",Employee__2[[#This Row],[City]]="Pune"),"Yes","No")</f>
        <v>No</v>
      </c>
      <c r="P1784" s="1" t="str">
        <f>IF(OR(Employee__2[[#This Row],[Age]]&gt;=30,Employee__2[[#This Row],[Gender]]="Male"),"Mached","Not mached")</f>
        <v>Mached</v>
      </c>
    </row>
    <row r="1785" spans="4:16" x14ac:dyDescent="0.25">
      <c r="D1785" s="6" t="s">
        <v>34</v>
      </c>
      <c r="E1785">
        <v>2014</v>
      </c>
      <c r="F1785" s="6" t="s">
        <v>38</v>
      </c>
      <c r="G1785">
        <v>3</v>
      </c>
      <c r="H1785">
        <v>26</v>
      </c>
      <c r="I1785" s="6" t="s">
        <v>36</v>
      </c>
      <c r="J1785" s="6" t="s">
        <v>37</v>
      </c>
      <c r="K1785">
        <v>4</v>
      </c>
      <c r="M1785" s="1" t="b">
        <f>Employee__2[[#This Row],[Experience]]&gt;1</f>
        <v>1</v>
      </c>
      <c r="N1785" s="1" t="str">
        <f>IF(Employee__2[[#This Row],[City]]="Pune","Yes","No")</f>
        <v>Yes</v>
      </c>
      <c r="O1785" s="1" t="str">
        <f>IF(AND(Employee__2[[#This Row],[Education]]="Bachelors",Employee__2[[#This Row],[City]]="Pune"),"Yes","No")</f>
        <v>Yes</v>
      </c>
      <c r="P1785" s="1" t="str">
        <f>IF(OR(Employee__2[[#This Row],[Age]]&gt;=30,Employee__2[[#This Row],[Gender]]="Male"),"Mached","Not mached")</f>
        <v>Mached</v>
      </c>
    </row>
    <row r="1786" spans="4:16" x14ac:dyDescent="0.25">
      <c r="D1786" s="6" t="s">
        <v>34</v>
      </c>
      <c r="E1786">
        <v>2013</v>
      </c>
      <c r="F1786" s="6" t="s">
        <v>38</v>
      </c>
      <c r="G1786">
        <v>3</v>
      </c>
      <c r="H1786">
        <v>28</v>
      </c>
      <c r="I1786" s="6" t="s">
        <v>36</v>
      </c>
      <c r="J1786" s="6" t="s">
        <v>37</v>
      </c>
      <c r="K1786">
        <v>0</v>
      </c>
      <c r="M1786" s="1" t="b">
        <f>Employee__2[[#This Row],[Experience]]&gt;1</f>
        <v>0</v>
      </c>
      <c r="N1786" s="1" t="str">
        <f>IF(Employee__2[[#This Row],[City]]="Pune","Yes","No")</f>
        <v>Yes</v>
      </c>
      <c r="O1786" s="1" t="str">
        <f>IF(AND(Employee__2[[#This Row],[Education]]="Bachelors",Employee__2[[#This Row],[City]]="Pune"),"Yes","No")</f>
        <v>Yes</v>
      </c>
      <c r="P1786" s="1" t="str">
        <f>IF(OR(Employee__2[[#This Row],[Age]]&gt;=30,Employee__2[[#This Row],[Gender]]="Male"),"Mached","Not mached")</f>
        <v>Mached</v>
      </c>
    </row>
    <row r="1787" spans="4:16" x14ac:dyDescent="0.25">
      <c r="D1787" s="6" t="s">
        <v>34</v>
      </c>
      <c r="E1787">
        <v>2015</v>
      </c>
      <c r="F1787" s="6" t="s">
        <v>35</v>
      </c>
      <c r="G1787">
        <v>3</v>
      </c>
      <c r="H1787">
        <v>27</v>
      </c>
      <c r="I1787" s="6" t="s">
        <v>36</v>
      </c>
      <c r="J1787" s="6" t="s">
        <v>42</v>
      </c>
      <c r="K1787">
        <v>5</v>
      </c>
      <c r="M1787" s="1" t="b">
        <f>Employee__2[[#This Row],[Experience]]&gt;1</f>
        <v>1</v>
      </c>
      <c r="N1787" s="1" t="str">
        <f>IF(Employee__2[[#This Row],[City]]="Pune","Yes","No")</f>
        <v>No</v>
      </c>
      <c r="O1787" s="1" t="str">
        <f>IF(AND(Employee__2[[#This Row],[Education]]="Bachelors",Employee__2[[#This Row],[City]]="Pune"),"Yes","No")</f>
        <v>No</v>
      </c>
      <c r="P1787" s="1" t="str">
        <f>IF(OR(Employee__2[[#This Row],[Age]]&gt;=30,Employee__2[[#This Row],[Gender]]="Male"),"Mached","Not mached")</f>
        <v>Mached</v>
      </c>
    </row>
    <row r="1788" spans="4:16" x14ac:dyDescent="0.25">
      <c r="D1788" s="6" t="s">
        <v>34</v>
      </c>
      <c r="E1788">
        <v>2014</v>
      </c>
      <c r="F1788" s="6" t="s">
        <v>38</v>
      </c>
      <c r="G1788">
        <v>1</v>
      </c>
      <c r="H1788">
        <v>28</v>
      </c>
      <c r="I1788" s="6" t="s">
        <v>39</v>
      </c>
      <c r="J1788" s="6" t="s">
        <v>37</v>
      </c>
      <c r="K1788">
        <v>3</v>
      </c>
      <c r="M1788" s="1" t="b">
        <f>Employee__2[[#This Row],[Experience]]&gt;1</f>
        <v>1</v>
      </c>
      <c r="N1788" s="1" t="str">
        <f>IF(Employee__2[[#This Row],[City]]="Pune","Yes","No")</f>
        <v>Yes</v>
      </c>
      <c r="O1788" s="1" t="str">
        <f>IF(AND(Employee__2[[#This Row],[Education]]="Bachelors",Employee__2[[#This Row],[City]]="Pune"),"Yes","No")</f>
        <v>Yes</v>
      </c>
      <c r="P1788" s="1" t="str">
        <f>IF(OR(Employee__2[[#This Row],[Age]]&gt;=30,Employee__2[[#This Row],[Gender]]="Male"),"Mached","Not mached")</f>
        <v>Not mached</v>
      </c>
    </row>
    <row r="1789" spans="4:16" x14ac:dyDescent="0.25">
      <c r="D1789" s="6" t="s">
        <v>41</v>
      </c>
      <c r="E1789">
        <v>2017</v>
      </c>
      <c r="F1789" s="6" t="s">
        <v>38</v>
      </c>
      <c r="G1789">
        <v>2</v>
      </c>
      <c r="H1789">
        <v>25</v>
      </c>
      <c r="I1789" s="6" t="s">
        <v>39</v>
      </c>
      <c r="J1789" s="6" t="s">
        <v>37</v>
      </c>
      <c r="K1789">
        <v>3</v>
      </c>
      <c r="M1789" s="1" t="b">
        <f>Employee__2[[#This Row],[Experience]]&gt;1</f>
        <v>1</v>
      </c>
      <c r="N1789" s="1" t="str">
        <f>IF(Employee__2[[#This Row],[City]]="Pune","Yes","No")</f>
        <v>Yes</v>
      </c>
      <c r="O1789" s="1" t="str">
        <f>IF(AND(Employee__2[[#This Row],[Education]]="Bachelors",Employee__2[[#This Row],[City]]="Pune"),"Yes","No")</f>
        <v>No</v>
      </c>
      <c r="P1789" s="1" t="str">
        <f>IF(OR(Employee__2[[#This Row],[Age]]&gt;=30,Employee__2[[#This Row],[Gender]]="Male"),"Mached","Not mached")</f>
        <v>Not mached</v>
      </c>
    </row>
    <row r="1790" spans="4:16" x14ac:dyDescent="0.25">
      <c r="D1790" s="6" t="s">
        <v>41</v>
      </c>
      <c r="E1790">
        <v>2013</v>
      </c>
      <c r="F1790" s="6" t="s">
        <v>40</v>
      </c>
      <c r="G1790">
        <v>3</v>
      </c>
      <c r="H1790">
        <v>28</v>
      </c>
      <c r="I1790" s="6" t="s">
        <v>39</v>
      </c>
      <c r="J1790" s="6" t="s">
        <v>37</v>
      </c>
      <c r="K1790">
        <v>2</v>
      </c>
      <c r="M1790" s="1" t="b">
        <f>Employee__2[[#This Row],[Experience]]&gt;1</f>
        <v>1</v>
      </c>
      <c r="N1790" s="1" t="str">
        <f>IF(Employee__2[[#This Row],[City]]="Pune","Yes","No")</f>
        <v>No</v>
      </c>
      <c r="O1790" s="1" t="str">
        <f>IF(AND(Employee__2[[#This Row],[Education]]="Bachelors",Employee__2[[#This Row],[City]]="Pune"),"Yes","No")</f>
        <v>No</v>
      </c>
      <c r="P1790" s="1" t="str">
        <f>IF(OR(Employee__2[[#This Row],[Age]]&gt;=30,Employee__2[[#This Row],[Gender]]="Male"),"Mached","Not mached")</f>
        <v>Not mached</v>
      </c>
    </row>
    <row r="1791" spans="4:16" x14ac:dyDescent="0.25">
      <c r="D1791" s="6" t="s">
        <v>41</v>
      </c>
      <c r="E1791">
        <v>2017</v>
      </c>
      <c r="F1791" s="6" t="s">
        <v>35</v>
      </c>
      <c r="G1791">
        <v>2</v>
      </c>
      <c r="H1791">
        <v>27</v>
      </c>
      <c r="I1791" s="6" t="s">
        <v>39</v>
      </c>
      <c r="J1791" s="6" t="s">
        <v>37</v>
      </c>
      <c r="K1791">
        <v>5</v>
      </c>
      <c r="M1791" s="1" t="b">
        <f>Employee__2[[#This Row],[Experience]]&gt;1</f>
        <v>1</v>
      </c>
      <c r="N1791" s="1" t="str">
        <f>IF(Employee__2[[#This Row],[City]]="Pune","Yes","No")</f>
        <v>No</v>
      </c>
      <c r="O1791" s="1" t="str">
        <f>IF(AND(Employee__2[[#This Row],[Education]]="Bachelors",Employee__2[[#This Row],[City]]="Pune"),"Yes","No")</f>
        <v>No</v>
      </c>
      <c r="P1791" s="1" t="str">
        <f>IF(OR(Employee__2[[#This Row],[Age]]&gt;=30,Employee__2[[#This Row],[Gender]]="Male"),"Mached","Not mached")</f>
        <v>Not mached</v>
      </c>
    </row>
    <row r="1792" spans="4:16" x14ac:dyDescent="0.25">
      <c r="D1792" s="6" t="s">
        <v>34</v>
      </c>
      <c r="E1792">
        <v>2015</v>
      </c>
      <c r="F1792" s="6" t="s">
        <v>35</v>
      </c>
      <c r="G1792">
        <v>3</v>
      </c>
      <c r="H1792">
        <v>27</v>
      </c>
      <c r="I1792" s="6" t="s">
        <v>36</v>
      </c>
      <c r="J1792" s="6" t="s">
        <v>37</v>
      </c>
      <c r="K1792">
        <v>5</v>
      </c>
      <c r="M1792" s="1" t="b">
        <f>Employee__2[[#This Row],[Experience]]&gt;1</f>
        <v>1</v>
      </c>
      <c r="N1792" s="1" t="str">
        <f>IF(Employee__2[[#This Row],[City]]="Pune","Yes","No")</f>
        <v>No</v>
      </c>
      <c r="O1792" s="1" t="str">
        <f>IF(AND(Employee__2[[#This Row],[Education]]="Bachelors",Employee__2[[#This Row],[City]]="Pune"),"Yes","No")</f>
        <v>No</v>
      </c>
      <c r="P1792" s="1" t="str">
        <f>IF(OR(Employee__2[[#This Row],[Age]]&gt;=30,Employee__2[[#This Row],[Gender]]="Male"),"Mached","Not mached")</f>
        <v>Mached</v>
      </c>
    </row>
    <row r="1793" spans="4:16" x14ac:dyDescent="0.25">
      <c r="D1793" s="6" t="s">
        <v>34</v>
      </c>
      <c r="E1793">
        <v>2012</v>
      </c>
      <c r="F1793" s="6" t="s">
        <v>35</v>
      </c>
      <c r="G1793">
        <v>3</v>
      </c>
      <c r="H1793">
        <v>27</v>
      </c>
      <c r="I1793" s="6" t="s">
        <v>36</v>
      </c>
      <c r="J1793" s="6" t="s">
        <v>37</v>
      </c>
      <c r="K1793">
        <v>5</v>
      </c>
      <c r="M1793" s="1" t="b">
        <f>Employee__2[[#This Row],[Experience]]&gt;1</f>
        <v>1</v>
      </c>
      <c r="N1793" s="1" t="str">
        <f>IF(Employee__2[[#This Row],[City]]="Pune","Yes","No")</f>
        <v>No</v>
      </c>
      <c r="O1793" s="1" t="str">
        <f>IF(AND(Employee__2[[#This Row],[Education]]="Bachelors",Employee__2[[#This Row],[City]]="Pune"),"Yes","No")</f>
        <v>No</v>
      </c>
      <c r="P1793" s="1" t="str">
        <f>IF(OR(Employee__2[[#This Row],[Age]]&gt;=30,Employee__2[[#This Row],[Gender]]="Male"),"Mached","Not mached")</f>
        <v>Mached</v>
      </c>
    </row>
    <row r="1794" spans="4:16" x14ac:dyDescent="0.25">
      <c r="D1794" s="6" t="s">
        <v>34</v>
      </c>
      <c r="E1794">
        <v>2014</v>
      </c>
      <c r="F1794" s="6" t="s">
        <v>35</v>
      </c>
      <c r="G1794">
        <v>3</v>
      </c>
      <c r="H1794">
        <v>26</v>
      </c>
      <c r="I1794" s="6" t="s">
        <v>36</v>
      </c>
      <c r="J1794" s="6" t="s">
        <v>37</v>
      </c>
      <c r="K1794">
        <v>4</v>
      </c>
      <c r="M1794" s="1" t="b">
        <f>Employee__2[[#This Row],[Experience]]&gt;1</f>
        <v>1</v>
      </c>
      <c r="N1794" s="1" t="str">
        <f>IF(Employee__2[[#This Row],[City]]="Pune","Yes","No")</f>
        <v>No</v>
      </c>
      <c r="O1794" s="1" t="str">
        <f>IF(AND(Employee__2[[#This Row],[Education]]="Bachelors",Employee__2[[#This Row],[City]]="Pune"),"Yes","No")</f>
        <v>No</v>
      </c>
      <c r="P1794" s="1" t="str">
        <f>IF(OR(Employee__2[[#This Row],[Age]]&gt;=30,Employee__2[[#This Row],[Gender]]="Male"),"Mached","Not mached")</f>
        <v>Mached</v>
      </c>
    </row>
    <row r="1795" spans="4:16" x14ac:dyDescent="0.25">
      <c r="D1795" s="6" t="s">
        <v>34</v>
      </c>
      <c r="E1795">
        <v>2013</v>
      </c>
      <c r="F1795" s="6" t="s">
        <v>40</v>
      </c>
      <c r="G1795">
        <v>3</v>
      </c>
      <c r="H1795">
        <v>26</v>
      </c>
      <c r="I1795" s="6" t="s">
        <v>39</v>
      </c>
      <c r="J1795" s="6" t="s">
        <v>37</v>
      </c>
      <c r="K1795">
        <v>4</v>
      </c>
      <c r="M1795" s="1" t="b">
        <f>Employee__2[[#This Row],[Experience]]&gt;1</f>
        <v>1</v>
      </c>
      <c r="N1795" s="1" t="str">
        <f>IF(Employee__2[[#This Row],[City]]="Pune","Yes","No")</f>
        <v>No</v>
      </c>
      <c r="O1795" s="1" t="str">
        <f>IF(AND(Employee__2[[#This Row],[Education]]="Bachelors",Employee__2[[#This Row],[City]]="Pune"),"Yes","No")</f>
        <v>No</v>
      </c>
      <c r="P1795" s="1" t="str">
        <f>IF(OR(Employee__2[[#This Row],[Age]]&gt;=30,Employee__2[[#This Row],[Gender]]="Male"),"Mached","Not mached")</f>
        <v>Not mached</v>
      </c>
    </row>
    <row r="1796" spans="4:16" x14ac:dyDescent="0.25">
      <c r="D1796" s="6" t="s">
        <v>34</v>
      </c>
      <c r="E1796">
        <v>2012</v>
      </c>
      <c r="F1796" s="6" t="s">
        <v>35</v>
      </c>
      <c r="G1796">
        <v>3</v>
      </c>
      <c r="H1796">
        <v>27</v>
      </c>
      <c r="I1796" s="6" t="s">
        <v>36</v>
      </c>
      <c r="J1796" s="6" t="s">
        <v>37</v>
      </c>
      <c r="K1796">
        <v>5</v>
      </c>
      <c r="M1796" s="1" t="b">
        <f>Employee__2[[#This Row],[Experience]]&gt;1</f>
        <v>1</v>
      </c>
      <c r="N1796" s="1" t="str">
        <f>IF(Employee__2[[#This Row],[City]]="Pune","Yes","No")</f>
        <v>No</v>
      </c>
      <c r="O1796" s="1" t="str">
        <f>IF(AND(Employee__2[[#This Row],[Education]]="Bachelors",Employee__2[[#This Row],[City]]="Pune"),"Yes","No")</f>
        <v>No</v>
      </c>
      <c r="P1796" s="1" t="str">
        <f>IF(OR(Employee__2[[#This Row],[Age]]&gt;=30,Employee__2[[#This Row],[Gender]]="Male"),"Mached","Not mached")</f>
        <v>Mached</v>
      </c>
    </row>
    <row r="1797" spans="4:16" x14ac:dyDescent="0.25">
      <c r="D1797" s="6" t="s">
        <v>34</v>
      </c>
      <c r="E1797">
        <v>2013</v>
      </c>
      <c r="F1797" s="6" t="s">
        <v>35</v>
      </c>
      <c r="G1797">
        <v>3</v>
      </c>
      <c r="H1797">
        <v>26</v>
      </c>
      <c r="I1797" s="6" t="s">
        <v>39</v>
      </c>
      <c r="J1797" s="6" t="s">
        <v>37</v>
      </c>
      <c r="K1797">
        <v>4</v>
      </c>
      <c r="M1797" s="1" t="b">
        <f>Employee__2[[#This Row],[Experience]]&gt;1</f>
        <v>1</v>
      </c>
      <c r="N1797" s="1" t="str">
        <f>IF(Employee__2[[#This Row],[City]]="Pune","Yes","No")</f>
        <v>No</v>
      </c>
      <c r="O1797" s="1" t="str">
        <f>IF(AND(Employee__2[[#This Row],[Education]]="Bachelors",Employee__2[[#This Row],[City]]="Pune"),"Yes","No")</f>
        <v>No</v>
      </c>
      <c r="P1797" s="1" t="str">
        <f>IF(OR(Employee__2[[#This Row],[Age]]&gt;=30,Employee__2[[#This Row],[Gender]]="Male"),"Mached","Not mached")</f>
        <v>Not mached</v>
      </c>
    </row>
    <row r="1798" spans="4:16" x14ac:dyDescent="0.25">
      <c r="D1798" s="6" t="s">
        <v>41</v>
      </c>
      <c r="E1798">
        <v>2017</v>
      </c>
      <c r="F1798" s="6" t="s">
        <v>40</v>
      </c>
      <c r="G1798">
        <v>2</v>
      </c>
      <c r="H1798">
        <v>28</v>
      </c>
      <c r="I1798" s="6" t="s">
        <v>39</v>
      </c>
      <c r="J1798" s="6" t="s">
        <v>37</v>
      </c>
      <c r="K1798">
        <v>3</v>
      </c>
      <c r="M1798" s="1" t="b">
        <f>Employee__2[[#This Row],[Experience]]&gt;1</f>
        <v>1</v>
      </c>
      <c r="N1798" s="1" t="str">
        <f>IF(Employee__2[[#This Row],[City]]="Pune","Yes","No")</f>
        <v>No</v>
      </c>
      <c r="O1798" s="1" t="str">
        <f>IF(AND(Employee__2[[#This Row],[Education]]="Bachelors",Employee__2[[#This Row],[City]]="Pune"),"Yes","No")</f>
        <v>No</v>
      </c>
      <c r="P1798" s="1" t="str">
        <f>IF(OR(Employee__2[[#This Row],[Age]]&gt;=30,Employee__2[[#This Row],[Gender]]="Male"),"Mached","Not mached")</f>
        <v>Not mached</v>
      </c>
    </row>
    <row r="1799" spans="4:16" x14ac:dyDescent="0.25">
      <c r="D1799" s="6" t="s">
        <v>34</v>
      </c>
      <c r="E1799">
        <v>2017</v>
      </c>
      <c r="F1799" s="6" t="s">
        <v>40</v>
      </c>
      <c r="G1799">
        <v>2</v>
      </c>
      <c r="H1799">
        <v>26</v>
      </c>
      <c r="I1799" s="6" t="s">
        <v>36</v>
      </c>
      <c r="J1799" s="6" t="s">
        <v>37</v>
      </c>
      <c r="K1799">
        <v>4</v>
      </c>
      <c r="M1799" s="1" t="b">
        <f>Employee__2[[#This Row],[Experience]]&gt;1</f>
        <v>1</v>
      </c>
      <c r="N1799" s="1" t="str">
        <f>IF(Employee__2[[#This Row],[City]]="Pune","Yes","No")</f>
        <v>No</v>
      </c>
      <c r="O1799" s="1" t="str">
        <f>IF(AND(Employee__2[[#This Row],[Education]]="Bachelors",Employee__2[[#This Row],[City]]="Pune"),"Yes","No")</f>
        <v>No</v>
      </c>
      <c r="P1799" s="1" t="str">
        <f>IF(OR(Employee__2[[#This Row],[Age]]&gt;=30,Employee__2[[#This Row],[Gender]]="Male"),"Mached","Not mached")</f>
        <v>Mached</v>
      </c>
    </row>
    <row r="1800" spans="4:16" x14ac:dyDescent="0.25">
      <c r="D1800" s="6" t="s">
        <v>34</v>
      </c>
      <c r="E1800">
        <v>2013</v>
      </c>
      <c r="F1800" s="6" t="s">
        <v>38</v>
      </c>
      <c r="G1800">
        <v>2</v>
      </c>
      <c r="H1800">
        <v>27</v>
      </c>
      <c r="I1800" s="6" t="s">
        <v>39</v>
      </c>
      <c r="J1800" s="6" t="s">
        <v>37</v>
      </c>
      <c r="K1800">
        <v>5</v>
      </c>
      <c r="M1800" s="1" t="b">
        <f>Employee__2[[#This Row],[Experience]]&gt;1</f>
        <v>1</v>
      </c>
      <c r="N1800" s="1" t="str">
        <f>IF(Employee__2[[#This Row],[City]]="Pune","Yes","No")</f>
        <v>Yes</v>
      </c>
      <c r="O1800" s="1" t="str">
        <f>IF(AND(Employee__2[[#This Row],[Education]]="Bachelors",Employee__2[[#This Row],[City]]="Pune"),"Yes","No")</f>
        <v>Yes</v>
      </c>
      <c r="P1800" s="1" t="str">
        <f>IF(OR(Employee__2[[#This Row],[Age]]&gt;=30,Employee__2[[#This Row],[Gender]]="Male"),"Mached","Not mached")</f>
        <v>Not mached</v>
      </c>
    </row>
    <row r="1801" spans="4:16" x14ac:dyDescent="0.25">
      <c r="D1801" s="6" t="s">
        <v>41</v>
      </c>
      <c r="E1801">
        <v>2015</v>
      </c>
      <c r="F1801" s="6" t="s">
        <v>35</v>
      </c>
      <c r="G1801">
        <v>3</v>
      </c>
      <c r="H1801">
        <v>27</v>
      </c>
      <c r="I1801" s="6" t="s">
        <v>39</v>
      </c>
      <c r="J1801" s="6" t="s">
        <v>37</v>
      </c>
      <c r="K1801">
        <v>5</v>
      </c>
      <c r="M1801" s="1" t="b">
        <f>Employee__2[[#This Row],[Experience]]&gt;1</f>
        <v>1</v>
      </c>
      <c r="N1801" s="1" t="str">
        <f>IF(Employee__2[[#This Row],[City]]="Pune","Yes","No")</f>
        <v>No</v>
      </c>
      <c r="O1801" s="1" t="str">
        <f>IF(AND(Employee__2[[#This Row],[Education]]="Bachelors",Employee__2[[#This Row],[City]]="Pune"),"Yes","No")</f>
        <v>No</v>
      </c>
      <c r="P1801" s="1" t="str">
        <f>IF(OR(Employee__2[[#This Row],[Age]]&gt;=30,Employee__2[[#This Row],[Gender]]="Male"),"Mached","Not mached")</f>
        <v>Not mached</v>
      </c>
    </row>
    <row r="1802" spans="4:16" x14ac:dyDescent="0.25">
      <c r="D1802" s="6" t="s">
        <v>41</v>
      </c>
      <c r="E1802">
        <v>2017</v>
      </c>
      <c r="F1802" s="6" t="s">
        <v>38</v>
      </c>
      <c r="G1802">
        <v>3</v>
      </c>
      <c r="H1802">
        <v>27</v>
      </c>
      <c r="I1802" s="6" t="s">
        <v>39</v>
      </c>
      <c r="J1802" s="6" t="s">
        <v>37</v>
      </c>
      <c r="K1802">
        <v>5</v>
      </c>
      <c r="M1802" s="1" t="b">
        <f>Employee__2[[#This Row],[Experience]]&gt;1</f>
        <v>1</v>
      </c>
      <c r="N1802" s="1" t="str">
        <f>IF(Employee__2[[#This Row],[City]]="Pune","Yes","No")</f>
        <v>Yes</v>
      </c>
      <c r="O1802" s="1" t="str">
        <f>IF(AND(Employee__2[[#This Row],[Education]]="Bachelors",Employee__2[[#This Row],[City]]="Pune"),"Yes","No")</f>
        <v>No</v>
      </c>
      <c r="P1802" s="1" t="str">
        <f>IF(OR(Employee__2[[#This Row],[Age]]&gt;=30,Employee__2[[#This Row],[Gender]]="Male"),"Mached","Not mached")</f>
        <v>Not mached</v>
      </c>
    </row>
    <row r="1803" spans="4:16" x14ac:dyDescent="0.25">
      <c r="D1803" s="6" t="s">
        <v>34</v>
      </c>
      <c r="E1803">
        <v>2016</v>
      </c>
      <c r="F1803" s="6" t="s">
        <v>35</v>
      </c>
      <c r="G1803">
        <v>3</v>
      </c>
      <c r="H1803">
        <v>27</v>
      </c>
      <c r="I1803" s="6" t="s">
        <v>36</v>
      </c>
      <c r="J1803" s="6" t="s">
        <v>37</v>
      </c>
      <c r="K1803">
        <v>5</v>
      </c>
      <c r="M1803" s="1" t="b">
        <f>Employee__2[[#This Row],[Experience]]&gt;1</f>
        <v>1</v>
      </c>
      <c r="N1803" s="1" t="str">
        <f>IF(Employee__2[[#This Row],[City]]="Pune","Yes","No")</f>
        <v>No</v>
      </c>
      <c r="O1803" s="1" t="str">
        <f>IF(AND(Employee__2[[#This Row],[Education]]="Bachelors",Employee__2[[#This Row],[City]]="Pune"),"Yes","No")</f>
        <v>No</v>
      </c>
      <c r="P1803" s="1" t="str">
        <f>IF(OR(Employee__2[[#This Row],[Age]]&gt;=30,Employee__2[[#This Row],[Gender]]="Male"),"Mached","Not mached")</f>
        <v>Mached</v>
      </c>
    </row>
    <row r="1804" spans="4:16" x14ac:dyDescent="0.25">
      <c r="D1804" s="6" t="s">
        <v>34</v>
      </c>
      <c r="E1804">
        <v>2012</v>
      </c>
      <c r="F1804" s="6" t="s">
        <v>35</v>
      </c>
      <c r="G1804">
        <v>3</v>
      </c>
      <c r="H1804">
        <v>27</v>
      </c>
      <c r="I1804" s="6" t="s">
        <v>36</v>
      </c>
      <c r="J1804" s="6" t="s">
        <v>37</v>
      </c>
      <c r="K1804">
        <v>5</v>
      </c>
      <c r="M1804" s="1" t="b">
        <f>Employee__2[[#This Row],[Experience]]&gt;1</f>
        <v>1</v>
      </c>
      <c r="N1804" s="1" t="str">
        <f>IF(Employee__2[[#This Row],[City]]="Pune","Yes","No")</f>
        <v>No</v>
      </c>
      <c r="O1804" s="1" t="str">
        <f>IF(AND(Employee__2[[#This Row],[Education]]="Bachelors",Employee__2[[#This Row],[City]]="Pune"),"Yes","No")</f>
        <v>No</v>
      </c>
      <c r="P1804" s="1" t="str">
        <f>IF(OR(Employee__2[[#This Row],[Age]]&gt;=30,Employee__2[[#This Row],[Gender]]="Male"),"Mached","Not mached")</f>
        <v>Mached</v>
      </c>
    </row>
    <row r="1805" spans="4:16" x14ac:dyDescent="0.25">
      <c r="D1805" s="6" t="s">
        <v>34</v>
      </c>
      <c r="E1805">
        <v>2014</v>
      </c>
      <c r="F1805" s="6" t="s">
        <v>35</v>
      </c>
      <c r="G1805">
        <v>3</v>
      </c>
      <c r="H1805">
        <v>25</v>
      </c>
      <c r="I1805" s="6" t="s">
        <v>39</v>
      </c>
      <c r="J1805" s="6" t="s">
        <v>37</v>
      </c>
      <c r="K1805">
        <v>3</v>
      </c>
      <c r="M1805" s="1" t="b">
        <f>Employee__2[[#This Row],[Experience]]&gt;1</f>
        <v>1</v>
      </c>
      <c r="N1805" s="1" t="str">
        <f>IF(Employee__2[[#This Row],[City]]="Pune","Yes","No")</f>
        <v>No</v>
      </c>
      <c r="O1805" s="1" t="str">
        <f>IF(AND(Employee__2[[#This Row],[Education]]="Bachelors",Employee__2[[#This Row],[City]]="Pune"),"Yes","No")</f>
        <v>No</v>
      </c>
      <c r="P1805" s="1" t="str">
        <f>IF(OR(Employee__2[[#This Row],[Age]]&gt;=30,Employee__2[[#This Row],[Gender]]="Male"),"Mached","Not mached")</f>
        <v>Not mached</v>
      </c>
    </row>
    <row r="1806" spans="4:16" x14ac:dyDescent="0.25">
      <c r="D1806" s="6" t="s">
        <v>34</v>
      </c>
      <c r="E1806">
        <v>2016</v>
      </c>
      <c r="F1806" s="6" t="s">
        <v>35</v>
      </c>
      <c r="G1806">
        <v>3</v>
      </c>
      <c r="H1806">
        <v>26</v>
      </c>
      <c r="I1806" s="6" t="s">
        <v>39</v>
      </c>
      <c r="J1806" s="6" t="s">
        <v>37</v>
      </c>
      <c r="K1806">
        <v>4</v>
      </c>
      <c r="M1806" s="1" t="b">
        <f>Employee__2[[#This Row],[Experience]]&gt;1</f>
        <v>1</v>
      </c>
      <c r="N1806" s="1" t="str">
        <f>IF(Employee__2[[#This Row],[City]]="Pune","Yes","No")</f>
        <v>No</v>
      </c>
      <c r="O1806" s="1" t="str">
        <f>IF(AND(Employee__2[[#This Row],[Education]]="Bachelors",Employee__2[[#This Row],[City]]="Pune"),"Yes","No")</f>
        <v>No</v>
      </c>
      <c r="P1806" s="1" t="str">
        <f>IF(OR(Employee__2[[#This Row],[Age]]&gt;=30,Employee__2[[#This Row],[Gender]]="Male"),"Mached","Not mached")</f>
        <v>Not mached</v>
      </c>
    </row>
    <row r="1807" spans="4:16" x14ac:dyDescent="0.25">
      <c r="D1807" s="6" t="s">
        <v>34</v>
      </c>
      <c r="E1807">
        <v>2016</v>
      </c>
      <c r="F1807" s="6" t="s">
        <v>35</v>
      </c>
      <c r="G1807">
        <v>3</v>
      </c>
      <c r="H1807">
        <v>26</v>
      </c>
      <c r="I1807" s="6" t="s">
        <v>39</v>
      </c>
      <c r="J1807" s="6" t="s">
        <v>37</v>
      </c>
      <c r="K1807">
        <v>4</v>
      </c>
      <c r="M1807" s="1" t="b">
        <f>Employee__2[[#This Row],[Experience]]&gt;1</f>
        <v>1</v>
      </c>
      <c r="N1807" s="1" t="str">
        <f>IF(Employee__2[[#This Row],[City]]="Pune","Yes","No")</f>
        <v>No</v>
      </c>
      <c r="O1807" s="1" t="str">
        <f>IF(AND(Employee__2[[#This Row],[Education]]="Bachelors",Employee__2[[#This Row],[City]]="Pune"),"Yes","No")</f>
        <v>No</v>
      </c>
      <c r="P1807" s="1" t="str">
        <f>IF(OR(Employee__2[[#This Row],[Age]]&gt;=30,Employee__2[[#This Row],[Gender]]="Male"),"Mached","Not mached")</f>
        <v>Not mached</v>
      </c>
    </row>
    <row r="1808" spans="4:16" x14ac:dyDescent="0.25">
      <c r="D1808" s="6" t="s">
        <v>34</v>
      </c>
      <c r="E1808">
        <v>2014</v>
      </c>
      <c r="F1808" s="6" t="s">
        <v>40</v>
      </c>
      <c r="G1808">
        <v>3</v>
      </c>
      <c r="H1808">
        <v>26</v>
      </c>
      <c r="I1808" s="6" t="s">
        <v>36</v>
      </c>
      <c r="J1808" s="6" t="s">
        <v>37</v>
      </c>
      <c r="K1808">
        <v>4</v>
      </c>
      <c r="M1808" s="1" t="b">
        <f>Employee__2[[#This Row],[Experience]]&gt;1</f>
        <v>1</v>
      </c>
      <c r="N1808" s="1" t="str">
        <f>IF(Employee__2[[#This Row],[City]]="Pune","Yes","No")</f>
        <v>No</v>
      </c>
      <c r="O1808" s="1" t="str">
        <f>IF(AND(Employee__2[[#This Row],[Education]]="Bachelors",Employee__2[[#This Row],[City]]="Pune"),"Yes","No")</f>
        <v>No</v>
      </c>
      <c r="P1808" s="1" t="str">
        <f>IF(OR(Employee__2[[#This Row],[Age]]&gt;=30,Employee__2[[#This Row],[Gender]]="Male"),"Mached","Not mached")</f>
        <v>Mached</v>
      </c>
    </row>
    <row r="1809" spans="4:16" x14ac:dyDescent="0.25">
      <c r="D1809" s="6" t="s">
        <v>34</v>
      </c>
      <c r="E1809">
        <v>2014</v>
      </c>
      <c r="F1809" s="6" t="s">
        <v>35</v>
      </c>
      <c r="G1809">
        <v>3</v>
      </c>
      <c r="H1809">
        <v>28</v>
      </c>
      <c r="I1809" s="6" t="s">
        <v>36</v>
      </c>
      <c r="J1809" s="6" t="s">
        <v>37</v>
      </c>
      <c r="K1809">
        <v>3</v>
      </c>
      <c r="M1809" s="1" t="b">
        <f>Employee__2[[#This Row],[Experience]]&gt;1</f>
        <v>1</v>
      </c>
      <c r="N1809" s="1" t="str">
        <f>IF(Employee__2[[#This Row],[City]]="Pune","Yes","No")</f>
        <v>No</v>
      </c>
      <c r="O1809" s="1" t="str">
        <f>IF(AND(Employee__2[[#This Row],[Education]]="Bachelors",Employee__2[[#This Row],[City]]="Pune"),"Yes","No")</f>
        <v>No</v>
      </c>
      <c r="P1809" s="1" t="str">
        <f>IF(OR(Employee__2[[#This Row],[Age]]&gt;=30,Employee__2[[#This Row],[Gender]]="Male"),"Mached","Not mached")</f>
        <v>Mached</v>
      </c>
    </row>
    <row r="1810" spans="4:16" x14ac:dyDescent="0.25">
      <c r="D1810" s="6" t="s">
        <v>34</v>
      </c>
      <c r="E1810">
        <v>2012</v>
      </c>
      <c r="F1810" s="6" t="s">
        <v>38</v>
      </c>
      <c r="G1810">
        <v>3</v>
      </c>
      <c r="H1810">
        <v>25</v>
      </c>
      <c r="I1810" s="6" t="s">
        <v>36</v>
      </c>
      <c r="J1810" s="6" t="s">
        <v>37</v>
      </c>
      <c r="K1810">
        <v>3</v>
      </c>
      <c r="M1810" s="1" t="b">
        <f>Employee__2[[#This Row],[Experience]]&gt;1</f>
        <v>1</v>
      </c>
      <c r="N1810" s="1" t="str">
        <f>IF(Employee__2[[#This Row],[City]]="Pune","Yes","No")</f>
        <v>Yes</v>
      </c>
      <c r="O1810" s="1" t="str">
        <f>IF(AND(Employee__2[[#This Row],[Education]]="Bachelors",Employee__2[[#This Row],[City]]="Pune"),"Yes","No")</f>
        <v>Yes</v>
      </c>
      <c r="P1810" s="1" t="str">
        <f>IF(OR(Employee__2[[#This Row],[Age]]&gt;=30,Employee__2[[#This Row],[Gender]]="Male"),"Mached","Not mached")</f>
        <v>Mached</v>
      </c>
    </row>
    <row r="1811" spans="4:16" x14ac:dyDescent="0.25">
      <c r="D1811" s="6" t="s">
        <v>41</v>
      </c>
      <c r="E1811">
        <v>2014</v>
      </c>
      <c r="F1811" s="6" t="s">
        <v>35</v>
      </c>
      <c r="G1811">
        <v>3</v>
      </c>
      <c r="H1811">
        <v>28</v>
      </c>
      <c r="I1811" s="6" t="s">
        <v>39</v>
      </c>
      <c r="J1811" s="6" t="s">
        <v>37</v>
      </c>
      <c r="K1811">
        <v>3</v>
      </c>
      <c r="M1811" s="1" t="b">
        <f>Employee__2[[#This Row],[Experience]]&gt;1</f>
        <v>1</v>
      </c>
      <c r="N1811" s="1" t="str">
        <f>IF(Employee__2[[#This Row],[City]]="Pune","Yes","No")</f>
        <v>No</v>
      </c>
      <c r="O1811" s="1" t="str">
        <f>IF(AND(Employee__2[[#This Row],[Education]]="Bachelors",Employee__2[[#This Row],[City]]="Pune"),"Yes","No")</f>
        <v>No</v>
      </c>
      <c r="P1811" s="1" t="str">
        <f>IF(OR(Employee__2[[#This Row],[Age]]&gt;=30,Employee__2[[#This Row],[Gender]]="Male"),"Mached","Not mached")</f>
        <v>Not mached</v>
      </c>
    </row>
    <row r="1812" spans="4:16" x14ac:dyDescent="0.25">
      <c r="D1812" s="6" t="s">
        <v>34</v>
      </c>
      <c r="E1812">
        <v>2016</v>
      </c>
      <c r="F1812" s="6" t="s">
        <v>40</v>
      </c>
      <c r="G1812">
        <v>3</v>
      </c>
      <c r="H1812">
        <v>26</v>
      </c>
      <c r="I1812" s="6" t="s">
        <v>36</v>
      </c>
      <c r="J1812" s="6" t="s">
        <v>37</v>
      </c>
      <c r="K1812">
        <v>4</v>
      </c>
      <c r="M1812" s="1" t="b">
        <f>Employee__2[[#This Row],[Experience]]&gt;1</f>
        <v>1</v>
      </c>
      <c r="N1812" s="1" t="str">
        <f>IF(Employee__2[[#This Row],[City]]="Pune","Yes","No")</f>
        <v>No</v>
      </c>
      <c r="O1812" s="1" t="str">
        <f>IF(AND(Employee__2[[#This Row],[Education]]="Bachelors",Employee__2[[#This Row],[City]]="Pune"),"Yes","No")</f>
        <v>No</v>
      </c>
      <c r="P1812" s="1" t="str">
        <f>IF(OR(Employee__2[[#This Row],[Age]]&gt;=30,Employee__2[[#This Row],[Gender]]="Male"),"Mached","Not mached")</f>
        <v>Mached</v>
      </c>
    </row>
    <row r="1813" spans="4:16" x14ac:dyDescent="0.25">
      <c r="D1813" s="6" t="s">
        <v>34</v>
      </c>
      <c r="E1813">
        <v>2012</v>
      </c>
      <c r="F1813" s="6" t="s">
        <v>40</v>
      </c>
      <c r="G1813">
        <v>3</v>
      </c>
      <c r="H1813">
        <v>24</v>
      </c>
      <c r="I1813" s="6" t="s">
        <v>39</v>
      </c>
      <c r="J1813" s="6" t="s">
        <v>37</v>
      </c>
      <c r="K1813">
        <v>2</v>
      </c>
      <c r="M1813" s="1" t="b">
        <f>Employee__2[[#This Row],[Experience]]&gt;1</f>
        <v>1</v>
      </c>
      <c r="N1813" s="1" t="str">
        <f>IF(Employee__2[[#This Row],[City]]="Pune","Yes","No")</f>
        <v>No</v>
      </c>
      <c r="O1813" s="1" t="str">
        <f>IF(AND(Employee__2[[#This Row],[Education]]="Bachelors",Employee__2[[#This Row],[City]]="Pune"),"Yes","No")</f>
        <v>No</v>
      </c>
      <c r="P1813" s="1" t="str">
        <f>IF(OR(Employee__2[[#This Row],[Age]]&gt;=30,Employee__2[[#This Row],[Gender]]="Male"),"Mached","Not mached")</f>
        <v>Not mached</v>
      </c>
    </row>
    <row r="1814" spans="4:16" x14ac:dyDescent="0.25">
      <c r="D1814" s="6" t="s">
        <v>34</v>
      </c>
      <c r="E1814">
        <v>2015</v>
      </c>
      <c r="F1814" s="6" t="s">
        <v>38</v>
      </c>
      <c r="G1814">
        <v>2</v>
      </c>
      <c r="H1814">
        <v>28</v>
      </c>
      <c r="I1814" s="6" t="s">
        <v>39</v>
      </c>
      <c r="J1814" s="6" t="s">
        <v>37</v>
      </c>
      <c r="K1814">
        <v>4</v>
      </c>
      <c r="M1814" s="1" t="b">
        <f>Employee__2[[#This Row],[Experience]]&gt;1</f>
        <v>1</v>
      </c>
      <c r="N1814" s="1" t="str">
        <f>IF(Employee__2[[#This Row],[City]]="Pune","Yes","No")</f>
        <v>Yes</v>
      </c>
      <c r="O1814" s="1" t="str">
        <f>IF(AND(Employee__2[[#This Row],[Education]]="Bachelors",Employee__2[[#This Row],[City]]="Pune"),"Yes","No")</f>
        <v>Yes</v>
      </c>
      <c r="P1814" s="1" t="str">
        <f>IF(OR(Employee__2[[#This Row],[Age]]&gt;=30,Employee__2[[#This Row],[Gender]]="Male"),"Mached","Not mached")</f>
        <v>Not mached</v>
      </c>
    </row>
    <row r="1815" spans="4:16" x14ac:dyDescent="0.25">
      <c r="D1815" s="6" t="s">
        <v>34</v>
      </c>
      <c r="E1815">
        <v>2017</v>
      </c>
      <c r="F1815" s="6" t="s">
        <v>40</v>
      </c>
      <c r="G1815">
        <v>2</v>
      </c>
      <c r="H1815">
        <v>24</v>
      </c>
      <c r="I1815" s="6" t="s">
        <v>36</v>
      </c>
      <c r="J1815" s="6" t="s">
        <v>37</v>
      </c>
      <c r="K1815">
        <v>2</v>
      </c>
      <c r="M1815" s="1" t="b">
        <f>Employee__2[[#This Row],[Experience]]&gt;1</f>
        <v>1</v>
      </c>
      <c r="N1815" s="1" t="str">
        <f>IF(Employee__2[[#This Row],[City]]="Pune","Yes","No")</f>
        <v>No</v>
      </c>
      <c r="O1815" s="1" t="str">
        <f>IF(AND(Employee__2[[#This Row],[Education]]="Bachelors",Employee__2[[#This Row],[City]]="Pune"),"Yes","No")</f>
        <v>No</v>
      </c>
      <c r="P1815" s="1" t="str">
        <f>IF(OR(Employee__2[[#This Row],[Age]]&gt;=30,Employee__2[[#This Row],[Gender]]="Male"),"Mached","Not mached")</f>
        <v>Mached</v>
      </c>
    </row>
    <row r="1816" spans="4:16" x14ac:dyDescent="0.25">
      <c r="D1816" s="6" t="s">
        <v>34</v>
      </c>
      <c r="E1816">
        <v>2015</v>
      </c>
      <c r="F1816" s="6" t="s">
        <v>40</v>
      </c>
      <c r="G1816">
        <v>3</v>
      </c>
      <c r="H1816">
        <v>25</v>
      </c>
      <c r="I1816" s="6" t="s">
        <v>36</v>
      </c>
      <c r="J1816" s="6" t="s">
        <v>37</v>
      </c>
      <c r="K1816">
        <v>3</v>
      </c>
      <c r="M1816" s="1" t="b">
        <f>Employee__2[[#This Row],[Experience]]&gt;1</f>
        <v>1</v>
      </c>
      <c r="N1816" s="1" t="str">
        <f>IF(Employee__2[[#This Row],[City]]="Pune","Yes","No")</f>
        <v>No</v>
      </c>
      <c r="O1816" s="1" t="str">
        <f>IF(AND(Employee__2[[#This Row],[Education]]="Bachelors",Employee__2[[#This Row],[City]]="Pune"),"Yes","No")</f>
        <v>No</v>
      </c>
      <c r="P1816" s="1" t="str">
        <f>IF(OR(Employee__2[[#This Row],[Age]]&gt;=30,Employee__2[[#This Row],[Gender]]="Male"),"Mached","Not mached")</f>
        <v>Mached</v>
      </c>
    </row>
    <row r="1817" spans="4:16" x14ac:dyDescent="0.25">
      <c r="D1817" s="6" t="s">
        <v>34</v>
      </c>
      <c r="E1817">
        <v>2013</v>
      </c>
      <c r="F1817" s="6" t="s">
        <v>35</v>
      </c>
      <c r="G1817">
        <v>3</v>
      </c>
      <c r="H1817">
        <v>27</v>
      </c>
      <c r="I1817" s="6" t="s">
        <v>36</v>
      </c>
      <c r="J1817" s="6" t="s">
        <v>37</v>
      </c>
      <c r="K1817">
        <v>5</v>
      </c>
      <c r="M1817" s="1" t="b">
        <f>Employee__2[[#This Row],[Experience]]&gt;1</f>
        <v>1</v>
      </c>
      <c r="N1817" s="1" t="str">
        <f>IF(Employee__2[[#This Row],[City]]="Pune","Yes","No")</f>
        <v>No</v>
      </c>
      <c r="O1817" s="1" t="str">
        <f>IF(AND(Employee__2[[#This Row],[Education]]="Bachelors",Employee__2[[#This Row],[City]]="Pune"),"Yes","No")</f>
        <v>No</v>
      </c>
      <c r="P1817" s="1" t="str">
        <f>IF(OR(Employee__2[[#This Row],[Age]]&gt;=30,Employee__2[[#This Row],[Gender]]="Male"),"Mached","Not mached")</f>
        <v>Mached</v>
      </c>
    </row>
    <row r="1818" spans="4:16" x14ac:dyDescent="0.25">
      <c r="D1818" s="6" t="s">
        <v>34</v>
      </c>
      <c r="E1818">
        <v>2015</v>
      </c>
      <c r="F1818" s="6" t="s">
        <v>35</v>
      </c>
      <c r="G1818">
        <v>3</v>
      </c>
      <c r="H1818">
        <v>27</v>
      </c>
      <c r="I1818" s="6" t="s">
        <v>36</v>
      </c>
      <c r="J1818" s="6" t="s">
        <v>37</v>
      </c>
      <c r="K1818">
        <v>5</v>
      </c>
      <c r="M1818" s="1" t="b">
        <f>Employee__2[[#This Row],[Experience]]&gt;1</f>
        <v>1</v>
      </c>
      <c r="N1818" s="1" t="str">
        <f>IF(Employee__2[[#This Row],[City]]="Pune","Yes","No")</f>
        <v>No</v>
      </c>
      <c r="O1818" s="1" t="str">
        <f>IF(AND(Employee__2[[#This Row],[Education]]="Bachelors",Employee__2[[#This Row],[City]]="Pune"),"Yes","No")</f>
        <v>No</v>
      </c>
      <c r="P1818" s="1" t="str">
        <f>IF(OR(Employee__2[[#This Row],[Age]]&gt;=30,Employee__2[[#This Row],[Gender]]="Male"),"Mached","Not mached")</f>
        <v>Mached</v>
      </c>
    </row>
    <row r="1819" spans="4:16" x14ac:dyDescent="0.25">
      <c r="D1819" s="6" t="s">
        <v>34</v>
      </c>
      <c r="E1819">
        <v>2017</v>
      </c>
      <c r="F1819" s="6" t="s">
        <v>35</v>
      </c>
      <c r="G1819">
        <v>3</v>
      </c>
      <c r="H1819">
        <v>28</v>
      </c>
      <c r="I1819" s="6" t="s">
        <v>39</v>
      </c>
      <c r="J1819" s="6" t="s">
        <v>37</v>
      </c>
      <c r="K1819">
        <v>3</v>
      </c>
      <c r="M1819" s="1" t="b">
        <f>Employee__2[[#This Row],[Experience]]&gt;1</f>
        <v>1</v>
      </c>
      <c r="N1819" s="1" t="str">
        <f>IF(Employee__2[[#This Row],[City]]="Pune","Yes","No")</f>
        <v>No</v>
      </c>
      <c r="O1819" s="1" t="str">
        <f>IF(AND(Employee__2[[#This Row],[Education]]="Bachelors",Employee__2[[#This Row],[City]]="Pune"),"Yes","No")</f>
        <v>No</v>
      </c>
      <c r="P1819" s="1" t="str">
        <f>IF(OR(Employee__2[[#This Row],[Age]]&gt;=30,Employee__2[[#This Row],[Gender]]="Male"),"Mached","Not mached")</f>
        <v>Not mached</v>
      </c>
    </row>
    <row r="1820" spans="4:16" x14ac:dyDescent="0.25">
      <c r="D1820" s="6" t="s">
        <v>34</v>
      </c>
      <c r="E1820">
        <v>2017</v>
      </c>
      <c r="F1820" s="6" t="s">
        <v>35</v>
      </c>
      <c r="G1820">
        <v>3</v>
      </c>
      <c r="H1820">
        <v>24</v>
      </c>
      <c r="I1820" s="6" t="s">
        <v>39</v>
      </c>
      <c r="J1820" s="6" t="s">
        <v>37</v>
      </c>
      <c r="K1820">
        <v>2</v>
      </c>
      <c r="M1820" s="1" t="b">
        <f>Employee__2[[#This Row],[Experience]]&gt;1</f>
        <v>1</v>
      </c>
      <c r="N1820" s="1" t="str">
        <f>IF(Employee__2[[#This Row],[City]]="Pune","Yes","No")</f>
        <v>No</v>
      </c>
      <c r="O1820" s="1" t="str">
        <f>IF(AND(Employee__2[[#This Row],[Education]]="Bachelors",Employee__2[[#This Row],[City]]="Pune"),"Yes","No")</f>
        <v>No</v>
      </c>
      <c r="P1820" s="1" t="str">
        <f>IF(OR(Employee__2[[#This Row],[Age]]&gt;=30,Employee__2[[#This Row],[Gender]]="Male"),"Mached","Not mached")</f>
        <v>Not mached</v>
      </c>
    </row>
    <row r="1821" spans="4:16" x14ac:dyDescent="0.25">
      <c r="D1821" s="6" t="s">
        <v>41</v>
      </c>
      <c r="E1821">
        <v>2017</v>
      </c>
      <c r="F1821" s="6" t="s">
        <v>40</v>
      </c>
      <c r="G1821">
        <v>2</v>
      </c>
      <c r="H1821">
        <v>26</v>
      </c>
      <c r="I1821" s="6" t="s">
        <v>39</v>
      </c>
      <c r="J1821" s="6" t="s">
        <v>37</v>
      </c>
      <c r="K1821">
        <v>4</v>
      </c>
      <c r="M1821" s="1" t="b">
        <f>Employee__2[[#This Row],[Experience]]&gt;1</f>
        <v>1</v>
      </c>
      <c r="N1821" s="1" t="str">
        <f>IF(Employee__2[[#This Row],[City]]="Pune","Yes","No")</f>
        <v>No</v>
      </c>
      <c r="O1821" s="1" t="str">
        <f>IF(AND(Employee__2[[#This Row],[Education]]="Bachelors",Employee__2[[#This Row],[City]]="Pune"),"Yes","No")</f>
        <v>No</v>
      </c>
      <c r="P1821" s="1" t="str">
        <f>IF(OR(Employee__2[[#This Row],[Age]]&gt;=30,Employee__2[[#This Row],[Gender]]="Male"),"Mached","Not mached")</f>
        <v>Not mached</v>
      </c>
    </row>
    <row r="1822" spans="4:16" x14ac:dyDescent="0.25">
      <c r="D1822" s="6" t="s">
        <v>34</v>
      </c>
      <c r="E1822">
        <v>2016</v>
      </c>
      <c r="F1822" s="6" t="s">
        <v>35</v>
      </c>
      <c r="G1822">
        <v>3</v>
      </c>
      <c r="H1822">
        <v>25</v>
      </c>
      <c r="I1822" s="6" t="s">
        <v>36</v>
      </c>
      <c r="J1822" s="6" t="s">
        <v>42</v>
      </c>
      <c r="K1822">
        <v>3</v>
      </c>
      <c r="M1822" s="1" t="b">
        <f>Employee__2[[#This Row],[Experience]]&gt;1</f>
        <v>1</v>
      </c>
      <c r="N1822" s="1" t="str">
        <f>IF(Employee__2[[#This Row],[City]]="Pune","Yes","No")</f>
        <v>No</v>
      </c>
      <c r="O1822" s="1" t="str">
        <f>IF(AND(Employee__2[[#This Row],[Education]]="Bachelors",Employee__2[[#This Row],[City]]="Pune"),"Yes","No")</f>
        <v>No</v>
      </c>
      <c r="P1822" s="1" t="str">
        <f>IF(OR(Employee__2[[#This Row],[Age]]&gt;=30,Employee__2[[#This Row],[Gender]]="Male"),"Mached","Not mached")</f>
        <v>Mached</v>
      </c>
    </row>
    <row r="1823" spans="4:16" x14ac:dyDescent="0.25">
      <c r="D1823" s="6" t="s">
        <v>34</v>
      </c>
      <c r="E1823">
        <v>2016</v>
      </c>
      <c r="F1823" s="6" t="s">
        <v>35</v>
      </c>
      <c r="G1823">
        <v>3</v>
      </c>
      <c r="H1823">
        <v>26</v>
      </c>
      <c r="I1823" s="6" t="s">
        <v>36</v>
      </c>
      <c r="J1823" s="6" t="s">
        <v>42</v>
      </c>
      <c r="K1823">
        <v>4</v>
      </c>
      <c r="M1823" s="1" t="b">
        <f>Employee__2[[#This Row],[Experience]]&gt;1</f>
        <v>1</v>
      </c>
      <c r="N1823" s="1" t="str">
        <f>IF(Employee__2[[#This Row],[City]]="Pune","Yes","No")</f>
        <v>No</v>
      </c>
      <c r="O1823" s="1" t="str">
        <f>IF(AND(Employee__2[[#This Row],[Education]]="Bachelors",Employee__2[[#This Row],[City]]="Pune"),"Yes","No")</f>
        <v>No</v>
      </c>
      <c r="P1823" s="1" t="str">
        <f>IF(OR(Employee__2[[#This Row],[Age]]&gt;=30,Employee__2[[#This Row],[Gender]]="Male"),"Mached","Not mached")</f>
        <v>Mached</v>
      </c>
    </row>
    <row r="1824" spans="4:16" x14ac:dyDescent="0.25">
      <c r="D1824" s="6" t="s">
        <v>41</v>
      </c>
      <c r="E1824">
        <v>2017</v>
      </c>
      <c r="F1824" s="6" t="s">
        <v>35</v>
      </c>
      <c r="G1824">
        <v>2</v>
      </c>
      <c r="H1824">
        <v>24</v>
      </c>
      <c r="I1824" s="6" t="s">
        <v>39</v>
      </c>
      <c r="J1824" s="6" t="s">
        <v>37</v>
      </c>
      <c r="K1824">
        <v>2</v>
      </c>
      <c r="M1824" s="1" t="b">
        <f>Employee__2[[#This Row],[Experience]]&gt;1</f>
        <v>1</v>
      </c>
      <c r="N1824" s="1" t="str">
        <f>IF(Employee__2[[#This Row],[City]]="Pune","Yes","No")</f>
        <v>No</v>
      </c>
      <c r="O1824" s="1" t="str">
        <f>IF(AND(Employee__2[[#This Row],[Education]]="Bachelors",Employee__2[[#This Row],[City]]="Pune"),"Yes","No")</f>
        <v>No</v>
      </c>
      <c r="P1824" s="1" t="str">
        <f>IF(OR(Employee__2[[#This Row],[Age]]&gt;=30,Employee__2[[#This Row],[Gender]]="Male"),"Mached","Not mached")</f>
        <v>Not mached</v>
      </c>
    </row>
    <row r="1825" spans="4:16" x14ac:dyDescent="0.25">
      <c r="D1825" s="6" t="s">
        <v>34</v>
      </c>
      <c r="E1825">
        <v>2017</v>
      </c>
      <c r="F1825" s="6" t="s">
        <v>35</v>
      </c>
      <c r="G1825">
        <v>3</v>
      </c>
      <c r="H1825">
        <v>27</v>
      </c>
      <c r="I1825" s="6" t="s">
        <v>36</v>
      </c>
      <c r="J1825" s="6" t="s">
        <v>42</v>
      </c>
      <c r="K1825">
        <v>5</v>
      </c>
      <c r="M1825" s="1" t="b">
        <f>Employee__2[[#This Row],[Experience]]&gt;1</f>
        <v>1</v>
      </c>
      <c r="N1825" s="1" t="str">
        <f>IF(Employee__2[[#This Row],[City]]="Pune","Yes","No")</f>
        <v>No</v>
      </c>
      <c r="O1825" s="1" t="str">
        <f>IF(AND(Employee__2[[#This Row],[Education]]="Bachelors",Employee__2[[#This Row],[City]]="Pune"),"Yes","No")</f>
        <v>No</v>
      </c>
      <c r="P1825" s="1" t="str">
        <f>IF(OR(Employee__2[[#This Row],[Age]]&gt;=30,Employee__2[[#This Row],[Gender]]="Male"),"Mached","Not mached")</f>
        <v>Mached</v>
      </c>
    </row>
    <row r="1826" spans="4:16" x14ac:dyDescent="0.25">
      <c r="D1826" s="6" t="s">
        <v>34</v>
      </c>
      <c r="E1826">
        <v>2014</v>
      </c>
      <c r="F1826" s="6" t="s">
        <v>38</v>
      </c>
      <c r="G1826">
        <v>2</v>
      </c>
      <c r="H1826">
        <v>27</v>
      </c>
      <c r="I1826" s="6" t="s">
        <v>39</v>
      </c>
      <c r="J1826" s="6" t="s">
        <v>37</v>
      </c>
      <c r="K1826">
        <v>5</v>
      </c>
      <c r="M1826" s="1" t="b">
        <f>Employee__2[[#This Row],[Experience]]&gt;1</f>
        <v>1</v>
      </c>
      <c r="N1826" s="1" t="str">
        <f>IF(Employee__2[[#This Row],[City]]="Pune","Yes","No")</f>
        <v>Yes</v>
      </c>
      <c r="O1826" s="1" t="str">
        <f>IF(AND(Employee__2[[#This Row],[Education]]="Bachelors",Employee__2[[#This Row],[City]]="Pune"),"Yes","No")</f>
        <v>Yes</v>
      </c>
      <c r="P1826" s="1" t="str">
        <f>IF(OR(Employee__2[[#This Row],[Age]]&gt;=30,Employee__2[[#This Row],[Gender]]="Male"),"Mached","Not mached")</f>
        <v>Not mached</v>
      </c>
    </row>
    <row r="1827" spans="4:16" x14ac:dyDescent="0.25">
      <c r="D1827" s="6" t="s">
        <v>41</v>
      </c>
      <c r="E1827">
        <v>2017</v>
      </c>
      <c r="F1827" s="6" t="s">
        <v>40</v>
      </c>
      <c r="G1827">
        <v>1</v>
      </c>
      <c r="H1827">
        <v>24</v>
      </c>
      <c r="I1827" s="6" t="s">
        <v>39</v>
      </c>
      <c r="J1827" s="6" t="s">
        <v>37</v>
      </c>
      <c r="K1827">
        <v>2</v>
      </c>
      <c r="M1827" s="1" t="b">
        <f>Employee__2[[#This Row],[Experience]]&gt;1</f>
        <v>1</v>
      </c>
      <c r="N1827" s="1" t="str">
        <f>IF(Employee__2[[#This Row],[City]]="Pune","Yes","No")</f>
        <v>No</v>
      </c>
      <c r="O1827" s="1" t="str">
        <f>IF(AND(Employee__2[[#This Row],[Education]]="Bachelors",Employee__2[[#This Row],[City]]="Pune"),"Yes","No")</f>
        <v>No</v>
      </c>
      <c r="P1827" s="1" t="str">
        <f>IF(OR(Employee__2[[#This Row],[Age]]&gt;=30,Employee__2[[#This Row],[Gender]]="Male"),"Mached","Not mached")</f>
        <v>Not mached</v>
      </c>
    </row>
    <row r="1828" spans="4:16" x14ac:dyDescent="0.25">
      <c r="D1828" s="6" t="s">
        <v>34</v>
      </c>
      <c r="E1828">
        <v>2014</v>
      </c>
      <c r="F1828" s="6" t="s">
        <v>35</v>
      </c>
      <c r="G1828">
        <v>3</v>
      </c>
      <c r="H1828">
        <v>28</v>
      </c>
      <c r="I1828" s="6" t="s">
        <v>36</v>
      </c>
      <c r="J1828" s="6" t="s">
        <v>37</v>
      </c>
      <c r="K1828">
        <v>1</v>
      </c>
      <c r="M1828" s="1" t="b">
        <f>Employee__2[[#This Row],[Experience]]&gt;1</f>
        <v>0</v>
      </c>
      <c r="N1828" s="1" t="str">
        <f>IF(Employee__2[[#This Row],[City]]="Pune","Yes","No")</f>
        <v>No</v>
      </c>
      <c r="O1828" s="1" t="str">
        <f>IF(AND(Employee__2[[#This Row],[Education]]="Bachelors",Employee__2[[#This Row],[City]]="Pune"),"Yes","No")</f>
        <v>No</v>
      </c>
      <c r="P1828" s="1" t="str">
        <f>IF(OR(Employee__2[[#This Row],[Age]]&gt;=30,Employee__2[[#This Row],[Gender]]="Male"),"Mached","Not mached")</f>
        <v>Mached</v>
      </c>
    </row>
    <row r="1829" spans="4:16" x14ac:dyDescent="0.25">
      <c r="D1829" s="6" t="s">
        <v>34</v>
      </c>
      <c r="E1829">
        <v>2013</v>
      </c>
      <c r="F1829" s="6" t="s">
        <v>38</v>
      </c>
      <c r="G1829">
        <v>3</v>
      </c>
      <c r="H1829">
        <v>26</v>
      </c>
      <c r="I1829" s="6" t="s">
        <v>36</v>
      </c>
      <c r="J1829" s="6" t="s">
        <v>37</v>
      </c>
      <c r="K1829">
        <v>4</v>
      </c>
      <c r="M1829" s="1" t="b">
        <f>Employee__2[[#This Row],[Experience]]&gt;1</f>
        <v>1</v>
      </c>
      <c r="N1829" s="1" t="str">
        <f>IF(Employee__2[[#This Row],[City]]="Pune","Yes","No")</f>
        <v>Yes</v>
      </c>
      <c r="O1829" s="1" t="str">
        <f>IF(AND(Employee__2[[#This Row],[Education]]="Bachelors",Employee__2[[#This Row],[City]]="Pune"),"Yes","No")</f>
        <v>Yes</v>
      </c>
      <c r="P1829" s="1" t="str">
        <f>IF(OR(Employee__2[[#This Row],[Age]]&gt;=30,Employee__2[[#This Row],[Gender]]="Male"),"Mached","Not mached")</f>
        <v>Mached</v>
      </c>
    </row>
    <row r="1830" spans="4:16" x14ac:dyDescent="0.25">
      <c r="D1830" s="6" t="s">
        <v>34</v>
      </c>
      <c r="E1830">
        <v>2014</v>
      </c>
      <c r="F1830" s="6" t="s">
        <v>38</v>
      </c>
      <c r="G1830">
        <v>3</v>
      </c>
      <c r="H1830">
        <v>28</v>
      </c>
      <c r="I1830" s="6" t="s">
        <v>36</v>
      </c>
      <c r="J1830" s="6" t="s">
        <v>37</v>
      </c>
      <c r="K1830">
        <v>0</v>
      </c>
      <c r="M1830" s="1" t="b">
        <f>Employee__2[[#This Row],[Experience]]&gt;1</f>
        <v>0</v>
      </c>
      <c r="N1830" s="1" t="str">
        <f>IF(Employee__2[[#This Row],[City]]="Pune","Yes","No")</f>
        <v>Yes</v>
      </c>
      <c r="O1830" s="1" t="str">
        <f>IF(AND(Employee__2[[#This Row],[Education]]="Bachelors",Employee__2[[#This Row],[City]]="Pune"),"Yes","No")</f>
        <v>Yes</v>
      </c>
      <c r="P1830" s="1" t="str">
        <f>IF(OR(Employee__2[[#This Row],[Age]]&gt;=30,Employee__2[[#This Row],[Gender]]="Male"),"Mached","Not mached")</f>
        <v>Mached</v>
      </c>
    </row>
    <row r="1831" spans="4:16" x14ac:dyDescent="0.25">
      <c r="D1831" s="6" t="s">
        <v>41</v>
      </c>
      <c r="E1831">
        <v>2013</v>
      </c>
      <c r="F1831" s="6" t="s">
        <v>40</v>
      </c>
      <c r="G1831">
        <v>3</v>
      </c>
      <c r="H1831">
        <v>28</v>
      </c>
      <c r="I1831" s="6" t="s">
        <v>36</v>
      </c>
      <c r="J1831" s="6" t="s">
        <v>37</v>
      </c>
      <c r="K1831">
        <v>1</v>
      </c>
      <c r="M1831" s="1" t="b">
        <f>Employee__2[[#This Row],[Experience]]&gt;1</f>
        <v>0</v>
      </c>
      <c r="N1831" s="1" t="str">
        <f>IF(Employee__2[[#This Row],[City]]="Pune","Yes","No")</f>
        <v>No</v>
      </c>
      <c r="O1831" s="1" t="str">
        <f>IF(AND(Employee__2[[#This Row],[Education]]="Bachelors",Employee__2[[#This Row],[City]]="Pune"),"Yes","No")</f>
        <v>No</v>
      </c>
      <c r="P1831" s="1" t="str">
        <f>IF(OR(Employee__2[[#This Row],[Age]]&gt;=30,Employee__2[[#This Row],[Gender]]="Male"),"Mached","Not mached")</f>
        <v>Mached</v>
      </c>
    </row>
    <row r="1832" spans="4:16" x14ac:dyDescent="0.25">
      <c r="D1832" s="6" t="s">
        <v>41</v>
      </c>
      <c r="E1832">
        <v>2017</v>
      </c>
      <c r="F1832" s="6" t="s">
        <v>38</v>
      </c>
      <c r="G1832">
        <v>2</v>
      </c>
      <c r="H1832">
        <v>27</v>
      </c>
      <c r="I1832" s="6" t="s">
        <v>39</v>
      </c>
      <c r="J1832" s="6" t="s">
        <v>37</v>
      </c>
      <c r="K1832">
        <v>5</v>
      </c>
      <c r="M1832" s="1" t="b">
        <f>Employee__2[[#This Row],[Experience]]&gt;1</f>
        <v>1</v>
      </c>
      <c r="N1832" s="1" t="str">
        <f>IF(Employee__2[[#This Row],[City]]="Pune","Yes","No")</f>
        <v>Yes</v>
      </c>
      <c r="O1832" s="1" t="str">
        <f>IF(AND(Employee__2[[#This Row],[Education]]="Bachelors",Employee__2[[#This Row],[City]]="Pune"),"Yes","No")</f>
        <v>No</v>
      </c>
      <c r="P1832" s="1" t="str">
        <f>IF(OR(Employee__2[[#This Row],[Age]]&gt;=30,Employee__2[[#This Row],[Gender]]="Male"),"Mached","Not mached")</f>
        <v>Not mached</v>
      </c>
    </row>
    <row r="1833" spans="4:16" x14ac:dyDescent="0.25">
      <c r="D1833" s="6" t="s">
        <v>34</v>
      </c>
      <c r="E1833">
        <v>2017</v>
      </c>
      <c r="F1833" s="6" t="s">
        <v>38</v>
      </c>
      <c r="G1833">
        <v>3</v>
      </c>
      <c r="H1833">
        <v>28</v>
      </c>
      <c r="I1833" s="6" t="s">
        <v>36</v>
      </c>
      <c r="J1833" s="6" t="s">
        <v>37</v>
      </c>
      <c r="K1833">
        <v>1</v>
      </c>
      <c r="M1833" s="1" t="b">
        <f>Employee__2[[#This Row],[Experience]]&gt;1</f>
        <v>0</v>
      </c>
      <c r="N1833" s="1" t="str">
        <f>IF(Employee__2[[#This Row],[City]]="Pune","Yes","No")</f>
        <v>Yes</v>
      </c>
      <c r="O1833" s="1" t="str">
        <f>IF(AND(Employee__2[[#This Row],[Education]]="Bachelors",Employee__2[[#This Row],[City]]="Pune"),"Yes","No")</f>
        <v>Yes</v>
      </c>
      <c r="P1833" s="1" t="str">
        <f>IF(OR(Employee__2[[#This Row],[Age]]&gt;=30,Employee__2[[#This Row],[Gender]]="Male"),"Mached","Not mached")</f>
        <v>Mached</v>
      </c>
    </row>
    <row r="1834" spans="4:16" x14ac:dyDescent="0.25">
      <c r="D1834" s="6" t="s">
        <v>34</v>
      </c>
      <c r="E1834">
        <v>2016</v>
      </c>
      <c r="F1834" s="6" t="s">
        <v>40</v>
      </c>
      <c r="G1834">
        <v>3</v>
      </c>
      <c r="H1834">
        <v>26</v>
      </c>
      <c r="I1834" s="6" t="s">
        <v>39</v>
      </c>
      <c r="J1834" s="6" t="s">
        <v>37</v>
      </c>
      <c r="K1834">
        <v>4</v>
      </c>
      <c r="M1834" s="1" t="b">
        <f>Employee__2[[#This Row],[Experience]]&gt;1</f>
        <v>1</v>
      </c>
      <c r="N1834" s="1" t="str">
        <f>IF(Employee__2[[#This Row],[City]]="Pune","Yes","No")</f>
        <v>No</v>
      </c>
      <c r="O1834" s="1" t="str">
        <f>IF(AND(Employee__2[[#This Row],[Education]]="Bachelors",Employee__2[[#This Row],[City]]="Pune"),"Yes","No")</f>
        <v>No</v>
      </c>
      <c r="P1834" s="1" t="str">
        <f>IF(OR(Employee__2[[#This Row],[Age]]&gt;=30,Employee__2[[#This Row],[Gender]]="Male"),"Mached","Not mached")</f>
        <v>Not mached</v>
      </c>
    </row>
    <row r="1835" spans="4:16" x14ac:dyDescent="0.25">
      <c r="D1835" s="6" t="s">
        <v>43</v>
      </c>
      <c r="E1835">
        <v>2018</v>
      </c>
      <c r="F1835" s="6" t="s">
        <v>35</v>
      </c>
      <c r="G1835">
        <v>3</v>
      </c>
      <c r="H1835">
        <v>27</v>
      </c>
      <c r="I1835" s="6" t="s">
        <v>36</v>
      </c>
      <c r="J1835" s="6" t="s">
        <v>37</v>
      </c>
      <c r="K1835">
        <v>5</v>
      </c>
      <c r="M1835" s="1" t="b">
        <f>Employee__2[[#This Row],[Experience]]&gt;1</f>
        <v>1</v>
      </c>
      <c r="N1835" s="1" t="str">
        <f>IF(Employee__2[[#This Row],[City]]="Pune","Yes","No")</f>
        <v>No</v>
      </c>
      <c r="O1835" s="1" t="str">
        <f>IF(AND(Employee__2[[#This Row],[Education]]="Bachelors",Employee__2[[#This Row],[City]]="Pune"),"Yes","No")</f>
        <v>No</v>
      </c>
      <c r="P1835" s="1" t="str">
        <f>IF(OR(Employee__2[[#This Row],[Age]]&gt;=30,Employee__2[[#This Row],[Gender]]="Male"),"Mached","Not mached")</f>
        <v>Mached</v>
      </c>
    </row>
    <row r="1836" spans="4:16" x14ac:dyDescent="0.25">
      <c r="D1836" s="6" t="s">
        <v>34</v>
      </c>
      <c r="E1836">
        <v>2014</v>
      </c>
      <c r="F1836" s="6" t="s">
        <v>38</v>
      </c>
      <c r="G1836">
        <v>3</v>
      </c>
      <c r="H1836">
        <v>26</v>
      </c>
      <c r="I1836" s="6" t="s">
        <v>36</v>
      </c>
      <c r="J1836" s="6" t="s">
        <v>37</v>
      </c>
      <c r="K1836">
        <v>4</v>
      </c>
      <c r="M1836" s="1" t="b">
        <f>Employee__2[[#This Row],[Experience]]&gt;1</f>
        <v>1</v>
      </c>
      <c r="N1836" s="1" t="str">
        <f>IF(Employee__2[[#This Row],[City]]="Pune","Yes","No")</f>
        <v>Yes</v>
      </c>
      <c r="O1836" s="1" t="str">
        <f>IF(AND(Employee__2[[#This Row],[Education]]="Bachelors",Employee__2[[#This Row],[City]]="Pune"),"Yes","No")</f>
        <v>Yes</v>
      </c>
      <c r="P1836" s="1" t="str">
        <f>IF(OR(Employee__2[[#This Row],[Age]]&gt;=30,Employee__2[[#This Row],[Gender]]="Male"),"Mached","Not mached")</f>
        <v>Mached</v>
      </c>
    </row>
    <row r="1837" spans="4:16" x14ac:dyDescent="0.25">
      <c r="D1837" s="6" t="s">
        <v>34</v>
      </c>
      <c r="E1837">
        <v>2013</v>
      </c>
      <c r="F1837" s="6" t="s">
        <v>38</v>
      </c>
      <c r="G1837">
        <v>3</v>
      </c>
      <c r="H1837">
        <v>25</v>
      </c>
      <c r="I1837" s="6" t="s">
        <v>36</v>
      </c>
      <c r="J1837" s="6" t="s">
        <v>37</v>
      </c>
      <c r="K1837">
        <v>3</v>
      </c>
      <c r="M1837" s="1" t="b">
        <f>Employee__2[[#This Row],[Experience]]&gt;1</f>
        <v>1</v>
      </c>
      <c r="N1837" s="1" t="str">
        <f>IF(Employee__2[[#This Row],[City]]="Pune","Yes","No")</f>
        <v>Yes</v>
      </c>
      <c r="O1837" s="1" t="str">
        <f>IF(AND(Employee__2[[#This Row],[Education]]="Bachelors",Employee__2[[#This Row],[City]]="Pune"),"Yes","No")</f>
        <v>Yes</v>
      </c>
      <c r="P1837" s="1" t="str">
        <f>IF(OR(Employee__2[[#This Row],[Age]]&gt;=30,Employee__2[[#This Row],[Gender]]="Male"),"Mached","Not mached")</f>
        <v>Mached</v>
      </c>
    </row>
    <row r="1838" spans="4:16" x14ac:dyDescent="0.25">
      <c r="D1838" s="6" t="s">
        <v>41</v>
      </c>
      <c r="E1838">
        <v>2017</v>
      </c>
      <c r="F1838" s="6" t="s">
        <v>38</v>
      </c>
      <c r="G1838">
        <v>3</v>
      </c>
      <c r="H1838">
        <v>25</v>
      </c>
      <c r="I1838" s="6" t="s">
        <v>36</v>
      </c>
      <c r="J1838" s="6" t="s">
        <v>37</v>
      </c>
      <c r="K1838">
        <v>3</v>
      </c>
      <c r="M1838" s="1" t="b">
        <f>Employee__2[[#This Row],[Experience]]&gt;1</f>
        <v>1</v>
      </c>
      <c r="N1838" s="1" t="str">
        <f>IF(Employee__2[[#This Row],[City]]="Pune","Yes","No")</f>
        <v>Yes</v>
      </c>
      <c r="O1838" s="1" t="str">
        <f>IF(AND(Employee__2[[#This Row],[Education]]="Bachelors",Employee__2[[#This Row],[City]]="Pune"),"Yes","No")</f>
        <v>No</v>
      </c>
      <c r="P1838" s="1" t="str">
        <f>IF(OR(Employee__2[[#This Row],[Age]]&gt;=30,Employee__2[[#This Row],[Gender]]="Male"),"Mached","Not mached")</f>
        <v>Mached</v>
      </c>
    </row>
    <row r="1839" spans="4:16" x14ac:dyDescent="0.25">
      <c r="D1839" s="6" t="s">
        <v>34</v>
      </c>
      <c r="E1839">
        <v>2017</v>
      </c>
      <c r="F1839" s="6" t="s">
        <v>38</v>
      </c>
      <c r="G1839">
        <v>2</v>
      </c>
      <c r="H1839">
        <v>24</v>
      </c>
      <c r="I1839" s="6" t="s">
        <v>39</v>
      </c>
      <c r="J1839" s="6" t="s">
        <v>37</v>
      </c>
      <c r="K1839">
        <v>2</v>
      </c>
      <c r="M1839" s="1" t="b">
        <f>Employee__2[[#This Row],[Experience]]&gt;1</f>
        <v>1</v>
      </c>
      <c r="N1839" s="1" t="str">
        <f>IF(Employee__2[[#This Row],[City]]="Pune","Yes","No")</f>
        <v>Yes</v>
      </c>
      <c r="O1839" s="1" t="str">
        <f>IF(AND(Employee__2[[#This Row],[Education]]="Bachelors",Employee__2[[#This Row],[City]]="Pune"),"Yes","No")</f>
        <v>Yes</v>
      </c>
      <c r="P1839" s="1" t="str">
        <f>IF(OR(Employee__2[[#This Row],[Age]]&gt;=30,Employee__2[[#This Row],[Gender]]="Male"),"Mached","Not mached")</f>
        <v>Not mached</v>
      </c>
    </row>
    <row r="1840" spans="4:16" x14ac:dyDescent="0.25">
      <c r="D1840" s="6" t="s">
        <v>34</v>
      </c>
      <c r="E1840">
        <v>2017</v>
      </c>
      <c r="F1840" s="6" t="s">
        <v>40</v>
      </c>
      <c r="G1840">
        <v>3</v>
      </c>
      <c r="H1840">
        <v>24</v>
      </c>
      <c r="I1840" s="6" t="s">
        <v>39</v>
      </c>
      <c r="J1840" s="6" t="s">
        <v>37</v>
      </c>
      <c r="K1840">
        <v>2</v>
      </c>
      <c r="M1840" s="1" t="b">
        <f>Employee__2[[#This Row],[Experience]]&gt;1</f>
        <v>1</v>
      </c>
      <c r="N1840" s="1" t="str">
        <f>IF(Employee__2[[#This Row],[City]]="Pune","Yes","No")</f>
        <v>No</v>
      </c>
      <c r="O1840" s="1" t="str">
        <f>IF(AND(Employee__2[[#This Row],[Education]]="Bachelors",Employee__2[[#This Row],[City]]="Pune"),"Yes","No")</f>
        <v>No</v>
      </c>
      <c r="P1840" s="1" t="str">
        <f>IF(OR(Employee__2[[#This Row],[Age]]&gt;=30,Employee__2[[#This Row],[Gender]]="Male"),"Mached","Not mached")</f>
        <v>Not mached</v>
      </c>
    </row>
    <row r="1841" spans="4:16" x14ac:dyDescent="0.25">
      <c r="D1841" s="6" t="s">
        <v>43</v>
      </c>
      <c r="E1841">
        <v>2014</v>
      </c>
      <c r="F1841" s="6" t="s">
        <v>38</v>
      </c>
      <c r="G1841">
        <v>3</v>
      </c>
      <c r="H1841">
        <v>24</v>
      </c>
      <c r="I1841" s="6" t="s">
        <v>36</v>
      </c>
      <c r="J1841" s="6" t="s">
        <v>37</v>
      </c>
      <c r="K1841">
        <v>2</v>
      </c>
      <c r="M1841" s="1" t="b">
        <f>Employee__2[[#This Row],[Experience]]&gt;1</f>
        <v>1</v>
      </c>
      <c r="N1841" s="1" t="str">
        <f>IF(Employee__2[[#This Row],[City]]="Pune","Yes","No")</f>
        <v>Yes</v>
      </c>
      <c r="O1841" s="1" t="str">
        <f>IF(AND(Employee__2[[#This Row],[Education]]="Bachelors",Employee__2[[#This Row],[City]]="Pune"),"Yes","No")</f>
        <v>No</v>
      </c>
      <c r="P1841" s="1" t="str">
        <f>IF(OR(Employee__2[[#This Row],[Age]]&gt;=30,Employee__2[[#This Row],[Gender]]="Male"),"Mached","Not mached")</f>
        <v>Mached</v>
      </c>
    </row>
    <row r="1842" spans="4:16" x14ac:dyDescent="0.25">
      <c r="D1842" s="6" t="s">
        <v>43</v>
      </c>
      <c r="E1842">
        <v>2017</v>
      </c>
      <c r="F1842" s="6" t="s">
        <v>35</v>
      </c>
      <c r="G1842">
        <v>3</v>
      </c>
      <c r="H1842">
        <v>24</v>
      </c>
      <c r="I1842" s="6" t="s">
        <v>39</v>
      </c>
      <c r="J1842" s="6" t="s">
        <v>37</v>
      </c>
      <c r="K1842">
        <v>2</v>
      </c>
      <c r="M1842" s="1" t="b">
        <f>Employee__2[[#This Row],[Experience]]&gt;1</f>
        <v>1</v>
      </c>
      <c r="N1842" s="1" t="str">
        <f>IF(Employee__2[[#This Row],[City]]="Pune","Yes","No")</f>
        <v>No</v>
      </c>
      <c r="O1842" s="1" t="str">
        <f>IF(AND(Employee__2[[#This Row],[Education]]="Bachelors",Employee__2[[#This Row],[City]]="Pune"),"Yes","No")</f>
        <v>No</v>
      </c>
      <c r="P1842" s="1" t="str">
        <f>IF(OR(Employee__2[[#This Row],[Age]]&gt;=30,Employee__2[[#This Row],[Gender]]="Male"),"Mached","Not mached")</f>
        <v>Not mached</v>
      </c>
    </row>
    <row r="1843" spans="4:16" x14ac:dyDescent="0.25">
      <c r="D1843" s="6" t="s">
        <v>41</v>
      </c>
      <c r="E1843">
        <v>2017</v>
      </c>
      <c r="F1843" s="6" t="s">
        <v>40</v>
      </c>
      <c r="G1843">
        <v>2</v>
      </c>
      <c r="H1843">
        <v>26</v>
      </c>
      <c r="I1843" s="6" t="s">
        <v>36</v>
      </c>
      <c r="J1843" s="6" t="s">
        <v>37</v>
      </c>
      <c r="K1843">
        <v>4</v>
      </c>
      <c r="M1843" s="1" t="b">
        <f>Employee__2[[#This Row],[Experience]]&gt;1</f>
        <v>1</v>
      </c>
      <c r="N1843" s="1" t="str">
        <f>IF(Employee__2[[#This Row],[City]]="Pune","Yes","No")</f>
        <v>No</v>
      </c>
      <c r="O1843" s="1" t="str">
        <f>IF(AND(Employee__2[[#This Row],[Education]]="Bachelors",Employee__2[[#This Row],[City]]="Pune"),"Yes","No")</f>
        <v>No</v>
      </c>
      <c r="P1843" s="1" t="str">
        <f>IF(OR(Employee__2[[#This Row],[Age]]&gt;=30,Employee__2[[#This Row],[Gender]]="Male"),"Mached","Not mached")</f>
        <v>Mached</v>
      </c>
    </row>
    <row r="1844" spans="4:16" x14ac:dyDescent="0.25">
      <c r="D1844" s="6" t="s">
        <v>34</v>
      </c>
      <c r="E1844">
        <v>2013</v>
      </c>
      <c r="F1844" s="6" t="s">
        <v>38</v>
      </c>
      <c r="G1844">
        <v>2</v>
      </c>
      <c r="H1844">
        <v>24</v>
      </c>
      <c r="I1844" s="6" t="s">
        <v>36</v>
      </c>
      <c r="J1844" s="6" t="s">
        <v>42</v>
      </c>
      <c r="K1844">
        <v>2</v>
      </c>
      <c r="M1844" s="1" t="b">
        <f>Employee__2[[#This Row],[Experience]]&gt;1</f>
        <v>1</v>
      </c>
      <c r="N1844" s="1" t="str">
        <f>IF(Employee__2[[#This Row],[City]]="Pune","Yes","No")</f>
        <v>Yes</v>
      </c>
      <c r="O1844" s="1" t="str">
        <f>IF(AND(Employee__2[[#This Row],[Education]]="Bachelors",Employee__2[[#This Row],[City]]="Pune"),"Yes","No")</f>
        <v>Yes</v>
      </c>
      <c r="P1844" s="1" t="str">
        <f>IF(OR(Employee__2[[#This Row],[Age]]&gt;=30,Employee__2[[#This Row],[Gender]]="Male"),"Mached","Not mached")</f>
        <v>Mached</v>
      </c>
    </row>
    <row r="1845" spans="4:16" x14ac:dyDescent="0.25">
      <c r="D1845" s="6" t="s">
        <v>43</v>
      </c>
      <c r="E1845">
        <v>2016</v>
      </c>
      <c r="F1845" s="6" t="s">
        <v>40</v>
      </c>
      <c r="G1845">
        <v>3</v>
      </c>
      <c r="H1845">
        <v>27</v>
      </c>
      <c r="I1845" s="6" t="s">
        <v>39</v>
      </c>
      <c r="J1845" s="6" t="s">
        <v>37</v>
      </c>
      <c r="K1845">
        <v>5</v>
      </c>
      <c r="M1845" s="1" t="b">
        <f>Employee__2[[#This Row],[Experience]]&gt;1</f>
        <v>1</v>
      </c>
      <c r="N1845" s="1" t="str">
        <f>IF(Employee__2[[#This Row],[City]]="Pune","Yes","No")</f>
        <v>No</v>
      </c>
      <c r="O1845" s="1" t="str">
        <f>IF(AND(Employee__2[[#This Row],[Education]]="Bachelors",Employee__2[[#This Row],[City]]="Pune"),"Yes","No")</f>
        <v>No</v>
      </c>
      <c r="P1845" s="1" t="str">
        <f>IF(OR(Employee__2[[#This Row],[Age]]&gt;=30,Employee__2[[#This Row],[Gender]]="Male"),"Mached","Not mached")</f>
        <v>Not mached</v>
      </c>
    </row>
    <row r="1846" spans="4:16" x14ac:dyDescent="0.25">
      <c r="D1846" s="6" t="s">
        <v>41</v>
      </c>
      <c r="E1846">
        <v>2017</v>
      </c>
      <c r="F1846" s="6" t="s">
        <v>40</v>
      </c>
      <c r="G1846">
        <v>2</v>
      </c>
      <c r="H1846">
        <v>25</v>
      </c>
      <c r="I1846" s="6" t="s">
        <v>39</v>
      </c>
      <c r="J1846" s="6" t="s">
        <v>42</v>
      </c>
      <c r="K1846">
        <v>3</v>
      </c>
      <c r="M1846" s="1" t="b">
        <f>Employee__2[[#This Row],[Experience]]&gt;1</f>
        <v>1</v>
      </c>
      <c r="N1846" s="1" t="str">
        <f>IF(Employee__2[[#This Row],[City]]="Pune","Yes","No")</f>
        <v>No</v>
      </c>
      <c r="O1846" s="1" t="str">
        <f>IF(AND(Employee__2[[#This Row],[Education]]="Bachelors",Employee__2[[#This Row],[City]]="Pune"),"Yes","No")</f>
        <v>No</v>
      </c>
      <c r="P1846" s="1" t="str">
        <f>IF(OR(Employee__2[[#This Row],[Age]]&gt;=30,Employee__2[[#This Row],[Gender]]="Male"),"Mached","Not mached")</f>
        <v>Not mached</v>
      </c>
    </row>
    <row r="1847" spans="4:16" x14ac:dyDescent="0.25">
      <c r="D1847" s="6" t="s">
        <v>34</v>
      </c>
      <c r="E1847">
        <v>2014</v>
      </c>
      <c r="F1847" s="6" t="s">
        <v>38</v>
      </c>
      <c r="G1847">
        <v>3</v>
      </c>
      <c r="H1847">
        <v>26</v>
      </c>
      <c r="I1847" s="6" t="s">
        <v>36</v>
      </c>
      <c r="J1847" s="6" t="s">
        <v>37</v>
      </c>
      <c r="K1847">
        <v>4</v>
      </c>
      <c r="M1847" s="1" t="b">
        <f>Employee__2[[#This Row],[Experience]]&gt;1</f>
        <v>1</v>
      </c>
      <c r="N1847" s="1" t="str">
        <f>IF(Employee__2[[#This Row],[City]]="Pune","Yes","No")</f>
        <v>Yes</v>
      </c>
      <c r="O1847" s="1" t="str">
        <f>IF(AND(Employee__2[[#This Row],[Education]]="Bachelors",Employee__2[[#This Row],[City]]="Pune"),"Yes","No")</f>
        <v>Yes</v>
      </c>
      <c r="P1847" s="1" t="str">
        <f>IF(OR(Employee__2[[#This Row],[Age]]&gt;=30,Employee__2[[#This Row],[Gender]]="Male"),"Mached","Not mached")</f>
        <v>Mached</v>
      </c>
    </row>
    <row r="1848" spans="4:16" x14ac:dyDescent="0.25">
      <c r="D1848" s="6" t="s">
        <v>34</v>
      </c>
      <c r="E1848">
        <v>2017</v>
      </c>
      <c r="F1848" s="6" t="s">
        <v>40</v>
      </c>
      <c r="G1848">
        <v>3</v>
      </c>
      <c r="H1848">
        <v>25</v>
      </c>
      <c r="I1848" s="6" t="s">
        <v>39</v>
      </c>
      <c r="J1848" s="6" t="s">
        <v>37</v>
      </c>
      <c r="K1848">
        <v>3</v>
      </c>
      <c r="M1848" s="1" t="b">
        <f>Employee__2[[#This Row],[Experience]]&gt;1</f>
        <v>1</v>
      </c>
      <c r="N1848" s="1" t="str">
        <f>IF(Employee__2[[#This Row],[City]]="Pune","Yes","No")</f>
        <v>No</v>
      </c>
      <c r="O1848" s="1" t="str">
        <f>IF(AND(Employee__2[[#This Row],[Education]]="Bachelors",Employee__2[[#This Row],[City]]="Pune"),"Yes","No")</f>
        <v>No</v>
      </c>
      <c r="P1848" s="1" t="str">
        <f>IF(OR(Employee__2[[#This Row],[Age]]&gt;=30,Employee__2[[#This Row],[Gender]]="Male"),"Mached","Not mached")</f>
        <v>Not mached</v>
      </c>
    </row>
    <row r="1849" spans="4:16" x14ac:dyDescent="0.25">
      <c r="D1849" s="6" t="s">
        <v>34</v>
      </c>
      <c r="E1849">
        <v>2012</v>
      </c>
      <c r="F1849" s="6" t="s">
        <v>35</v>
      </c>
      <c r="G1849">
        <v>3</v>
      </c>
      <c r="H1849">
        <v>27</v>
      </c>
      <c r="I1849" s="6" t="s">
        <v>39</v>
      </c>
      <c r="J1849" s="6" t="s">
        <v>37</v>
      </c>
      <c r="K1849">
        <v>5</v>
      </c>
      <c r="M1849" s="1" t="b">
        <f>Employee__2[[#This Row],[Experience]]&gt;1</f>
        <v>1</v>
      </c>
      <c r="N1849" s="1" t="str">
        <f>IF(Employee__2[[#This Row],[City]]="Pune","Yes","No")</f>
        <v>No</v>
      </c>
      <c r="O1849" s="1" t="str">
        <f>IF(AND(Employee__2[[#This Row],[Education]]="Bachelors",Employee__2[[#This Row],[City]]="Pune"),"Yes","No")</f>
        <v>No</v>
      </c>
      <c r="P1849" s="1" t="str">
        <f>IF(OR(Employee__2[[#This Row],[Age]]&gt;=30,Employee__2[[#This Row],[Gender]]="Male"),"Mached","Not mached")</f>
        <v>Not mached</v>
      </c>
    </row>
    <row r="1850" spans="4:16" x14ac:dyDescent="0.25">
      <c r="D1850" s="6" t="s">
        <v>34</v>
      </c>
      <c r="E1850">
        <v>2016</v>
      </c>
      <c r="F1850" s="6" t="s">
        <v>35</v>
      </c>
      <c r="G1850">
        <v>3</v>
      </c>
      <c r="H1850">
        <v>26</v>
      </c>
      <c r="I1850" s="6" t="s">
        <v>36</v>
      </c>
      <c r="J1850" s="6" t="s">
        <v>42</v>
      </c>
      <c r="K1850">
        <v>4</v>
      </c>
      <c r="M1850" s="1" t="b">
        <f>Employee__2[[#This Row],[Experience]]&gt;1</f>
        <v>1</v>
      </c>
      <c r="N1850" s="1" t="str">
        <f>IF(Employee__2[[#This Row],[City]]="Pune","Yes","No")</f>
        <v>No</v>
      </c>
      <c r="O1850" s="1" t="str">
        <f>IF(AND(Employee__2[[#This Row],[Education]]="Bachelors",Employee__2[[#This Row],[City]]="Pune"),"Yes","No")</f>
        <v>No</v>
      </c>
      <c r="P1850" s="1" t="str">
        <f>IF(OR(Employee__2[[#This Row],[Age]]&gt;=30,Employee__2[[#This Row],[Gender]]="Male"),"Mached","Not mached")</f>
        <v>Mached</v>
      </c>
    </row>
    <row r="1851" spans="4:16" x14ac:dyDescent="0.25">
      <c r="D1851" s="6" t="s">
        <v>34</v>
      </c>
      <c r="E1851">
        <v>2016</v>
      </c>
      <c r="F1851" s="6" t="s">
        <v>35</v>
      </c>
      <c r="G1851">
        <v>3</v>
      </c>
      <c r="H1851">
        <v>26</v>
      </c>
      <c r="I1851" s="6" t="s">
        <v>36</v>
      </c>
      <c r="J1851" s="6" t="s">
        <v>37</v>
      </c>
      <c r="K1851">
        <v>4</v>
      </c>
      <c r="M1851" s="1" t="b">
        <f>Employee__2[[#This Row],[Experience]]&gt;1</f>
        <v>1</v>
      </c>
      <c r="N1851" s="1" t="str">
        <f>IF(Employee__2[[#This Row],[City]]="Pune","Yes","No")</f>
        <v>No</v>
      </c>
      <c r="O1851" s="1" t="str">
        <f>IF(AND(Employee__2[[#This Row],[Education]]="Bachelors",Employee__2[[#This Row],[City]]="Pune"),"Yes","No")</f>
        <v>No</v>
      </c>
      <c r="P1851" s="1" t="str">
        <f>IF(OR(Employee__2[[#This Row],[Age]]&gt;=30,Employee__2[[#This Row],[Gender]]="Male"),"Mached","Not mached")</f>
        <v>Mached</v>
      </c>
    </row>
    <row r="1852" spans="4:16" x14ac:dyDescent="0.25">
      <c r="D1852" s="6" t="s">
        <v>34</v>
      </c>
      <c r="E1852">
        <v>2015</v>
      </c>
      <c r="F1852" s="6" t="s">
        <v>38</v>
      </c>
      <c r="G1852">
        <v>2</v>
      </c>
      <c r="H1852">
        <v>27</v>
      </c>
      <c r="I1852" s="6" t="s">
        <v>39</v>
      </c>
      <c r="J1852" s="6" t="s">
        <v>42</v>
      </c>
      <c r="K1852">
        <v>5</v>
      </c>
      <c r="M1852" s="1" t="b">
        <f>Employee__2[[#This Row],[Experience]]&gt;1</f>
        <v>1</v>
      </c>
      <c r="N1852" s="1" t="str">
        <f>IF(Employee__2[[#This Row],[City]]="Pune","Yes","No")</f>
        <v>Yes</v>
      </c>
      <c r="O1852" s="1" t="str">
        <f>IF(AND(Employee__2[[#This Row],[Education]]="Bachelors",Employee__2[[#This Row],[City]]="Pune"),"Yes","No")</f>
        <v>Yes</v>
      </c>
      <c r="P1852" s="1" t="str">
        <f>IF(OR(Employee__2[[#This Row],[Age]]&gt;=30,Employee__2[[#This Row],[Gender]]="Male"),"Mached","Not mached")</f>
        <v>Not mached</v>
      </c>
    </row>
    <row r="1853" spans="4:16" x14ac:dyDescent="0.25">
      <c r="D1853" s="6" t="s">
        <v>34</v>
      </c>
      <c r="E1853">
        <v>2016</v>
      </c>
      <c r="F1853" s="6" t="s">
        <v>38</v>
      </c>
      <c r="G1853">
        <v>3</v>
      </c>
      <c r="H1853">
        <v>28</v>
      </c>
      <c r="I1853" s="6" t="s">
        <v>39</v>
      </c>
      <c r="J1853" s="6" t="s">
        <v>37</v>
      </c>
      <c r="K1853">
        <v>2</v>
      </c>
      <c r="M1853" s="1" t="b">
        <f>Employee__2[[#This Row],[Experience]]&gt;1</f>
        <v>1</v>
      </c>
      <c r="N1853" s="1" t="str">
        <f>IF(Employee__2[[#This Row],[City]]="Pune","Yes","No")</f>
        <v>Yes</v>
      </c>
      <c r="O1853" s="1" t="str">
        <f>IF(AND(Employee__2[[#This Row],[Education]]="Bachelors",Employee__2[[#This Row],[City]]="Pune"),"Yes","No")</f>
        <v>Yes</v>
      </c>
      <c r="P1853" s="1" t="str">
        <f>IF(OR(Employee__2[[#This Row],[Age]]&gt;=30,Employee__2[[#This Row],[Gender]]="Male"),"Mached","Not mached")</f>
        <v>Not mached</v>
      </c>
    </row>
    <row r="1854" spans="4:16" x14ac:dyDescent="0.25">
      <c r="D1854" s="6" t="s">
        <v>41</v>
      </c>
      <c r="E1854">
        <v>2017</v>
      </c>
      <c r="F1854" s="6" t="s">
        <v>40</v>
      </c>
      <c r="G1854">
        <v>2</v>
      </c>
      <c r="H1854">
        <v>27</v>
      </c>
      <c r="I1854" s="6" t="s">
        <v>39</v>
      </c>
      <c r="J1854" s="6" t="s">
        <v>37</v>
      </c>
      <c r="K1854">
        <v>5</v>
      </c>
      <c r="M1854" s="1" t="b">
        <f>Employee__2[[#This Row],[Experience]]&gt;1</f>
        <v>1</v>
      </c>
      <c r="N1854" s="1" t="str">
        <f>IF(Employee__2[[#This Row],[City]]="Pune","Yes","No")</f>
        <v>No</v>
      </c>
      <c r="O1854" s="1" t="str">
        <f>IF(AND(Employee__2[[#This Row],[Education]]="Bachelors",Employee__2[[#This Row],[City]]="Pune"),"Yes","No")</f>
        <v>No</v>
      </c>
      <c r="P1854" s="1" t="str">
        <f>IF(OR(Employee__2[[#This Row],[Age]]&gt;=30,Employee__2[[#This Row],[Gender]]="Male"),"Mached","Not mached")</f>
        <v>Not mached</v>
      </c>
    </row>
    <row r="1855" spans="4:16" x14ac:dyDescent="0.25">
      <c r="D1855" s="6" t="s">
        <v>34</v>
      </c>
      <c r="E1855">
        <v>2018</v>
      </c>
      <c r="F1855" s="6" t="s">
        <v>35</v>
      </c>
      <c r="G1855">
        <v>3</v>
      </c>
      <c r="H1855">
        <v>25</v>
      </c>
      <c r="I1855" s="6" t="s">
        <v>39</v>
      </c>
      <c r="J1855" s="6" t="s">
        <v>37</v>
      </c>
      <c r="K1855">
        <v>3</v>
      </c>
      <c r="M1855" s="1" t="b">
        <f>Employee__2[[#This Row],[Experience]]&gt;1</f>
        <v>1</v>
      </c>
      <c r="N1855" s="1" t="str">
        <f>IF(Employee__2[[#This Row],[City]]="Pune","Yes","No")</f>
        <v>No</v>
      </c>
      <c r="O1855" s="1" t="str">
        <f>IF(AND(Employee__2[[#This Row],[Education]]="Bachelors",Employee__2[[#This Row],[City]]="Pune"),"Yes","No")</f>
        <v>No</v>
      </c>
      <c r="P1855" s="1" t="str">
        <f>IF(OR(Employee__2[[#This Row],[Age]]&gt;=30,Employee__2[[#This Row],[Gender]]="Male"),"Mached","Not mached")</f>
        <v>Not mached</v>
      </c>
    </row>
    <row r="1856" spans="4:16" x14ac:dyDescent="0.25">
      <c r="D1856" s="6" t="s">
        <v>34</v>
      </c>
      <c r="E1856">
        <v>2014</v>
      </c>
      <c r="F1856" s="6" t="s">
        <v>38</v>
      </c>
      <c r="G1856">
        <v>3</v>
      </c>
      <c r="H1856">
        <v>27</v>
      </c>
      <c r="I1856" s="6" t="s">
        <v>36</v>
      </c>
      <c r="J1856" s="6" t="s">
        <v>42</v>
      </c>
      <c r="K1856">
        <v>5</v>
      </c>
      <c r="M1856" s="1" t="b">
        <f>Employee__2[[#This Row],[Experience]]&gt;1</f>
        <v>1</v>
      </c>
      <c r="N1856" s="1" t="str">
        <f>IF(Employee__2[[#This Row],[City]]="Pune","Yes","No")</f>
        <v>Yes</v>
      </c>
      <c r="O1856" s="1" t="str">
        <f>IF(AND(Employee__2[[#This Row],[Education]]="Bachelors",Employee__2[[#This Row],[City]]="Pune"),"Yes","No")</f>
        <v>Yes</v>
      </c>
      <c r="P1856" s="1" t="str">
        <f>IF(OR(Employee__2[[#This Row],[Age]]&gt;=30,Employee__2[[#This Row],[Gender]]="Male"),"Mached","Not mached")</f>
        <v>Mached</v>
      </c>
    </row>
    <row r="1857" spans="4:16" x14ac:dyDescent="0.25">
      <c r="D1857" s="6" t="s">
        <v>34</v>
      </c>
      <c r="E1857">
        <v>2014</v>
      </c>
      <c r="F1857" s="6" t="s">
        <v>35</v>
      </c>
      <c r="G1857">
        <v>3</v>
      </c>
      <c r="H1857">
        <v>27</v>
      </c>
      <c r="I1857" s="6" t="s">
        <v>36</v>
      </c>
      <c r="J1857" s="6" t="s">
        <v>42</v>
      </c>
      <c r="K1857">
        <v>5</v>
      </c>
      <c r="M1857" s="1" t="b">
        <f>Employee__2[[#This Row],[Experience]]&gt;1</f>
        <v>1</v>
      </c>
      <c r="N1857" s="1" t="str">
        <f>IF(Employee__2[[#This Row],[City]]="Pune","Yes","No")</f>
        <v>No</v>
      </c>
      <c r="O1857" s="1" t="str">
        <f>IF(AND(Employee__2[[#This Row],[Education]]="Bachelors",Employee__2[[#This Row],[City]]="Pune"),"Yes","No")</f>
        <v>No</v>
      </c>
      <c r="P1857" s="1" t="str">
        <f>IF(OR(Employee__2[[#This Row],[Age]]&gt;=30,Employee__2[[#This Row],[Gender]]="Male"),"Mached","Not mached")</f>
        <v>Mached</v>
      </c>
    </row>
    <row r="1858" spans="4:16" x14ac:dyDescent="0.25">
      <c r="D1858" s="6" t="s">
        <v>34</v>
      </c>
      <c r="E1858">
        <v>2015</v>
      </c>
      <c r="F1858" s="6" t="s">
        <v>40</v>
      </c>
      <c r="G1858">
        <v>3</v>
      </c>
      <c r="H1858">
        <v>25</v>
      </c>
      <c r="I1858" s="6" t="s">
        <v>39</v>
      </c>
      <c r="J1858" s="6" t="s">
        <v>37</v>
      </c>
      <c r="K1858">
        <v>3</v>
      </c>
      <c r="M1858" s="1" t="b">
        <f>Employee__2[[#This Row],[Experience]]&gt;1</f>
        <v>1</v>
      </c>
      <c r="N1858" s="1" t="str">
        <f>IF(Employee__2[[#This Row],[City]]="Pune","Yes","No")</f>
        <v>No</v>
      </c>
      <c r="O1858" s="1" t="str">
        <f>IF(AND(Employee__2[[#This Row],[Education]]="Bachelors",Employee__2[[#This Row],[City]]="Pune"),"Yes","No")</f>
        <v>No</v>
      </c>
      <c r="P1858" s="1" t="str">
        <f>IF(OR(Employee__2[[#This Row],[Age]]&gt;=30,Employee__2[[#This Row],[Gender]]="Male"),"Mached","Not mached")</f>
        <v>Not mached</v>
      </c>
    </row>
    <row r="1859" spans="4:16" x14ac:dyDescent="0.25">
      <c r="D1859" s="6" t="s">
        <v>41</v>
      </c>
      <c r="E1859">
        <v>2017</v>
      </c>
      <c r="F1859" s="6" t="s">
        <v>35</v>
      </c>
      <c r="G1859">
        <v>3</v>
      </c>
      <c r="H1859">
        <v>26</v>
      </c>
      <c r="I1859" s="6" t="s">
        <v>39</v>
      </c>
      <c r="J1859" s="6" t="s">
        <v>37</v>
      </c>
      <c r="K1859">
        <v>4</v>
      </c>
      <c r="M1859" s="1" t="b">
        <f>Employee__2[[#This Row],[Experience]]&gt;1</f>
        <v>1</v>
      </c>
      <c r="N1859" s="1" t="str">
        <f>IF(Employee__2[[#This Row],[City]]="Pune","Yes","No")</f>
        <v>No</v>
      </c>
      <c r="O1859" s="1" t="str">
        <f>IF(AND(Employee__2[[#This Row],[Education]]="Bachelors",Employee__2[[#This Row],[City]]="Pune"),"Yes","No")</f>
        <v>No</v>
      </c>
      <c r="P1859" s="1" t="str">
        <f>IF(OR(Employee__2[[#This Row],[Age]]&gt;=30,Employee__2[[#This Row],[Gender]]="Male"),"Mached","Not mached")</f>
        <v>Not mached</v>
      </c>
    </row>
    <row r="1860" spans="4:16" x14ac:dyDescent="0.25">
      <c r="D1860" s="6" t="s">
        <v>41</v>
      </c>
      <c r="E1860">
        <v>2018</v>
      </c>
      <c r="F1860" s="6" t="s">
        <v>40</v>
      </c>
      <c r="G1860">
        <v>3</v>
      </c>
      <c r="H1860">
        <v>25</v>
      </c>
      <c r="I1860" s="6" t="s">
        <v>36</v>
      </c>
      <c r="J1860" s="6" t="s">
        <v>37</v>
      </c>
      <c r="K1860">
        <v>3</v>
      </c>
      <c r="M1860" s="1" t="b">
        <f>Employee__2[[#This Row],[Experience]]&gt;1</f>
        <v>1</v>
      </c>
      <c r="N1860" s="1" t="str">
        <f>IF(Employee__2[[#This Row],[City]]="Pune","Yes","No")</f>
        <v>No</v>
      </c>
      <c r="O1860" s="1" t="str">
        <f>IF(AND(Employee__2[[#This Row],[Education]]="Bachelors",Employee__2[[#This Row],[City]]="Pune"),"Yes","No")</f>
        <v>No</v>
      </c>
      <c r="P1860" s="1" t="str">
        <f>IF(OR(Employee__2[[#This Row],[Age]]&gt;=30,Employee__2[[#This Row],[Gender]]="Male"),"Mached","Not mached")</f>
        <v>Mached</v>
      </c>
    </row>
    <row r="1861" spans="4:16" x14ac:dyDescent="0.25">
      <c r="D1861" s="6" t="s">
        <v>34</v>
      </c>
      <c r="E1861">
        <v>2018</v>
      </c>
      <c r="F1861" s="6" t="s">
        <v>35</v>
      </c>
      <c r="G1861">
        <v>3</v>
      </c>
      <c r="H1861">
        <v>25</v>
      </c>
      <c r="I1861" s="6" t="s">
        <v>36</v>
      </c>
      <c r="J1861" s="6" t="s">
        <v>37</v>
      </c>
      <c r="K1861">
        <v>3</v>
      </c>
      <c r="M1861" s="1" t="b">
        <f>Employee__2[[#This Row],[Experience]]&gt;1</f>
        <v>1</v>
      </c>
      <c r="N1861" s="1" t="str">
        <f>IF(Employee__2[[#This Row],[City]]="Pune","Yes","No")</f>
        <v>No</v>
      </c>
      <c r="O1861" s="1" t="str">
        <f>IF(AND(Employee__2[[#This Row],[Education]]="Bachelors",Employee__2[[#This Row],[City]]="Pune"),"Yes","No")</f>
        <v>No</v>
      </c>
      <c r="P1861" s="1" t="str">
        <f>IF(OR(Employee__2[[#This Row],[Age]]&gt;=30,Employee__2[[#This Row],[Gender]]="Male"),"Mached","Not mached")</f>
        <v>Mached</v>
      </c>
    </row>
    <row r="1862" spans="4:16" x14ac:dyDescent="0.25">
      <c r="D1862" s="6" t="s">
        <v>34</v>
      </c>
      <c r="E1862">
        <v>2014</v>
      </c>
      <c r="F1862" s="6" t="s">
        <v>35</v>
      </c>
      <c r="G1862">
        <v>3</v>
      </c>
      <c r="H1862">
        <v>28</v>
      </c>
      <c r="I1862" s="6" t="s">
        <v>36</v>
      </c>
      <c r="J1862" s="6" t="s">
        <v>37</v>
      </c>
      <c r="K1862">
        <v>1</v>
      </c>
      <c r="M1862" s="1" t="b">
        <f>Employee__2[[#This Row],[Experience]]&gt;1</f>
        <v>0</v>
      </c>
      <c r="N1862" s="1" t="str">
        <f>IF(Employee__2[[#This Row],[City]]="Pune","Yes","No")</f>
        <v>No</v>
      </c>
      <c r="O1862" s="1" t="str">
        <f>IF(AND(Employee__2[[#This Row],[Education]]="Bachelors",Employee__2[[#This Row],[City]]="Pune"),"Yes","No")</f>
        <v>No</v>
      </c>
      <c r="P1862" s="1" t="str">
        <f>IF(OR(Employee__2[[#This Row],[Age]]&gt;=30,Employee__2[[#This Row],[Gender]]="Male"),"Mached","Not mached")</f>
        <v>Mached</v>
      </c>
    </row>
    <row r="1863" spans="4:16" x14ac:dyDescent="0.25">
      <c r="D1863" s="6" t="s">
        <v>34</v>
      </c>
      <c r="E1863">
        <v>2017</v>
      </c>
      <c r="F1863" s="6" t="s">
        <v>35</v>
      </c>
      <c r="G1863">
        <v>3</v>
      </c>
      <c r="H1863">
        <v>24</v>
      </c>
      <c r="I1863" s="6" t="s">
        <v>36</v>
      </c>
      <c r="J1863" s="6" t="s">
        <v>37</v>
      </c>
      <c r="K1863">
        <v>2</v>
      </c>
      <c r="M1863" s="1" t="b">
        <f>Employee__2[[#This Row],[Experience]]&gt;1</f>
        <v>1</v>
      </c>
      <c r="N1863" s="1" t="str">
        <f>IF(Employee__2[[#This Row],[City]]="Pune","Yes","No")</f>
        <v>No</v>
      </c>
      <c r="O1863" s="1" t="str">
        <f>IF(AND(Employee__2[[#This Row],[Education]]="Bachelors",Employee__2[[#This Row],[City]]="Pune"),"Yes","No")</f>
        <v>No</v>
      </c>
      <c r="P1863" s="1" t="str">
        <f>IF(OR(Employee__2[[#This Row],[Age]]&gt;=30,Employee__2[[#This Row],[Gender]]="Male"),"Mached","Not mached")</f>
        <v>Mached</v>
      </c>
    </row>
    <row r="1864" spans="4:16" x14ac:dyDescent="0.25">
      <c r="D1864" s="6" t="s">
        <v>34</v>
      </c>
      <c r="E1864">
        <v>2013</v>
      </c>
      <c r="F1864" s="6" t="s">
        <v>35</v>
      </c>
      <c r="G1864">
        <v>3</v>
      </c>
      <c r="H1864">
        <v>28</v>
      </c>
      <c r="I1864" s="6" t="s">
        <v>39</v>
      </c>
      <c r="J1864" s="6" t="s">
        <v>37</v>
      </c>
      <c r="K1864">
        <v>3</v>
      </c>
      <c r="M1864" s="1" t="b">
        <f>Employee__2[[#This Row],[Experience]]&gt;1</f>
        <v>1</v>
      </c>
      <c r="N1864" s="1" t="str">
        <f>IF(Employee__2[[#This Row],[City]]="Pune","Yes","No")</f>
        <v>No</v>
      </c>
      <c r="O1864" s="1" t="str">
        <f>IF(AND(Employee__2[[#This Row],[Education]]="Bachelors",Employee__2[[#This Row],[City]]="Pune"),"Yes","No")</f>
        <v>No</v>
      </c>
      <c r="P1864" s="1" t="str">
        <f>IF(OR(Employee__2[[#This Row],[Age]]&gt;=30,Employee__2[[#This Row],[Gender]]="Male"),"Mached","Not mached")</f>
        <v>Not mached</v>
      </c>
    </row>
    <row r="1865" spans="4:16" x14ac:dyDescent="0.25">
      <c r="D1865" s="6" t="s">
        <v>34</v>
      </c>
      <c r="E1865">
        <v>2015</v>
      </c>
      <c r="F1865" s="6" t="s">
        <v>38</v>
      </c>
      <c r="G1865">
        <v>3</v>
      </c>
      <c r="H1865">
        <v>24</v>
      </c>
      <c r="I1865" s="6" t="s">
        <v>36</v>
      </c>
      <c r="J1865" s="6" t="s">
        <v>37</v>
      </c>
      <c r="K1865">
        <v>2</v>
      </c>
      <c r="M1865" s="1" t="b">
        <f>Employee__2[[#This Row],[Experience]]&gt;1</f>
        <v>1</v>
      </c>
      <c r="N1865" s="1" t="str">
        <f>IF(Employee__2[[#This Row],[City]]="Pune","Yes","No")</f>
        <v>Yes</v>
      </c>
      <c r="O1865" s="1" t="str">
        <f>IF(AND(Employee__2[[#This Row],[Education]]="Bachelors",Employee__2[[#This Row],[City]]="Pune"),"Yes","No")</f>
        <v>Yes</v>
      </c>
      <c r="P1865" s="1" t="str">
        <f>IF(OR(Employee__2[[#This Row],[Age]]&gt;=30,Employee__2[[#This Row],[Gender]]="Male"),"Mached","Not mached")</f>
        <v>Mached</v>
      </c>
    </row>
    <row r="1866" spans="4:16" x14ac:dyDescent="0.25">
      <c r="D1866" s="6" t="s">
        <v>34</v>
      </c>
      <c r="E1866">
        <v>2012</v>
      </c>
      <c r="F1866" s="6" t="s">
        <v>35</v>
      </c>
      <c r="G1866">
        <v>3</v>
      </c>
      <c r="H1866">
        <v>26</v>
      </c>
      <c r="I1866" s="6" t="s">
        <v>36</v>
      </c>
      <c r="J1866" s="6" t="s">
        <v>37</v>
      </c>
      <c r="K1866">
        <v>4</v>
      </c>
      <c r="M1866" s="1" t="b">
        <f>Employee__2[[#This Row],[Experience]]&gt;1</f>
        <v>1</v>
      </c>
      <c r="N1866" s="1" t="str">
        <f>IF(Employee__2[[#This Row],[City]]="Pune","Yes","No")</f>
        <v>No</v>
      </c>
      <c r="O1866" s="1" t="str">
        <f>IF(AND(Employee__2[[#This Row],[Education]]="Bachelors",Employee__2[[#This Row],[City]]="Pune"),"Yes","No")</f>
        <v>No</v>
      </c>
      <c r="P1866" s="1" t="str">
        <f>IF(OR(Employee__2[[#This Row],[Age]]&gt;=30,Employee__2[[#This Row],[Gender]]="Male"),"Mached","Not mached")</f>
        <v>Mached</v>
      </c>
    </row>
    <row r="1867" spans="4:16" x14ac:dyDescent="0.25">
      <c r="D1867" s="6" t="s">
        <v>34</v>
      </c>
      <c r="E1867">
        <v>2014</v>
      </c>
      <c r="F1867" s="6" t="s">
        <v>40</v>
      </c>
      <c r="G1867">
        <v>3</v>
      </c>
      <c r="H1867">
        <v>25</v>
      </c>
      <c r="I1867" s="6" t="s">
        <v>39</v>
      </c>
      <c r="J1867" s="6" t="s">
        <v>37</v>
      </c>
      <c r="K1867">
        <v>3</v>
      </c>
      <c r="M1867" s="1" t="b">
        <f>Employee__2[[#This Row],[Experience]]&gt;1</f>
        <v>1</v>
      </c>
      <c r="N1867" s="1" t="str">
        <f>IF(Employee__2[[#This Row],[City]]="Pune","Yes","No")</f>
        <v>No</v>
      </c>
      <c r="O1867" s="1" t="str">
        <f>IF(AND(Employee__2[[#This Row],[Education]]="Bachelors",Employee__2[[#This Row],[City]]="Pune"),"Yes","No")</f>
        <v>No</v>
      </c>
      <c r="P1867" s="1" t="str">
        <f>IF(OR(Employee__2[[#This Row],[Age]]&gt;=30,Employee__2[[#This Row],[Gender]]="Male"),"Mached","Not mached")</f>
        <v>Not mached</v>
      </c>
    </row>
    <row r="1868" spans="4:16" x14ac:dyDescent="0.25">
      <c r="D1868" s="6" t="s">
        <v>41</v>
      </c>
      <c r="E1868">
        <v>2017</v>
      </c>
      <c r="F1868" s="6" t="s">
        <v>40</v>
      </c>
      <c r="G1868">
        <v>1</v>
      </c>
      <c r="H1868">
        <v>26</v>
      </c>
      <c r="I1868" s="6" t="s">
        <v>36</v>
      </c>
      <c r="J1868" s="6" t="s">
        <v>37</v>
      </c>
      <c r="K1868">
        <v>4</v>
      </c>
      <c r="M1868" s="1" t="b">
        <f>Employee__2[[#This Row],[Experience]]&gt;1</f>
        <v>1</v>
      </c>
      <c r="N1868" s="1" t="str">
        <f>IF(Employee__2[[#This Row],[City]]="Pune","Yes","No")</f>
        <v>No</v>
      </c>
      <c r="O1868" s="1" t="str">
        <f>IF(AND(Employee__2[[#This Row],[Education]]="Bachelors",Employee__2[[#This Row],[City]]="Pune"),"Yes","No")</f>
        <v>No</v>
      </c>
      <c r="P1868" s="1" t="str">
        <f>IF(OR(Employee__2[[#This Row],[Age]]&gt;=30,Employee__2[[#This Row],[Gender]]="Male"),"Mached","Not mached")</f>
        <v>Mached</v>
      </c>
    </row>
    <row r="1869" spans="4:16" x14ac:dyDescent="0.25">
      <c r="D1869" s="6" t="s">
        <v>34</v>
      </c>
      <c r="E1869">
        <v>2016</v>
      </c>
      <c r="F1869" s="6" t="s">
        <v>35</v>
      </c>
      <c r="G1869">
        <v>3</v>
      </c>
      <c r="H1869">
        <v>25</v>
      </c>
      <c r="I1869" s="6" t="s">
        <v>39</v>
      </c>
      <c r="J1869" s="6" t="s">
        <v>37</v>
      </c>
      <c r="K1869">
        <v>3</v>
      </c>
      <c r="M1869" s="1" t="b">
        <f>Employee__2[[#This Row],[Experience]]&gt;1</f>
        <v>1</v>
      </c>
      <c r="N1869" s="1" t="str">
        <f>IF(Employee__2[[#This Row],[City]]="Pune","Yes","No")</f>
        <v>No</v>
      </c>
      <c r="O1869" s="1" t="str">
        <f>IF(AND(Employee__2[[#This Row],[Education]]="Bachelors",Employee__2[[#This Row],[City]]="Pune"),"Yes","No")</f>
        <v>No</v>
      </c>
      <c r="P1869" s="1" t="str">
        <f>IF(OR(Employee__2[[#This Row],[Age]]&gt;=30,Employee__2[[#This Row],[Gender]]="Male"),"Mached","Not mached")</f>
        <v>Not mached</v>
      </c>
    </row>
    <row r="1870" spans="4:16" x14ac:dyDescent="0.25">
      <c r="D1870" s="6" t="s">
        <v>34</v>
      </c>
      <c r="E1870">
        <v>2013</v>
      </c>
      <c r="F1870" s="6" t="s">
        <v>38</v>
      </c>
      <c r="G1870">
        <v>2</v>
      </c>
      <c r="H1870">
        <v>26</v>
      </c>
      <c r="I1870" s="6" t="s">
        <v>36</v>
      </c>
      <c r="J1870" s="6" t="s">
        <v>42</v>
      </c>
      <c r="K1870">
        <v>4</v>
      </c>
      <c r="M1870" s="1" t="b">
        <f>Employee__2[[#This Row],[Experience]]&gt;1</f>
        <v>1</v>
      </c>
      <c r="N1870" s="1" t="str">
        <f>IF(Employee__2[[#This Row],[City]]="Pune","Yes","No")</f>
        <v>Yes</v>
      </c>
      <c r="O1870" s="1" t="str">
        <f>IF(AND(Employee__2[[#This Row],[Education]]="Bachelors",Employee__2[[#This Row],[City]]="Pune"),"Yes","No")</f>
        <v>Yes</v>
      </c>
      <c r="P1870" s="1" t="str">
        <f>IF(OR(Employee__2[[#This Row],[Age]]&gt;=30,Employee__2[[#This Row],[Gender]]="Male"),"Mached","Not mached")</f>
        <v>Mached</v>
      </c>
    </row>
    <row r="1871" spans="4:16" x14ac:dyDescent="0.25">
      <c r="D1871" s="6" t="s">
        <v>34</v>
      </c>
      <c r="E1871">
        <v>2018</v>
      </c>
      <c r="F1871" s="6" t="s">
        <v>38</v>
      </c>
      <c r="G1871">
        <v>1</v>
      </c>
      <c r="H1871">
        <v>26</v>
      </c>
      <c r="I1871" s="6" t="s">
        <v>36</v>
      </c>
      <c r="J1871" s="6" t="s">
        <v>42</v>
      </c>
      <c r="K1871">
        <v>4</v>
      </c>
      <c r="M1871" s="1" t="b">
        <f>Employee__2[[#This Row],[Experience]]&gt;1</f>
        <v>1</v>
      </c>
      <c r="N1871" s="1" t="str">
        <f>IF(Employee__2[[#This Row],[City]]="Pune","Yes","No")</f>
        <v>Yes</v>
      </c>
      <c r="O1871" s="1" t="str">
        <f>IF(AND(Employee__2[[#This Row],[Education]]="Bachelors",Employee__2[[#This Row],[City]]="Pune"),"Yes","No")</f>
        <v>Yes</v>
      </c>
      <c r="P1871" s="1" t="str">
        <f>IF(OR(Employee__2[[#This Row],[Age]]&gt;=30,Employee__2[[#This Row],[Gender]]="Male"),"Mached","Not mached")</f>
        <v>Mached</v>
      </c>
    </row>
    <row r="1872" spans="4:16" x14ac:dyDescent="0.25">
      <c r="D1872" s="6" t="s">
        <v>34</v>
      </c>
      <c r="E1872">
        <v>2017</v>
      </c>
      <c r="F1872" s="6" t="s">
        <v>35</v>
      </c>
      <c r="G1872">
        <v>3</v>
      </c>
      <c r="H1872">
        <v>24</v>
      </c>
      <c r="I1872" s="6" t="s">
        <v>36</v>
      </c>
      <c r="J1872" s="6" t="s">
        <v>37</v>
      </c>
      <c r="K1872">
        <v>2</v>
      </c>
      <c r="M1872" s="1" t="b">
        <f>Employee__2[[#This Row],[Experience]]&gt;1</f>
        <v>1</v>
      </c>
      <c r="N1872" s="1" t="str">
        <f>IF(Employee__2[[#This Row],[City]]="Pune","Yes","No")</f>
        <v>No</v>
      </c>
      <c r="O1872" s="1" t="str">
        <f>IF(AND(Employee__2[[#This Row],[Education]]="Bachelors",Employee__2[[#This Row],[City]]="Pune"),"Yes","No")</f>
        <v>No</v>
      </c>
      <c r="P1872" s="1" t="str">
        <f>IF(OR(Employee__2[[#This Row],[Age]]&gt;=30,Employee__2[[#This Row],[Gender]]="Male"),"Mached","Not mached")</f>
        <v>Mached</v>
      </c>
    </row>
    <row r="1873" spans="4:16" x14ac:dyDescent="0.25">
      <c r="D1873" s="6" t="s">
        <v>34</v>
      </c>
      <c r="E1873">
        <v>2016</v>
      </c>
      <c r="F1873" s="6" t="s">
        <v>35</v>
      </c>
      <c r="G1873">
        <v>3</v>
      </c>
      <c r="H1873">
        <v>24</v>
      </c>
      <c r="I1873" s="6" t="s">
        <v>36</v>
      </c>
      <c r="J1873" s="6" t="s">
        <v>37</v>
      </c>
      <c r="K1873">
        <v>2</v>
      </c>
      <c r="M1873" s="1" t="b">
        <f>Employee__2[[#This Row],[Experience]]&gt;1</f>
        <v>1</v>
      </c>
      <c r="N1873" s="1" t="str">
        <f>IF(Employee__2[[#This Row],[City]]="Pune","Yes","No")</f>
        <v>No</v>
      </c>
      <c r="O1873" s="1" t="str">
        <f>IF(AND(Employee__2[[#This Row],[Education]]="Bachelors",Employee__2[[#This Row],[City]]="Pune"),"Yes","No")</f>
        <v>No</v>
      </c>
      <c r="P1873" s="1" t="str">
        <f>IF(OR(Employee__2[[#This Row],[Age]]&gt;=30,Employee__2[[#This Row],[Gender]]="Male"),"Mached","Not mached")</f>
        <v>Mached</v>
      </c>
    </row>
    <row r="1874" spans="4:16" x14ac:dyDescent="0.25">
      <c r="D1874" s="6" t="s">
        <v>34</v>
      </c>
      <c r="E1874">
        <v>2014</v>
      </c>
      <c r="F1874" s="6" t="s">
        <v>35</v>
      </c>
      <c r="G1874">
        <v>3</v>
      </c>
      <c r="H1874">
        <v>24</v>
      </c>
      <c r="I1874" s="6" t="s">
        <v>39</v>
      </c>
      <c r="J1874" s="6" t="s">
        <v>37</v>
      </c>
      <c r="K1874">
        <v>2</v>
      </c>
      <c r="M1874" s="1" t="b">
        <f>Employee__2[[#This Row],[Experience]]&gt;1</f>
        <v>1</v>
      </c>
      <c r="N1874" s="1" t="str">
        <f>IF(Employee__2[[#This Row],[City]]="Pune","Yes","No")</f>
        <v>No</v>
      </c>
      <c r="O1874" s="1" t="str">
        <f>IF(AND(Employee__2[[#This Row],[Education]]="Bachelors",Employee__2[[#This Row],[City]]="Pune"),"Yes","No")</f>
        <v>No</v>
      </c>
      <c r="P1874" s="1" t="str">
        <f>IF(OR(Employee__2[[#This Row],[Age]]&gt;=30,Employee__2[[#This Row],[Gender]]="Male"),"Mached","Not mached")</f>
        <v>Not mached</v>
      </c>
    </row>
    <row r="1875" spans="4:16" x14ac:dyDescent="0.25">
      <c r="D1875" s="6" t="s">
        <v>43</v>
      </c>
      <c r="E1875">
        <v>2017</v>
      </c>
      <c r="F1875" s="6" t="s">
        <v>40</v>
      </c>
      <c r="G1875">
        <v>3</v>
      </c>
      <c r="H1875">
        <v>28</v>
      </c>
      <c r="I1875" s="6" t="s">
        <v>36</v>
      </c>
      <c r="J1875" s="6" t="s">
        <v>37</v>
      </c>
      <c r="K1875">
        <v>3</v>
      </c>
      <c r="M1875" s="1" t="b">
        <f>Employee__2[[#This Row],[Experience]]&gt;1</f>
        <v>1</v>
      </c>
      <c r="N1875" s="1" t="str">
        <f>IF(Employee__2[[#This Row],[City]]="Pune","Yes","No")</f>
        <v>No</v>
      </c>
      <c r="O1875" s="1" t="str">
        <f>IF(AND(Employee__2[[#This Row],[Education]]="Bachelors",Employee__2[[#This Row],[City]]="Pune"),"Yes","No")</f>
        <v>No</v>
      </c>
      <c r="P1875" s="1" t="str">
        <f>IF(OR(Employee__2[[#This Row],[Age]]&gt;=30,Employee__2[[#This Row],[Gender]]="Male"),"Mached","Not mached")</f>
        <v>Mached</v>
      </c>
    </row>
    <row r="1876" spans="4:16" x14ac:dyDescent="0.25">
      <c r="D1876" s="6" t="s">
        <v>34</v>
      </c>
      <c r="E1876">
        <v>2017</v>
      </c>
      <c r="F1876" s="6" t="s">
        <v>40</v>
      </c>
      <c r="G1876">
        <v>2</v>
      </c>
      <c r="H1876">
        <v>24</v>
      </c>
      <c r="I1876" s="6" t="s">
        <v>39</v>
      </c>
      <c r="J1876" s="6" t="s">
        <v>37</v>
      </c>
      <c r="K1876">
        <v>2</v>
      </c>
      <c r="M1876" s="1" t="b">
        <f>Employee__2[[#This Row],[Experience]]&gt;1</f>
        <v>1</v>
      </c>
      <c r="N1876" s="1" t="str">
        <f>IF(Employee__2[[#This Row],[City]]="Pune","Yes","No")</f>
        <v>No</v>
      </c>
      <c r="O1876" s="1" t="str">
        <f>IF(AND(Employee__2[[#This Row],[Education]]="Bachelors",Employee__2[[#This Row],[City]]="Pune"),"Yes","No")</f>
        <v>No</v>
      </c>
      <c r="P1876" s="1" t="str">
        <f>IF(OR(Employee__2[[#This Row],[Age]]&gt;=30,Employee__2[[#This Row],[Gender]]="Male"),"Mached","Not mached")</f>
        <v>Not mached</v>
      </c>
    </row>
    <row r="1877" spans="4:16" x14ac:dyDescent="0.25">
      <c r="D1877" s="6" t="s">
        <v>34</v>
      </c>
      <c r="E1877">
        <v>2015</v>
      </c>
      <c r="F1877" s="6" t="s">
        <v>35</v>
      </c>
      <c r="G1877">
        <v>3</v>
      </c>
      <c r="H1877">
        <v>25</v>
      </c>
      <c r="I1877" s="6" t="s">
        <v>39</v>
      </c>
      <c r="J1877" s="6" t="s">
        <v>37</v>
      </c>
      <c r="K1877">
        <v>3</v>
      </c>
      <c r="M1877" s="1" t="b">
        <f>Employee__2[[#This Row],[Experience]]&gt;1</f>
        <v>1</v>
      </c>
      <c r="N1877" s="1" t="str">
        <f>IF(Employee__2[[#This Row],[City]]="Pune","Yes","No")</f>
        <v>No</v>
      </c>
      <c r="O1877" s="1" t="str">
        <f>IF(AND(Employee__2[[#This Row],[Education]]="Bachelors",Employee__2[[#This Row],[City]]="Pune"),"Yes","No")</f>
        <v>No</v>
      </c>
      <c r="P1877" s="1" t="str">
        <f>IF(OR(Employee__2[[#This Row],[Age]]&gt;=30,Employee__2[[#This Row],[Gender]]="Male"),"Mached","Not mached")</f>
        <v>Not mached</v>
      </c>
    </row>
    <row r="1878" spans="4:16" x14ac:dyDescent="0.25">
      <c r="D1878" s="6" t="s">
        <v>34</v>
      </c>
      <c r="E1878">
        <v>2015</v>
      </c>
      <c r="F1878" s="6" t="s">
        <v>38</v>
      </c>
      <c r="G1878">
        <v>3</v>
      </c>
      <c r="H1878">
        <v>26</v>
      </c>
      <c r="I1878" s="6" t="s">
        <v>36</v>
      </c>
      <c r="J1878" s="6" t="s">
        <v>37</v>
      </c>
      <c r="K1878">
        <v>4</v>
      </c>
      <c r="M1878" s="1" t="b">
        <f>Employee__2[[#This Row],[Experience]]&gt;1</f>
        <v>1</v>
      </c>
      <c r="N1878" s="1" t="str">
        <f>IF(Employee__2[[#This Row],[City]]="Pune","Yes","No")</f>
        <v>Yes</v>
      </c>
      <c r="O1878" s="1" t="str">
        <f>IF(AND(Employee__2[[#This Row],[Education]]="Bachelors",Employee__2[[#This Row],[City]]="Pune"),"Yes","No")</f>
        <v>Yes</v>
      </c>
      <c r="P1878" s="1" t="str">
        <f>IF(OR(Employee__2[[#This Row],[Age]]&gt;=30,Employee__2[[#This Row],[Gender]]="Male"),"Mached","Not mached")</f>
        <v>Mached</v>
      </c>
    </row>
    <row r="1879" spans="4:16" x14ac:dyDescent="0.25">
      <c r="D1879" s="6" t="s">
        <v>41</v>
      </c>
      <c r="E1879">
        <v>2014</v>
      </c>
      <c r="F1879" s="6" t="s">
        <v>35</v>
      </c>
      <c r="G1879">
        <v>3</v>
      </c>
      <c r="H1879">
        <v>27</v>
      </c>
      <c r="I1879" s="6" t="s">
        <v>36</v>
      </c>
      <c r="J1879" s="6" t="s">
        <v>37</v>
      </c>
      <c r="K1879">
        <v>5</v>
      </c>
      <c r="M1879" s="1" t="b">
        <f>Employee__2[[#This Row],[Experience]]&gt;1</f>
        <v>1</v>
      </c>
      <c r="N1879" s="1" t="str">
        <f>IF(Employee__2[[#This Row],[City]]="Pune","Yes","No")</f>
        <v>No</v>
      </c>
      <c r="O1879" s="1" t="str">
        <f>IF(AND(Employee__2[[#This Row],[Education]]="Bachelors",Employee__2[[#This Row],[City]]="Pune"),"Yes","No")</f>
        <v>No</v>
      </c>
      <c r="P1879" s="1" t="str">
        <f>IF(OR(Employee__2[[#This Row],[Age]]&gt;=30,Employee__2[[#This Row],[Gender]]="Male"),"Mached","Not mached")</f>
        <v>Mached</v>
      </c>
    </row>
    <row r="1880" spans="4:16" x14ac:dyDescent="0.25">
      <c r="D1880" s="6" t="s">
        <v>34</v>
      </c>
      <c r="E1880">
        <v>2012</v>
      </c>
      <c r="F1880" s="6" t="s">
        <v>38</v>
      </c>
      <c r="G1880">
        <v>3</v>
      </c>
      <c r="H1880">
        <v>24</v>
      </c>
      <c r="I1880" s="6" t="s">
        <v>39</v>
      </c>
      <c r="J1880" s="6" t="s">
        <v>37</v>
      </c>
      <c r="K1880">
        <v>2</v>
      </c>
      <c r="M1880" s="1" t="b">
        <f>Employee__2[[#This Row],[Experience]]&gt;1</f>
        <v>1</v>
      </c>
      <c r="N1880" s="1" t="str">
        <f>IF(Employee__2[[#This Row],[City]]="Pune","Yes","No")</f>
        <v>Yes</v>
      </c>
      <c r="O1880" s="1" t="str">
        <f>IF(AND(Employee__2[[#This Row],[Education]]="Bachelors",Employee__2[[#This Row],[City]]="Pune"),"Yes","No")</f>
        <v>Yes</v>
      </c>
      <c r="P1880" s="1" t="str">
        <f>IF(OR(Employee__2[[#This Row],[Age]]&gt;=30,Employee__2[[#This Row],[Gender]]="Male"),"Mached","Not mached")</f>
        <v>Not mached</v>
      </c>
    </row>
    <row r="1881" spans="4:16" x14ac:dyDescent="0.25">
      <c r="D1881" s="6" t="s">
        <v>34</v>
      </c>
      <c r="E1881">
        <v>2015</v>
      </c>
      <c r="F1881" s="6" t="s">
        <v>38</v>
      </c>
      <c r="G1881">
        <v>2</v>
      </c>
      <c r="H1881">
        <v>26</v>
      </c>
      <c r="I1881" s="6" t="s">
        <v>39</v>
      </c>
      <c r="J1881" s="6" t="s">
        <v>37</v>
      </c>
      <c r="K1881">
        <v>4</v>
      </c>
      <c r="M1881" s="1" t="b">
        <f>Employee__2[[#This Row],[Experience]]&gt;1</f>
        <v>1</v>
      </c>
      <c r="N1881" s="1" t="str">
        <f>IF(Employee__2[[#This Row],[City]]="Pune","Yes","No")</f>
        <v>Yes</v>
      </c>
      <c r="O1881" s="1" t="str">
        <f>IF(AND(Employee__2[[#This Row],[Education]]="Bachelors",Employee__2[[#This Row],[City]]="Pune"),"Yes","No")</f>
        <v>Yes</v>
      </c>
      <c r="P1881" s="1" t="str">
        <f>IF(OR(Employee__2[[#This Row],[Age]]&gt;=30,Employee__2[[#This Row],[Gender]]="Male"),"Mached","Not mached")</f>
        <v>Not mached</v>
      </c>
    </row>
    <row r="1882" spans="4:16" x14ac:dyDescent="0.25">
      <c r="D1882" s="6" t="s">
        <v>34</v>
      </c>
      <c r="E1882">
        <v>2013</v>
      </c>
      <c r="F1882" s="6" t="s">
        <v>35</v>
      </c>
      <c r="G1882">
        <v>3</v>
      </c>
      <c r="H1882">
        <v>24</v>
      </c>
      <c r="I1882" s="6" t="s">
        <v>39</v>
      </c>
      <c r="J1882" s="6" t="s">
        <v>37</v>
      </c>
      <c r="K1882">
        <v>2</v>
      </c>
      <c r="M1882" s="1" t="b">
        <f>Employee__2[[#This Row],[Experience]]&gt;1</f>
        <v>1</v>
      </c>
      <c r="N1882" s="1" t="str">
        <f>IF(Employee__2[[#This Row],[City]]="Pune","Yes","No")</f>
        <v>No</v>
      </c>
      <c r="O1882" s="1" t="str">
        <f>IF(AND(Employee__2[[#This Row],[Education]]="Bachelors",Employee__2[[#This Row],[City]]="Pune"),"Yes","No")</f>
        <v>No</v>
      </c>
      <c r="P1882" s="1" t="str">
        <f>IF(OR(Employee__2[[#This Row],[Age]]&gt;=30,Employee__2[[#This Row],[Gender]]="Male"),"Mached","Not mached")</f>
        <v>Not mached</v>
      </c>
    </row>
    <row r="1883" spans="4:16" x14ac:dyDescent="0.25">
      <c r="D1883" s="6" t="s">
        <v>34</v>
      </c>
      <c r="E1883">
        <v>2017</v>
      </c>
      <c r="F1883" s="6" t="s">
        <v>35</v>
      </c>
      <c r="G1883">
        <v>3</v>
      </c>
      <c r="H1883">
        <v>26</v>
      </c>
      <c r="I1883" s="6" t="s">
        <v>39</v>
      </c>
      <c r="J1883" s="6" t="s">
        <v>37</v>
      </c>
      <c r="K1883">
        <v>4</v>
      </c>
      <c r="M1883" s="1" t="b">
        <f>Employee__2[[#This Row],[Experience]]&gt;1</f>
        <v>1</v>
      </c>
      <c r="N1883" s="1" t="str">
        <f>IF(Employee__2[[#This Row],[City]]="Pune","Yes","No")</f>
        <v>No</v>
      </c>
      <c r="O1883" s="1" t="str">
        <f>IF(AND(Employee__2[[#This Row],[Education]]="Bachelors",Employee__2[[#This Row],[City]]="Pune"),"Yes","No")</f>
        <v>No</v>
      </c>
      <c r="P1883" s="1" t="str">
        <f>IF(OR(Employee__2[[#This Row],[Age]]&gt;=30,Employee__2[[#This Row],[Gender]]="Male"),"Mached","Not mached")</f>
        <v>Not mached</v>
      </c>
    </row>
    <row r="1884" spans="4:16" x14ac:dyDescent="0.25">
      <c r="D1884" s="6" t="s">
        <v>41</v>
      </c>
      <c r="E1884">
        <v>2017</v>
      </c>
      <c r="F1884" s="6" t="s">
        <v>40</v>
      </c>
      <c r="G1884">
        <v>3</v>
      </c>
      <c r="H1884">
        <v>26</v>
      </c>
      <c r="I1884" s="6" t="s">
        <v>36</v>
      </c>
      <c r="J1884" s="6" t="s">
        <v>37</v>
      </c>
      <c r="K1884">
        <v>4</v>
      </c>
      <c r="M1884" s="1" t="b">
        <f>Employee__2[[#This Row],[Experience]]&gt;1</f>
        <v>1</v>
      </c>
      <c r="N1884" s="1" t="str">
        <f>IF(Employee__2[[#This Row],[City]]="Pune","Yes","No")</f>
        <v>No</v>
      </c>
      <c r="O1884" s="1" t="str">
        <f>IF(AND(Employee__2[[#This Row],[Education]]="Bachelors",Employee__2[[#This Row],[City]]="Pune"),"Yes","No")</f>
        <v>No</v>
      </c>
      <c r="P1884" s="1" t="str">
        <f>IF(OR(Employee__2[[#This Row],[Age]]&gt;=30,Employee__2[[#This Row],[Gender]]="Male"),"Mached","Not mached")</f>
        <v>Mached</v>
      </c>
    </row>
    <row r="1885" spans="4:16" x14ac:dyDescent="0.25">
      <c r="D1885" s="6" t="s">
        <v>34</v>
      </c>
      <c r="E1885">
        <v>2016</v>
      </c>
      <c r="F1885" s="6" t="s">
        <v>35</v>
      </c>
      <c r="G1885">
        <v>3</v>
      </c>
      <c r="H1885">
        <v>24</v>
      </c>
      <c r="I1885" s="6" t="s">
        <v>36</v>
      </c>
      <c r="J1885" s="6" t="s">
        <v>37</v>
      </c>
      <c r="K1885">
        <v>2</v>
      </c>
      <c r="M1885" s="1" t="b">
        <f>Employee__2[[#This Row],[Experience]]&gt;1</f>
        <v>1</v>
      </c>
      <c r="N1885" s="1" t="str">
        <f>IF(Employee__2[[#This Row],[City]]="Pune","Yes","No")</f>
        <v>No</v>
      </c>
      <c r="O1885" s="1" t="str">
        <f>IF(AND(Employee__2[[#This Row],[Education]]="Bachelors",Employee__2[[#This Row],[City]]="Pune"),"Yes","No")</f>
        <v>No</v>
      </c>
      <c r="P1885" s="1" t="str">
        <f>IF(OR(Employee__2[[#This Row],[Age]]&gt;=30,Employee__2[[#This Row],[Gender]]="Male"),"Mached","Not mached")</f>
        <v>Mached</v>
      </c>
    </row>
    <row r="1886" spans="4:16" x14ac:dyDescent="0.25">
      <c r="D1886" s="6" t="s">
        <v>34</v>
      </c>
      <c r="E1886">
        <v>2015</v>
      </c>
      <c r="F1886" s="6" t="s">
        <v>38</v>
      </c>
      <c r="G1886">
        <v>3</v>
      </c>
      <c r="H1886">
        <v>28</v>
      </c>
      <c r="I1886" s="6" t="s">
        <v>36</v>
      </c>
      <c r="J1886" s="6" t="s">
        <v>37</v>
      </c>
      <c r="K1886">
        <v>2</v>
      </c>
      <c r="M1886" s="1" t="b">
        <f>Employee__2[[#This Row],[Experience]]&gt;1</f>
        <v>1</v>
      </c>
      <c r="N1886" s="1" t="str">
        <f>IF(Employee__2[[#This Row],[City]]="Pune","Yes","No")</f>
        <v>Yes</v>
      </c>
      <c r="O1886" s="1" t="str">
        <f>IF(AND(Employee__2[[#This Row],[Education]]="Bachelors",Employee__2[[#This Row],[City]]="Pune"),"Yes","No")</f>
        <v>Yes</v>
      </c>
      <c r="P1886" s="1" t="str">
        <f>IF(OR(Employee__2[[#This Row],[Age]]&gt;=30,Employee__2[[#This Row],[Gender]]="Male"),"Mached","Not mached")</f>
        <v>Mached</v>
      </c>
    </row>
    <row r="1887" spans="4:16" x14ac:dyDescent="0.25">
      <c r="D1887" s="6" t="s">
        <v>34</v>
      </c>
      <c r="E1887">
        <v>2013</v>
      </c>
      <c r="F1887" s="6" t="s">
        <v>35</v>
      </c>
      <c r="G1887">
        <v>3</v>
      </c>
      <c r="H1887">
        <v>27</v>
      </c>
      <c r="I1887" s="6" t="s">
        <v>36</v>
      </c>
      <c r="J1887" s="6" t="s">
        <v>37</v>
      </c>
      <c r="K1887">
        <v>5</v>
      </c>
      <c r="M1887" s="1" t="b">
        <f>Employee__2[[#This Row],[Experience]]&gt;1</f>
        <v>1</v>
      </c>
      <c r="N1887" s="1" t="str">
        <f>IF(Employee__2[[#This Row],[City]]="Pune","Yes","No")</f>
        <v>No</v>
      </c>
      <c r="O1887" s="1" t="str">
        <f>IF(AND(Employee__2[[#This Row],[Education]]="Bachelors",Employee__2[[#This Row],[City]]="Pune"),"Yes","No")</f>
        <v>No</v>
      </c>
      <c r="P1887" s="1" t="str">
        <f>IF(OR(Employee__2[[#This Row],[Age]]&gt;=30,Employee__2[[#This Row],[Gender]]="Male"),"Mached","Not mached")</f>
        <v>Mached</v>
      </c>
    </row>
    <row r="1888" spans="4:16" x14ac:dyDescent="0.25">
      <c r="D1888" s="6" t="s">
        <v>34</v>
      </c>
      <c r="E1888">
        <v>2012</v>
      </c>
      <c r="F1888" s="6" t="s">
        <v>35</v>
      </c>
      <c r="G1888">
        <v>3</v>
      </c>
      <c r="H1888">
        <v>24</v>
      </c>
      <c r="I1888" s="6" t="s">
        <v>36</v>
      </c>
      <c r="J1888" s="6" t="s">
        <v>42</v>
      </c>
      <c r="K1888">
        <v>2</v>
      </c>
      <c r="M1888" s="1" t="b">
        <f>Employee__2[[#This Row],[Experience]]&gt;1</f>
        <v>1</v>
      </c>
      <c r="N1888" s="1" t="str">
        <f>IF(Employee__2[[#This Row],[City]]="Pune","Yes","No")</f>
        <v>No</v>
      </c>
      <c r="O1888" s="1" t="str">
        <f>IF(AND(Employee__2[[#This Row],[Education]]="Bachelors",Employee__2[[#This Row],[City]]="Pune"),"Yes","No")</f>
        <v>No</v>
      </c>
      <c r="P1888" s="1" t="str">
        <f>IF(OR(Employee__2[[#This Row],[Age]]&gt;=30,Employee__2[[#This Row],[Gender]]="Male"),"Mached","Not mached")</f>
        <v>Mached</v>
      </c>
    </row>
    <row r="1889" spans="4:16" x14ac:dyDescent="0.25">
      <c r="D1889" s="6" t="s">
        <v>41</v>
      </c>
      <c r="E1889">
        <v>2015</v>
      </c>
      <c r="F1889" s="6" t="s">
        <v>38</v>
      </c>
      <c r="G1889">
        <v>2</v>
      </c>
      <c r="H1889">
        <v>28</v>
      </c>
      <c r="I1889" s="6" t="s">
        <v>39</v>
      </c>
      <c r="J1889" s="6" t="s">
        <v>37</v>
      </c>
      <c r="K1889">
        <v>0</v>
      </c>
      <c r="M1889" s="1" t="b">
        <f>Employee__2[[#This Row],[Experience]]&gt;1</f>
        <v>0</v>
      </c>
      <c r="N1889" s="1" t="str">
        <f>IF(Employee__2[[#This Row],[City]]="Pune","Yes","No")</f>
        <v>Yes</v>
      </c>
      <c r="O1889" s="1" t="str">
        <f>IF(AND(Employee__2[[#This Row],[Education]]="Bachelors",Employee__2[[#This Row],[City]]="Pune"),"Yes","No")</f>
        <v>No</v>
      </c>
      <c r="P1889" s="1" t="str">
        <f>IF(OR(Employee__2[[#This Row],[Age]]&gt;=30,Employee__2[[#This Row],[Gender]]="Male"),"Mached","Not mached")</f>
        <v>Not mached</v>
      </c>
    </row>
    <row r="1890" spans="4:16" x14ac:dyDescent="0.25">
      <c r="D1890" s="6" t="s">
        <v>34</v>
      </c>
      <c r="E1890">
        <v>2017</v>
      </c>
      <c r="F1890" s="6" t="s">
        <v>38</v>
      </c>
      <c r="G1890">
        <v>3</v>
      </c>
      <c r="H1890">
        <v>26</v>
      </c>
      <c r="I1890" s="6" t="s">
        <v>36</v>
      </c>
      <c r="J1890" s="6" t="s">
        <v>42</v>
      </c>
      <c r="K1890">
        <v>4</v>
      </c>
      <c r="M1890" s="1" t="b">
        <f>Employee__2[[#This Row],[Experience]]&gt;1</f>
        <v>1</v>
      </c>
      <c r="N1890" s="1" t="str">
        <f>IF(Employee__2[[#This Row],[City]]="Pune","Yes","No")</f>
        <v>Yes</v>
      </c>
      <c r="O1890" s="1" t="str">
        <f>IF(AND(Employee__2[[#This Row],[Education]]="Bachelors",Employee__2[[#This Row],[City]]="Pune"),"Yes","No")</f>
        <v>Yes</v>
      </c>
      <c r="P1890" s="1" t="str">
        <f>IF(OR(Employee__2[[#This Row],[Age]]&gt;=30,Employee__2[[#This Row],[Gender]]="Male"),"Mached","Not mached")</f>
        <v>Mached</v>
      </c>
    </row>
    <row r="1891" spans="4:16" x14ac:dyDescent="0.25">
      <c r="D1891" s="6" t="s">
        <v>34</v>
      </c>
      <c r="E1891">
        <v>2018</v>
      </c>
      <c r="F1891" s="6" t="s">
        <v>35</v>
      </c>
      <c r="G1891">
        <v>3</v>
      </c>
      <c r="H1891">
        <v>27</v>
      </c>
      <c r="I1891" s="6" t="s">
        <v>39</v>
      </c>
      <c r="J1891" s="6" t="s">
        <v>37</v>
      </c>
      <c r="K1891">
        <v>5</v>
      </c>
      <c r="M1891" s="1" t="b">
        <f>Employee__2[[#This Row],[Experience]]&gt;1</f>
        <v>1</v>
      </c>
      <c r="N1891" s="1" t="str">
        <f>IF(Employee__2[[#This Row],[City]]="Pune","Yes","No")</f>
        <v>No</v>
      </c>
      <c r="O1891" s="1" t="str">
        <f>IF(AND(Employee__2[[#This Row],[Education]]="Bachelors",Employee__2[[#This Row],[City]]="Pune"),"Yes","No")</f>
        <v>No</v>
      </c>
      <c r="P1891" s="1" t="str">
        <f>IF(OR(Employee__2[[#This Row],[Age]]&gt;=30,Employee__2[[#This Row],[Gender]]="Male"),"Mached","Not mached")</f>
        <v>Not mached</v>
      </c>
    </row>
    <row r="1892" spans="4:16" x14ac:dyDescent="0.25">
      <c r="D1892" s="6" t="s">
        <v>41</v>
      </c>
      <c r="E1892">
        <v>2017</v>
      </c>
      <c r="F1892" s="6" t="s">
        <v>38</v>
      </c>
      <c r="G1892">
        <v>3</v>
      </c>
      <c r="H1892">
        <v>27</v>
      </c>
      <c r="I1892" s="6" t="s">
        <v>36</v>
      </c>
      <c r="J1892" s="6" t="s">
        <v>37</v>
      </c>
      <c r="K1892">
        <v>5</v>
      </c>
      <c r="M1892" s="1" t="b">
        <f>Employee__2[[#This Row],[Experience]]&gt;1</f>
        <v>1</v>
      </c>
      <c r="N1892" s="1" t="str">
        <f>IF(Employee__2[[#This Row],[City]]="Pune","Yes","No")</f>
        <v>Yes</v>
      </c>
      <c r="O1892" s="1" t="str">
        <f>IF(AND(Employee__2[[#This Row],[Education]]="Bachelors",Employee__2[[#This Row],[City]]="Pune"),"Yes","No")</f>
        <v>No</v>
      </c>
      <c r="P1892" s="1" t="str">
        <f>IF(OR(Employee__2[[#This Row],[Age]]&gt;=30,Employee__2[[#This Row],[Gender]]="Male"),"Mached","Not mached")</f>
        <v>Mached</v>
      </c>
    </row>
    <row r="1893" spans="4:16" x14ac:dyDescent="0.25">
      <c r="D1893" s="6" t="s">
        <v>34</v>
      </c>
      <c r="E1893">
        <v>2013</v>
      </c>
      <c r="F1893" s="6" t="s">
        <v>35</v>
      </c>
      <c r="G1893">
        <v>1</v>
      </c>
      <c r="H1893">
        <v>27</v>
      </c>
      <c r="I1893" s="6" t="s">
        <v>39</v>
      </c>
      <c r="J1893" s="6" t="s">
        <v>37</v>
      </c>
      <c r="K1893">
        <v>5</v>
      </c>
      <c r="M1893" s="1" t="b">
        <f>Employee__2[[#This Row],[Experience]]&gt;1</f>
        <v>1</v>
      </c>
      <c r="N1893" s="1" t="str">
        <f>IF(Employee__2[[#This Row],[City]]="Pune","Yes","No")</f>
        <v>No</v>
      </c>
      <c r="O1893" s="1" t="str">
        <f>IF(AND(Employee__2[[#This Row],[Education]]="Bachelors",Employee__2[[#This Row],[City]]="Pune"),"Yes","No")</f>
        <v>No</v>
      </c>
      <c r="P1893" s="1" t="str">
        <f>IF(OR(Employee__2[[#This Row],[Age]]&gt;=30,Employee__2[[#This Row],[Gender]]="Male"),"Mached","Not mached")</f>
        <v>Not mached</v>
      </c>
    </row>
    <row r="1894" spans="4:16" x14ac:dyDescent="0.25">
      <c r="D1894" s="6" t="s">
        <v>34</v>
      </c>
      <c r="E1894">
        <v>2016</v>
      </c>
      <c r="F1894" s="6" t="s">
        <v>35</v>
      </c>
      <c r="G1894">
        <v>3</v>
      </c>
      <c r="H1894">
        <v>27</v>
      </c>
      <c r="I1894" s="6" t="s">
        <v>39</v>
      </c>
      <c r="J1894" s="6" t="s">
        <v>37</v>
      </c>
      <c r="K1894">
        <v>5</v>
      </c>
      <c r="M1894" s="1" t="b">
        <f>Employee__2[[#This Row],[Experience]]&gt;1</f>
        <v>1</v>
      </c>
      <c r="N1894" s="1" t="str">
        <f>IF(Employee__2[[#This Row],[City]]="Pune","Yes","No")</f>
        <v>No</v>
      </c>
      <c r="O1894" s="1" t="str">
        <f>IF(AND(Employee__2[[#This Row],[Education]]="Bachelors",Employee__2[[#This Row],[City]]="Pune"),"Yes","No")</f>
        <v>No</v>
      </c>
      <c r="P1894" s="1" t="str">
        <f>IF(OR(Employee__2[[#This Row],[Age]]&gt;=30,Employee__2[[#This Row],[Gender]]="Male"),"Mached","Not mached")</f>
        <v>Not mached</v>
      </c>
    </row>
    <row r="1895" spans="4:16" x14ac:dyDescent="0.25">
      <c r="D1895" s="6" t="s">
        <v>34</v>
      </c>
      <c r="E1895">
        <v>2013</v>
      </c>
      <c r="F1895" s="6" t="s">
        <v>38</v>
      </c>
      <c r="G1895">
        <v>3</v>
      </c>
      <c r="H1895">
        <v>28</v>
      </c>
      <c r="I1895" s="6" t="s">
        <v>36</v>
      </c>
      <c r="J1895" s="6" t="s">
        <v>37</v>
      </c>
      <c r="K1895">
        <v>1</v>
      </c>
      <c r="M1895" s="1" t="b">
        <f>Employee__2[[#This Row],[Experience]]&gt;1</f>
        <v>0</v>
      </c>
      <c r="N1895" s="1" t="str">
        <f>IF(Employee__2[[#This Row],[City]]="Pune","Yes","No")</f>
        <v>Yes</v>
      </c>
      <c r="O1895" s="1" t="str">
        <f>IF(AND(Employee__2[[#This Row],[Education]]="Bachelors",Employee__2[[#This Row],[City]]="Pune"),"Yes","No")</f>
        <v>Yes</v>
      </c>
      <c r="P1895" s="1" t="str">
        <f>IF(OR(Employee__2[[#This Row],[Age]]&gt;=30,Employee__2[[#This Row],[Gender]]="Male"),"Mached","Not mached")</f>
        <v>Mached</v>
      </c>
    </row>
    <row r="1896" spans="4:16" x14ac:dyDescent="0.25">
      <c r="D1896" s="6" t="s">
        <v>34</v>
      </c>
      <c r="E1896">
        <v>2017</v>
      </c>
      <c r="F1896" s="6" t="s">
        <v>38</v>
      </c>
      <c r="G1896">
        <v>3</v>
      </c>
      <c r="H1896">
        <v>28</v>
      </c>
      <c r="I1896" s="6" t="s">
        <v>36</v>
      </c>
      <c r="J1896" s="6" t="s">
        <v>37</v>
      </c>
      <c r="K1896">
        <v>2</v>
      </c>
      <c r="M1896" s="1" t="b">
        <f>Employee__2[[#This Row],[Experience]]&gt;1</f>
        <v>1</v>
      </c>
      <c r="N1896" s="1" t="str">
        <f>IF(Employee__2[[#This Row],[City]]="Pune","Yes","No")</f>
        <v>Yes</v>
      </c>
      <c r="O1896" s="1" t="str">
        <f>IF(AND(Employee__2[[#This Row],[Education]]="Bachelors",Employee__2[[#This Row],[City]]="Pune"),"Yes","No")</f>
        <v>Yes</v>
      </c>
      <c r="P1896" s="1" t="str">
        <f>IF(OR(Employee__2[[#This Row],[Age]]&gt;=30,Employee__2[[#This Row],[Gender]]="Male"),"Mached","Not mached")</f>
        <v>Mached</v>
      </c>
    </row>
    <row r="1897" spans="4:16" x14ac:dyDescent="0.25">
      <c r="D1897" s="6" t="s">
        <v>34</v>
      </c>
      <c r="E1897">
        <v>2013</v>
      </c>
      <c r="F1897" s="6" t="s">
        <v>35</v>
      </c>
      <c r="G1897">
        <v>3</v>
      </c>
      <c r="H1897">
        <v>26</v>
      </c>
      <c r="I1897" s="6" t="s">
        <v>36</v>
      </c>
      <c r="J1897" s="6" t="s">
        <v>37</v>
      </c>
      <c r="K1897">
        <v>4</v>
      </c>
      <c r="M1897" s="1" t="b">
        <f>Employee__2[[#This Row],[Experience]]&gt;1</f>
        <v>1</v>
      </c>
      <c r="N1897" s="1" t="str">
        <f>IF(Employee__2[[#This Row],[City]]="Pune","Yes","No")</f>
        <v>No</v>
      </c>
      <c r="O1897" s="1" t="str">
        <f>IF(AND(Employee__2[[#This Row],[Education]]="Bachelors",Employee__2[[#This Row],[City]]="Pune"),"Yes","No")</f>
        <v>No</v>
      </c>
      <c r="P1897" s="1" t="str">
        <f>IF(OR(Employee__2[[#This Row],[Age]]&gt;=30,Employee__2[[#This Row],[Gender]]="Male"),"Mached","Not mached")</f>
        <v>Mached</v>
      </c>
    </row>
    <row r="1898" spans="4:16" x14ac:dyDescent="0.25">
      <c r="D1898" s="6" t="s">
        <v>34</v>
      </c>
      <c r="E1898">
        <v>2015</v>
      </c>
      <c r="F1898" s="6" t="s">
        <v>35</v>
      </c>
      <c r="G1898">
        <v>3</v>
      </c>
      <c r="H1898">
        <v>25</v>
      </c>
      <c r="I1898" s="6" t="s">
        <v>39</v>
      </c>
      <c r="J1898" s="6" t="s">
        <v>37</v>
      </c>
      <c r="K1898">
        <v>3</v>
      </c>
      <c r="M1898" s="1" t="b">
        <f>Employee__2[[#This Row],[Experience]]&gt;1</f>
        <v>1</v>
      </c>
      <c r="N1898" s="1" t="str">
        <f>IF(Employee__2[[#This Row],[City]]="Pune","Yes","No")</f>
        <v>No</v>
      </c>
      <c r="O1898" s="1" t="str">
        <f>IF(AND(Employee__2[[#This Row],[Education]]="Bachelors",Employee__2[[#This Row],[City]]="Pune"),"Yes","No")</f>
        <v>No</v>
      </c>
      <c r="P1898" s="1" t="str">
        <f>IF(OR(Employee__2[[#This Row],[Age]]&gt;=30,Employee__2[[#This Row],[Gender]]="Male"),"Mached","Not mached")</f>
        <v>Not mached</v>
      </c>
    </row>
    <row r="1899" spans="4:16" x14ac:dyDescent="0.25">
      <c r="D1899" s="6" t="s">
        <v>34</v>
      </c>
      <c r="E1899">
        <v>2015</v>
      </c>
      <c r="F1899" s="6" t="s">
        <v>38</v>
      </c>
      <c r="G1899">
        <v>3</v>
      </c>
      <c r="H1899">
        <v>24</v>
      </c>
      <c r="I1899" s="6" t="s">
        <v>39</v>
      </c>
      <c r="J1899" s="6" t="s">
        <v>37</v>
      </c>
      <c r="K1899">
        <v>2</v>
      </c>
      <c r="M1899" s="1" t="b">
        <f>Employee__2[[#This Row],[Experience]]&gt;1</f>
        <v>1</v>
      </c>
      <c r="N1899" s="1" t="str">
        <f>IF(Employee__2[[#This Row],[City]]="Pune","Yes","No")</f>
        <v>Yes</v>
      </c>
      <c r="O1899" s="1" t="str">
        <f>IF(AND(Employee__2[[#This Row],[Education]]="Bachelors",Employee__2[[#This Row],[City]]="Pune"),"Yes","No")</f>
        <v>Yes</v>
      </c>
      <c r="P1899" s="1" t="str">
        <f>IF(OR(Employee__2[[#This Row],[Age]]&gt;=30,Employee__2[[#This Row],[Gender]]="Male"),"Mached","Not mached")</f>
        <v>Not mached</v>
      </c>
    </row>
    <row r="1900" spans="4:16" x14ac:dyDescent="0.25">
      <c r="D1900" s="6" t="s">
        <v>34</v>
      </c>
      <c r="E1900">
        <v>2014</v>
      </c>
      <c r="F1900" s="6" t="s">
        <v>40</v>
      </c>
      <c r="G1900">
        <v>3</v>
      </c>
      <c r="H1900">
        <v>28</v>
      </c>
      <c r="I1900" s="6" t="s">
        <v>36</v>
      </c>
      <c r="J1900" s="6" t="s">
        <v>37</v>
      </c>
      <c r="K1900">
        <v>1</v>
      </c>
      <c r="M1900" s="1" t="b">
        <f>Employee__2[[#This Row],[Experience]]&gt;1</f>
        <v>0</v>
      </c>
      <c r="N1900" s="1" t="str">
        <f>IF(Employee__2[[#This Row],[City]]="Pune","Yes","No")</f>
        <v>No</v>
      </c>
      <c r="O1900" s="1" t="str">
        <f>IF(AND(Employee__2[[#This Row],[Education]]="Bachelors",Employee__2[[#This Row],[City]]="Pune"),"Yes","No")</f>
        <v>No</v>
      </c>
      <c r="P1900" s="1" t="str">
        <f>IF(OR(Employee__2[[#This Row],[Age]]&gt;=30,Employee__2[[#This Row],[Gender]]="Male"),"Mached","Not mached")</f>
        <v>Mached</v>
      </c>
    </row>
    <row r="1901" spans="4:16" x14ac:dyDescent="0.25">
      <c r="D1901" s="6" t="s">
        <v>34</v>
      </c>
      <c r="E1901">
        <v>2017</v>
      </c>
      <c r="F1901" s="6" t="s">
        <v>40</v>
      </c>
      <c r="G1901">
        <v>2</v>
      </c>
      <c r="H1901">
        <v>28</v>
      </c>
      <c r="I1901" s="6" t="s">
        <v>39</v>
      </c>
      <c r="J1901" s="6" t="s">
        <v>37</v>
      </c>
      <c r="K1901">
        <v>2</v>
      </c>
      <c r="M1901" s="1" t="b">
        <f>Employee__2[[#This Row],[Experience]]&gt;1</f>
        <v>1</v>
      </c>
      <c r="N1901" s="1" t="str">
        <f>IF(Employee__2[[#This Row],[City]]="Pune","Yes","No")</f>
        <v>No</v>
      </c>
      <c r="O1901" s="1" t="str">
        <f>IF(AND(Employee__2[[#This Row],[Education]]="Bachelors",Employee__2[[#This Row],[City]]="Pune"),"Yes","No")</f>
        <v>No</v>
      </c>
      <c r="P1901" s="1" t="str">
        <f>IF(OR(Employee__2[[#This Row],[Age]]&gt;=30,Employee__2[[#This Row],[Gender]]="Male"),"Mached","Not mached")</f>
        <v>Not mached</v>
      </c>
    </row>
    <row r="1902" spans="4:16" x14ac:dyDescent="0.25">
      <c r="D1902" s="6" t="s">
        <v>41</v>
      </c>
      <c r="E1902">
        <v>2015</v>
      </c>
      <c r="F1902" s="6" t="s">
        <v>40</v>
      </c>
      <c r="G1902">
        <v>3</v>
      </c>
      <c r="H1902">
        <v>26</v>
      </c>
      <c r="I1902" s="6" t="s">
        <v>36</v>
      </c>
      <c r="J1902" s="6" t="s">
        <v>37</v>
      </c>
      <c r="K1902">
        <v>4</v>
      </c>
      <c r="M1902" s="1" t="b">
        <f>Employee__2[[#This Row],[Experience]]&gt;1</f>
        <v>1</v>
      </c>
      <c r="N1902" s="1" t="str">
        <f>IF(Employee__2[[#This Row],[City]]="Pune","Yes","No")</f>
        <v>No</v>
      </c>
      <c r="O1902" s="1" t="str">
        <f>IF(AND(Employee__2[[#This Row],[Education]]="Bachelors",Employee__2[[#This Row],[City]]="Pune"),"Yes","No")</f>
        <v>No</v>
      </c>
      <c r="P1902" s="1" t="str">
        <f>IF(OR(Employee__2[[#This Row],[Age]]&gt;=30,Employee__2[[#This Row],[Gender]]="Male"),"Mached","Not mached")</f>
        <v>Mached</v>
      </c>
    </row>
    <row r="1903" spans="4:16" x14ac:dyDescent="0.25">
      <c r="D1903" s="6" t="s">
        <v>43</v>
      </c>
      <c r="E1903">
        <v>2014</v>
      </c>
      <c r="F1903" s="6" t="s">
        <v>40</v>
      </c>
      <c r="G1903">
        <v>3</v>
      </c>
      <c r="H1903">
        <v>25</v>
      </c>
      <c r="I1903" s="6" t="s">
        <v>36</v>
      </c>
      <c r="J1903" s="6" t="s">
        <v>37</v>
      </c>
      <c r="K1903">
        <v>3</v>
      </c>
      <c r="M1903" s="1" t="b">
        <f>Employee__2[[#This Row],[Experience]]&gt;1</f>
        <v>1</v>
      </c>
      <c r="N1903" s="1" t="str">
        <f>IF(Employee__2[[#This Row],[City]]="Pune","Yes","No")</f>
        <v>No</v>
      </c>
      <c r="O1903" s="1" t="str">
        <f>IF(AND(Employee__2[[#This Row],[Education]]="Bachelors",Employee__2[[#This Row],[City]]="Pune"),"Yes","No")</f>
        <v>No</v>
      </c>
      <c r="P1903" s="1" t="str">
        <f>IF(OR(Employee__2[[#This Row],[Age]]&gt;=30,Employee__2[[#This Row],[Gender]]="Male"),"Mached","Not mached")</f>
        <v>Mached</v>
      </c>
    </row>
    <row r="1904" spans="4:16" x14ac:dyDescent="0.25">
      <c r="D1904" s="6" t="s">
        <v>34</v>
      </c>
      <c r="E1904">
        <v>2013</v>
      </c>
      <c r="F1904" s="6" t="s">
        <v>35</v>
      </c>
      <c r="G1904">
        <v>3</v>
      </c>
      <c r="H1904">
        <v>25</v>
      </c>
      <c r="I1904" s="6" t="s">
        <v>36</v>
      </c>
      <c r="J1904" s="6" t="s">
        <v>37</v>
      </c>
      <c r="K1904">
        <v>3</v>
      </c>
      <c r="M1904" s="1" t="b">
        <f>Employee__2[[#This Row],[Experience]]&gt;1</f>
        <v>1</v>
      </c>
      <c r="N1904" s="1" t="str">
        <f>IF(Employee__2[[#This Row],[City]]="Pune","Yes","No")</f>
        <v>No</v>
      </c>
      <c r="O1904" s="1" t="str">
        <f>IF(AND(Employee__2[[#This Row],[Education]]="Bachelors",Employee__2[[#This Row],[City]]="Pune"),"Yes","No")</f>
        <v>No</v>
      </c>
      <c r="P1904" s="1" t="str">
        <f>IF(OR(Employee__2[[#This Row],[Age]]&gt;=30,Employee__2[[#This Row],[Gender]]="Male"),"Mached","Not mached")</f>
        <v>Mached</v>
      </c>
    </row>
    <row r="1905" spans="4:16" x14ac:dyDescent="0.25">
      <c r="D1905" s="6" t="s">
        <v>34</v>
      </c>
      <c r="E1905">
        <v>2017</v>
      </c>
      <c r="F1905" s="6" t="s">
        <v>35</v>
      </c>
      <c r="G1905">
        <v>3</v>
      </c>
      <c r="H1905">
        <v>25</v>
      </c>
      <c r="I1905" s="6" t="s">
        <v>36</v>
      </c>
      <c r="J1905" s="6" t="s">
        <v>37</v>
      </c>
      <c r="K1905">
        <v>3</v>
      </c>
      <c r="M1905" s="1" t="b">
        <f>Employee__2[[#This Row],[Experience]]&gt;1</f>
        <v>1</v>
      </c>
      <c r="N1905" s="1" t="str">
        <f>IF(Employee__2[[#This Row],[City]]="Pune","Yes","No")</f>
        <v>No</v>
      </c>
      <c r="O1905" s="1" t="str">
        <f>IF(AND(Employee__2[[#This Row],[Education]]="Bachelors",Employee__2[[#This Row],[City]]="Pune"),"Yes","No")</f>
        <v>No</v>
      </c>
      <c r="P1905" s="1" t="str">
        <f>IF(OR(Employee__2[[#This Row],[Age]]&gt;=30,Employee__2[[#This Row],[Gender]]="Male"),"Mached","Not mached")</f>
        <v>Mached</v>
      </c>
    </row>
    <row r="1906" spans="4:16" x14ac:dyDescent="0.25">
      <c r="D1906" s="6" t="s">
        <v>34</v>
      </c>
      <c r="E1906">
        <v>2013</v>
      </c>
      <c r="F1906" s="6" t="s">
        <v>40</v>
      </c>
      <c r="G1906">
        <v>2</v>
      </c>
      <c r="H1906">
        <v>24</v>
      </c>
      <c r="I1906" s="6" t="s">
        <v>39</v>
      </c>
      <c r="J1906" s="6" t="s">
        <v>37</v>
      </c>
      <c r="K1906">
        <v>2</v>
      </c>
      <c r="M1906" s="1" t="b">
        <f>Employee__2[[#This Row],[Experience]]&gt;1</f>
        <v>1</v>
      </c>
      <c r="N1906" s="1" t="str">
        <f>IF(Employee__2[[#This Row],[City]]="Pune","Yes","No")</f>
        <v>No</v>
      </c>
      <c r="O1906" s="1" t="str">
        <f>IF(AND(Employee__2[[#This Row],[Education]]="Bachelors",Employee__2[[#This Row],[City]]="Pune"),"Yes","No")</f>
        <v>No</v>
      </c>
      <c r="P1906" s="1" t="str">
        <f>IF(OR(Employee__2[[#This Row],[Age]]&gt;=30,Employee__2[[#This Row],[Gender]]="Male"),"Mached","Not mached")</f>
        <v>Not mached</v>
      </c>
    </row>
    <row r="1907" spans="4:16" x14ac:dyDescent="0.25">
      <c r="D1907" s="6" t="s">
        <v>34</v>
      </c>
      <c r="E1907">
        <v>2014</v>
      </c>
      <c r="F1907" s="6" t="s">
        <v>38</v>
      </c>
      <c r="G1907">
        <v>3</v>
      </c>
      <c r="H1907">
        <v>25</v>
      </c>
      <c r="I1907" s="6" t="s">
        <v>36</v>
      </c>
      <c r="J1907" s="6" t="s">
        <v>37</v>
      </c>
      <c r="K1907">
        <v>3</v>
      </c>
      <c r="M1907" s="1" t="b">
        <f>Employee__2[[#This Row],[Experience]]&gt;1</f>
        <v>1</v>
      </c>
      <c r="N1907" s="1" t="str">
        <f>IF(Employee__2[[#This Row],[City]]="Pune","Yes","No")</f>
        <v>Yes</v>
      </c>
      <c r="O1907" s="1" t="str">
        <f>IF(AND(Employee__2[[#This Row],[Education]]="Bachelors",Employee__2[[#This Row],[City]]="Pune"),"Yes","No")</f>
        <v>Yes</v>
      </c>
      <c r="P1907" s="1" t="str">
        <f>IF(OR(Employee__2[[#This Row],[Age]]&gt;=30,Employee__2[[#This Row],[Gender]]="Male"),"Mached","Not mached")</f>
        <v>Mached</v>
      </c>
    </row>
    <row r="1908" spans="4:16" x14ac:dyDescent="0.25">
      <c r="D1908" s="6" t="s">
        <v>34</v>
      </c>
      <c r="E1908">
        <v>2017</v>
      </c>
      <c r="F1908" s="6" t="s">
        <v>40</v>
      </c>
      <c r="G1908">
        <v>3</v>
      </c>
      <c r="H1908">
        <v>25</v>
      </c>
      <c r="I1908" s="6" t="s">
        <v>39</v>
      </c>
      <c r="J1908" s="6" t="s">
        <v>37</v>
      </c>
      <c r="K1908">
        <v>3</v>
      </c>
      <c r="M1908" s="1" t="b">
        <f>Employee__2[[#This Row],[Experience]]&gt;1</f>
        <v>1</v>
      </c>
      <c r="N1908" s="1" t="str">
        <f>IF(Employee__2[[#This Row],[City]]="Pune","Yes","No")</f>
        <v>No</v>
      </c>
      <c r="O1908" s="1" t="str">
        <f>IF(AND(Employee__2[[#This Row],[Education]]="Bachelors",Employee__2[[#This Row],[City]]="Pune"),"Yes","No")</f>
        <v>No</v>
      </c>
      <c r="P1908" s="1" t="str">
        <f>IF(OR(Employee__2[[#This Row],[Age]]&gt;=30,Employee__2[[#This Row],[Gender]]="Male"),"Mached","Not mached")</f>
        <v>Not mached</v>
      </c>
    </row>
    <row r="1909" spans="4:16" x14ac:dyDescent="0.25">
      <c r="D1909" s="6" t="s">
        <v>41</v>
      </c>
      <c r="E1909">
        <v>2017</v>
      </c>
      <c r="F1909" s="6" t="s">
        <v>40</v>
      </c>
      <c r="G1909">
        <v>2</v>
      </c>
      <c r="H1909">
        <v>24</v>
      </c>
      <c r="I1909" s="6" t="s">
        <v>36</v>
      </c>
      <c r="J1909" s="6" t="s">
        <v>42</v>
      </c>
      <c r="K1909">
        <v>2</v>
      </c>
      <c r="M1909" s="1" t="b">
        <f>Employee__2[[#This Row],[Experience]]&gt;1</f>
        <v>1</v>
      </c>
      <c r="N1909" s="1" t="str">
        <f>IF(Employee__2[[#This Row],[City]]="Pune","Yes","No")</f>
        <v>No</v>
      </c>
      <c r="O1909" s="1" t="str">
        <f>IF(AND(Employee__2[[#This Row],[Education]]="Bachelors",Employee__2[[#This Row],[City]]="Pune"),"Yes","No")</f>
        <v>No</v>
      </c>
      <c r="P1909" s="1" t="str">
        <f>IF(OR(Employee__2[[#This Row],[Age]]&gt;=30,Employee__2[[#This Row],[Gender]]="Male"),"Mached","Not mached")</f>
        <v>Mached</v>
      </c>
    </row>
    <row r="1910" spans="4:16" x14ac:dyDescent="0.25">
      <c r="D1910" s="6" t="s">
        <v>34</v>
      </c>
      <c r="E1910">
        <v>2015</v>
      </c>
      <c r="F1910" s="6" t="s">
        <v>40</v>
      </c>
      <c r="G1910">
        <v>3</v>
      </c>
      <c r="H1910">
        <v>28</v>
      </c>
      <c r="I1910" s="6" t="s">
        <v>39</v>
      </c>
      <c r="J1910" s="6" t="s">
        <v>37</v>
      </c>
      <c r="K1910">
        <v>2</v>
      </c>
      <c r="M1910" s="1" t="b">
        <f>Employee__2[[#This Row],[Experience]]&gt;1</f>
        <v>1</v>
      </c>
      <c r="N1910" s="1" t="str">
        <f>IF(Employee__2[[#This Row],[City]]="Pune","Yes","No")</f>
        <v>No</v>
      </c>
      <c r="O1910" s="1" t="str">
        <f>IF(AND(Employee__2[[#This Row],[Education]]="Bachelors",Employee__2[[#This Row],[City]]="Pune"),"Yes","No")</f>
        <v>No</v>
      </c>
      <c r="P1910" s="1" t="str">
        <f>IF(OR(Employee__2[[#This Row],[Age]]&gt;=30,Employee__2[[#This Row],[Gender]]="Male"),"Mached","Not mached")</f>
        <v>Not mached</v>
      </c>
    </row>
    <row r="1911" spans="4:16" x14ac:dyDescent="0.25">
      <c r="D1911" s="6" t="s">
        <v>34</v>
      </c>
      <c r="E1911">
        <v>2017</v>
      </c>
      <c r="F1911" s="6" t="s">
        <v>35</v>
      </c>
      <c r="G1911">
        <v>3</v>
      </c>
      <c r="H1911">
        <v>27</v>
      </c>
      <c r="I1911" s="6" t="s">
        <v>36</v>
      </c>
      <c r="J1911" s="6" t="s">
        <v>37</v>
      </c>
      <c r="K1911">
        <v>5</v>
      </c>
      <c r="M1911" s="1" t="b">
        <f>Employee__2[[#This Row],[Experience]]&gt;1</f>
        <v>1</v>
      </c>
      <c r="N1911" s="1" t="str">
        <f>IF(Employee__2[[#This Row],[City]]="Pune","Yes","No")</f>
        <v>No</v>
      </c>
      <c r="O1911" s="1" t="str">
        <f>IF(AND(Employee__2[[#This Row],[Education]]="Bachelors",Employee__2[[#This Row],[City]]="Pune"),"Yes","No")</f>
        <v>No</v>
      </c>
      <c r="P1911" s="1" t="str">
        <f>IF(OR(Employee__2[[#This Row],[Age]]&gt;=30,Employee__2[[#This Row],[Gender]]="Male"),"Mached","Not mached")</f>
        <v>Mached</v>
      </c>
    </row>
    <row r="1912" spans="4:16" x14ac:dyDescent="0.25">
      <c r="D1912" s="6" t="s">
        <v>34</v>
      </c>
      <c r="E1912">
        <v>2015</v>
      </c>
      <c r="F1912" s="6" t="s">
        <v>38</v>
      </c>
      <c r="G1912">
        <v>3</v>
      </c>
      <c r="H1912">
        <v>26</v>
      </c>
      <c r="I1912" s="6" t="s">
        <v>36</v>
      </c>
      <c r="J1912" s="6" t="s">
        <v>37</v>
      </c>
      <c r="K1912">
        <v>4</v>
      </c>
      <c r="M1912" s="1" t="b">
        <f>Employee__2[[#This Row],[Experience]]&gt;1</f>
        <v>1</v>
      </c>
      <c r="N1912" s="1" t="str">
        <f>IF(Employee__2[[#This Row],[City]]="Pune","Yes","No")</f>
        <v>Yes</v>
      </c>
      <c r="O1912" s="1" t="str">
        <f>IF(AND(Employee__2[[#This Row],[Education]]="Bachelors",Employee__2[[#This Row],[City]]="Pune"),"Yes","No")</f>
        <v>Yes</v>
      </c>
      <c r="P1912" s="1" t="str">
        <f>IF(OR(Employee__2[[#This Row],[Age]]&gt;=30,Employee__2[[#This Row],[Gender]]="Male"),"Mached","Not mached")</f>
        <v>Mached</v>
      </c>
    </row>
    <row r="1913" spans="4:16" x14ac:dyDescent="0.25">
      <c r="D1913" s="6" t="s">
        <v>34</v>
      </c>
      <c r="E1913">
        <v>2017</v>
      </c>
      <c r="F1913" s="6" t="s">
        <v>38</v>
      </c>
      <c r="G1913">
        <v>2</v>
      </c>
      <c r="H1913">
        <v>27</v>
      </c>
      <c r="I1913" s="6" t="s">
        <v>39</v>
      </c>
      <c r="J1913" s="6" t="s">
        <v>37</v>
      </c>
      <c r="K1913">
        <v>5</v>
      </c>
      <c r="M1913" s="1" t="b">
        <f>Employee__2[[#This Row],[Experience]]&gt;1</f>
        <v>1</v>
      </c>
      <c r="N1913" s="1" t="str">
        <f>IF(Employee__2[[#This Row],[City]]="Pune","Yes","No")</f>
        <v>Yes</v>
      </c>
      <c r="O1913" s="1" t="str">
        <f>IF(AND(Employee__2[[#This Row],[Education]]="Bachelors",Employee__2[[#This Row],[City]]="Pune"),"Yes","No")</f>
        <v>Yes</v>
      </c>
      <c r="P1913" s="1" t="str">
        <f>IF(OR(Employee__2[[#This Row],[Age]]&gt;=30,Employee__2[[#This Row],[Gender]]="Male"),"Mached","Not mached")</f>
        <v>Not mached</v>
      </c>
    </row>
    <row r="1914" spans="4:16" x14ac:dyDescent="0.25">
      <c r="D1914" s="6" t="s">
        <v>34</v>
      </c>
      <c r="E1914">
        <v>2016</v>
      </c>
      <c r="F1914" s="6" t="s">
        <v>35</v>
      </c>
      <c r="G1914">
        <v>3</v>
      </c>
      <c r="H1914">
        <v>24</v>
      </c>
      <c r="I1914" s="6" t="s">
        <v>36</v>
      </c>
      <c r="J1914" s="6" t="s">
        <v>37</v>
      </c>
      <c r="K1914">
        <v>2</v>
      </c>
      <c r="M1914" s="1" t="b">
        <f>Employee__2[[#This Row],[Experience]]&gt;1</f>
        <v>1</v>
      </c>
      <c r="N1914" s="1" t="str">
        <f>IF(Employee__2[[#This Row],[City]]="Pune","Yes","No")</f>
        <v>No</v>
      </c>
      <c r="O1914" s="1" t="str">
        <f>IF(AND(Employee__2[[#This Row],[Education]]="Bachelors",Employee__2[[#This Row],[City]]="Pune"),"Yes","No")</f>
        <v>No</v>
      </c>
      <c r="P1914" s="1" t="str">
        <f>IF(OR(Employee__2[[#This Row],[Age]]&gt;=30,Employee__2[[#This Row],[Gender]]="Male"),"Mached","Not mached")</f>
        <v>Mached</v>
      </c>
    </row>
    <row r="1915" spans="4:16" x14ac:dyDescent="0.25">
      <c r="D1915" s="6" t="s">
        <v>34</v>
      </c>
      <c r="E1915">
        <v>2014</v>
      </c>
      <c r="F1915" s="6" t="s">
        <v>35</v>
      </c>
      <c r="G1915">
        <v>2</v>
      </c>
      <c r="H1915">
        <v>26</v>
      </c>
      <c r="I1915" s="6" t="s">
        <v>39</v>
      </c>
      <c r="J1915" s="6" t="s">
        <v>37</v>
      </c>
      <c r="K1915">
        <v>4</v>
      </c>
      <c r="M1915" s="1" t="b">
        <f>Employee__2[[#This Row],[Experience]]&gt;1</f>
        <v>1</v>
      </c>
      <c r="N1915" s="1" t="str">
        <f>IF(Employee__2[[#This Row],[City]]="Pune","Yes","No")</f>
        <v>No</v>
      </c>
      <c r="O1915" s="1" t="str">
        <f>IF(AND(Employee__2[[#This Row],[Education]]="Bachelors",Employee__2[[#This Row],[City]]="Pune"),"Yes","No")</f>
        <v>No</v>
      </c>
      <c r="P1915" s="1" t="str">
        <f>IF(OR(Employee__2[[#This Row],[Age]]&gt;=30,Employee__2[[#This Row],[Gender]]="Male"),"Mached","Not mached")</f>
        <v>Not mached</v>
      </c>
    </row>
    <row r="1916" spans="4:16" x14ac:dyDescent="0.25">
      <c r="D1916" s="6" t="s">
        <v>41</v>
      </c>
      <c r="E1916">
        <v>2017</v>
      </c>
      <c r="F1916" s="6" t="s">
        <v>40</v>
      </c>
      <c r="G1916">
        <v>2</v>
      </c>
      <c r="H1916">
        <v>25</v>
      </c>
      <c r="I1916" s="6" t="s">
        <v>39</v>
      </c>
      <c r="J1916" s="6" t="s">
        <v>37</v>
      </c>
      <c r="K1916">
        <v>3</v>
      </c>
      <c r="M1916" s="1" t="b">
        <f>Employee__2[[#This Row],[Experience]]&gt;1</f>
        <v>1</v>
      </c>
      <c r="N1916" s="1" t="str">
        <f>IF(Employee__2[[#This Row],[City]]="Pune","Yes","No")</f>
        <v>No</v>
      </c>
      <c r="O1916" s="1" t="str">
        <f>IF(AND(Employee__2[[#This Row],[Education]]="Bachelors",Employee__2[[#This Row],[City]]="Pune"),"Yes","No")</f>
        <v>No</v>
      </c>
      <c r="P1916" s="1" t="str">
        <f>IF(OR(Employee__2[[#This Row],[Age]]&gt;=30,Employee__2[[#This Row],[Gender]]="Male"),"Mached","Not mached")</f>
        <v>Not mached</v>
      </c>
    </row>
    <row r="1917" spans="4:16" x14ac:dyDescent="0.25">
      <c r="D1917" s="6" t="s">
        <v>34</v>
      </c>
      <c r="E1917">
        <v>2012</v>
      </c>
      <c r="F1917" s="6" t="s">
        <v>40</v>
      </c>
      <c r="G1917">
        <v>3</v>
      </c>
      <c r="H1917">
        <v>25</v>
      </c>
      <c r="I1917" s="6" t="s">
        <v>39</v>
      </c>
      <c r="J1917" s="6" t="s">
        <v>37</v>
      </c>
      <c r="K1917">
        <v>3</v>
      </c>
      <c r="M1917" s="1" t="b">
        <f>Employee__2[[#This Row],[Experience]]&gt;1</f>
        <v>1</v>
      </c>
      <c r="N1917" s="1" t="str">
        <f>IF(Employee__2[[#This Row],[City]]="Pune","Yes","No")</f>
        <v>No</v>
      </c>
      <c r="O1917" s="1" t="str">
        <f>IF(AND(Employee__2[[#This Row],[Education]]="Bachelors",Employee__2[[#This Row],[City]]="Pune"),"Yes","No")</f>
        <v>No</v>
      </c>
      <c r="P1917" s="1" t="str">
        <f>IF(OR(Employee__2[[#This Row],[Age]]&gt;=30,Employee__2[[#This Row],[Gender]]="Male"),"Mached","Not mached")</f>
        <v>Not mached</v>
      </c>
    </row>
    <row r="1918" spans="4:16" x14ac:dyDescent="0.25">
      <c r="D1918" s="6" t="s">
        <v>34</v>
      </c>
      <c r="E1918">
        <v>2014</v>
      </c>
      <c r="F1918" s="6" t="s">
        <v>35</v>
      </c>
      <c r="G1918">
        <v>3</v>
      </c>
      <c r="H1918">
        <v>27</v>
      </c>
      <c r="I1918" s="6" t="s">
        <v>36</v>
      </c>
      <c r="J1918" s="6" t="s">
        <v>37</v>
      </c>
      <c r="K1918">
        <v>5</v>
      </c>
      <c r="M1918" s="1" t="b">
        <f>Employee__2[[#This Row],[Experience]]&gt;1</f>
        <v>1</v>
      </c>
      <c r="N1918" s="1" t="str">
        <f>IF(Employee__2[[#This Row],[City]]="Pune","Yes","No")</f>
        <v>No</v>
      </c>
      <c r="O1918" s="1" t="str">
        <f>IF(AND(Employee__2[[#This Row],[Education]]="Bachelors",Employee__2[[#This Row],[City]]="Pune"),"Yes","No")</f>
        <v>No</v>
      </c>
      <c r="P1918" s="1" t="str">
        <f>IF(OR(Employee__2[[#This Row],[Age]]&gt;=30,Employee__2[[#This Row],[Gender]]="Male"),"Mached","Not mached")</f>
        <v>Mached</v>
      </c>
    </row>
    <row r="1919" spans="4:16" x14ac:dyDescent="0.25">
      <c r="D1919" s="6" t="s">
        <v>34</v>
      </c>
      <c r="E1919">
        <v>2017</v>
      </c>
      <c r="F1919" s="6" t="s">
        <v>40</v>
      </c>
      <c r="G1919">
        <v>3</v>
      </c>
      <c r="H1919">
        <v>27</v>
      </c>
      <c r="I1919" s="6" t="s">
        <v>36</v>
      </c>
      <c r="J1919" s="6" t="s">
        <v>37</v>
      </c>
      <c r="K1919">
        <v>5</v>
      </c>
      <c r="M1919" s="1" t="b">
        <f>Employee__2[[#This Row],[Experience]]&gt;1</f>
        <v>1</v>
      </c>
      <c r="N1919" s="1" t="str">
        <f>IF(Employee__2[[#This Row],[City]]="Pune","Yes","No")</f>
        <v>No</v>
      </c>
      <c r="O1919" s="1" t="str">
        <f>IF(AND(Employee__2[[#This Row],[Education]]="Bachelors",Employee__2[[#This Row],[City]]="Pune"),"Yes","No")</f>
        <v>No</v>
      </c>
      <c r="P1919" s="1" t="str">
        <f>IF(OR(Employee__2[[#This Row],[Age]]&gt;=30,Employee__2[[#This Row],[Gender]]="Male"),"Mached","Not mached")</f>
        <v>Mached</v>
      </c>
    </row>
    <row r="1920" spans="4:16" x14ac:dyDescent="0.25">
      <c r="D1920" s="6" t="s">
        <v>34</v>
      </c>
      <c r="E1920">
        <v>2018</v>
      </c>
      <c r="F1920" s="6" t="s">
        <v>35</v>
      </c>
      <c r="G1920">
        <v>3</v>
      </c>
      <c r="H1920">
        <v>25</v>
      </c>
      <c r="I1920" s="6" t="s">
        <v>39</v>
      </c>
      <c r="J1920" s="6" t="s">
        <v>37</v>
      </c>
      <c r="K1920">
        <v>3</v>
      </c>
      <c r="M1920" s="1" t="b">
        <f>Employee__2[[#This Row],[Experience]]&gt;1</f>
        <v>1</v>
      </c>
      <c r="N1920" s="1" t="str">
        <f>IF(Employee__2[[#This Row],[City]]="Pune","Yes","No")</f>
        <v>No</v>
      </c>
      <c r="O1920" s="1" t="str">
        <f>IF(AND(Employee__2[[#This Row],[Education]]="Bachelors",Employee__2[[#This Row],[City]]="Pune"),"Yes","No")</f>
        <v>No</v>
      </c>
      <c r="P1920" s="1" t="str">
        <f>IF(OR(Employee__2[[#This Row],[Age]]&gt;=30,Employee__2[[#This Row],[Gender]]="Male"),"Mached","Not mached")</f>
        <v>Not mached</v>
      </c>
    </row>
    <row r="1921" spans="4:16" x14ac:dyDescent="0.25">
      <c r="D1921" s="6" t="s">
        <v>34</v>
      </c>
      <c r="E1921">
        <v>2016</v>
      </c>
      <c r="F1921" s="6" t="s">
        <v>38</v>
      </c>
      <c r="G1921">
        <v>3</v>
      </c>
      <c r="H1921">
        <v>27</v>
      </c>
      <c r="I1921" s="6" t="s">
        <v>39</v>
      </c>
      <c r="J1921" s="6" t="s">
        <v>37</v>
      </c>
      <c r="K1921">
        <v>5</v>
      </c>
      <c r="M1921" s="1" t="b">
        <f>Employee__2[[#This Row],[Experience]]&gt;1</f>
        <v>1</v>
      </c>
      <c r="N1921" s="1" t="str">
        <f>IF(Employee__2[[#This Row],[City]]="Pune","Yes","No")</f>
        <v>Yes</v>
      </c>
      <c r="O1921" s="1" t="str">
        <f>IF(AND(Employee__2[[#This Row],[Education]]="Bachelors",Employee__2[[#This Row],[City]]="Pune"),"Yes","No")</f>
        <v>Yes</v>
      </c>
      <c r="P1921" s="1" t="str">
        <f>IF(OR(Employee__2[[#This Row],[Age]]&gt;=30,Employee__2[[#This Row],[Gender]]="Male"),"Mached","Not mached")</f>
        <v>Not mached</v>
      </c>
    </row>
    <row r="1922" spans="4:16" x14ac:dyDescent="0.25">
      <c r="D1922" s="6" t="s">
        <v>34</v>
      </c>
      <c r="E1922">
        <v>2017</v>
      </c>
      <c r="F1922" s="6" t="s">
        <v>35</v>
      </c>
      <c r="G1922">
        <v>3</v>
      </c>
      <c r="H1922">
        <v>24</v>
      </c>
      <c r="I1922" s="6" t="s">
        <v>36</v>
      </c>
      <c r="J1922" s="6" t="s">
        <v>37</v>
      </c>
      <c r="K1922">
        <v>2</v>
      </c>
      <c r="M1922" s="1" t="b">
        <f>Employee__2[[#This Row],[Experience]]&gt;1</f>
        <v>1</v>
      </c>
      <c r="N1922" s="1" t="str">
        <f>IF(Employee__2[[#This Row],[City]]="Pune","Yes","No")</f>
        <v>No</v>
      </c>
      <c r="O1922" s="1" t="str">
        <f>IF(AND(Employee__2[[#This Row],[Education]]="Bachelors",Employee__2[[#This Row],[City]]="Pune"),"Yes","No")</f>
        <v>No</v>
      </c>
      <c r="P1922" s="1" t="str">
        <f>IF(OR(Employee__2[[#This Row],[Age]]&gt;=30,Employee__2[[#This Row],[Gender]]="Male"),"Mached","Not mached")</f>
        <v>Mached</v>
      </c>
    </row>
    <row r="1923" spans="4:16" x14ac:dyDescent="0.25">
      <c r="D1923" s="6" t="s">
        <v>34</v>
      </c>
      <c r="E1923">
        <v>2014</v>
      </c>
      <c r="F1923" s="6" t="s">
        <v>38</v>
      </c>
      <c r="G1923">
        <v>2</v>
      </c>
      <c r="H1923">
        <v>28</v>
      </c>
      <c r="I1923" s="6" t="s">
        <v>39</v>
      </c>
      <c r="J1923" s="6" t="s">
        <v>37</v>
      </c>
      <c r="K1923">
        <v>1</v>
      </c>
      <c r="M1923" s="1" t="b">
        <f>Employee__2[[#This Row],[Experience]]&gt;1</f>
        <v>0</v>
      </c>
      <c r="N1923" s="1" t="str">
        <f>IF(Employee__2[[#This Row],[City]]="Pune","Yes","No")</f>
        <v>Yes</v>
      </c>
      <c r="O1923" s="1" t="str">
        <f>IF(AND(Employee__2[[#This Row],[Education]]="Bachelors",Employee__2[[#This Row],[City]]="Pune"),"Yes","No")</f>
        <v>Yes</v>
      </c>
      <c r="P1923" s="1" t="str">
        <f>IF(OR(Employee__2[[#This Row],[Age]]&gt;=30,Employee__2[[#This Row],[Gender]]="Male"),"Mached","Not mached")</f>
        <v>Not mached</v>
      </c>
    </row>
    <row r="1924" spans="4:16" x14ac:dyDescent="0.25">
      <c r="D1924" s="6" t="s">
        <v>34</v>
      </c>
      <c r="E1924">
        <v>2017</v>
      </c>
      <c r="F1924" s="6" t="s">
        <v>35</v>
      </c>
      <c r="G1924">
        <v>2</v>
      </c>
      <c r="H1924">
        <v>28</v>
      </c>
      <c r="I1924" s="6" t="s">
        <v>39</v>
      </c>
      <c r="J1924" s="6" t="s">
        <v>37</v>
      </c>
      <c r="K1924">
        <v>2</v>
      </c>
      <c r="M1924" s="1" t="b">
        <f>Employee__2[[#This Row],[Experience]]&gt;1</f>
        <v>1</v>
      </c>
      <c r="N1924" s="1" t="str">
        <f>IF(Employee__2[[#This Row],[City]]="Pune","Yes","No")</f>
        <v>No</v>
      </c>
      <c r="O1924" s="1" t="str">
        <f>IF(AND(Employee__2[[#This Row],[Education]]="Bachelors",Employee__2[[#This Row],[City]]="Pune"),"Yes","No")</f>
        <v>No</v>
      </c>
      <c r="P1924" s="1" t="str">
        <f>IF(OR(Employee__2[[#This Row],[Age]]&gt;=30,Employee__2[[#This Row],[Gender]]="Male"),"Mached","Not mached")</f>
        <v>Not mached</v>
      </c>
    </row>
    <row r="1925" spans="4:16" x14ac:dyDescent="0.25">
      <c r="D1925" s="6" t="s">
        <v>34</v>
      </c>
      <c r="E1925">
        <v>2017</v>
      </c>
      <c r="F1925" s="6" t="s">
        <v>40</v>
      </c>
      <c r="G1925">
        <v>2</v>
      </c>
      <c r="H1925">
        <v>26</v>
      </c>
      <c r="I1925" s="6" t="s">
        <v>39</v>
      </c>
      <c r="J1925" s="6" t="s">
        <v>37</v>
      </c>
      <c r="K1925">
        <v>4</v>
      </c>
      <c r="M1925" s="1" t="b">
        <f>Employee__2[[#This Row],[Experience]]&gt;1</f>
        <v>1</v>
      </c>
      <c r="N1925" s="1" t="str">
        <f>IF(Employee__2[[#This Row],[City]]="Pune","Yes","No")</f>
        <v>No</v>
      </c>
      <c r="O1925" s="1" t="str">
        <f>IF(AND(Employee__2[[#This Row],[Education]]="Bachelors",Employee__2[[#This Row],[City]]="Pune"),"Yes","No")</f>
        <v>No</v>
      </c>
      <c r="P1925" s="1" t="str">
        <f>IF(OR(Employee__2[[#This Row],[Age]]&gt;=30,Employee__2[[#This Row],[Gender]]="Male"),"Mached","Not mached")</f>
        <v>Not mached</v>
      </c>
    </row>
    <row r="1926" spans="4:16" x14ac:dyDescent="0.25">
      <c r="D1926" s="6" t="s">
        <v>34</v>
      </c>
      <c r="E1926">
        <v>2013</v>
      </c>
      <c r="F1926" s="6" t="s">
        <v>38</v>
      </c>
      <c r="G1926">
        <v>2</v>
      </c>
      <c r="H1926">
        <v>27</v>
      </c>
      <c r="I1926" s="6" t="s">
        <v>39</v>
      </c>
      <c r="J1926" s="6" t="s">
        <v>37</v>
      </c>
      <c r="K1926">
        <v>5</v>
      </c>
      <c r="M1926" s="1" t="b">
        <f>Employee__2[[#This Row],[Experience]]&gt;1</f>
        <v>1</v>
      </c>
      <c r="N1926" s="1" t="str">
        <f>IF(Employee__2[[#This Row],[City]]="Pune","Yes","No")</f>
        <v>Yes</v>
      </c>
      <c r="O1926" s="1" t="str">
        <f>IF(AND(Employee__2[[#This Row],[Education]]="Bachelors",Employee__2[[#This Row],[City]]="Pune"),"Yes","No")</f>
        <v>Yes</v>
      </c>
      <c r="P1926" s="1" t="str">
        <f>IF(OR(Employee__2[[#This Row],[Age]]&gt;=30,Employee__2[[#This Row],[Gender]]="Male"),"Mached","Not mached")</f>
        <v>Not mached</v>
      </c>
    </row>
    <row r="1927" spans="4:16" x14ac:dyDescent="0.25">
      <c r="D1927" s="6" t="s">
        <v>34</v>
      </c>
      <c r="E1927">
        <v>2012</v>
      </c>
      <c r="F1927" s="6" t="s">
        <v>35</v>
      </c>
      <c r="G1927">
        <v>3</v>
      </c>
      <c r="H1927">
        <v>24</v>
      </c>
      <c r="I1927" s="6" t="s">
        <v>39</v>
      </c>
      <c r="J1927" s="6" t="s">
        <v>37</v>
      </c>
      <c r="K1927">
        <v>2</v>
      </c>
      <c r="M1927" s="1" t="b">
        <f>Employee__2[[#This Row],[Experience]]&gt;1</f>
        <v>1</v>
      </c>
      <c r="N1927" s="1" t="str">
        <f>IF(Employee__2[[#This Row],[City]]="Pune","Yes","No")</f>
        <v>No</v>
      </c>
      <c r="O1927" s="1" t="str">
        <f>IF(AND(Employee__2[[#This Row],[Education]]="Bachelors",Employee__2[[#This Row],[City]]="Pune"),"Yes","No")</f>
        <v>No</v>
      </c>
      <c r="P1927" s="1" t="str">
        <f>IF(OR(Employee__2[[#This Row],[Age]]&gt;=30,Employee__2[[#This Row],[Gender]]="Male"),"Mached","Not mached")</f>
        <v>Not mached</v>
      </c>
    </row>
    <row r="1928" spans="4:16" x14ac:dyDescent="0.25">
      <c r="D1928" s="6" t="s">
        <v>41</v>
      </c>
      <c r="E1928">
        <v>2017</v>
      </c>
      <c r="F1928" s="6" t="s">
        <v>38</v>
      </c>
      <c r="G1928">
        <v>2</v>
      </c>
      <c r="H1928">
        <v>27</v>
      </c>
      <c r="I1928" s="6" t="s">
        <v>39</v>
      </c>
      <c r="J1928" s="6" t="s">
        <v>37</v>
      </c>
      <c r="K1928">
        <v>5</v>
      </c>
      <c r="M1928" s="1" t="b">
        <f>Employee__2[[#This Row],[Experience]]&gt;1</f>
        <v>1</v>
      </c>
      <c r="N1928" s="1" t="str">
        <f>IF(Employee__2[[#This Row],[City]]="Pune","Yes","No")</f>
        <v>Yes</v>
      </c>
      <c r="O1928" s="1" t="str">
        <f>IF(AND(Employee__2[[#This Row],[Education]]="Bachelors",Employee__2[[#This Row],[City]]="Pune"),"Yes","No")</f>
        <v>No</v>
      </c>
      <c r="P1928" s="1" t="str">
        <f>IF(OR(Employee__2[[#This Row],[Age]]&gt;=30,Employee__2[[#This Row],[Gender]]="Male"),"Mached","Not mached")</f>
        <v>Not mached</v>
      </c>
    </row>
    <row r="1929" spans="4:16" x14ac:dyDescent="0.25">
      <c r="D1929" s="6" t="s">
        <v>34</v>
      </c>
      <c r="E1929">
        <v>2015</v>
      </c>
      <c r="F1929" s="6" t="s">
        <v>40</v>
      </c>
      <c r="G1929">
        <v>3</v>
      </c>
      <c r="H1929">
        <v>24</v>
      </c>
      <c r="I1929" s="6" t="s">
        <v>36</v>
      </c>
      <c r="J1929" s="6" t="s">
        <v>37</v>
      </c>
      <c r="K1929">
        <v>2</v>
      </c>
      <c r="M1929" s="1" t="b">
        <f>Employee__2[[#This Row],[Experience]]&gt;1</f>
        <v>1</v>
      </c>
      <c r="N1929" s="1" t="str">
        <f>IF(Employee__2[[#This Row],[City]]="Pune","Yes","No")</f>
        <v>No</v>
      </c>
      <c r="O1929" s="1" t="str">
        <f>IF(AND(Employee__2[[#This Row],[Education]]="Bachelors",Employee__2[[#This Row],[City]]="Pune"),"Yes","No")</f>
        <v>No</v>
      </c>
      <c r="P1929" s="1" t="str">
        <f>IF(OR(Employee__2[[#This Row],[Age]]&gt;=30,Employee__2[[#This Row],[Gender]]="Male"),"Mached","Not mached")</f>
        <v>Mached</v>
      </c>
    </row>
    <row r="1930" spans="4:16" x14ac:dyDescent="0.25">
      <c r="D1930" s="6" t="s">
        <v>34</v>
      </c>
      <c r="E1930">
        <v>2013</v>
      </c>
      <c r="F1930" s="6" t="s">
        <v>40</v>
      </c>
      <c r="G1930">
        <v>3</v>
      </c>
      <c r="H1930">
        <v>28</v>
      </c>
      <c r="I1930" s="6" t="s">
        <v>39</v>
      </c>
      <c r="J1930" s="6" t="s">
        <v>42</v>
      </c>
      <c r="K1930">
        <v>2</v>
      </c>
      <c r="M1930" s="1" t="b">
        <f>Employee__2[[#This Row],[Experience]]&gt;1</f>
        <v>1</v>
      </c>
      <c r="N1930" s="1" t="str">
        <f>IF(Employee__2[[#This Row],[City]]="Pune","Yes","No")</f>
        <v>No</v>
      </c>
      <c r="O1930" s="1" t="str">
        <f>IF(AND(Employee__2[[#This Row],[Education]]="Bachelors",Employee__2[[#This Row],[City]]="Pune"),"Yes","No")</f>
        <v>No</v>
      </c>
      <c r="P1930" s="1" t="str">
        <f>IF(OR(Employee__2[[#This Row],[Age]]&gt;=30,Employee__2[[#This Row],[Gender]]="Male"),"Mached","Not mached")</f>
        <v>Not mached</v>
      </c>
    </row>
    <row r="1931" spans="4:16" x14ac:dyDescent="0.25">
      <c r="D1931" s="6" t="s">
        <v>34</v>
      </c>
      <c r="E1931">
        <v>2016</v>
      </c>
      <c r="F1931" s="6" t="s">
        <v>40</v>
      </c>
      <c r="G1931">
        <v>3</v>
      </c>
      <c r="H1931">
        <v>28</v>
      </c>
      <c r="I1931" s="6" t="s">
        <v>36</v>
      </c>
      <c r="J1931" s="6" t="s">
        <v>37</v>
      </c>
      <c r="K1931">
        <v>0</v>
      </c>
      <c r="M1931" s="1" t="b">
        <f>Employee__2[[#This Row],[Experience]]&gt;1</f>
        <v>0</v>
      </c>
      <c r="N1931" s="1" t="str">
        <f>IF(Employee__2[[#This Row],[City]]="Pune","Yes","No")</f>
        <v>No</v>
      </c>
      <c r="O1931" s="1" t="str">
        <f>IF(AND(Employee__2[[#This Row],[Education]]="Bachelors",Employee__2[[#This Row],[City]]="Pune"),"Yes","No")</f>
        <v>No</v>
      </c>
      <c r="P1931" s="1" t="str">
        <f>IF(OR(Employee__2[[#This Row],[Age]]&gt;=30,Employee__2[[#This Row],[Gender]]="Male"),"Mached","Not mached")</f>
        <v>Mached</v>
      </c>
    </row>
    <row r="1932" spans="4:16" x14ac:dyDescent="0.25">
      <c r="D1932" s="6" t="s">
        <v>34</v>
      </c>
      <c r="E1932">
        <v>2016</v>
      </c>
      <c r="F1932" s="6" t="s">
        <v>35</v>
      </c>
      <c r="G1932">
        <v>3</v>
      </c>
      <c r="H1932">
        <v>26</v>
      </c>
      <c r="I1932" s="6" t="s">
        <v>36</v>
      </c>
      <c r="J1932" s="6" t="s">
        <v>37</v>
      </c>
      <c r="K1932">
        <v>4</v>
      </c>
      <c r="M1932" s="1" t="b">
        <f>Employee__2[[#This Row],[Experience]]&gt;1</f>
        <v>1</v>
      </c>
      <c r="N1932" s="1" t="str">
        <f>IF(Employee__2[[#This Row],[City]]="Pune","Yes","No")</f>
        <v>No</v>
      </c>
      <c r="O1932" s="1" t="str">
        <f>IF(AND(Employee__2[[#This Row],[Education]]="Bachelors",Employee__2[[#This Row],[City]]="Pune"),"Yes","No")</f>
        <v>No</v>
      </c>
      <c r="P1932" s="1" t="str">
        <f>IF(OR(Employee__2[[#This Row],[Age]]&gt;=30,Employee__2[[#This Row],[Gender]]="Male"),"Mached","Not mached")</f>
        <v>Mached</v>
      </c>
    </row>
    <row r="1933" spans="4:16" x14ac:dyDescent="0.25">
      <c r="D1933" s="6" t="s">
        <v>34</v>
      </c>
      <c r="E1933">
        <v>2018</v>
      </c>
      <c r="F1933" s="6" t="s">
        <v>35</v>
      </c>
      <c r="G1933">
        <v>3</v>
      </c>
      <c r="H1933">
        <v>27</v>
      </c>
      <c r="I1933" s="6" t="s">
        <v>36</v>
      </c>
      <c r="J1933" s="6" t="s">
        <v>42</v>
      </c>
      <c r="K1933">
        <v>5</v>
      </c>
      <c r="M1933" s="1" t="b">
        <f>Employee__2[[#This Row],[Experience]]&gt;1</f>
        <v>1</v>
      </c>
      <c r="N1933" s="1" t="str">
        <f>IF(Employee__2[[#This Row],[City]]="Pune","Yes","No")</f>
        <v>No</v>
      </c>
      <c r="O1933" s="1" t="str">
        <f>IF(AND(Employee__2[[#This Row],[Education]]="Bachelors",Employee__2[[#This Row],[City]]="Pune"),"Yes","No")</f>
        <v>No</v>
      </c>
      <c r="P1933" s="1" t="str">
        <f>IF(OR(Employee__2[[#This Row],[Age]]&gt;=30,Employee__2[[#This Row],[Gender]]="Male"),"Mached","Not mached")</f>
        <v>Mached</v>
      </c>
    </row>
    <row r="1934" spans="4:16" x14ac:dyDescent="0.25">
      <c r="D1934" s="6" t="s">
        <v>34</v>
      </c>
      <c r="E1934">
        <v>2015</v>
      </c>
      <c r="F1934" s="6" t="s">
        <v>35</v>
      </c>
      <c r="G1934">
        <v>3</v>
      </c>
      <c r="H1934">
        <v>25</v>
      </c>
      <c r="I1934" s="6" t="s">
        <v>36</v>
      </c>
      <c r="J1934" s="6" t="s">
        <v>37</v>
      </c>
      <c r="K1934">
        <v>3</v>
      </c>
      <c r="M1934" s="1" t="b">
        <f>Employee__2[[#This Row],[Experience]]&gt;1</f>
        <v>1</v>
      </c>
      <c r="N1934" s="1" t="str">
        <f>IF(Employee__2[[#This Row],[City]]="Pune","Yes","No")</f>
        <v>No</v>
      </c>
      <c r="O1934" s="1" t="str">
        <f>IF(AND(Employee__2[[#This Row],[Education]]="Bachelors",Employee__2[[#This Row],[City]]="Pune"),"Yes","No")</f>
        <v>No</v>
      </c>
      <c r="P1934" s="1" t="str">
        <f>IF(OR(Employee__2[[#This Row],[Age]]&gt;=30,Employee__2[[#This Row],[Gender]]="Male"),"Mached","Not mached")</f>
        <v>Mached</v>
      </c>
    </row>
    <row r="1935" spans="4:16" x14ac:dyDescent="0.25">
      <c r="D1935" s="6" t="s">
        <v>34</v>
      </c>
      <c r="E1935">
        <v>2014</v>
      </c>
      <c r="F1935" s="6" t="s">
        <v>35</v>
      </c>
      <c r="G1935">
        <v>3</v>
      </c>
      <c r="H1935">
        <v>26</v>
      </c>
      <c r="I1935" s="6" t="s">
        <v>36</v>
      </c>
      <c r="J1935" s="6" t="s">
        <v>37</v>
      </c>
      <c r="K1935">
        <v>4</v>
      </c>
      <c r="M1935" s="1" t="b">
        <f>Employee__2[[#This Row],[Experience]]&gt;1</f>
        <v>1</v>
      </c>
      <c r="N1935" s="1" t="str">
        <f>IF(Employee__2[[#This Row],[City]]="Pune","Yes","No")</f>
        <v>No</v>
      </c>
      <c r="O1935" s="1" t="str">
        <f>IF(AND(Employee__2[[#This Row],[Education]]="Bachelors",Employee__2[[#This Row],[City]]="Pune"),"Yes","No")</f>
        <v>No</v>
      </c>
      <c r="P1935" s="1" t="str">
        <f>IF(OR(Employee__2[[#This Row],[Age]]&gt;=30,Employee__2[[#This Row],[Gender]]="Male"),"Mached","Not mached")</f>
        <v>Mached</v>
      </c>
    </row>
    <row r="1936" spans="4:16" x14ac:dyDescent="0.25">
      <c r="D1936" s="6" t="s">
        <v>34</v>
      </c>
      <c r="E1936">
        <v>2018</v>
      </c>
      <c r="F1936" s="6" t="s">
        <v>38</v>
      </c>
      <c r="G1936">
        <v>3</v>
      </c>
      <c r="H1936">
        <v>24</v>
      </c>
      <c r="I1936" s="6" t="s">
        <v>36</v>
      </c>
      <c r="J1936" s="6" t="s">
        <v>42</v>
      </c>
      <c r="K1936">
        <v>2</v>
      </c>
      <c r="M1936" s="1" t="b">
        <f>Employee__2[[#This Row],[Experience]]&gt;1</f>
        <v>1</v>
      </c>
      <c r="N1936" s="1" t="str">
        <f>IF(Employee__2[[#This Row],[City]]="Pune","Yes","No")</f>
        <v>Yes</v>
      </c>
      <c r="O1936" s="1" t="str">
        <f>IF(AND(Employee__2[[#This Row],[Education]]="Bachelors",Employee__2[[#This Row],[City]]="Pune"),"Yes","No")</f>
        <v>Yes</v>
      </c>
      <c r="P1936" s="1" t="str">
        <f>IF(OR(Employee__2[[#This Row],[Age]]&gt;=30,Employee__2[[#This Row],[Gender]]="Male"),"Mached","Not mached")</f>
        <v>Mached</v>
      </c>
    </row>
    <row r="1937" spans="4:16" x14ac:dyDescent="0.25">
      <c r="D1937" s="6" t="s">
        <v>34</v>
      </c>
      <c r="E1937">
        <v>2017</v>
      </c>
      <c r="F1937" s="6" t="s">
        <v>35</v>
      </c>
      <c r="G1937">
        <v>3</v>
      </c>
      <c r="H1937">
        <v>26</v>
      </c>
      <c r="I1937" s="6" t="s">
        <v>36</v>
      </c>
      <c r="J1937" s="6" t="s">
        <v>42</v>
      </c>
      <c r="K1937">
        <v>4</v>
      </c>
      <c r="M1937" s="1" t="b">
        <f>Employee__2[[#This Row],[Experience]]&gt;1</f>
        <v>1</v>
      </c>
      <c r="N1937" s="1" t="str">
        <f>IF(Employee__2[[#This Row],[City]]="Pune","Yes","No")</f>
        <v>No</v>
      </c>
      <c r="O1937" s="1" t="str">
        <f>IF(AND(Employee__2[[#This Row],[Education]]="Bachelors",Employee__2[[#This Row],[City]]="Pune"),"Yes","No")</f>
        <v>No</v>
      </c>
      <c r="P1937" s="1" t="str">
        <f>IF(OR(Employee__2[[#This Row],[Age]]&gt;=30,Employee__2[[#This Row],[Gender]]="Male"),"Mached","Not mached")</f>
        <v>Mached</v>
      </c>
    </row>
    <row r="1938" spans="4:16" x14ac:dyDescent="0.25">
      <c r="D1938" s="6" t="s">
        <v>34</v>
      </c>
      <c r="E1938">
        <v>2016</v>
      </c>
      <c r="F1938" s="6" t="s">
        <v>35</v>
      </c>
      <c r="G1938">
        <v>3</v>
      </c>
      <c r="H1938">
        <v>26</v>
      </c>
      <c r="I1938" s="6" t="s">
        <v>36</v>
      </c>
      <c r="J1938" s="6" t="s">
        <v>37</v>
      </c>
      <c r="K1938">
        <v>4</v>
      </c>
      <c r="M1938" s="1" t="b">
        <f>Employee__2[[#This Row],[Experience]]&gt;1</f>
        <v>1</v>
      </c>
      <c r="N1938" s="1" t="str">
        <f>IF(Employee__2[[#This Row],[City]]="Pune","Yes","No")</f>
        <v>No</v>
      </c>
      <c r="O1938" s="1" t="str">
        <f>IF(AND(Employee__2[[#This Row],[Education]]="Bachelors",Employee__2[[#This Row],[City]]="Pune"),"Yes","No")</f>
        <v>No</v>
      </c>
      <c r="P1938" s="1" t="str">
        <f>IF(OR(Employee__2[[#This Row],[Age]]&gt;=30,Employee__2[[#This Row],[Gender]]="Male"),"Mached","Not mached")</f>
        <v>Mached</v>
      </c>
    </row>
    <row r="1939" spans="4:16" x14ac:dyDescent="0.25">
      <c r="D1939" s="6" t="s">
        <v>34</v>
      </c>
      <c r="E1939">
        <v>2012</v>
      </c>
      <c r="F1939" s="6" t="s">
        <v>35</v>
      </c>
      <c r="G1939">
        <v>3</v>
      </c>
      <c r="H1939">
        <v>26</v>
      </c>
      <c r="I1939" s="6" t="s">
        <v>36</v>
      </c>
      <c r="J1939" s="6" t="s">
        <v>42</v>
      </c>
      <c r="K1939">
        <v>4</v>
      </c>
      <c r="M1939" s="1" t="b">
        <f>Employee__2[[#This Row],[Experience]]&gt;1</f>
        <v>1</v>
      </c>
      <c r="N1939" s="1" t="str">
        <f>IF(Employee__2[[#This Row],[City]]="Pune","Yes","No")</f>
        <v>No</v>
      </c>
      <c r="O1939" s="1" t="str">
        <f>IF(AND(Employee__2[[#This Row],[Education]]="Bachelors",Employee__2[[#This Row],[City]]="Pune"),"Yes","No")</f>
        <v>No</v>
      </c>
      <c r="P1939" s="1" t="str">
        <f>IF(OR(Employee__2[[#This Row],[Age]]&gt;=30,Employee__2[[#This Row],[Gender]]="Male"),"Mached","Not mached")</f>
        <v>Mached</v>
      </c>
    </row>
    <row r="1940" spans="4:16" x14ac:dyDescent="0.25">
      <c r="D1940" s="6" t="s">
        <v>41</v>
      </c>
      <c r="E1940">
        <v>2017</v>
      </c>
      <c r="F1940" s="6" t="s">
        <v>35</v>
      </c>
      <c r="G1940">
        <v>2</v>
      </c>
      <c r="H1940">
        <v>27</v>
      </c>
      <c r="I1940" s="6" t="s">
        <v>36</v>
      </c>
      <c r="J1940" s="6" t="s">
        <v>37</v>
      </c>
      <c r="K1940">
        <v>5</v>
      </c>
      <c r="M1940" s="1" t="b">
        <f>Employee__2[[#This Row],[Experience]]&gt;1</f>
        <v>1</v>
      </c>
      <c r="N1940" s="1" t="str">
        <f>IF(Employee__2[[#This Row],[City]]="Pune","Yes","No")</f>
        <v>No</v>
      </c>
      <c r="O1940" s="1" t="str">
        <f>IF(AND(Employee__2[[#This Row],[Education]]="Bachelors",Employee__2[[#This Row],[City]]="Pune"),"Yes","No")</f>
        <v>No</v>
      </c>
      <c r="P1940" s="1" t="str">
        <f>IF(OR(Employee__2[[#This Row],[Age]]&gt;=30,Employee__2[[#This Row],[Gender]]="Male"),"Mached","Not mached")</f>
        <v>Mached</v>
      </c>
    </row>
    <row r="1941" spans="4:16" x14ac:dyDescent="0.25">
      <c r="D1941" s="6" t="s">
        <v>34</v>
      </c>
      <c r="E1941">
        <v>2016</v>
      </c>
      <c r="F1941" s="6" t="s">
        <v>35</v>
      </c>
      <c r="G1941">
        <v>3</v>
      </c>
      <c r="H1941">
        <v>25</v>
      </c>
      <c r="I1941" s="6" t="s">
        <v>39</v>
      </c>
      <c r="J1941" s="6" t="s">
        <v>37</v>
      </c>
      <c r="K1941">
        <v>3</v>
      </c>
      <c r="M1941" s="1" t="b">
        <f>Employee__2[[#This Row],[Experience]]&gt;1</f>
        <v>1</v>
      </c>
      <c r="N1941" s="1" t="str">
        <f>IF(Employee__2[[#This Row],[City]]="Pune","Yes","No")</f>
        <v>No</v>
      </c>
      <c r="O1941" s="1" t="str">
        <f>IF(AND(Employee__2[[#This Row],[Education]]="Bachelors",Employee__2[[#This Row],[City]]="Pune"),"Yes","No")</f>
        <v>No</v>
      </c>
      <c r="P1941" s="1" t="str">
        <f>IF(OR(Employee__2[[#This Row],[Age]]&gt;=30,Employee__2[[#This Row],[Gender]]="Male"),"Mached","Not mached")</f>
        <v>Not mached</v>
      </c>
    </row>
    <row r="1942" spans="4:16" x14ac:dyDescent="0.25">
      <c r="D1942" s="6" t="s">
        <v>41</v>
      </c>
      <c r="E1942">
        <v>2013</v>
      </c>
      <c r="F1942" s="6" t="s">
        <v>38</v>
      </c>
      <c r="G1942">
        <v>3</v>
      </c>
      <c r="H1942">
        <v>25</v>
      </c>
      <c r="I1942" s="6" t="s">
        <v>36</v>
      </c>
      <c r="J1942" s="6" t="s">
        <v>37</v>
      </c>
      <c r="K1942">
        <v>3</v>
      </c>
      <c r="M1942" s="1" t="b">
        <f>Employee__2[[#This Row],[Experience]]&gt;1</f>
        <v>1</v>
      </c>
      <c r="N1942" s="1" t="str">
        <f>IF(Employee__2[[#This Row],[City]]="Pune","Yes","No")</f>
        <v>Yes</v>
      </c>
      <c r="O1942" s="1" t="str">
        <f>IF(AND(Employee__2[[#This Row],[Education]]="Bachelors",Employee__2[[#This Row],[City]]="Pune"),"Yes","No")</f>
        <v>No</v>
      </c>
      <c r="P1942" s="1" t="str">
        <f>IF(OR(Employee__2[[#This Row],[Age]]&gt;=30,Employee__2[[#This Row],[Gender]]="Male"),"Mached","Not mached")</f>
        <v>Mached</v>
      </c>
    </row>
    <row r="1943" spans="4:16" x14ac:dyDescent="0.25">
      <c r="D1943" s="6" t="s">
        <v>41</v>
      </c>
      <c r="E1943">
        <v>2016</v>
      </c>
      <c r="F1943" s="6" t="s">
        <v>40</v>
      </c>
      <c r="G1943">
        <v>3</v>
      </c>
      <c r="H1943">
        <v>27</v>
      </c>
      <c r="I1943" s="6" t="s">
        <v>36</v>
      </c>
      <c r="J1943" s="6" t="s">
        <v>37</v>
      </c>
      <c r="K1943">
        <v>5</v>
      </c>
      <c r="M1943" s="1" t="b">
        <f>Employee__2[[#This Row],[Experience]]&gt;1</f>
        <v>1</v>
      </c>
      <c r="N1943" s="1" t="str">
        <f>IF(Employee__2[[#This Row],[City]]="Pune","Yes","No")</f>
        <v>No</v>
      </c>
      <c r="O1943" s="1" t="str">
        <f>IF(AND(Employee__2[[#This Row],[Education]]="Bachelors",Employee__2[[#This Row],[City]]="Pune"),"Yes","No")</f>
        <v>No</v>
      </c>
      <c r="P1943" s="1" t="str">
        <f>IF(OR(Employee__2[[#This Row],[Age]]&gt;=30,Employee__2[[#This Row],[Gender]]="Male"),"Mached","Not mached")</f>
        <v>Mached</v>
      </c>
    </row>
    <row r="1944" spans="4:16" x14ac:dyDescent="0.25">
      <c r="D1944" s="6" t="s">
        <v>34</v>
      </c>
      <c r="E1944">
        <v>2014</v>
      </c>
      <c r="F1944" s="6" t="s">
        <v>35</v>
      </c>
      <c r="G1944">
        <v>3</v>
      </c>
      <c r="H1944">
        <v>28</v>
      </c>
      <c r="I1944" s="6" t="s">
        <v>39</v>
      </c>
      <c r="J1944" s="6" t="s">
        <v>37</v>
      </c>
      <c r="K1944">
        <v>1</v>
      </c>
      <c r="M1944" s="1" t="b">
        <f>Employee__2[[#This Row],[Experience]]&gt;1</f>
        <v>0</v>
      </c>
      <c r="N1944" s="1" t="str">
        <f>IF(Employee__2[[#This Row],[City]]="Pune","Yes","No")</f>
        <v>No</v>
      </c>
      <c r="O1944" s="1" t="str">
        <f>IF(AND(Employee__2[[#This Row],[Education]]="Bachelors",Employee__2[[#This Row],[City]]="Pune"),"Yes","No")</f>
        <v>No</v>
      </c>
      <c r="P1944" s="1" t="str">
        <f>IF(OR(Employee__2[[#This Row],[Age]]&gt;=30,Employee__2[[#This Row],[Gender]]="Male"),"Mached","Not mached")</f>
        <v>Not mached</v>
      </c>
    </row>
    <row r="1945" spans="4:16" x14ac:dyDescent="0.25">
      <c r="D1945" s="6" t="s">
        <v>34</v>
      </c>
      <c r="E1945">
        <v>2014</v>
      </c>
      <c r="F1945" s="6" t="s">
        <v>35</v>
      </c>
      <c r="G1945">
        <v>3</v>
      </c>
      <c r="H1945">
        <v>25</v>
      </c>
      <c r="I1945" s="6" t="s">
        <v>36</v>
      </c>
      <c r="J1945" s="6" t="s">
        <v>37</v>
      </c>
      <c r="K1945">
        <v>3</v>
      </c>
      <c r="M1945" s="1" t="b">
        <f>Employee__2[[#This Row],[Experience]]&gt;1</f>
        <v>1</v>
      </c>
      <c r="N1945" s="1" t="str">
        <f>IF(Employee__2[[#This Row],[City]]="Pune","Yes","No")</f>
        <v>No</v>
      </c>
      <c r="O1945" s="1" t="str">
        <f>IF(AND(Employee__2[[#This Row],[Education]]="Bachelors",Employee__2[[#This Row],[City]]="Pune"),"Yes","No")</f>
        <v>No</v>
      </c>
      <c r="P1945" s="1" t="str">
        <f>IF(OR(Employee__2[[#This Row],[Age]]&gt;=30,Employee__2[[#This Row],[Gender]]="Male"),"Mached","Not mached")</f>
        <v>Mached</v>
      </c>
    </row>
    <row r="1946" spans="4:16" x14ac:dyDescent="0.25">
      <c r="D1946" s="6" t="s">
        <v>43</v>
      </c>
      <c r="E1946">
        <v>2013</v>
      </c>
      <c r="F1946" s="6" t="s">
        <v>35</v>
      </c>
      <c r="G1946">
        <v>2</v>
      </c>
      <c r="H1946">
        <v>25</v>
      </c>
      <c r="I1946" s="6" t="s">
        <v>36</v>
      </c>
      <c r="J1946" s="6" t="s">
        <v>37</v>
      </c>
      <c r="K1946">
        <v>3</v>
      </c>
      <c r="M1946" s="1" t="b">
        <f>Employee__2[[#This Row],[Experience]]&gt;1</f>
        <v>1</v>
      </c>
      <c r="N1946" s="1" t="str">
        <f>IF(Employee__2[[#This Row],[City]]="Pune","Yes","No")</f>
        <v>No</v>
      </c>
      <c r="O1946" s="1" t="str">
        <f>IF(AND(Employee__2[[#This Row],[Education]]="Bachelors",Employee__2[[#This Row],[City]]="Pune"),"Yes","No")</f>
        <v>No</v>
      </c>
      <c r="P1946" s="1" t="str">
        <f>IF(OR(Employee__2[[#This Row],[Age]]&gt;=30,Employee__2[[#This Row],[Gender]]="Male"),"Mached","Not mached")</f>
        <v>Mached</v>
      </c>
    </row>
    <row r="1947" spans="4:16" x14ac:dyDescent="0.25">
      <c r="D1947" s="6" t="s">
        <v>34</v>
      </c>
      <c r="E1947">
        <v>2017</v>
      </c>
      <c r="F1947" s="6" t="s">
        <v>40</v>
      </c>
      <c r="G1947">
        <v>3</v>
      </c>
      <c r="H1947">
        <v>25</v>
      </c>
      <c r="I1947" s="6" t="s">
        <v>36</v>
      </c>
      <c r="J1947" s="6" t="s">
        <v>37</v>
      </c>
      <c r="K1947">
        <v>3</v>
      </c>
      <c r="M1947" s="1" t="b">
        <f>Employee__2[[#This Row],[Experience]]&gt;1</f>
        <v>1</v>
      </c>
      <c r="N1947" s="1" t="str">
        <f>IF(Employee__2[[#This Row],[City]]="Pune","Yes","No")</f>
        <v>No</v>
      </c>
      <c r="O1947" s="1" t="str">
        <f>IF(AND(Employee__2[[#This Row],[Education]]="Bachelors",Employee__2[[#This Row],[City]]="Pune"),"Yes","No")</f>
        <v>No</v>
      </c>
      <c r="P1947" s="1" t="str">
        <f>IF(OR(Employee__2[[#This Row],[Age]]&gt;=30,Employee__2[[#This Row],[Gender]]="Male"),"Mached","Not mached")</f>
        <v>Mached</v>
      </c>
    </row>
    <row r="1948" spans="4:16" x14ac:dyDescent="0.25">
      <c r="D1948" s="6" t="s">
        <v>34</v>
      </c>
      <c r="E1948">
        <v>2015</v>
      </c>
      <c r="F1948" s="6" t="s">
        <v>35</v>
      </c>
      <c r="G1948">
        <v>3</v>
      </c>
      <c r="H1948">
        <v>24</v>
      </c>
      <c r="I1948" s="6" t="s">
        <v>36</v>
      </c>
      <c r="J1948" s="6" t="s">
        <v>37</v>
      </c>
      <c r="K1948">
        <v>2</v>
      </c>
      <c r="M1948" s="1" t="b">
        <f>Employee__2[[#This Row],[Experience]]&gt;1</f>
        <v>1</v>
      </c>
      <c r="N1948" s="1" t="str">
        <f>IF(Employee__2[[#This Row],[City]]="Pune","Yes","No")</f>
        <v>No</v>
      </c>
      <c r="O1948" s="1" t="str">
        <f>IF(AND(Employee__2[[#This Row],[Education]]="Bachelors",Employee__2[[#This Row],[City]]="Pune"),"Yes","No")</f>
        <v>No</v>
      </c>
      <c r="P1948" s="1" t="str">
        <f>IF(OR(Employee__2[[#This Row],[Age]]&gt;=30,Employee__2[[#This Row],[Gender]]="Male"),"Mached","Not mached")</f>
        <v>Mached</v>
      </c>
    </row>
    <row r="1949" spans="4:16" x14ac:dyDescent="0.25">
      <c r="D1949" s="6" t="s">
        <v>41</v>
      </c>
      <c r="E1949">
        <v>2015</v>
      </c>
      <c r="F1949" s="6" t="s">
        <v>35</v>
      </c>
      <c r="G1949">
        <v>3</v>
      </c>
      <c r="H1949">
        <v>26</v>
      </c>
      <c r="I1949" s="6" t="s">
        <v>39</v>
      </c>
      <c r="J1949" s="6" t="s">
        <v>37</v>
      </c>
      <c r="K1949">
        <v>4</v>
      </c>
      <c r="M1949" s="1" t="b">
        <f>Employee__2[[#This Row],[Experience]]&gt;1</f>
        <v>1</v>
      </c>
      <c r="N1949" s="1" t="str">
        <f>IF(Employee__2[[#This Row],[City]]="Pune","Yes","No")</f>
        <v>No</v>
      </c>
      <c r="O1949" s="1" t="str">
        <f>IF(AND(Employee__2[[#This Row],[Education]]="Bachelors",Employee__2[[#This Row],[City]]="Pune"),"Yes","No")</f>
        <v>No</v>
      </c>
      <c r="P1949" s="1" t="str">
        <f>IF(OR(Employee__2[[#This Row],[Age]]&gt;=30,Employee__2[[#This Row],[Gender]]="Male"),"Mached","Not mached")</f>
        <v>Not mached</v>
      </c>
    </row>
    <row r="1950" spans="4:16" x14ac:dyDescent="0.25">
      <c r="D1950" s="6" t="s">
        <v>34</v>
      </c>
      <c r="E1950">
        <v>2013</v>
      </c>
      <c r="F1950" s="6" t="s">
        <v>35</v>
      </c>
      <c r="G1950">
        <v>3</v>
      </c>
      <c r="H1950">
        <v>25</v>
      </c>
      <c r="I1950" s="6" t="s">
        <v>39</v>
      </c>
      <c r="J1950" s="6" t="s">
        <v>37</v>
      </c>
      <c r="K1950">
        <v>3</v>
      </c>
      <c r="M1950" s="1" t="b">
        <f>Employee__2[[#This Row],[Experience]]&gt;1</f>
        <v>1</v>
      </c>
      <c r="N1950" s="1" t="str">
        <f>IF(Employee__2[[#This Row],[City]]="Pune","Yes","No")</f>
        <v>No</v>
      </c>
      <c r="O1950" s="1" t="str">
        <f>IF(AND(Employee__2[[#This Row],[Education]]="Bachelors",Employee__2[[#This Row],[City]]="Pune"),"Yes","No")</f>
        <v>No</v>
      </c>
      <c r="P1950" s="1" t="str">
        <f>IF(OR(Employee__2[[#This Row],[Age]]&gt;=30,Employee__2[[#This Row],[Gender]]="Male"),"Mached","Not mached")</f>
        <v>Not mached</v>
      </c>
    </row>
    <row r="1951" spans="4:16" x14ac:dyDescent="0.25">
      <c r="D1951" s="6" t="s">
        <v>34</v>
      </c>
      <c r="E1951">
        <v>2015</v>
      </c>
      <c r="F1951" s="6" t="s">
        <v>40</v>
      </c>
      <c r="G1951">
        <v>2</v>
      </c>
      <c r="H1951">
        <v>24</v>
      </c>
      <c r="I1951" s="6" t="s">
        <v>39</v>
      </c>
      <c r="J1951" s="6" t="s">
        <v>37</v>
      </c>
      <c r="K1951">
        <v>2</v>
      </c>
      <c r="M1951" s="1" t="b">
        <f>Employee__2[[#This Row],[Experience]]&gt;1</f>
        <v>1</v>
      </c>
      <c r="N1951" s="1" t="str">
        <f>IF(Employee__2[[#This Row],[City]]="Pune","Yes","No")</f>
        <v>No</v>
      </c>
      <c r="O1951" s="1" t="str">
        <f>IF(AND(Employee__2[[#This Row],[Education]]="Bachelors",Employee__2[[#This Row],[City]]="Pune"),"Yes","No")</f>
        <v>No</v>
      </c>
      <c r="P1951" s="1" t="str">
        <f>IF(OR(Employee__2[[#This Row],[Age]]&gt;=30,Employee__2[[#This Row],[Gender]]="Male"),"Mached","Not mached")</f>
        <v>Not mached</v>
      </c>
    </row>
    <row r="1952" spans="4:16" x14ac:dyDescent="0.25">
      <c r="D1952" s="6" t="s">
        <v>41</v>
      </c>
      <c r="E1952">
        <v>2015</v>
      </c>
      <c r="F1952" s="6" t="s">
        <v>40</v>
      </c>
      <c r="G1952">
        <v>2</v>
      </c>
      <c r="H1952">
        <v>27</v>
      </c>
      <c r="I1952" s="6" t="s">
        <v>39</v>
      </c>
      <c r="J1952" s="6" t="s">
        <v>37</v>
      </c>
      <c r="K1952">
        <v>5</v>
      </c>
      <c r="M1952" s="1" t="b">
        <f>Employee__2[[#This Row],[Experience]]&gt;1</f>
        <v>1</v>
      </c>
      <c r="N1952" s="1" t="str">
        <f>IF(Employee__2[[#This Row],[City]]="Pune","Yes","No")</f>
        <v>No</v>
      </c>
      <c r="O1952" s="1" t="str">
        <f>IF(AND(Employee__2[[#This Row],[Education]]="Bachelors",Employee__2[[#This Row],[City]]="Pune"),"Yes","No")</f>
        <v>No</v>
      </c>
      <c r="P1952" s="1" t="str">
        <f>IF(OR(Employee__2[[#This Row],[Age]]&gt;=30,Employee__2[[#This Row],[Gender]]="Male"),"Mached","Not mached")</f>
        <v>Not mached</v>
      </c>
    </row>
    <row r="1953" spans="4:16" x14ac:dyDescent="0.25">
      <c r="D1953" s="6" t="s">
        <v>34</v>
      </c>
      <c r="E1953">
        <v>2017</v>
      </c>
      <c r="F1953" s="6" t="s">
        <v>40</v>
      </c>
      <c r="G1953">
        <v>2</v>
      </c>
      <c r="H1953">
        <v>26</v>
      </c>
      <c r="I1953" s="6" t="s">
        <v>36</v>
      </c>
      <c r="J1953" s="6" t="s">
        <v>37</v>
      </c>
      <c r="K1953">
        <v>4</v>
      </c>
      <c r="M1953" s="1" t="b">
        <f>Employee__2[[#This Row],[Experience]]&gt;1</f>
        <v>1</v>
      </c>
      <c r="N1953" s="1" t="str">
        <f>IF(Employee__2[[#This Row],[City]]="Pune","Yes","No")</f>
        <v>No</v>
      </c>
      <c r="O1953" s="1" t="str">
        <f>IF(AND(Employee__2[[#This Row],[Education]]="Bachelors",Employee__2[[#This Row],[City]]="Pune"),"Yes","No")</f>
        <v>No</v>
      </c>
      <c r="P1953" s="1" t="str">
        <f>IF(OR(Employee__2[[#This Row],[Age]]&gt;=30,Employee__2[[#This Row],[Gender]]="Male"),"Mached","Not mached")</f>
        <v>Mached</v>
      </c>
    </row>
    <row r="1954" spans="4:16" x14ac:dyDescent="0.25">
      <c r="D1954" s="6" t="s">
        <v>34</v>
      </c>
      <c r="E1954">
        <v>2013</v>
      </c>
      <c r="F1954" s="6" t="s">
        <v>35</v>
      </c>
      <c r="G1954">
        <v>3</v>
      </c>
      <c r="H1954">
        <v>25</v>
      </c>
      <c r="I1954" s="6" t="s">
        <v>36</v>
      </c>
      <c r="J1954" s="6" t="s">
        <v>37</v>
      </c>
      <c r="K1954">
        <v>3</v>
      </c>
      <c r="M1954" s="1" t="b">
        <f>Employee__2[[#This Row],[Experience]]&gt;1</f>
        <v>1</v>
      </c>
      <c r="N1954" s="1" t="str">
        <f>IF(Employee__2[[#This Row],[City]]="Pune","Yes","No")</f>
        <v>No</v>
      </c>
      <c r="O1954" s="1" t="str">
        <f>IF(AND(Employee__2[[#This Row],[Education]]="Bachelors",Employee__2[[#This Row],[City]]="Pune"),"Yes","No")</f>
        <v>No</v>
      </c>
      <c r="P1954" s="1" t="str">
        <f>IF(OR(Employee__2[[#This Row],[Age]]&gt;=30,Employee__2[[#This Row],[Gender]]="Male"),"Mached","Not mached")</f>
        <v>Mached</v>
      </c>
    </row>
    <row r="1955" spans="4:16" x14ac:dyDescent="0.25">
      <c r="D1955" s="6" t="s">
        <v>43</v>
      </c>
      <c r="E1955">
        <v>2017</v>
      </c>
      <c r="F1955" s="6" t="s">
        <v>40</v>
      </c>
      <c r="G1955">
        <v>3</v>
      </c>
      <c r="H1955">
        <v>24</v>
      </c>
      <c r="I1955" s="6" t="s">
        <v>36</v>
      </c>
      <c r="J1955" s="6" t="s">
        <v>37</v>
      </c>
      <c r="K1955">
        <v>2</v>
      </c>
      <c r="M1955" s="1" t="b">
        <f>Employee__2[[#This Row],[Experience]]&gt;1</f>
        <v>1</v>
      </c>
      <c r="N1955" s="1" t="str">
        <f>IF(Employee__2[[#This Row],[City]]="Pune","Yes","No")</f>
        <v>No</v>
      </c>
      <c r="O1955" s="1" t="str">
        <f>IF(AND(Employee__2[[#This Row],[Education]]="Bachelors",Employee__2[[#This Row],[City]]="Pune"),"Yes","No")</f>
        <v>No</v>
      </c>
      <c r="P1955" s="1" t="str">
        <f>IF(OR(Employee__2[[#This Row],[Age]]&gt;=30,Employee__2[[#This Row],[Gender]]="Male"),"Mached","Not mached")</f>
        <v>Mached</v>
      </c>
    </row>
    <row r="1956" spans="4:16" x14ac:dyDescent="0.25">
      <c r="D1956" s="6" t="s">
        <v>41</v>
      </c>
      <c r="E1956">
        <v>2015</v>
      </c>
      <c r="F1956" s="6" t="s">
        <v>35</v>
      </c>
      <c r="G1956">
        <v>3</v>
      </c>
      <c r="H1956">
        <v>27</v>
      </c>
      <c r="I1956" s="6" t="s">
        <v>36</v>
      </c>
      <c r="J1956" s="6" t="s">
        <v>37</v>
      </c>
      <c r="K1956">
        <v>5</v>
      </c>
      <c r="M1956" s="1" t="b">
        <f>Employee__2[[#This Row],[Experience]]&gt;1</f>
        <v>1</v>
      </c>
      <c r="N1956" s="1" t="str">
        <f>IF(Employee__2[[#This Row],[City]]="Pune","Yes","No")</f>
        <v>No</v>
      </c>
      <c r="O1956" s="1" t="str">
        <f>IF(AND(Employee__2[[#This Row],[Education]]="Bachelors",Employee__2[[#This Row],[City]]="Pune"),"Yes","No")</f>
        <v>No</v>
      </c>
      <c r="P1956" s="1" t="str">
        <f>IF(OR(Employee__2[[#This Row],[Age]]&gt;=30,Employee__2[[#This Row],[Gender]]="Male"),"Mached","Not mached")</f>
        <v>Mached</v>
      </c>
    </row>
    <row r="1957" spans="4:16" x14ac:dyDescent="0.25">
      <c r="D1957" s="6" t="s">
        <v>34</v>
      </c>
      <c r="E1957">
        <v>2015</v>
      </c>
      <c r="F1957" s="6" t="s">
        <v>40</v>
      </c>
      <c r="G1957">
        <v>2</v>
      </c>
      <c r="H1957">
        <v>28</v>
      </c>
      <c r="I1957" s="6" t="s">
        <v>39</v>
      </c>
      <c r="J1957" s="6" t="s">
        <v>37</v>
      </c>
      <c r="K1957">
        <v>1</v>
      </c>
      <c r="M1957" s="1" t="b">
        <f>Employee__2[[#This Row],[Experience]]&gt;1</f>
        <v>0</v>
      </c>
      <c r="N1957" s="1" t="str">
        <f>IF(Employee__2[[#This Row],[City]]="Pune","Yes","No")</f>
        <v>No</v>
      </c>
      <c r="O1957" s="1" t="str">
        <f>IF(AND(Employee__2[[#This Row],[Education]]="Bachelors",Employee__2[[#This Row],[City]]="Pune"),"Yes","No")</f>
        <v>No</v>
      </c>
      <c r="P1957" s="1" t="str">
        <f>IF(OR(Employee__2[[#This Row],[Age]]&gt;=30,Employee__2[[#This Row],[Gender]]="Male"),"Mached","Not mached")</f>
        <v>Not mached</v>
      </c>
    </row>
    <row r="1958" spans="4:16" x14ac:dyDescent="0.25">
      <c r="D1958" s="6" t="s">
        <v>34</v>
      </c>
      <c r="E1958">
        <v>2014</v>
      </c>
      <c r="F1958" s="6" t="s">
        <v>35</v>
      </c>
      <c r="G1958">
        <v>3</v>
      </c>
      <c r="H1958">
        <v>28</v>
      </c>
      <c r="I1958" s="6" t="s">
        <v>36</v>
      </c>
      <c r="J1958" s="6" t="s">
        <v>37</v>
      </c>
      <c r="K1958">
        <v>2</v>
      </c>
      <c r="M1958" s="1" t="b">
        <f>Employee__2[[#This Row],[Experience]]&gt;1</f>
        <v>1</v>
      </c>
      <c r="N1958" s="1" t="str">
        <f>IF(Employee__2[[#This Row],[City]]="Pune","Yes","No")</f>
        <v>No</v>
      </c>
      <c r="O1958" s="1" t="str">
        <f>IF(AND(Employee__2[[#This Row],[Education]]="Bachelors",Employee__2[[#This Row],[City]]="Pune"),"Yes","No")</f>
        <v>No</v>
      </c>
      <c r="P1958" s="1" t="str">
        <f>IF(OR(Employee__2[[#This Row],[Age]]&gt;=30,Employee__2[[#This Row],[Gender]]="Male"),"Mached","Not mached")</f>
        <v>Mached</v>
      </c>
    </row>
    <row r="1959" spans="4:16" x14ac:dyDescent="0.25">
      <c r="D1959" s="6" t="s">
        <v>34</v>
      </c>
      <c r="E1959">
        <v>2014</v>
      </c>
      <c r="F1959" s="6" t="s">
        <v>35</v>
      </c>
      <c r="G1959">
        <v>3</v>
      </c>
      <c r="H1959">
        <v>25</v>
      </c>
      <c r="I1959" s="6" t="s">
        <v>36</v>
      </c>
      <c r="J1959" s="6" t="s">
        <v>42</v>
      </c>
      <c r="K1959">
        <v>3</v>
      </c>
      <c r="M1959" s="1" t="b">
        <f>Employee__2[[#This Row],[Experience]]&gt;1</f>
        <v>1</v>
      </c>
      <c r="N1959" s="1" t="str">
        <f>IF(Employee__2[[#This Row],[City]]="Pune","Yes","No")</f>
        <v>No</v>
      </c>
      <c r="O1959" s="1" t="str">
        <f>IF(AND(Employee__2[[#This Row],[Education]]="Bachelors",Employee__2[[#This Row],[City]]="Pune"),"Yes","No")</f>
        <v>No</v>
      </c>
      <c r="P1959" s="1" t="str">
        <f>IF(OR(Employee__2[[#This Row],[Age]]&gt;=30,Employee__2[[#This Row],[Gender]]="Male"),"Mached","Not mached")</f>
        <v>Mached</v>
      </c>
    </row>
    <row r="1960" spans="4:16" x14ac:dyDescent="0.25">
      <c r="D1960" s="6" t="s">
        <v>34</v>
      </c>
      <c r="E1960">
        <v>2013</v>
      </c>
      <c r="F1960" s="6" t="s">
        <v>35</v>
      </c>
      <c r="G1960">
        <v>3</v>
      </c>
      <c r="H1960">
        <v>26</v>
      </c>
      <c r="I1960" s="6" t="s">
        <v>36</v>
      </c>
      <c r="J1960" s="6" t="s">
        <v>37</v>
      </c>
      <c r="K1960">
        <v>4</v>
      </c>
      <c r="M1960" s="1" t="b">
        <f>Employee__2[[#This Row],[Experience]]&gt;1</f>
        <v>1</v>
      </c>
      <c r="N1960" s="1" t="str">
        <f>IF(Employee__2[[#This Row],[City]]="Pune","Yes","No")</f>
        <v>No</v>
      </c>
      <c r="O1960" s="1" t="str">
        <f>IF(AND(Employee__2[[#This Row],[Education]]="Bachelors",Employee__2[[#This Row],[City]]="Pune"),"Yes","No")</f>
        <v>No</v>
      </c>
      <c r="P1960" s="1" t="str">
        <f>IF(OR(Employee__2[[#This Row],[Age]]&gt;=30,Employee__2[[#This Row],[Gender]]="Male"),"Mached","Not mached")</f>
        <v>Mached</v>
      </c>
    </row>
    <row r="1961" spans="4:16" x14ac:dyDescent="0.25">
      <c r="D1961" s="6" t="s">
        <v>41</v>
      </c>
      <c r="E1961">
        <v>2017</v>
      </c>
      <c r="F1961" s="6" t="s">
        <v>40</v>
      </c>
      <c r="G1961">
        <v>1</v>
      </c>
      <c r="H1961">
        <v>27</v>
      </c>
      <c r="I1961" s="6" t="s">
        <v>36</v>
      </c>
      <c r="J1961" s="6" t="s">
        <v>37</v>
      </c>
      <c r="K1961">
        <v>5</v>
      </c>
      <c r="M1961" s="1" t="b">
        <f>Employee__2[[#This Row],[Experience]]&gt;1</f>
        <v>1</v>
      </c>
      <c r="N1961" s="1" t="str">
        <f>IF(Employee__2[[#This Row],[City]]="Pune","Yes","No")</f>
        <v>No</v>
      </c>
      <c r="O1961" s="1" t="str">
        <f>IF(AND(Employee__2[[#This Row],[Education]]="Bachelors",Employee__2[[#This Row],[City]]="Pune"),"Yes","No")</f>
        <v>No</v>
      </c>
      <c r="P1961" s="1" t="str">
        <f>IF(OR(Employee__2[[#This Row],[Age]]&gt;=30,Employee__2[[#This Row],[Gender]]="Male"),"Mached","Not mached")</f>
        <v>Mached</v>
      </c>
    </row>
    <row r="1962" spans="4:16" x14ac:dyDescent="0.25">
      <c r="D1962" s="6" t="s">
        <v>34</v>
      </c>
      <c r="E1962">
        <v>2018</v>
      </c>
      <c r="F1962" s="6" t="s">
        <v>35</v>
      </c>
      <c r="G1962">
        <v>3</v>
      </c>
      <c r="H1962">
        <v>27</v>
      </c>
      <c r="I1962" s="6" t="s">
        <v>36</v>
      </c>
      <c r="J1962" s="6" t="s">
        <v>37</v>
      </c>
      <c r="K1962">
        <v>5</v>
      </c>
      <c r="M1962" s="1" t="b">
        <f>Employee__2[[#This Row],[Experience]]&gt;1</f>
        <v>1</v>
      </c>
      <c r="N1962" s="1" t="str">
        <f>IF(Employee__2[[#This Row],[City]]="Pune","Yes","No")</f>
        <v>No</v>
      </c>
      <c r="O1962" s="1" t="str">
        <f>IF(AND(Employee__2[[#This Row],[Education]]="Bachelors",Employee__2[[#This Row],[City]]="Pune"),"Yes","No")</f>
        <v>No</v>
      </c>
      <c r="P1962" s="1" t="str">
        <f>IF(OR(Employee__2[[#This Row],[Age]]&gt;=30,Employee__2[[#This Row],[Gender]]="Male"),"Mached","Not mached")</f>
        <v>Mached</v>
      </c>
    </row>
    <row r="1963" spans="4:16" x14ac:dyDescent="0.25">
      <c r="D1963" s="6" t="s">
        <v>34</v>
      </c>
      <c r="E1963">
        <v>2014</v>
      </c>
      <c r="F1963" s="6" t="s">
        <v>35</v>
      </c>
      <c r="G1963">
        <v>3</v>
      </c>
      <c r="H1963">
        <v>24</v>
      </c>
      <c r="I1963" s="6" t="s">
        <v>36</v>
      </c>
      <c r="J1963" s="6" t="s">
        <v>37</v>
      </c>
      <c r="K1963">
        <v>2</v>
      </c>
      <c r="M1963" s="1" t="b">
        <f>Employee__2[[#This Row],[Experience]]&gt;1</f>
        <v>1</v>
      </c>
      <c r="N1963" s="1" t="str">
        <f>IF(Employee__2[[#This Row],[City]]="Pune","Yes","No")</f>
        <v>No</v>
      </c>
      <c r="O1963" s="1" t="str">
        <f>IF(AND(Employee__2[[#This Row],[Education]]="Bachelors",Employee__2[[#This Row],[City]]="Pune"),"Yes","No")</f>
        <v>No</v>
      </c>
      <c r="P1963" s="1" t="str">
        <f>IF(OR(Employee__2[[#This Row],[Age]]&gt;=30,Employee__2[[#This Row],[Gender]]="Male"),"Mached","Not mached")</f>
        <v>Mached</v>
      </c>
    </row>
    <row r="1964" spans="4:16" x14ac:dyDescent="0.25">
      <c r="D1964" s="6" t="s">
        <v>34</v>
      </c>
      <c r="E1964">
        <v>2013</v>
      </c>
      <c r="F1964" s="6" t="s">
        <v>35</v>
      </c>
      <c r="G1964">
        <v>3</v>
      </c>
      <c r="H1964">
        <v>28</v>
      </c>
      <c r="I1964" s="6" t="s">
        <v>36</v>
      </c>
      <c r="J1964" s="6" t="s">
        <v>37</v>
      </c>
      <c r="K1964">
        <v>0</v>
      </c>
      <c r="M1964" s="1" t="b">
        <f>Employee__2[[#This Row],[Experience]]&gt;1</f>
        <v>0</v>
      </c>
      <c r="N1964" s="1" t="str">
        <f>IF(Employee__2[[#This Row],[City]]="Pune","Yes","No")</f>
        <v>No</v>
      </c>
      <c r="O1964" s="1" t="str">
        <f>IF(AND(Employee__2[[#This Row],[Education]]="Bachelors",Employee__2[[#This Row],[City]]="Pune"),"Yes","No")</f>
        <v>No</v>
      </c>
      <c r="P1964" s="1" t="str">
        <f>IF(OR(Employee__2[[#This Row],[Age]]&gt;=30,Employee__2[[#This Row],[Gender]]="Male"),"Mached","Not mached")</f>
        <v>Mached</v>
      </c>
    </row>
    <row r="1965" spans="4:16" x14ac:dyDescent="0.25">
      <c r="D1965" s="6" t="s">
        <v>34</v>
      </c>
      <c r="E1965">
        <v>2013</v>
      </c>
      <c r="F1965" s="6" t="s">
        <v>35</v>
      </c>
      <c r="G1965">
        <v>3</v>
      </c>
      <c r="H1965">
        <v>24</v>
      </c>
      <c r="I1965" s="6" t="s">
        <v>36</v>
      </c>
      <c r="J1965" s="6" t="s">
        <v>37</v>
      </c>
      <c r="K1965">
        <v>2</v>
      </c>
      <c r="M1965" s="1" t="b">
        <f>Employee__2[[#This Row],[Experience]]&gt;1</f>
        <v>1</v>
      </c>
      <c r="N1965" s="1" t="str">
        <f>IF(Employee__2[[#This Row],[City]]="Pune","Yes","No")</f>
        <v>No</v>
      </c>
      <c r="O1965" s="1" t="str">
        <f>IF(AND(Employee__2[[#This Row],[Education]]="Bachelors",Employee__2[[#This Row],[City]]="Pune"),"Yes","No")</f>
        <v>No</v>
      </c>
      <c r="P1965" s="1" t="str">
        <f>IF(OR(Employee__2[[#This Row],[Age]]&gt;=30,Employee__2[[#This Row],[Gender]]="Male"),"Mached","Not mached")</f>
        <v>Mached</v>
      </c>
    </row>
    <row r="1966" spans="4:16" x14ac:dyDescent="0.25">
      <c r="D1966" s="6" t="s">
        <v>34</v>
      </c>
      <c r="E1966">
        <v>2012</v>
      </c>
      <c r="F1966" s="6" t="s">
        <v>35</v>
      </c>
      <c r="G1966">
        <v>3</v>
      </c>
      <c r="H1966">
        <v>28</v>
      </c>
      <c r="I1966" s="6" t="s">
        <v>39</v>
      </c>
      <c r="J1966" s="6" t="s">
        <v>37</v>
      </c>
      <c r="K1966">
        <v>1</v>
      </c>
      <c r="M1966" s="1" t="b">
        <f>Employee__2[[#This Row],[Experience]]&gt;1</f>
        <v>0</v>
      </c>
      <c r="N1966" s="1" t="str">
        <f>IF(Employee__2[[#This Row],[City]]="Pune","Yes","No")</f>
        <v>No</v>
      </c>
      <c r="O1966" s="1" t="str">
        <f>IF(AND(Employee__2[[#This Row],[Education]]="Bachelors",Employee__2[[#This Row],[City]]="Pune"),"Yes","No")</f>
        <v>No</v>
      </c>
      <c r="P1966" s="1" t="str">
        <f>IF(OR(Employee__2[[#This Row],[Age]]&gt;=30,Employee__2[[#This Row],[Gender]]="Male"),"Mached","Not mached")</f>
        <v>Not mached</v>
      </c>
    </row>
    <row r="1967" spans="4:16" x14ac:dyDescent="0.25">
      <c r="D1967" s="6" t="s">
        <v>34</v>
      </c>
      <c r="E1967">
        <v>2014</v>
      </c>
      <c r="F1967" s="6" t="s">
        <v>35</v>
      </c>
      <c r="G1967">
        <v>3</v>
      </c>
      <c r="H1967">
        <v>26</v>
      </c>
      <c r="I1967" s="6" t="s">
        <v>36</v>
      </c>
      <c r="J1967" s="6" t="s">
        <v>37</v>
      </c>
      <c r="K1967">
        <v>4</v>
      </c>
      <c r="M1967" s="1" t="b">
        <f>Employee__2[[#This Row],[Experience]]&gt;1</f>
        <v>1</v>
      </c>
      <c r="N1967" s="1" t="str">
        <f>IF(Employee__2[[#This Row],[City]]="Pune","Yes","No")</f>
        <v>No</v>
      </c>
      <c r="O1967" s="1" t="str">
        <f>IF(AND(Employee__2[[#This Row],[Education]]="Bachelors",Employee__2[[#This Row],[City]]="Pune"),"Yes","No")</f>
        <v>No</v>
      </c>
      <c r="P1967" s="1" t="str">
        <f>IF(OR(Employee__2[[#This Row],[Age]]&gt;=30,Employee__2[[#This Row],[Gender]]="Male"),"Mached","Not mached")</f>
        <v>Mached</v>
      </c>
    </row>
    <row r="1968" spans="4:16" x14ac:dyDescent="0.25">
      <c r="D1968" s="6" t="s">
        <v>41</v>
      </c>
      <c r="E1968">
        <v>2017</v>
      </c>
      <c r="F1968" s="6" t="s">
        <v>40</v>
      </c>
      <c r="G1968">
        <v>2</v>
      </c>
      <c r="H1968">
        <v>28</v>
      </c>
      <c r="I1968" s="6" t="s">
        <v>36</v>
      </c>
      <c r="J1968" s="6" t="s">
        <v>37</v>
      </c>
      <c r="K1968">
        <v>3</v>
      </c>
      <c r="M1968" s="1" t="b">
        <f>Employee__2[[#This Row],[Experience]]&gt;1</f>
        <v>1</v>
      </c>
      <c r="N1968" s="1" t="str">
        <f>IF(Employee__2[[#This Row],[City]]="Pune","Yes","No")</f>
        <v>No</v>
      </c>
      <c r="O1968" s="1" t="str">
        <f>IF(AND(Employee__2[[#This Row],[Education]]="Bachelors",Employee__2[[#This Row],[City]]="Pune"),"Yes","No")</f>
        <v>No</v>
      </c>
      <c r="P1968" s="1" t="str">
        <f>IF(OR(Employee__2[[#This Row],[Age]]&gt;=30,Employee__2[[#This Row],[Gender]]="Male"),"Mached","Not mached")</f>
        <v>Mached</v>
      </c>
    </row>
    <row r="1969" spans="4:16" x14ac:dyDescent="0.25">
      <c r="D1969" s="6" t="s">
        <v>34</v>
      </c>
      <c r="E1969">
        <v>2013</v>
      </c>
      <c r="F1969" s="6" t="s">
        <v>38</v>
      </c>
      <c r="G1969">
        <v>3</v>
      </c>
      <c r="H1969">
        <v>24</v>
      </c>
      <c r="I1969" s="6" t="s">
        <v>39</v>
      </c>
      <c r="J1969" s="6" t="s">
        <v>37</v>
      </c>
      <c r="K1969">
        <v>2</v>
      </c>
      <c r="M1969" s="1" t="b">
        <f>Employee__2[[#This Row],[Experience]]&gt;1</f>
        <v>1</v>
      </c>
      <c r="N1969" s="1" t="str">
        <f>IF(Employee__2[[#This Row],[City]]="Pune","Yes","No")</f>
        <v>Yes</v>
      </c>
      <c r="O1969" s="1" t="str">
        <f>IF(AND(Employee__2[[#This Row],[Education]]="Bachelors",Employee__2[[#This Row],[City]]="Pune"),"Yes","No")</f>
        <v>Yes</v>
      </c>
      <c r="P1969" s="1" t="str">
        <f>IF(OR(Employee__2[[#This Row],[Age]]&gt;=30,Employee__2[[#This Row],[Gender]]="Male"),"Mached","Not mached")</f>
        <v>Not mached</v>
      </c>
    </row>
    <row r="1970" spans="4:16" x14ac:dyDescent="0.25">
      <c r="D1970" s="6" t="s">
        <v>41</v>
      </c>
      <c r="E1970">
        <v>2017</v>
      </c>
      <c r="F1970" s="6" t="s">
        <v>40</v>
      </c>
      <c r="G1970">
        <v>2</v>
      </c>
      <c r="H1970">
        <v>24</v>
      </c>
      <c r="I1970" s="6" t="s">
        <v>36</v>
      </c>
      <c r="J1970" s="6" t="s">
        <v>37</v>
      </c>
      <c r="K1970">
        <v>2</v>
      </c>
      <c r="M1970" s="1" t="b">
        <f>Employee__2[[#This Row],[Experience]]&gt;1</f>
        <v>1</v>
      </c>
      <c r="N1970" s="1" t="str">
        <f>IF(Employee__2[[#This Row],[City]]="Pune","Yes","No")</f>
        <v>No</v>
      </c>
      <c r="O1970" s="1" t="str">
        <f>IF(AND(Employee__2[[#This Row],[Education]]="Bachelors",Employee__2[[#This Row],[City]]="Pune"),"Yes","No")</f>
        <v>No</v>
      </c>
      <c r="P1970" s="1" t="str">
        <f>IF(OR(Employee__2[[#This Row],[Age]]&gt;=30,Employee__2[[#This Row],[Gender]]="Male"),"Mached","Not mached")</f>
        <v>Mached</v>
      </c>
    </row>
    <row r="1971" spans="4:16" x14ac:dyDescent="0.25">
      <c r="D1971" s="6" t="s">
        <v>34</v>
      </c>
      <c r="E1971">
        <v>2014</v>
      </c>
      <c r="F1971" s="6" t="s">
        <v>35</v>
      </c>
      <c r="G1971">
        <v>3</v>
      </c>
      <c r="H1971">
        <v>28</v>
      </c>
      <c r="I1971" s="6" t="s">
        <v>39</v>
      </c>
      <c r="J1971" s="6" t="s">
        <v>37</v>
      </c>
      <c r="K1971">
        <v>1</v>
      </c>
      <c r="M1971" s="1" t="b">
        <f>Employee__2[[#This Row],[Experience]]&gt;1</f>
        <v>0</v>
      </c>
      <c r="N1971" s="1" t="str">
        <f>IF(Employee__2[[#This Row],[City]]="Pune","Yes","No")</f>
        <v>No</v>
      </c>
      <c r="O1971" s="1" t="str">
        <f>IF(AND(Employee__2[[#This Row],[Education]]="Bachelors",Employee__2[[#This Row],[City]]="Pune"),"Yes","No")</f>
        <v>No</v>
      </c>
      <c r="P1971" s="1" t="str">
        <f>IF(OR(Employee__2[[#This Row],[Age]]&gt;=30,Employee__2[[#This Row],[Gender]]="Male"),"Mached","Not mached")</f>
        <v>Not mached</v>
      </c>
    </row>
    <row r="1972" spans="4:16" x14ac:dyDescent="0.25">
      <c r="D1972" s="6" t="s">
        <v>34</v>
      </c>
      <c r="E1972">
        <v>2018</v>
      </c>
      <c r="F1972" s="6" t="s">
        <v>35</v>
      </c>
      <c r="G1972">
        <v>3</v>
      </c>
      <c r="H1972">
        <v>25</v>
      </c>
      <c r="I1972" s="6" t="s">
        <v>36</v>
      </c>
      <c r="J1972" s="6" t="s">
        <v>37</v>
      </c>
      <c r="K1972">
        <v>3</v>
      </c>
      <c r="M1972" s="1" t="b">
        <f>Employee__2[[#This Row],[Experience]]&gt;1</f>
        <v>1</v>
      </c>
      <c r="N1972" s="1" t="str">
        <f>IF(Employee__2[[#This Row],[City]]="Pune","Yes","No")</f>
        <v>No</v>
      </c>
      <c r="O1972" s="1" t="str">
        <f>IF(AND(Employee__2[[#This Row],[Education]]="Bachelors",Employee__2[[#This Row],[City]]="Pune"),"Yes","No")</f>
        <v>No</v>
      </c>
      <c r="P1972" s="1" t="str">
        <f>IF(OR(Employee__2[[#This Row],[Age]]&gt;=30,Employee__2[[#This Row],[Gender]]="Male"),"Mached","Not mached")</f>
        <v>Mached</v>
      </c>
    </row>
    <row r="1973" spans="4:16" x14ac:dyDescent="0.25">
      <c r="D1973" s="6" t="s">
        <v>41</v>
      </c>
      <c r="E1973">
        <v>2012</v>
      </c>
      <c r="F1973" s="6" t="s">
        <v>40</v>
      </c>
      <c r="G1973">
        <v>3</v>
      </c>
      <c r="H1973">
        <v>27</v>
      </c>
      <c r="I1973" s="6" t="s">
        <v>39</v>
      </c>
      <c r="J1973" s="6" t="s">
        <v>37</v>
      </c>
      <c r="K1973">
        <v>5</v>
      </c>
      <c r="M1973" s="1" t="b">
        <f>Employee__2[[#This Row],[Experience]]&gt;1</f>
        <v>1</v>
      </c>
      <c r="N1973" s="1" t="str">
        <f>IF(Employee__2[[#This Row],[City]]="Pune","Yes","No")</f>
        <v>No</v>
      </c>
      <c r="O1973" s="1" t="str">
        <f>IF(AND(Employee__2[[#This Row],[Education]]="Bachelors",Employee__2[[#This Row],[City]]="Pune"),"Yes","No")</f>
        <v>No</v>
      </c>
      <c r="P1973" s="1" t="str">
        <f>IF(OR(Employee__2[[#This Row],[Age]]&gt;=30,Employee__2[[#This Row],[Gender]]="Male"),"Mached","Not mached")</f>
        <v>Not mached</v>
      </c>
    </row>
    <row r="1974" spans="4:16" x14ac:dyDescent="0.25">
      <c r="D1974" s="6" t="s">
        <v>41</v>
      </c>
      <c r="E1974">
        <v>2014</v>
      </c>
      <c r="F1974" s="6" t="s">
        <v>40</v>
      </c>
      <c r="G1974">
        <v>3</v>
      </c>
      <c r="H1974">
        <v>26</v>
      </c>
      <c r="I1974" s="6" t="s">
        <v>36</v>
      </c>
      <c r="J1974" s="6" t="s">
        <v>37</v>
      </c>
      <c r="K1974">
        <v>4</v>
      </c>
      <c r="M1974" s="1" t="b">
        <f>Employee__2[[#This Row],[Experience]]&gt;1</f>
        <v>1</v>
      </c>
      <c r="N1974" s="1" t="str">
        <f>IF(Employee__2[[#This Row],[City]]="Pune","Yes","No")</f>
        <v>No</v>
      </c>
      <c r="O1974" s="1" t="str">
        <f>IF(AND(Employee__2[[#This Row],[Education]]="Bachelors",Employee__2[[#This Row],[City]]="Pune"),"Yes","No")</f>
        <v>No</v>
      </c>
      <c r="P1974" s="1" t="str">
        <f>IF(OR(Employee__2[[#This Row],[Age]]&gt;=30,Employee__2[[#This Row],[Gender]]="Male"),"Mached","Not mached")</f>
        <v>Mached</v>
      </c>
    </row>
    <row r="1975" spans="4:16" x14ac:dyDescent="0.25">
      <c r="D1975" s="6" t="s">
        <v>34</v>
      </c>
      <c r="E1975">
        <v>2017</v>
      </c>
      <c r="F1975" s="6" t="s">
        <v>35</v>
      </c>
      <c r="G1975">
        <v>3</v>
      </c>
      <c r="H1975">
        <v>28</v>
      </c>
      <c r="I1975" s="6" t="s">
        <v>36</v>
      </c>
      <c r="J1975" s="6" t="s">
        <v>37</v>
      </c>
      <c r="K1975">
        <v>5</v>
      </c>
      <c r="M1975" s="1" t="b">
        <f>Employee__2[[#This Row],[Experience]]&gt;1</f>
        <v>1</v>
      </c>
      <c r="N1975" s="1" t="str">
        <f>IF(Employee__2[[#This Row],[City]]="Pune","Yes","No")</f>
        <v>No</v>
      </c>
      <c r="O1975" s="1" t="str">
        <f>IF(AND(Employee__2[[#This Row],[Education]]="Bachelors",Employee__2[[#This Row],[City]]="Pune"),"Yes","No")</f>
        <v>No</v>
      </c>
      <c r="P1975" s="1" t="str">
        <f>IF(OR(Employee__2[[#This Row],[Age]]&gt;=30,Employee__2[[#This Row],[Gender]]="Male"),"Mached","Not mached")</f>
        <v>Mached</v>
      </c>
    </row>
    <row r="1976" spans="4:16" x14ac:dyDescent="0.25">
      <c r="D1976" s="6" t="s">
        <v>34</v>
      </c>
      <c r="E1976">
        <v>2017</v>
      </c>
      <c r="F1976" s="6" t="s">
        <v>38</v>
      </c>
      <c r="G1976">
        <v>3</v>
      </c>
      <c r="H1976">
        <v>28</v>
      </c>
      <c r="I1976" s="6" t="s">
        <v>39</v>
      </c>
      <c r="J1976" s="6" t="s">
        <v>37</v>
      </c>
      <c r="K1976">
        <v>1</v>
      </c>
      <c r="M1976" s="1" t="b">
        <f>Employee__2[[#This Row],[Experience]]&gt;1</f>
        <v>0</v>
      </c>
      <c r="N1976" s="1" t="str">
        <f>IF(Employee__2[[#This Row],[City]]="Pune","Yes","No")</f>
        <v>Yes</v>
      </c>
      <c r="O1976" s="1" t="str">
        <f>IF(AND(Employee__2[[#This Row],[Education]]="Bachelors",Employee__2[[#This Row],[City]]="Pune"),"Yes","No")</f>
        <v>Yes</v>
      </c>
      <c r="P1976" s="1" t="str">
        <f>IF(OR(Employee__2[[#This Row],[Age]]&gt;=30,Employee__2[[#This Row],[Gender]]="Male"),"Mached","Not mached")</f>
        <v>Not mached</v>
      </c>
    </row>
    <row r="1977" spans="4:16" x14ac:dyDescent="0.25">
      <c r="D1977" s="6" t="s">
        <v>34</v>
      </c>
      <c r="E1977">
        <v>2016</v>
      </c>
      <c r="F1977" s="6" t="s">
        <v>35</v>
      </c>
      <c r="G1977">
        <v>3</v>
      </c>
      <c r="H1977">
        <v>24</v>
      </c>
      <c r="I1977" s="6" t="s">
        <v>36</v>
      </c>
      <c r="J1977" s="6" t="s">
        <v>37</v>
      </c>
      <c r="K1977">
        <v>2</v>
      </c>
      <c r="M1977" s="1" t="b">
        <f>Employee__2[[#This Row],[Experience]]&gt;1</f>
        <v>1</v>
      </c>
      <c r="N1977" s="1" t="str">
        <f>IF(Employee__2[[#This Row],[City]]="Pune","Yes","No")</f>
        <v>No</v>
      </c>
      <c r="O1977" s="1" t="str">
        <f>IF(AND(Employee__2[[#This Row],[Education]]="Bachelors",Employee__2[[#This Row],[City]]="Pune"),"Yes","No")</f>
        <v>No</v>
      </c>
      <c r="P1977" s="1" t="str">
        <f>IF(OR(Employee__2[[#This Row],[Age]]&gt;=30,Employee__2[[#This Row],[Gender]]="Male"),"Mached","Not mached")</f>
        <v>Mached</v>
      </c>
    </row>
    <row r="1978" spans="4:16" x14ac:dyDescent="0.25">
      <c r="D1978" s="6" t="s">
        <v>34</v>
      </c>
      <c r="E1978">
        <v>2016</v>
      </c>
      <c r="F1978" s="6" t="s">
        <v>40</v>
      </c>
      <c r="G1978">
        <v>3</v>
      </c>
      <c r="H1978">
        <v>24</v>
      </c>
      <c r="I1978" s="6" t="s">
        <v>36</v>
      </c>
      <c r="J1978" s="6" t="s">
        <v>42</v>
      </c>
      <c r="K1978">
        <v>2</v>
      </c>
      <c r="M1978" s="1" t="b">
        <f>Employee__2[[#This Row],[Experience]]&gt;1</f>
        <v>1</v>
      </c>
      <c r="N1978" s="1" t="str">
        <f>IF(Employee__2[[#This Row],[City]]="Pune","Yes","No")</f>
        <v>No</v>
      </c>
      <c r="O1978" s="1" t="str">
        <f>IF(AND(Employee__2[[#This Row],[Education]]="Bachelors",Employee__2[[#This Row],[City]]="Pune"),"Yes","No")</f>
        <v>No</v>
      </c>
      <c r="P1978" s="1" t="str">
        <f>IF(OR(Employee__2[[#This Row],[Age]]&gt;=30,Employee__2[[#This Row],[Gender]]="Male"),"Mached","Not mached")</f>
        <v>Mached</v>
      </c>
    </row>
    <row r="1979" spans="4:16" x14ac:dyDescent="0.25">
      <c r="D1979" s="6" t="s">
        <v>41</v>
      </c>
      <c r="E1979">
        <v>2018</v>
      </c>
      <c r="F1979" s="6" t="s">
        <v>40</v>
      </c>
      <c r="G1979">
        <v>3</v>
      </c>
      <c r="H1979">
        <v>28</v>
      </c>
      <c r="I1979" s="6" t="s">
        <v>36</v>
      </c>
      <c r="J1979" s="6" t="s">
        <v>42</v>
      </c>
      <c r="K1979">
        <v>2</v>
      </c>
      <c r="M1979" s="1" t="b">
        <f>Employee__2[[#This Row],[Experience]]&gt;1</f>
        <v>1</v>
      </c>
      <c r="N1979" s="1" t="str">
        <f>IF(Employee__2[[#This Row],[City]]="Pune","Yes","No")</f>
        <v>No</v>
      </c>
      <c r="O1979" s="1" t="str">
        <f>IF(AND(Employee__2[[#This Row],[Education]]="Bachelors",Employee__2[[#This Row],[City]]="Pune"),"Yes","No")</f>
        <v>No</v>
      </c>
      <c r="P1979" s="1" t="str">
        <f>IF(OR(Employee__2[[#This Row],[Age]]&gt;=30,Employee__2[[#This Row],[Gender]]="Male"),"Mached","Not mached")</f>
        <v>Mached</v>
      </c>
    </row>
    <row r="1980" spans="4:16" x14ac:dyDescent="0.25">
      <c r="D1980" s="6" t="s">
        <v>34</v>
      </c>
      <c r="E1980">
        <v>2014</v>
      </c>
      <c r="F1980" s="6" t="s">
        <v>35</v>
      </c>
      <c r="G1980">
        <v>3</v>
      </c>
      <c r="H1980">
        <v>25</v>
      </c>
      <c r="I1980" s="6" t="s">
        <v>36</v>
      </c>
      <c r="J1980" s="6" t="s">
        <v>37</v>
      </c>
      <c r="K1980">
        <v>3</v>
      </c>
      <c r="M1980" s="1" t="b">
        <f>Employee__2[[#This Row],[Experience]]&gt;1</f>
        <v>1</v>
      </c>
      <c r="N1980" s="1" t="str">
        <f>IF(Employee__2[[#This Row],[City]]="Pune","Yes","No")</f>
        <v>No</v>
      </c>
      <c r="O1980" s="1" t="str">
        <f>IF(AND(Employee__2[[#This Row],[Education]]="Bachelors",Employee__2[[#This Row],[City]]="Pune"),"Yes","No")</f>
        <v>No</v>
      </c>
      <c r="P1980" s="1" t="str">
        <f>IF(OR(Employee__2[[#This Row],[Age]]&gt;=30,Employee__2[[#This Row],[Gender]]="Male"),"Mached","Not mached")</f>
        <v>Mached</v>
      </c>
    </row>
    <row r="1981" spans="4:16" x14ac:dyDescent="0.25">
      <c r="D1981" s="6" t="s">
        <v>41</v>
      </c>
      <c r="E1981">
        <v>2013</v>
      </c>
      <c r="F1981" s="6" t="s">
        <v>40</v>
      </c>
      <c r="G1981">
        <v>3</v>
      </c>
      <c r="H1981">
        <v>25</v>
      </c>
      <c r="I1981" s="6" t="s">
        <v>36</v>
      </c>
      <c r="J1981" s="6" t="s">
        <v>37</v>
      </c>
      <c r="K1981">
        <v>3</v>
      </c>
      <c r="M1981" s="1" t="b">
        <f>Employee__2[[#This Row],[Experience]]&gt;1</f>
        <v>1</v>
      </c>
      <c r="N1981" s="1" t="str">
        <f>IF(Employee__2[[#This Row],[City]]="Pune","Yes","No")</f>
        <v>No</v>
      </c>
      <c r="O1981" s="1" t="str">
        <f>IF(AND(Employee__2[[#This Row],[Education]]="Bachelors",Employee__2[[#This Row],[City]]="Pune"),"Yes","No")</f>
        <v>No</v>
      </c>
      <c r="P1981" s="1" t="str">
        <f>IF(OR(Employee__2[[#This Row],[Age]]&gt;=30,Employee__2[[#This Row],[Gender]]="Male"),"Mached","Not mached")</f>
        <v>Mached</v>
      </c>
    </row>
    <row r="1982" spans="4:16" x14ac:dyDescent="0.25">
      <c r="D1982" s="6" t="s">
        <v>41</v>
      </c>
      <c r="E1982">
        <v>2017</v>
      </c>
      <c r="F1982" s="6" t="s">
        <v>35</v>
      </c>
      <c r="G1982">
        <v>3</v>
      </c>
      <c r="H1982">
        <v>28</v>
      </c>
      <c r="I1982" s="6" t="s">
        <v>39</v>
      </c>
      <c r="J1982" s="6" t="s">
        <v>37</v>
      </c>
      <c r="K1982">
        <v>0</v>
      </c>
      <c r="M1982" s="1" t="b">
        <f>Employee__2[[#This Row],[Experience]]&gt;1</f>
        <v>0</v>
      </c>
      <c r="N1982" s="1" t="str">
        <f>IF(Employee__2[[#This Row],[City]]="Pune","Yes","No")</f>
        <v>No</v>
      </c>
      <c r="O1982" s="1" t="str">
        <f>IF(AND(Employee__2[[#This Row],[Education]]="Bachelors",Employee__2[[#This Row],[City]]="Pune"),"Yes","No")</f>
        <v>No</v>
      </c>
      <c r="P1982" s="1" t="str">
        <f>IF(OR(Employee__2[[#This Row],[Age]]&gt;=30,Employee__2[[#This Row],[Gender]]="Male"),"Mached","Not mached")</f>
        <v>Not mached</v>
      </c>
    </row>
    <row r="1983" spans="4:16" x14ac:dyDescent="0.25">
      <c r="D1983" s="6" t="s">
        <v>43</v>
      </c>
      <c r="E1983">
        <v>2018</v>
      </c>
      <c r="F1983" s="6" t="s">
        <v>35</v>
      </c>
      <c r="G1983">
        <v>3</v>
      </c>
      <c r="H1983">
        <v>26</v>
      </c>
      <c r="I1983" s="6" t="s">
        <v>36</v>
      </c>
      <c r="J1983" s="6" t="s">
        <v>37</v>
      </c>
      <c r="K1983">
        <v>4</v>
      </c>
      <c r="M1983" s="1" t="b">
        <f>Employee__2[[#This Row],[Experience]]&gt;1</f>
        <v>1</v>
      </c>
      <c r="N1983" s="1" t="str">
        <f>IF(Employee__2[[#This Row],[City]]="Pune","Yes","No")</f>
        <v>No</v>
      </c>
      <c r="O1983" s="1" t="str">
        <f>IF(AND(Employee__2[[#This Row],[Education]]="Bachelors",Employee__2[[#This Row],[City]]="Pune"),"Yes","No")</f>
        <v>No</v>
      </c>
      <c r="P1983" s="1" t="str">
        <f>IF(OR(Employee__2[[#This Row],[Age]]&gt;=30,Employee__2[[#This Row],[Gender]]="Male"),"Mached","Not mached")</f>
        <v>Mached</v>
      </c>
    </row>
    <row r="1984" spans="4:16" x14ac:dyDescent="0.25">
      <c r="D1984" s="6" t="s">
        <v>34</v>
      </c>
      <c r="E1984">
        <v>2017</v>
      </c>
      <c r="F1984" s="6" t="s">
        <v>35</v>
      </c>
      <c r="G1984">
        <v>1</v>
      </c>
      <c r="H1984">
        <v>24</v>
      </c>
      <c r="I1984" s="6" t="s">
        <v>36</v>
      </c>
      <c r="J1984" s="6" t="s">
        <v>37</v>
      </c>
      <c r="K1984">
        <v>2</v>
      </c>
      <c r="M1984" s="1" t="b">
        <f>Employee__2[[#This Row],[Experience]]&gt;1</f>
        <v>1</v>
      </c>
      <c r="N1984" s="1" t="str">
        <f>IF(Employee__2[[#This Row],[City]]="Pune","Yes","No")</f>
        <v>No</v>
      </c>
      <c r="O1984" s="1" t="str">
        <f>IF(AND(Employee__2[[#This Row],[Education]]="Bachelors",Employee__2[[#This Row],[City]]="Pune"),"Yes","No")</f>
        <v>No</v>
      </c>
      <c r="P1984" s="1" t="str">
        <f>IF(OR(Employee__2[[#This Row],[Age]]&gt;=30,Employee__2[[#This Row],[Gender]]="Male"),"Mached","Not mached")</f>
        <v>Mached</v>
      </c>
    </row>
    <row r="1985" spans="4:16" x14ac:dyDescent="0.25">
      <c r="D1985" s="6" t="s">
        <v>34</v>
      </c>
      <c r="E1985">
        <v>2017</v>
      </c>
      <c r="F1985" s="6" t="s">
        <v>40</v>
      </c>
      <c r="G1985">
        <v>2</v>
      </c>
      <c r="H1985">
        <v>25</v>
      </c>
      <c r="I1985" s="6" t="s">
        <v>36</v>
      </c>
      <c r="J1985" s="6" t="s">
        <v>37</v>
      </c>
      <c r="K1985">
        <v>3</v>
      </c>
      <c r="M1985" s="1" t="b">
        <f>Employee__2[[#This Row],[Experience]]&gt;1</f>
        <v>1</v>
      </c>
      <c r="N1985" s="1" t="str">
        <f>IF(Employee__2[[#This Row],[City]]="Pune","Yes","No")</f>
        <v>No</v>
      </c>
      <c r="O1985" s="1" t="str">
        <f>IF(AND(Employee__2[[#This Row],[Education]]="Bachelors",Employee__2[[#This Row],[City]]="Pune"),"Yes","No")</f>
        <v>No</v>
      </c>
      <c r="P1985" s="1" t="str">
        <f>IF(OR(Employee__2[[#This Row],[Age]]&gt;=30,Employee__2[[#This Row],[Gender]]="Male"),"Mached","Not mached")</f>
        <v>Mached</v>
      </c>
    </row>
    <row r="1986" spans="4:16" x14ac:dyDescent="0.25">
      <c r="D1986" s="6" t="s">
        <v>41</v>
      </c>
      <c r="E1986">
        <v>2015</v>
      </c>
      <c r="F1986" s="6" t="s">
        <v>38</v>
      </c>
      <c r="G1986">
        <v>2</v>
      </c>
      <c r="H1986">
        <v>28</v>
      </c>
      <c r="I1986" s="6" t="s">
        <v>39</v>
      </c>
      <c r="J1986" s="6" t="s">
        <v>37</v>
      </c>
      <c r="K1986">
        <v>0</v>
      </c>
      <c r="M1986" s="1" t="b">
        <f>Employee__2[[#This Row],[Experience]]&gt;1</f>
        <v>0</v>
      </c>
      <c r="N1986" s="1" t="str">
        <f>IF(Employee__2[[#This Row],[City]]="Pune","Yes","No")</f>
        <v>Yes</v>
      </c>
      <c r="O1986" s="1" t="str">
        <f>IF(AND(Employee__2[[#This Row],[Education]]="Bachelors",Employee__2[[#This Row],[City]]="Pune"),"Yes","No")</f>
        <v>No</v>
      </c>
      <c r="P1986" s="1" t="str">
        <f>IF(OR(Employee__2[[#This Row],[Age]]&gt;=30,Employee__2[[#This Row],[Gender]]="Male"),"Mached","Not mached")</f>
        <v>Not mached</v>
      </c>
    </row>
    <row r="1987" spans="4:16" x14ac:dyDescent="0.25">
      <c r="D1987" s="6" t="s">
        <v>34</v>
      </c>
      <c r="E1987">
        <v>2014</v>
      </c>
      <c r="F1987" s="6" t="s">
        <v>38</v>
      </c>
      <c r="G1987">
        <v>2</v>
      </c>
      <c r="H1987">
        <v>27</v>
      </c>
      <c r="I1987" s="6" t="s">
        <v>39</v>
      </c>
      <c r="J1987" s="6" t="s">
        <v>37</v>
      </c>
      <c r="K1987">
        <v>5</v>
      </c>
      <c r="M1987" s="1" t="b">
        <f>Employee__2[[#This Row],[Experience]]&gt;1</f>
        <v>1</v>
      </c>
      <c r="N1987" s="1" t="str">
        <f>IF(Employee__2[[#This Row],[City]]="Pune","Yes","No")</f>
        <v>Yes</v>
      </c>
      <c r="O1987" s="1" t="str">
        <f>IF(AND(Employee__2[[#This Row],[Education]]="Bachelors",Employee__2[[#This Row],[City]]="Pune"),"Yes","No")</f>
        <v>Yes</v>
      </c>
      <c r="P1987" s="1" t="str">
        <f>IF(OR(Employee__2[[#This Row],[Age]]&gt;=30,Employee__2[[#This Row],[Gender]]="Male"),"Mached","Not mached")</f>
        <v>Not mached</v>
      </c>
    </row>
    <row r="1988" spans="4:16" x14ac:dyDescent="0.25">
      <c r="D1988" s="6" t="s">
        <v>34</v>
      </c>
      <c r="E1988">
        <v>2014</v>
      </c>
      <c r="F1988" s="6" t="s">
        <v>35</v>
      </c>
      <c r="G1988">
        <v>3</v>
      </c>
      <c r="H1988">
        <v>25</v>
      </c>
      <c r="I1988" s="6" t="s">
        <v>36</v>
      </c>
      <c r="J1988" s="6" t="s">
        <v>37</v>
      </c>
      <c r="K1988">
        <v>3</v>
      </c>
      <c r="M1988" s="1" t="b">
        <f>Employee__2[[#This Row],[Experience]]&gt;1</f>
        <v>1</v>
      </c>
      <c r="N1988" s="1" t="str">
        <f>IF(Employee__2[[#This Row],[City]]="Pune","Yes","No")</f>
        <v>No</v>
      </c>
      <c r="O1988" s="1" t="str">
        <f>IF(AND(Employee__2[[#This Row],[Education]]="Bachelors",Employee__2[[#This Row],[City]]="Pune"),"Yes","No")</f>
        <v>No</v>
      </c>
      <c r="P1988" s="1" t="str">
        <f>IF(OR(Employee__2[[#This Row],[Age]]&gt;=30,Employee__2[[#This Row],[Gender]]="Male"),"Mached","Not mached")</f>
        <v>Mached</v>
      </c>
    </row>
    <row r="1989" spans="4:16" x14ac:dyDescent="0.25">
      <c r="D1989" s="6" t="s">
        <v>34</v>
      </c>
      <c r="E1989">
        <v>2017</v>
      </c>
      <c r="F1989" s="6" t="s">
        <v>38</v>
      </c>
      <c r="G1989">
        <v>3</v>
      </c>
      <c r="H1989">
        <v>27</v>
      </c>
      <c r="I1989" s="6" t="s">
        <v>36</v>
      </c>
      <c r="J1989" s="6" t="s">
        <v>42</v>
      </c>
      <c r="K1989">
        <v>5</v>
      </c>
      <c r="M1989" s="1" t="b">
        <f>Employee__2[[#This Row],[Experience]]&gt;1</f>
        <v>1</v>
      </c>
      <c r="N1989" s="1" t="str">
        <f>IF(Employee__2[[#This Row],[City]]="Pune","Yes","No")</f>
        <v>Yes</v>
      </c>
      <c r="O1989" s="1" t="str">
        <f>IF(AND(Employee__2[[#This Row],[Education]]="Bachelors",Employee__2[[#This Row],[City]]="Pune"),"Yes","No")</f>
        <v>Yes</v>
      </c>
      <c r="P1989" s="1" t="str">
        <f>IF(OR(Employee__2[[#This Row],[Age]]&gt;=30,Employee__2[[#This Row],[Gender]]="Male"),"Mached","Not mached")</f>
        <v>Mached</v>
      </c>
    </row>
    <row r="1990" spans="4:16" x14ac:dyDescent="0.25">
      <c r="D1990" s="6" t="s">
        <v>34</v>
      </c>
      <c r="E1990">
        <v>2017</v>
      </c>
      <c r="F1990" s="6" t="s">
        <v>35</v>
      </c>
      <c r="G1990">
        <v>3</v>
      </c>
      <c r="H1990">
        <v>28</v>
      </c>
      <c r="I1990" s="6" t="s">
        <v>36</v>
      </c>
      <c r="J1990" s="6" t="s">
        <v>37</v>
      </c>
      <c r="K1990">
        <v>2</v>
      </c>
      <c r="M1990" s="1" t="b">
        <f>Employee__2[[#This Row],[Experience]]&gt;1</f>
        <v>1</v>
      </c>
      <c r="N1990" s="1" t="str">
        <f>IF(Employee__2[[#This Row],[City]]="Pune","Yes","No")</f>
        <v>No</v>
      </c>
      <c r="O1990" s="1" t="str">
        <f>IF(AND(Employee__2[[#This Row],[Education]]="Bachelors",Employee__2[[#This Row],[City]]="Pune"),"Yes","No")</f>
        <v>No</v>
      </c>
      <c r="P1990" s="1" t="str">
        <f>IF(OR(Employee__2[[#This Row],[Age]]&gt;=30,Employee__2[[#This Row],[Gender]]="Male"),"Mached","Not mached")</f>
        <v>Mached</v>
      </c>
    </row>
    <row r="1991" spans="4:16" x14ac:dyDescent="0.25">
      <c r="D1991" s="6" t="s">
        <v>34</v>
      </c>
      <c r="E1991">
        <v>2014</v>
      </c>
      <c r="F1991" s="6" t="s">
        <v>35</v>
      </c>
      <c r="G1991">
        <v>3</v>
      </c>
      <c r="H1991">
        <v>28</v>
      </c>
      <c r="I1991" s="6" t="s">
        <v>36</v>
      </c>
      <c r="J1991" s="6" t="s">
        <v>37</v>
      </c>
      <c r="K1991">
        <v>1</v>
      </c>
      <c r="M1991" s="1" t="b">
        <f>Employee__2[[#This Row],[Experience]]&gt;1</f>
        <v>0</v>
      </c>
      <c r="N1991" s="1" t="str">
        <f>IF(Employee__2[[#This Row],[City]]="Pune","Yes","No")</f>
        <v>No</v>
      </c>
      <c r="O1991" s="1" t="str">
        <f>IF(AND(Employee__2[[#This Row],[Education]]="Bachelors",Employee__2[[#This Row],[City]]="Pune"),"Yes","No")</f>
        <v>No</v>
      </c>
      <c r="P1991" s="1" t="str">
        <f>IF(OR(Employee__2[[#This Row],[Age]]&gt;=30,Employee__2[[#This Row],[Gender]]="Male"),"Mached","Not mached")</f>
        <v>Mached</v>
      </c>
    </row>
    <row r="1992" spans="4:16" x14ac:dyDescent="0.25">
      <c r="D1992" s="6" t="s">
        <v>34</v>
      </c>
      <c r="E1992">
        <v>2014</v>
      </c>
      <c r="F1992" s="6" t="s">
        <v>40</v>
      </c>
      <c r="G1992">
        <v>3</v>
      </c>
      <c r="H1992">
        <v>28</v>
      </c>
      <c r="I1992" s="6" t="s">
        <v>39</v>
      </c>
      <c r="J1992" s="6" t="s">
        <v>37</v>
      </c>
      <c r="K1992">
        <v>3</v>
      </c>
      <c r="M1992" s="1" t="b">
        <f>Employee__2[[#This Row],[Experience]]&gt;1</f>
        <v>1</v>
      </c>
      <c r="N1992" s="1" t="str">
        <f>IF(Employee__2[[#This Row],[City]]="Pune","Yes","No")</f>
        <v>No</v>
      </c>
      <c r="O1992" s="1" t="str">
        <f>IF(AND(Employee__2[[#This Row],[Education]]="Bachelors",Employee__2[[#This Row],[City]]="Pune"),"Yes","No")</f>
        <v>No</v>
      </c>
      <c r="P1992" s="1" t="str">
        <f>IF(OR(Employee__2[[#This Row],[Age]]&gt;=30,Employee__2[[#This Row],[Gender]]="Male"),"Mached","Not mached")</f>
        <v>Not mached</v>
      </c>
    </row>
    <row r="1993" spans="4:16" x14ac:dyDescent="0.25">
      <c r="D1993" s="6" t="s">
        <v>34</v>
      </c>
      <c r="E1993">
        <v>2015</v>
      </c>
      <c r="F1993" s="6" t="s">
        <v>40</v>
      </c>
      <c r="G1993">
        <v>2</v>
      </c>
      <c r="H1993">
        <v>29</v>
      </c>
      <c r="I1993" s="6" t="s">
        <v>39</v>
      </c>
      <c r="J1993" s="6" t="s">
        <v>37</v>
      </c>
      <c r="K1993">
        <v>1</v>
      </c>
      <c r="M1993" s="1" t="b">
        <f>Employee__2[[#This Row],[Experience]]&gt;1</f>
        <v>0</v>
      </c>
      <c r="N1993" s="1" t="str">
        <f>IF(Employee__2[[#This Row],[City]]="Pune","Yes","No")</f>
        <v>No</v>
      </c>
      <c r="O1993" s="1" t="str">
        <f>IF(AND(Employee__2[[#This Row],[Education]]="Bachelors",Employee__2[[#This Row],[City]]="Pune"),"Yes","No")</f>
        <v>No</v>
      </c>
      <c r="P1993" s="1" t="str">
        <f>IF(OR(Employee__2[[#This Row],[Age]]&gt;=30,Employee__2[[#This Row],[Gender]]="Male"),"Mached","Not mached")</f>
        <v>Not mached</v>
      </c>
    </row>
    <row r="1994" spans="4:16" x14ac:dyDescent="0.25">
      <c r="D1994" s="6" t="s">
        <v>34</v>
      </c>
      <c r="E1994">
        <v>2012</v>
      </c>
      <c r="F1994" s="6" t="s">
        <v>35</v>
      </c>
      <c r="G1994">
        <v>3</v>
      </c>
      <c r="H1994">
        <v>29</v>
      </c>
      <c r="I1994" s="6" t="s">
        <v>36</v>
      </c>
      <c r="J1994" s="6" t="s">
        <v>37</v>
      </c>
      <c r="K1994">
        <v>1</v>
      </c>
      <c r="M1994" s="1" t="b">
        <f>Employee__2[[#This Row],[Experience]]&gt;1</f>
        <v>0</v>
      </c>
      <c r="N1994" s="1" t="str">
        <f>IF(Employee__2[[#This Row],[City]]="Pune","Yes","No")</f>
        <v>No</v>
      </c>
      <c r="O1994" s="1" t="str">
        <f>IF(AND(Employee__2[[#This Row],[Education]]="Bachelors",Employee__2[[#This Row],[City]]="Pune"),"Yes","No")</f>
        <v>No</v>
      </c>
      <c r="P1994" s="1" t="str">
        <f>IF(OR(Employee__2[[#This Row],[Age]]&gt;=30,Employee__2[[#This Row],[Gender]]="Male"),"Mached","Not mached")</f>
        <v>Mached</v>
      </c>
    </row>
    <row r="1995" spans="4:16" x14ac:dyDescent="0.25">
      <c r="D1995" s="6" t="s">
        <v>34</v>
      </c>
      <c r="E1995">
        <v>2017</v>
      </c>
      <c r="F1995" s="6" t="s">
        <v>38</v>
      </c>
      <c r="G1995">
        <v>2</v>
      </c>
      <c r="H1995">
        <v>26</v>
      </c>
      <c r="I1995" s="6" t="s">
        <v>36</v>
      </c>
      <c r="J1995" s="6" t="s">
        <v>37</v>
      </c>
      <c r="K1995">
        <v>4</v>
      </c>
      <c r="M1995" s="1" t="b">
        <f>Employee__2[[#This Row],[Experience]]&gt;1</f>
        <v>1</v>
      </c>
      <c r="N1995" s="1" t="str">
        <f>IF(Employee__2[[#This Row],[City]]="Pune","Yes","No")</f>
        <v>Yes</v>
      </c>
      <c r="O1995" s="1" t="str">
        <f>IF(AND(Employee__2[[#This Row],[Education]]="Bachelors",Employee__2[[#This Row],[City]]="Pune"),"Yes","No")</f>
        <v>Yes</v>
      </c>
      <c r="P1995" s="1" t="str">
        <f>IF(OR(Employee__2[[#This Row],[Age]]&gt;=30,Employee__2[[#This Row],[Gender]]="Male"),"Mached","Not mached")</f>
        <v>Mached</v>
      </c>
    </row>
    <row r="1996" spans="4:16" x14ac:dyDescent="0.25">
      <c r="D1996" s="6" t="s">
        <v>34</v>
      </c>
      <c r="E1996">
        <v>2015</v>
      </c>
      <c r="F1996" s="6" t="s">
        <v>38</v>
      </c>
      <c r="G1996">
        <v>3</v>
      </c>
      <c r="H1996">
        <v>28</v>
      </c>
      <c r="I1996" s="6" t="s">
        <v>39</v>
      </c>
      <c r="J1996" s="6" t="s">
        <v>37</v>
      </c>
      <c r="K1996">
        <v>2</v>
      </c>
      <c r="M1996" s="1" t="b">
        <f>Employee__2[[#This Row],[Experience]]&gt;1</f>
        <v>1</v>
      </c>
      <c r="N1996" s="1" t="str">
        <f>IF(Employee__2[[#This Row],[City]]="Pune","Yes","No")</f>
        <v>Yes</v>
      </c>
      <c r="O1996" s="1" t="str">
        <f>IF(AND(Employee__2[[#This Row],[Education]]="Bachelors",Employee__2[[#This Row],[City]]="Pune"),"Yes","No")</f>
        <v>Yes</v>
      </c>
      <c r="P1996" s="1" t="str">
        <f>IF(OR(Employee__2[[#This Row],[Age]]&gt;=30,Employee__2[[#This Row],[Gender]]="Male"),"Mached","Not mached")</f>
        <v>Not mached</v>
      </c>
    </row>
    <row r="1997" spans="4:16" x14ac:dyDescent="0.25">
      <c r="D1997" s="6" t="s">
        <v>34</v>
      </c>
      <c r="E1997">
        <v>2016</v>
      </c>
      <c r="F1997" s="6" t="s">
        <v>38</v>
      </c>
      <c r="G1997">
        <v>3</v>
      </c>
      <c r="H1997">
        <v>26</v>
      </c>
      <c r="I1997" s="6" t="s">
        <v>36</v>
      </c>
      <c r="J1997" s="6" t="s">
        <v>37</v>
      </c>
      <c r="K1997">
        <v>4</v>
      </c>
      <c r="M1997" s="1" t="b">
        <f>Employee__2[[#This Row],[Experience]]&gt;1</f>
        <v>1</v>
      </c>
      <c r="N1997" s="1" t="str">
        <f>IF(Employee__2[[#This Row],[City]]="Pune","Yes","No")</f>
        <v>Yes</v>
      </c>
      <c r="O1997" s="1" t="str">
        <f>IF(AND(Employee__2[[#This Row],[Education]]="Bachelors",Employee__2[[#This Row],[City]]="Pune"),"Yes","No")</f>
        <v>Yes</v>
      </c>
      <c r="P1997" s="1" t="str">
        <f>IF(OR(Employee__2[[#This Row],[Age]]&gt;=30,Employee__2[[#This Row],[Gender]]="Male"),"Mached","Not mached")</f>
        <v>Mached</v>
      </c>
    </row>
    <row r="1998" spans="4:16" x14ac:dyDescent="0.25">
      <c r="D1998" s="6" t="s">
        <v>41</v>
      </c>
      <c r="E1998">
        <v>2017</v>
      </c>
      <c r="F1998" s="6" t="s">
        <v>40</v>
      </c>
      <c r="G1998">
        <v>3</v>
      </c>
      <c r="H1998">
        <v>26</v>
      </c>
      <c r="I1998" s="6" t="s">
        <v>39</v>
      </c>
      <c r="J1998" s="6" t="s">
        <v>37</v>
      </c>
      <c r="K1998">
        <v>4</v>
      </c>
      <c r="M1998" s="1" t="b">
        <f>Employee__2[[#This Row],[Experience]]&gt;1</f>
        <v>1</v>
      </c>
      <c r="N1998" s="1" t="str">
        <f>IF(Employee__2[[#This Row],[City]]="Pune","Yes","No")</f>
        <v>No</v>
      </c>
      <c r="O1998" s="1" t="str">
        <f>IF(AND(Employee__2[[#This Row],[Education]]="Bachelors",Employee__2[[#This Row],[City]]="Pune"),"Yes","No")</f>
        <v>No</v>
      </c>
      <c r="P1998" s="1" t="str">
        <f>IF(OR(Employee__2[[#This Row],[Age]]&gt;=30,Employee__2[[#This Row],[Gender]]="Male"),"Mached","Not mached")</f>
        <v>Not mached</v>
      </c>
    </row>
    <row r="1999" spans="4:16" x14ac:dyDescent="0.25">
      <c r="D1999" s="6" t="s">
        <v>34</v>
      </c>
      <c r="E1999">
        <v>2013</v>
      </c>
      <c r="F1999" s="6" t="s">
        <v>38</v>
      </c>
      <c r="G1999">
        <v>3</v>
      </c>
      <c r="H1999">
        <v>26</v>
      </c>
      <c r="I1999" s="6" t="s">
        <v>36</v>
      </c>
      <c r="J1999" s="6" t="s">
        <v>37</v>
      </c>
      <c r="K1999">
        <v>4</v>
      </c>
      <c r="M1999" s="1" t="b">
        <f>Employee__2[[#This Row],[Experience]]&gt;1</f>
        <v>1</v>
      </c>
      <c r="N1999" s="1" t="str">
        <f>IF(Employee__2[[#This Row],[City]]="Pune","Yes","No")</f>
        <v>Yes</v>
      </c>
      <c r="O1999" s="1" t="str">
        <f>IF(AND(Employee__2[[#This Row],[Education]]="Bachelors",Employee__2[[#This Row],[City]]="Pune"),"Yes","No")</f>
        <v>Yes</v>
      </c>
      <c r="P1999" s="1" t="str">
        <f>IF(OR(Employee__2[[#This Row],[Age]]&gt;=30,Employee__2[[#This Row],[Gender]]="Male"),"Mached","Not mached")</f>
        <v>Mached</v>
      </c>
    </row>
    <row r="2000" spans="4:16" x14ac:dyDescent="0.25">
      <c r="D2000" s="6" t="s">
        <v>34</v>
      </c>
      <c r="E2000">
        <v>2017</v>
      </c>
      <c r="F2000" s="6" t="s">
        <v>35</v>
      </c>
      <c r="G2000">
        <v>3</v>
      </c>
      <c r="H2000">
        <v>28</v>
      </c>
      <c r="I2000" s="6" t="s">
        <v>36</v>
      </c>
      <c r="J2000" s="6" t="s">
        <v>37</v>
      </c>
      <c r="K2000">
        <v>1</v>
      </c>
      <c r="M2000" s="1" t="b">
        <f>Employee__2[[#This Row],[Experience]]&gt;1</f>
        <v>0</v>
      </c>
      <c r="N2000" s="1" t="str">
        <f>IF(Employee__2[[#This Row],[City]]="Pune","Yes","No")</f>
        <v>No</v>
      </c>
      <c r="O2000" s="1" t="str">
        <f>IF(AND(Employee__2[[#This Row],[Education]]="Bachelors",Employee__2[[#This Row],[City]]="Pune"),"Yes","No")</f>
        <v>No</v>
      </c>
      <c r="P2000" s="1" t="str">
        <f>IF(OR(Employee__2[[#This Row],[Age]]&gt;=30,Employee__2[[#This Row],[Gender]]="Male"),"Mached","Not mached")</f>
        <v>Mached</v>
      </c>
    </row>
    <row r="2001" spans="4:16" x14ac:dyDescent="0.25">
      <c r="D2001" s="6" t="s">
        <v>34</v>
      </c>
      <c r="E2001">
        <v>2013</v>
      </c>
      <c r="F2001" s="6" t="s">
        <v>35</v>
      </c>
      <c r="G2001">
        <v>3</v>
      </c>
      <c r="H2001">
        <v>26</v>
      </c>
      <c r="I2001" s="6" t="s">
        <v>36</v>
      </c>
      <c r="J2001" s="6" t="s">
        <v>37</v>
      </c>
      <c r="K2001">
        <v>4</v>
      </c>
      <c r="M2001" s="1" t="b">
        <f>Employee__2[[#This Row],[Experience]]&gt;1</f>
        <v>1</v>
      </c>
      <c r="N2001" s="1" t="str">
        <f>IF(Employee__2[[#This Row],[City]]="Pune","Yes","No")</f>
        <v>No</v>
      </c>
      <c r="O2001" s="1" t="str">
        <f>IF(AND(Employee__2[[#This Row],[Education]]="Bachelors",Employee__2[[#This Row],[City]]="Pune"),"Yes","No")</f>
        <v>No</v>
      </c>
      <c r="P2001" s="1" t="str">
        <f>IF(OR(Employee__2[[#This Row],[Age]]&gt;=30,Employee__2[[#This Row],[Gender]]="Male"),"Mached","Not mached")</f>
        <v>Mached</v>
      </c>
    </row>
    <row r="2002" spans="4:16" x14ac:dyDescent="0.25">
      <c r="D2002" s="6" t="s">
        <v>34</v>
      </c>
      <c r="E2002">
        <v>2015</v>
      </c>
      <c r="F2002" s="6" t="s">
        <v>38</v>
      </c>
      <c r="G2002">
        <v>3</v>
      </c>
      <c r="H2002">
        <v>28</v>
      </c>
      <c r="I2002" s="6" t="s">
        <v>39</v>
      </c>
      <c r="J2002" s="6" t="s">
        <v>42</v>
      </c>
      <c r="K2002">
        <v>2</v>
      </c>
      <c r="M2002" s="1" t="b">
        <f>Employee__2[[#This Row],[Experience]]&gt;1</f>
        <v>1</v>
      </c>
      <c r="N2002" s="1" t="str">
        <f>IF(Employee__2[[#This Row],[City]]="Pune","Yes","No")</f>
        <v>Yes</v>
      </c>
      <c r="O2002" s="1" t="str">
        <f>IF(AND(Employee__2[[#This Row],[Education]]="Bachelors",Employee__2[[#This Row],[City]]="Pune"),"Yes","No")</f>
        <v>Yes</v>
      </c>
      <c r="P2002" s="1" t="str">
        <f>IF(OR(Employee__2[[#This Row],[Age]]&gt;=30,Employee__2[[#This Row],[Gender]]="Male"),"Mached","Not mached")</f>
        <v>Not mached</v>
      </c>
    </row>
    <row r="2003" spans="4:16" x14ac:dyDescent="0.25">
      <c r="D2003" s="6" t="s">
        <v>34</v>
      </c>
      <c r="E2003">
        <v>2017</v>
      </c>
      <c r="F2003" s="6" t="s">
        <v>40</v>
      </c>
      <c r="G2003">
        <v>3</v>
      </c>
      <c r="H2003">
        <v>28</v>
      </c>
      <c r="I2003" s="6" t="s">
        <v>39</v>
      </c>
      <c r="J2003" s="6" t="s">
        <v>37</v>
      </c>
      <c r="K2003">
        <v>1</v>
      </c>
      <c r="M2003" s="1" t="b">
        <f>Employee__2[[#This Row],[Experience]]&gt;1</f>
        <v>0</v>
      </c>
      <c r="N2003" s="1" t="str">
        <f>IF(Employee__2[[#This Row],[City]]="Pune","Yes","No")</f>
        <v>No</v>
      </c>
      <c r="O2003" s="1" t="str">
        <f>IF(AND(Employee__2[[#This Row],[Education]]="Bachelors",Employee__2[[#This Row],[City]]="Pune"),"Yes","No")</f>
        <v>No</v>
      </c>
      <c r="P2003" s="1" t="str">
        <f>IF(OR(Employee__2[[#This Row],[Age]]&gt;=30,Employee__2[[#This Row],[Gender]]="Male"),"Mached","Not mached")</f>
        <v>Not mached</v>
      </c>
    </row>
    <row r="2004" spans="4:16" x14ac:dyDescent="0.25">
      <c r="D2004" s="6" t="s">
        <v>34</v>
      </c>
      <c r="E2004">
        <v>2016</v>
      </c>
      <c r="F2004" s="6" t="s">
        <v>40</v>
      </c>
      <c r="G2004">
        <v>3</v>
      </c>
      <c r="H2004">
        <v>27</v>
      </c>
      <c r="I2004" s="6" t="s">
        <v>39</v>
      </c>
      <c r="J2004" s="6" t="s">
        <v>42</v>
      </c>
      <c r="K2004">
        <v>5</v>
      </c>
      <c r="M2004" s="1" t="b">
        <f>Employee__2[[#This Row],[Experience]]&gt;1</f>
        <v>1</v>
      </c>
      <c r="N2004" s="1" t="str">
        <f>IF(Employee__2[[#This Row],[City]]="Pune","Yes","No")</f>
        <v>No</v>
      </c>
      <c r="O2004" s="1" t="str">
        <f>IF(AND(Employee__2[[#This Row],[Education]]="Bachelors",Employee__2[[#This Row],[City]]="Pune"),"Yes","No")</f>
        <v>No</v>
      </c>
      <c r="P2004" s="1" t="str">
        <f>IF(OR(Employee__2[[#This Row],[Age]]&gt;=30,Employee__2[[#This Row],[Gender]]="Male"),"Mached","Not mached")</f>
        <v>Not mached</v>
      </c>
    </row>
    <row r="2005" spans="4:16" x14ac:dyDescent="0.25">
      <c r="D2005" s="6" t="s">
        <v>34</v>
      </c>
      <c r="E2005">
        <v>2018</v>
      </c>
      <c r="F2005" s="6" t="s">
        <v>38</v>
      </c>
      <c r="G2005">
        <v>3</v>
      </c>
      <c r="H2005">
        <v>27</v>
      </c>
      <c r="I2005" s="6" t="s">
        <v>36</v>
      </c>
      <c r="J2005" s="6" t="s">
        <v>37</v>
      </c>
      <c r="K2005">
        <v>5</v>
      </c>
      <c r="M2005" s="1" t="b">
        <f>Employee__2[[#This Row],[Experience]]&gt;1</f>
        <v>1</v>
      </c>
      <c r="N2005" s="1" t="str">
        <f>IF(Employee__2[[#This Row],[City]]="Pune","Yes","No")</f>
        <v>Yes</v>
      </c>
      <c r="O2005" s="1" t="str">
        <f>IF(AND(Employee__2[[#This Row],[Education]]="Bachelors",Employee__2[[#This Row],[City]]="Pune"),"Yes","No")</f>
        <v>Yes</v>
      </c>
      <c r="P2005" s="1" t="str">
        <f>IF(OR(Employee__2[[#This Row],[Age]]&gt;=30,Employee__2[[#This Row],[Gender]]="Male"),"Mached","Not mached")</f>
        <v>Mached</v>
      </c>
    </row>
    <row r="2006" spans="4:16" x14ac:dyDescent="0.25">
      <c r="D2006" s="6" t="s">
        <v>34</v>
      </c>
      <c r="E2006">
        <v>2014</v>
      </c>
      <c r="F2006" s="6" t="s">
        <v>35</v>
      </c>
      <c r="G2006">
        <v>3</v>
      </c>
      <c r="H2006">
        <v>29</v>
      </c>
      <c r="I2006" s="6" t="s">
        <v>36</v>
      </c>
      <c r="J2006" s="6" t="s">
        <v>42</v>
      </c>
      <c r="K2006">
        <v>2</v>
      </c>
      <c r="M2006" s="1" t="b">
        <f>Employee__2[[#This Row],[Experience]]&gt;1</f>
        <v>1</v>
      </c>
      <c r="N2006" s="1" t="str">
        <f>IF(Employee__2[[#This Row],[City]]="Pune","Yes","No")</f>
        <v>No</v>
      </c>
      <c r="O2006" s="1" t="str">
        <f>IF(AND(Employee__2[[#This Row],[Education]]="Bachelors",Employee__2[[#This Row],[City]]="Pune"),"Yes","No")</f>
        <v>No</v>
      </c>
      <c r="P2006" s="1" t="str">
        <f>IF(OR(Employee__2[[#This Row],[Age]]&gt;=30,Employee__2[[#This Row],[Gender]]="Male"),"Mached","Not mached")</f>
        <v>Mached</v>
      </c>
    </row>
    <row r="2007" spans="4:16" x14ac:dyDescent="0.25">
      <c r="D2007" s="6" t="s">
        <v>34</v>
      </c>
      <c r="E2007">
        <v>2015</v>
      </c>
      <c r="F2007" s="6" t="s">
        <v>38</v>
      </c>
      <c r="G2007">
        <v>2</v>
      </c>
      <c r="H2007">
        <v>28</v>
      </c>
      <c r="I2007" s="6" t="s">
        <v>39</v>
      </c>
      <c r="J2007" s="6" t="s">
        <v>37</v>
      </c>
      <c r="K2007">
        <v>2</v>
      </c>
      <c r="M2007" s="1" t="b">
        <f>Employee__2[[#This Row],[Experience]]&gt;1</f>
        <v>1</v>
      </c>
      <c r="N2007" s="1" t="str">
        <f>IF(Employee__2[[#This Row],[City]]="Pune","Yes","No")</f>
        <v>Yes</v>
      </c>
      <c r="O2007" s="1" t="str">
        <f>IF(AND(Employee__2[[#This Row],[Education]]="Bachelors",Employee__2[[#This Row],[City]]="Pune"),"Yes","No")</f>
        <v>Yes</v>
      </c>
      <c r="P2007" s="1" t="str">
        <f>IF(OR(Employee__2[[#This Row],[Age]]&gt;=30,Employee__2[[#This Row],[Gender]]="Male"),"Mached","Not mached")</f>
        <v>Not mached</v>
      </c>
    </row>
    <row r="2008" spans="4:16" x14ac:dyDescent="0.25">
      <c r="D2008" s="6" t="s">
        <v>34</v>
      </c>
      <c r="E2008">
        <v>2017</v>
      </c>
      <c r="F2008" s="6" t="s">
        <v>38</v>
      </c>
      <c r="G2008">
        <v>3</v>
      </c>
      <c r="H2008">
        <v>26</v>
      </c>
      <c r="I2008" s="6" t="s">
        <v>39</v>
      </c>
      <c r="J2008" s="6" t="s">
        <v>37</v>
      </c>
      <c r="K2008">
        <v>4</v>
      </c>
      <c r="M2008" s="1" t="b">
        <f>Employee__2[[#This Row],[Experience]]&gt;1</f>
        <v>1</v>
      </c>
      <c r="N2008" s="1" t="str">
        <f>IF(Employee__2[[#This Row],[City]]="Pune","Yes","No")</f>
        <v>Yes</v>
      </c>
      <c r="O2008" s="1" t="str">
        <f>IF(AND(Employee__2[[#This Row],[Education]]="Bachelors",Employee__2[[#This Row],[City]]="Pune"),"Yes","No")</f>
        <v>Yes</v>
      </c>
      <c r="P2008" s="1" t="str">
        <f>IF(OR(Employee__2[[#This Row],[Age]]&gt;=30,Employee__2[[#This Row],[Gender]]="Male"),"Mached","Not mached")</f>
        <v>Not mached</v>
      </c>
    </row>
    <row r="2009" spans="4:16" x14ac:dyDescent="0.25">
      <c r="D2009" s="6" t="s">
        <v>41</v>
      </c>
      <c r="E2009">
        <v>2017</v>
      </c>
      <c r="F2009" s="6" t="s">
        <v>40</v>
      </c>
      <c r="G2009">
        <v>3</v>
      </c>
      <c r="H2009">
        <v>28</v>
      </c>
      <c r="I2009" s="6" t="s">
        <v>36</v>
      </c>
      <c r="J2009" s="6" t="s">
        <v>37</v>
      </c>
      <c r="K2009">
        <v>2</v>
      </c>
      <c r="M2009" s="1" t="b">
        <f>Employee__2[[#This Row],[Experience]]&gt;1</f>
        <v>1</v>
      </c>
      <c r="N2009" s="1" t="str">
        <f>IF(Employee__2[[#This Row],[City]]="Pune","Yes","No")</f>
        <v>No</v>
      </c>
      <c r="O2009" s="1" t="str">
        <f>IF(AND(Employee__2[[#This Row],[Education]]="Bachelors",Employee__2[[#This Row],[City]]="Pune"),"Yes","No")</f>
        <v>No</v>
      </c>
      <c r="P2009" s="1" t="str">
        <f>IF(OR(Employee__2[[#This Row],[Age]]&gt;=30,Employee__2[[#This Row],[Gender]]="Male"),"Mached","Not mached")</f>
        <v>Mached</v>
      </c>
    </row>
    <row r="2010" spans="4:16" x14ac:dyDescent="0.25">
      <c r="D2010" s="6" t="s">
        <v>34</v>
      </c>
      <c r="E2010">
        <v>2017</v>
      </c>
      <c r="F2010" s="6" t="s">
        <v>38</v>
      </c>
      <c r="G2010">
        <v>3</v>
      </c>
      <c r="H2010">
        <v>26</v>
      </c>
      <c r="I2010" s="6" t="s">
        <v>36</v>
      </c>
      <c r="J2010" s="6" t="s">
        <v>37</v>
      </c>
      <c r="K2010">
        <v>4</v>
      </c>
      <c r="M2010" s="1" t="b">
        <f>Employee__2[[#This Row],[Experience]]&gt;1</f>
        <v>1</v>
      </c>
      <c r="N2010" s="1" t="str">
        <f>IF(Employee__2[[#This Row],[City]]="Pune","Yes","No")</f>
        <v>Yes</v>
      </c>
      <c r="O2010" s="1" t="str">
        <f>IF(AND(Employee__2[[#This Row],[Education]]="Bachelors",Employee__2[[#This Row],[City]]="Pune"),"Yes","No")</f>
        <v>Yes</v>
      </c>
      <c r="P2010" s="1" t="str">
        <f>IF(OR(Employee__2[[#This Row],[Age]]&gt;=30,Employee__2[[#This Row],[Gender]]="Male"),"Mached","Not mached")</f>
        <v>Mached</v>
      </c>
    </row>
    <row r="2011" spans="4:16" x14ac:dyDescent="0.25">
      <c r="D2011" s="6" t="s">
        <v>34</v>
      </c>
      <c r="E2011">
        <v>2017</v>
      </c>
      <c r="F2011" s="6" t="s">
        <v>38</v>
      </c>
      <c r="G2011">
        <v>3</v>
      </c>
      <c r="H2011">
        <v>26</v>
      </c>
      <c r="I2011" s="6" t="s">
        <v>39</v>
      </c>
      <c r="J2011" s="6" t="s">
        <v>37</v>
      </c>
      <c r="K2011">
        <v>4</v>
      </c>
      <c r="M2011" s="1" t="b">
        <f>Employee__2[[#This Row],[Experience]]&gt;1</f>
        <v>1</v>
      </c>
      <c r="N2011" s="1" t="str">
        <f>IF(Employee__2[[#This Row],[City]]="Pune","Yes","No")</f>
        <v>Yes</v>
      </c>
      <c r="O2011" s="1" t="str">
        <f>IF(AND(Employee__2[[#This Row],[Education]]="Bachelors",Employee__2[[#This Row],[City]]="Pune"),"Yes","No")</f>
        <v>Yes</v>
      </c>
      <c r="P2011" s="1" t="str">
        <f>IF(OR(Employee__2[[#This Row],[Age]]&gt;=30,Employee__2[[#This Row],[Gender]]="Male"),"Mached","Not mached")</f>
        <v>Not mached</v>
      </c>
    </row>
    <row r="2012" spans="4:16" x14ac:dyDescent="0.25">
      <c r="D2012" s="6" t="s">
        <v>34</v>
      </c>
      <c r="E2012">
        <v>2018</v>
      </c>
      <c r="F2012" s="6" t="s">
        <v>35</v>
      </c>
      <c r="G2012">
        <v>3</v>
      </c>
      <c r="H2012">
        <v>26</v>
      </c>
      <c r="I2012" s="6" t="s">
        <v>39</v>
      </c>
      <c r="J2012" s="6" t="s">
        <v>42</v>
      </c>
      <c r="K2012">
        <v>4</v>
      </c>
      <c r="M2012" s="1" t="b">
        <f>Employee__2[[#This Row],[Experience]]&gt;1</f>
        <v>1</v>
      </c>
      <c r="N2012" s="1" t="str">
        <f>IF(Employee__2[[#This Row],[City]]="Pune","Yes","No")</f>
        <v>No</v>
      </c>
      <c r="O2012" s="1" t="str">
        <f>IF(AND(Employee__2[[#This Row],[Education]]="Bachelors",Employee__2[[#This Row],[City]]="Pune"),"Yes","No")</f>
        <v>No</v>
      </c>
      <c r="P2012" s="1" t="str">
        <f>IF(OR(Employee__2[[#This Row],[Age]]&gt;=30,Employee__2[[#This Row],[Gender]]="Male"),"Mached","Not mached")</f>
        <v>Not mached</v>
      </c>
    </row>
    <row r="2013" spans="4:16" x14ac:dyDescent="0.25">
      <c r="D2013" s="6" t="s">
        <v>34</v>
      </c>
      <c r="E2013">
        <v>2014</v>
      </c>
      <c r="F2013" s="6" t="s">
        <v>38</v>
      </c>
      <c r="G2013">
        <v>3</v>
      </c>
      <c r="H2013">
        <v>30</v>
      </c>
      <c r="I2013" s="6" t="s">
        <v>36</v>
      </c>
      <c r="J2013" s="6" t="s">
        <v>37</v>
      </c>
      <c r="K2013">
        <v>2</v>
      </c>
      <c r="M2013" s="1" t="b">
        <f>Employee__2[[#This Row],[Experience]]&gt;1</f>
        <v>1</v>
      </c>
      <c r="N2013" s="1" t="str">
        <f>IF(Employee__2[[#This Row],[City]]="Pune","Yes","No")</f>
        <v>Yes</v>
      </c>
      <c r="O2013" s="1" t="str">
        <f>IF(AND(Employee__2[[#This Row],[Education]]="Bachelors",Employee__2[[#This Row],[City]]="Pune"),"Yes","No")</f>
        <v>Yes</v>
      </c>
      <c r="P2013" s="1" t="str">
        <f>IF(OR(Employee__2[[#This Row],[Age]]&gt;=30,Employee__2[[#This Row],[Gender]]="Male"),"Mached","Not mached")</f>
        <v>Mached</v>
      </c>
    </row>
    <row r="2014" spans="4:16" x14ac:dyDescent="0.25">
      <c r="D2014" s="6" t="s">
        <v>41</v>
      </c>
      <c r="E2014">
        <v>2017</v>
      </c>
      <c r="F2014" s="6" t="s">
        <v>40</v>
      </c>
      <c r="G2014">
        <v>3</v>
      </c>
      <c r="H2014">
        <v>29</v>
      </c>
      <c r="I2014" s="6" t="s">
        <v>36</v>
      </c>
      <c r="J2014" s="6" t="s">
        <v>37</v>
      </c>
      <c r="K2014">
        <v>2</v>
      </c>
      <c r="M2014" s="1" t="b">
        <f>Employee__2[[#This Row],[Experience]]&gt;1</f>
        <v>1</v>
      </c>
      <c r="N2014" s="1" t="str">
        <f>IF(Employee__2[[#This Row],[City]]="Pune","Yes","No")</f>
        <v>No</v>
      </c>
      <c r="O2014" s="1" t="str">
        <f>IF(AND(Employee__2[[#This Row],[Education]]="Bachelors",Employee__2[[#This Row],[City]]="Pune"),"Yes","No")</f>
        <v>No</v>
      </c>
      <c r="P2014" s="1" t="str">
        <f>IF(OR(Employee__2[[#This Row],[Age]]&gt;=30,Employee__2[[#This Row],[Gender]]="Male"),"Mached","Not mached")</f>
        <v>Mached</v>
      </c>
    </row>
    <row r="2015" spans="4:16" x14ac:dyDescent="0.25">
      <c r="D2015" s="6" t="s">
        <v>41</v>
      </c>
      <c r="E2015">
        <v>2017</v>
      </c>
      <c r="F2015" s="6" t="s">
        <v>38</v>
      </c>
      <c r="G2015">
        <v>2</v>
      </c>
      <c r="H2015">
        <v>26</v>
      </c>
      <c r="I2015" s="6" t="s">
        <v>39</v>
      </c>
      <c r="J2015" s="6" t="s">
        <v>37</v>
      </c>
      <c r="K2015">
        <v>4</v>
      </c>
      <c r="M2015" s="1" t="b">
        <f>Employee__2[[#This Row],[Experience]]&gt;1</f>
        <v>1</v>
      </c>
      <c r="N2015" s="1" t="str">
        <f>IF(Employee__2[[#This Row],[City]]="Pune","Yes","No")</f>
        <v>Yes</v>
      </c>
      <c r="O2015" s="1" t="str">
        <f>IF(AND(Employee__2[[#This Row],[Education]]="Bachelors",Employee__2[[#This Row],[City]]="Pune"),"Yes","No")</f>
        <v>No</v>
      </c>
      <c r="P2015" s="1" t="str">
        <f>IF(OR(Employee__2[[#This Row],[Age]]&gt;=30,Employee__2[[#This Row],[Gender]]="Male"),"Mached","Not mached")</f>
        <v>Not mached</v>
      </c>
    </row>
    <row r="2016" spans="4:16" x14ac:dyDescent="0.25">
      <c r="D2016" s="6" t="s">
        <v>41</v>
      </c>
      <c r="E2016">
        <v>2015</v>
      </c>
      <c r="F2016" s="6" t="s">
        <v>40</v>
      </c>
      <c r="G2016">
        <v>3</v>
      </c>
      <c r="H2016">
        <v>28</v>
      </c>
      <c r="I2016" s="6" t="s">
        <v>39</v>
      </c>
      <c r="J2016" s="6" t="s">
        <v>37</v>
      </c>
      <c r="K2016">
        <v>2</v>
      </c>
      <c r="M2016" s="1" t="b">
        <f>Employee__2[[#This Row],[Experience]]&gt;1</f>
        <v>1</v>
      </c>
      <c r="N2016" s="1" t="str">
        <f>IF(Employee__2[[#This Row],[City]]="Pune","Yes","No")</f>
        <v>No</v>
      </c>
      <c r="O2016" s="1" t="str">
        <f>IF(AND(Employee__2[[#This Row],[Education]]="Bachelors",Employee__2[[#This Row],[City]]="Pune"),"Yes","No")</f>
        <v>No</v>
      </c>
      <c r="P2016" s="1" t="str">
        <f>IF(OR(Employee__2[[#This Row],[Age]]&gt;=30,Employee__2[[#This Row],[Gender]]="Male"),"Mached","Not mached")</f>
        <v>Not mached</v>
      </c>
    </row>
    <row r="2017" spans="4:16" x14ac:dyDescent="0.25">
      <c r="D2017" s="6" t="s">
        <v>34</v>
      </c>
      <c r="E2017">
        <v>2016</v>
      </c>
      <c r="F2017" s="6" t="s">
        <v>35</v>
      </c>
      <c r="G2017">
        <v>3</v>
      </c>
      <c r="H2017">
        <v>30</v>
      </c>
      <c r="I2017" s="6" t="s">
        <v>39</v>
      </c>
      <c r="J2017" s="6" t="s">
        <v>37</v>
      </c>
      <c r="K2017">
        <v>2</v>
      </c>
      <c r="M2017" s="1" t="b">
        <f>Employee__2[[#This Row],[Experience]]&gt;1</f>
        <v>1</v>
      </c>
      <c r="N2017" s="1" t="str">
        <f>IF(Employee__2[[#This Row],[City]]="Pune","Yes","No")</f>
        <v>No</v>
      </c>
      <c r="O2017" s="1" t="str">
        <f>IF(AND(Employee__2[[#This Row],[Education]]="Bachelors",Employee__2[[#This Row],[City]]="Pune"),"Yes","No")</f>
        <v>No</v>
      </c>
      <c r="P2017" s="1" t="str">
        <f>IF(OR(Employee__2[[#This Row],[Age]]&gt;=30,Employee__2[[#This Row],[Gender]]="Male"),"Mached","Not mached")</f>
        <v>Mached</v>
      </c>
    </row>
    <row r="2018" spans="4:16" x14ac:dyDescent="0.25">
      <c r="D2018" s="6" t="s">
        <v>34</v>
      </c>
      <c r="E2018">
        <v>2012</v>
      </c>
      <c r="F2018" s="6" t="s">
        <v>35</v>
      </c>
      <c r="G2018">
        <v>3</v>
      </c>
      <c r="H2018">
        <v>26</v>
      </c>
      <c r="I2018" s="6" t="s">
        <v>39</v>
      </c>
      <c r="J2018" s="6" t="s">
        <v>37</v>
      </c>
      <c r="K2018">
        <v>4</v>
      </c>
      <c r="M2018" s="1" t="b">
        <f>Employee__2[[#This Row],[Experience]]&gt;1</f>
        <v>1</v>
      </c>
      <c r="N2018" s="1" t="str">
        <f>IF(Employee__2[[#This Row],[City]]="Pune","Yes","No")</f>
        <v>No</v>
      </c>
      <c r="O2018" s="1" t="str">
        <f>IF(AND(Employee__2[[#This Row],[Education]]="Bachelors",Employee__2[[#This Row],[City]]="Pune"),"Yes","No")</f>
        <v>No</v>
      </c>
      <c r="P2018" s="1" t="str">
        <f>IF(OR(Employee__2[[#This Row],[Age]]&gt;=30,Employee__2[[#This Row],[Gender]]="Male"),"Mached","Not mached")</f>
        <v>Not mached</v>
      </c>
    </row>
    <row r="2019" spans="4:16" x14ac:dyDescent="0.25">
      <c r="D2019" s="6" t="s">
        <v>34</v>
      </c>
      <c r="E2019">
        <v>2014</v>
      </c>
      <c r="F2019" s="6" t="s">
        <v>35</v>
      </c>
      <c r="G2019">
        <v>3</v>
      </c>
      <c r="H2019">
        <v>29</v>
      </c>
      <c r="I2019" s="6" t="s">
        <v>36</v>
      </c>
      <c r="J2019" s="6" t="s">
        <v>37</v>
      </c>
      <c r="K2019">
        <v>1</v>
      </c>
      <c r="M2019" s="1" t="b">
        <f>Employee__2[[#This Row],[Experience]]&gt;1</f>
        <v>0</v>
      </c>
      <c r="N2019" s="1" t="str">
        <f>IF(Employee__2[[#This Row],[City]]="Pune","Yes","No")</f>
        <v>No</v>
      </c>
      <c r="O2019" s="1" t="str">
        <f>IF(AND(Employee__2[[#This Row],[Education]]="Bachelors",Employee__2[[#This Row],[City]]="Pune"),"Yes","No")</f>
        <v>No</v>
      </c>
      <c r="P2019" s="1" t="str">
        <f>IF(OR(Employee__2[[#This Row],[Age]]&gt;=30,Employee__2[[#This Row],[Gender]]="Male"),"Mached","Not mached")</f>
        <v>Mached</v>
      </c>
    </row>
    <row r="2020" spans="4:16" x14ac:dyDescent="0.25">
      <c r="D2020" s="6" t="s">
        <v>34</v>
      </c>
      <c r="E2020">
        <v>2012</v>
      </c>
      <c r="F2020" s="6" t="s">
        <v>35</v>
      </c>
      <c r="G2020">
        <v>3</v>
      </c>
      <c r="H2020">
        <v>26</v>
      </c>
      <c r="I2020" s="6" t="s">
        <v>36</v>
      </c>
      <c r="J2020" s="6" t="s">
        <v>37</v>
      </c>
      <c r="K2020">
        <v>4</v>
      </c>
      <c r="M2020" s="1" t="b">
        <f>Employee__2[[#This Row],[Experience]]&gt;1</f>
        <v>1</v>
      </c>
      <c r="N2020" s="1" t="str">
        <f>IF(Employee__2[[#This Row],[City]]="Pune","Yes","No")</f>
        <v>No</v>
      </c>
      <c r="O2020" s="1" t="str">
        <f>IF(AND(Employee__2[[#This Row],[Education]]="Bachelors",Employee__2[[#This Row],[City]]="Pune"),"Yes","No")</f>
        <v>No</v>
      </c>
      <c r="P2020" s="1" t="str">
        <f>IF(OR(Employee__2[[#This Row],[Age]]&gt;=30,Employee__2[[#This Row],[Gender]]="Male"),"Mached","Not mached")</f>
        <v>Mached</v>
      </c>
    </row>
    <row r="2021" spans="4:16" x14ac:dyDescent="0.25">
      <c r="D2021" s="6" t="s">
        <v>34</v>
      </c>
      <c r="E2021">
        <v>2018</v>
      </c>
      <c r="F2021" s="6" t="s">
        <v>35</v>
      </c>
      <c r="G2021">
        <v>3</v>
      </c>
      <c r="H2021">
        <v>26</v>
      </c>
      <c r="I2021" s="6" t="s">
        <v>36</v>
      </c>
      <c r="J2021" s="6" t="s">
        <v>42</v>
      </c>
      <c r="K2021">
        <v>4</v>
      </c>
      <c r="M2021" s="1" t="b">
        <f>Employee__2[[#This Row],[Experience]]&gt;1</f>
        <v>1</v>
      </c>
      <c r="N2021" s="1" t="str">
        <f>IF(Employee__2[[#This Row],[City]]="Pune","Yes","No")</f>
        <v>No</v>
      </c>
      <c r="O2021" s="1" t="str">
        <f>IF(AND(Employee__2[[#This Row],[Education]]="Bachelors",Employee__2[[#This Row],[City]]="Pune"),"Yes","No")</f>
        <v>No</v>
      </c>
      <c r="P2021" s="1" t="str">
        <f>IF(OR(Employee__2[[#This Row],[Age]]&gt;=30,Employee__2[[#This Row],[Gender]]="Male"),"Mached","Not mached")</f>
        <v>Mached</v>
      </c>
    </row>
    <row r="2022" spans="4:16" x14ac:dyDescent="0.25">
      <c r="D2022" s="6" t="s">
        <v>43</v>
      </c>
      <c r="E2022">
        <v>2018</v>
      </c>
      <c r="F2022" s="6" t="s">
        <v>40</v>
      </c>
      <c r="G2022">
        <v>2</v>
      </c>
      <c r="H2022">
        <v>29</v>
      </c>
      <c r="I2022" s="6" t="s">
        <v>39</v>
      </c>
      <c r="J2022" s="6" t="s">
        <v>37</v>
      </c>
      <c r="K2022">
        <v>1</v>
      </c>
      <c r="M2022" s="1" t="b">
        <f>Employee__2[[#This Row],[Experience]]&gt;1</f>
        <v>0</v>
      </c>
      <c r="N2022" s="1" t="str">
        <f>IF(Employee__2[[#This Row],[City]]="Pune","Yes","No")</f>
        <v>No</v>
      </c>
      <c r="O2022" s="1" t="str">
        <f>IF(AND(Employee__2[[#This Row],[Education]]="Bachelors",Employee__2[[#This Row],[City]]="Pune"),"Yes","No")</f>
        <v>No</v>
      </c>
      <c r="P2022" s="1" t="str">
        <f>IF(OR(Employee__2[[#This Row],[Age]]&gt;=30,Employee__2[[#This Row],[Gender]]="Male"),"Mached","Not mached")</f>
        <v>Not mached</v>
      </c>
    </row>
    <row r="2023" spans="4:16" x14ac:dyDescent="0.25">
      <c r="D2023" s="6" t="s">
        <v>41</v>
      </c>
      <c r="E2023">
        <v>2013</v>
      </c>
      <c r="F2023" s="6" t="s">
        <v>40</v>
      </c>
      <c r="G2023">
        <v>3</v>
      </c>
      <c r="H2023">
        <v>26</v>
      </c>
      <c r="I2023" s="6" t="s">
        <v>36</v>
      </c>
      <c r="J2023" s="6" t="s">
        <v>37</v>
      </c>
      <c r="K2023">
        <v>4</v>
      </c>
      <c r="M2023" s="1" t="b">
        <f>Employee__2[[#This Row],[Experience]]&gt;1</f>
        <v>1</v>
      </c>
      <c r="N2023" s="1" t="str">
        <f>IF(Employee__2[[#This Row],[City]]="Pune","Yes","No")</f>
        <v>No</v>
      </c>
      <c r="O2023" s="1" t="str">
        <f>IF(AND(Employee__2[[#This Row],[Education]]="Bachelors",Employee__2[[#This Row],[City]]="Pune"),"Yes","No")</f>
        <v>No</v>
      </c>
      <c r="P2023" s="1" t="str">
        <f>IF(OR(Employee__2[[#This Row],[Age]]&gt;=30,Employee__2[[#This Row],[Gender]]="Male"),"Mached","Not mached")</f>
        <v>Mached</v>
      </c>
    </row>
    <row r="2024" spans="4:16" x14ac:dyDescent="0.25">
      <c r="D2024" s="6" t="s">
        <v>41</v>
      </c>
      <c r="E2024">
        <v>2015</v>
      </c>
      <c r="F2024" s="6" t="s">
        <v>38</v>
      </c>
      <c r="G2024">
        <v>3</v>
      </c>
      <c r="H2024">
        <v>30</v>
      </c>
      <c r="I2024" s="6" t="s">
        <v>39</v>
      </c>
      <c r="J2024" s="6" t="s">
        <v>37</v>
      </c>
      <c r="K2024">
        <v>2</v>
      </c>
      <c r="M2024" s="1" t="b">
        <f>Employee__2[[#This Row],[Experience]]&gt;1</f>
        <v>1</v>
      </c>
      <c r="N2024" s="1" t="str">
        <f>IF(Employee__2[[#This Row],[City]]="Pune","Yes","No")</f>
        <v>Yes</v>
      </c>
      <c r="O2024" s="1" t="str">
        <f>IF(AND(Employee__2[[#This Row],[Education]]="Bachelors",Employee__2[[#This Row],[City]]="Pune"),"Yes","No")</f>
        <v>No</v>
      </c>
      <c r="P2024" s="1" t="str">
        <f>IF(OR(Employee__2[[#This Row],[Age]]&gt;=30,Employee__2[[#This Row],[Gender]]="Male"),"Mached","Not mached")</f>
        <v>Mached</v>
      </c>
    </row>
    <row r="2025" spans="4:16" x14ac:dyDescent="0.25">
      <c r="D2025" s="6" t="s">
        <v>34</v>
      </c>
      <c r="E2025">
        <v>2018</v>
      </c>
      <c r="F2025" s="6" t="s">
        <v>38</v>
      </c>
      <c r="G2025">
        <v>3</v>
      </c>
      <c r="H2025">
        <v>26</v>
      </c>
      <c r="I2025" s="6" t="s">
        <v>36</v>
      </c>
      <c r="J2025" s="6" t="s">
        <v>37</v>
      </c>
      <c r="K2025">
        <v>4</v>
      </c>
      <c r="M2025" s="1" t="b">
        <f>Employee__2[[#This Row],[Experience]]&gt;1</f>
        <v>1</v>
      </c>
      <c r="N2025" s="1" t="str">
        <f>IF(Employee__2[[#This Row],[City]]="Pune","Yes","No")</f>
        <v>Yes</v>
      </c>
      <c r="O2025" s="1" t="str">
        <f>IF(AND(Employee__2[[#This Row],[Education]]="Bachelors",Employee__2[[#This Row],[City]]="Pune"),"Yes","No")</f>
        <v>Yes</v>
      </c>
      <c r="P2025" s="1" t="str">
        <f>IF(OR(Employee__2[[#This Row],[Age]]&gt;=30,Employee__2[[#This Row],[Gender]]="Male"),"Mached","Not mached")</f>
        <v>Mached</v>
      </c>
    </row>
    <row r="2026" spans="4:16" x14ac:dyDescent="0.25">
      <c r="D2026" s="6" t="s">
        <v>41</v>
      </c>
      <c r="E2026">
        <v>2013</v>
      </c>
      <c r="F2026" s="6" t="s">
        <v>40</v>
      </c>
      <c r="G2026">
        <v>2</v>
      </c>
      <c r="H2026">
        <v>29</v>
      </c>
      <c r="I2026" s="6" t="s">
        <v>39</v>
      </c>
      <c r="J2026" s="6" t="s">
        <v>37</v>
      </c>
      <c r="K2026">
        <v>2</v>
      </c>
      <c r="M2026" s="1" t="b">
        <f>Employee__2[[#This Row],[Experience]]&gt;1</f>
        <v>1</v>
      </c>
      <c r="N2026" s="1" t="str">
        <f>IF(Employee__2[[#This Row],[City]]="Pune","Yes","No")</f>
        <v>No</v>
      </c>
      <c r="O2026" s="1" t="str">
        <f>IF(AND(Employee__2[[#This Row],[Education]]="Bachelors",Employee__2[[#This Row],[City]]="Pune"),"Yes","No")</f>
        <v>No</v>
      </c>
      <c r="P2026" s="1" t="str">
        <f>IF(OR(Employee__2[[#This Row],[Age]]&gt;=30,Employee__2[[#This Row],[Gender]]="Male"),"Mached","Not mached")</f>
        <v>Not mached</v>
      </c>
    </row>
    <row r="2027" spans="4:16" x14ac:dyDescent="0.25">
      <c r="D2027" s="6" t="s">
        <v>34</v>
      </c>
      <c r="E2027">
        <v>2016</v>
      </c>
      <c r="F2027" s="6" t="s">
        <v>35</v>
      </c>
      <c r="G2027">
        <v>3</v>
      </c>
      <c r="H2027">
        <v>29</v>
      </c>
      <c r="I2027" s="6" t="s">
        <v>36</v>
      </c>
      <c r="J2027" s="6" t="s">
        <v>37</v>
      </c>
      <c r="K2027">
        <v>2</v>
      </c>
      <c r="M2027" s="1" t="b">
        <f>Employee__2[[#This Row],[Experience]]&gt;1</f>
        <v>1</v>
      </c>
      <c r="N2027" s="1" t="str">
        <f>IF(Employee__2[[#This Row],[City]]="Pune","Yes","No")</f>
        <v>No</v>
      </c>
      <c r="O2027" s="1" t="str">
        <f>IF(AND(Employee__2[[#This Row],[Education]]="Bachelors",Employee__2[[#This Row],[City]]="Pune"),"Yes","No")</f>
        <v>No</v>
      </c>
      <c r="P2027" s="1" t="str">
        <f>IF(OR(Employee__2[[#This Row],[Age]]&gt;=30,Employee__2[[#This Row],[Gender]]="Male"),"Mached","Not mached")</f>
        <v>Mached</v>
      </c>
    </row>
    <row r="2028" spans="4:16" x14ac:dyDescent="0.25">
      <c r="D2028" s="6" t="s">
        <v>34</v>
      </c>
      <c r="E2028">
        <v>2013</v>
      </c>
      <c r="F2028" s="6" t="s">
        <v>35</v>
      </c>
      <c r="G2028">
        <v>3</v>
      </c>
      <c r="H2028">
        <v>28</v>
      </c>
      <c r="I2028" s="6" t="s">
        <v>36</v>
      </c>
      <c r="J2028" s="6" t="s">
        <v>42</v>
      </c>
      <c r="K2028">
        <v>1</v>
      </c>
      <c r="M2028" s="1" t="b">
        <f>Employee__2[[#This Row],[Experience]]&gt;1</f>
        <v>0</v>
      </c>
      <c r="N2028" s="1" t="str">
        <f>IF(Employee__2[[#This Row],[City]]="Pune","Yes","No")</f>
        <v>No</v>
      </c>
      <c r="O2028" s="1" t="str">
        <f>IF(AND(Employee__2[[#This Row],[Education]]="Bachelors",Employee__2[[#This Row],[City]]="Pune"),"Yes","No")</f>
        <v>No</v>
      </c>
      <c r="P2028" s="1" t="str">
        <f>IF(OR(Employee__2[[#This Row],[Age]]&gt;=30,Employee__2[[#This Row],[Gender]]="Male"),"Mached","Not mached")</f>
        <v>Mached</v>
      </c>
    </row>
    <row r="2029" spans="4:16" x14ac:dyDescent="0.25">
      <c r="D2029" s="6" t="s">
        <v>34</v>
      </c>
      <c r="E2029">
        <v>2017</v>
      </c>
      <c r="F2029" s="6" t="s">
        <v>38</v>
      </c>
      <c r="G2029">
        <v>2</v>
      </c>
      <c r="H2029">
        <v>26</v>
      </c>
      <c r="I2029" s="6" t="s">
        <v>39</v>
      </c>
      <c r="J2029" s="6" t="s">
        <v>37</v>
      </c>
      <c r="K2029">
        <v>4</v>
      </c>
      <c r="M2029" s="1" t="b">
        <f>Employee__2[[#This Row],[Experience]]&gt;1</f>
        <v>1</v>
      </c>
      <c r="N2029" s="1" t="str">
        <f>IF(Employee__2[[#This Row],[City]]="Pune","Yes","No")</f>
        <v>Yes</v>
      </c>
      <c r="O2029" s="1" t="str">
        <f>IF(AND(Employee__2[[#This Row],[Education]]="Bachelors",Employee__2[[#This Row],[City]]="Pune"),"Yes","No")</f>
        <v>Yes</v>
      </c>
      <c r="P2029" s="1" t="str">
        <f>IF(OR(Employee__2[[#This Row],[Age]]&gt;=30,Employee__2[[#This Row],[Gender]]="Male"),"Mached","Not mached")</f>
        <v>Not mached</v>
      </c>
    </row>
    <row r="2030" spans="4:16" x14ac:dyDescent="0.25">
      <c r="D2030" s="6" t="s">
        <v>41</v>
      </c>
      <c r="E2030">
        <v>2017</v>
      </c>
      <c r="F2030" s="6" t="s">
        <v>38</v>
      </c>
      <c r="G2030">
        <v>2</v>
      </c>
      <c r="H2030">
        <v>30</v>
      </c>
      <c r="I2030" s="6" t="s">
        <v>39</v>
      </c>
      <c r="J2030" s="6" t="s">
        <v>37</v>
      </c>
      <c r="K2030">
        <v>2</v>
      </c>
      <c r="M2030" s="1" t="b">
        <f>Employee__2[[#This Row],[Experience]]&gt;1</f>
        <v>1</v>
      </c>
      <c r="N2030" s="1" t="str">
        <f>IF(Employee__2[[#This Row],[City]]="Pune","Yes","No")</f>
        <v>Yes</v>
      </c>
      <c r="O2030" s="1" t="str">
        <f>IF(AND(Employee__2[[#This Row],[Education]]="Bachelors",Employee__2[[#This Row],[City]]="Pune"),"Yes","No")</f>
        <v>No</v>
      </c>
      <c r="P2030" s="1" t="str">
        <f>IF(OR(Employee__2[[#This Row],[Age]]&gt;=30,Employee__2[[#This Row],[Gender]]="Male"),"Mached","Not mached")</f>
        <v>Mached</v>
      </c>
    </row>
    <row r="2031" spans="4:16" x14ac:dyDescent="0.25">
      <c r="D2031" s="6" t="s">
        <v>34</v>
      </c>
      <c r="E2031">
        <v>2015</v>
      </c>
      <c r="F2031" s="6" t="s">
        <v>38</v>
      </c>
      <c r="G2031">
        <v>2</v>
      </c>
      <c r="H2031">
        <v>30</v>
      </c>
      <c r="I2031" s="6" t="s">
        <v>39</v>
      </c>
      <c r="J2031" s="6" t="s">
        <v>42</v>
      </c>
      <c r="K2031">
        <v>1</v>
      </c>
      <c r="M2031" s="1" t="b">
        <f>Employee__2[[#This Row],[Experience]]&gt;1</f>
        <v>0</v>
      </c>
      <c r="N2031" s="1" t="str">
        <f>IF(Employee__2[[#This Row],[City]]="Pune","Yes","No")</f>
        <v>Yes</v>
      </c>
      <c r="O2031" s="1" t="str">
        <f>IF(AND(Employee__2[[#This Row],[Education]]="Bachelors",Employee__2[[#This Row],[City]]="Pune"),"Yes","No")</f>
        <v>Yes</v>
      </c>
      <c r="P2031" s="1" t="str">
        <f>IF(OR(Employee__2[[#This Row],[Age]]&gt;=30,Employee__2[[#This Row],[Gender]]="Male"),"Mached","Not mached")</f>
        <v>Mached</v>
      </c>
    </row>
    <row r="2032" spans="4:16" x14ac:dyDescent="0.25">
      <c r="D2032" s="6" t="s">
        <v>41</v>
      </c>
      <c r="E2032">
        <v>2017</v>
      </c>
      <c r="F2032" s="6" t="s">
        <v>40</v>
      </c>
      <c r="G2032">
        <v>2</v>
      </c>
      <c r="H2032">
        <v>29</v>
      </c>
      <c r="I2032" s="6" t="s">
        <v>39</v>
      </c>
      <c r="J2032" s="6" t="s">
        <v>37</v>
      </c>
      <c r="K2032">
        <v>2</v>
      </c>
      <c r="M2032" s="1" t="b">
        <f>Employee__2[[#This Row],[Experience]]&gt;1</f>
        <v>1</v>
      </c>
      <c r="N2032" s="1" t="str">
        <f>IF(Employee__2[[#This Row],[City]]="Pune","Yes","No")</f>
        <v>No</v>
      </c>
      <c r="O2032" s="1" t="str">
        <f>IF(AND(Employee__2[[#This Row],[Education]]="Bachelors",Employee__2[[#This Row],[City]]="Pune"),"Yes","No")</f>
        <v>No</v>
      </c>
      <c r="P2032" s="1" t="str">
        <f>IF(OR(Employee__2[[#This Row],[Age]]&gt;=30,Employee__2[[#This Row],[Gender]]="Male"),"Mached","Not mached")</f>
        <v>Not mached</v>
      </c>
    </row>
    <row r="2033" spans="4:16" x14ac:dyDescent="0.25">
      <c r="D2033" s="6" t="s">
        <v>34</v>
      </c>
      <c r="E2033">
        <v>2015</v>
      </c>
      <c r="F2033" s="6" t="s">
        <v>35</v>
      </c>
      <c r="G2033">
        <v>3</v>
      </c>
      <c r="H2033">
        <v>30</v>
      </c>
      <c r="I2033" s="6" t="s">
        <v>36</v>
      </c>
      <c r="J2033" s="6" t="s">
        <v>37</v>
      </c>
      <c r="K2033">
        <v>2</v>
      </c>
      <c r="M2033" s="1" t="b">
        <f>Employee__2[[#This Row],[Experience]]&gt;1</f>
        <v>1</v>
      </c>
      <c r="N2033" s="1" t="str">
        <f>IF(Employee__2[[#This Row],[City]]="Pune","Yes","No")</f>
        <v>No</v>
      </c>
      <c r="O2033" s="1" t="str">
        <f>IF(AND(Employee__2[[#This Row],[Education]]="Bachelors",Employee__2[[#This Row],[City]]="Pune"),"Yes","No")</f>
        <v>No</v>
      </c>
      <c r="P2033" s="1" t="str">
        <f>IF(OR(Employee__2[[#This Row],[Age]]&gt;=30,Employee__2[[#This Row],[Gender]]="Male"),"Mached","Not mached")</f>
        <v>Mached</v>
      </c>
    </row>
    <row r="2034" spans="4:16" x14ac:dyDescent="0.25">
      <c r="D2034" s="6" t="s">
        <v>34</v>
      </c>
      <c r="E2034">
        <v>2015</v>
      </c>
      <c r="F2034" s="6" t="s">
        <v>35</v>
      </c>
      <c r="G2034">
        <v>3</v>
      </c>
      <c r="H2034">
        <v>27</v>
      </c>
      <c r="I2034" s="6" t="s">
        <v>39</v>
      </c>
      <c r="J2034" s="6" t="s">
        <v>37</v>
      </c>
      <c r="K2034">
        <v>5</v>
      </c>
      <c r="M2034" s="1" t="b">
        <f>Employee__2[[#This Row],[Experience]]&gt;1</f>
        <v>1</v>
      </c>
      <c r="N2034" s="1" t="str">
        <f>IF(Employee__2[[#This Row],[City]]="Pune","Yes","No")</f>
        <v>No</v>
      </c>
      <c r="O2034" s="1" t="str">
        <f>IF(AND(Employee__2[[#This Row],[Education]]="Bachelors",Employee__2[[#This Row],[City]]="Pune"),"Yes","No")</f>
        <v>No</v>
      </c>
      <c r="P2034" s="1" t="str">
        <f>IF(OR(Employee__2[[#This Row],[Age]]&gt;=30,Employee__2[[#This Row],[Gender]]="Male"),"Mached","Not mached")</f>
        <v>Not mached</v>
      </c>
    </row>
    <row r="2035" spans="4:16" x14ac:dyDescent="0.25">
      <c r="D2035" s="6" t="s">
        <v>34</v>
      </c>
      <c r="E2035">
        <v>2017</v>
      </c>
      <c r="F2035" s="6" t="s">
        <v>38</v>
      </c>
      <c r="G2035">
        <v>3</v>
      </c>
      <c r="H2035">
        <v>27</v>
      </c>
      <c r="I2035" s="6" t="s">
        <v>39</v>
      </c>
      <c r="J2035" s="6" t="s">
        <v>37</v>
      </c>
      <c r="K2035">
        <v>5</v>
      </c>
      <c r="M2035" s="1" t="b">
        <f>Employee__2[[#This Row],[Experience]]&gt;1</f>
        <v>1</v>
      </c>
      <c r="N2035" s="1" t="str">
        <f>IF(Employee__2[[#This Row],[City]]="Pune","Yes","No")</f>
        <v>Yes</v>
      </c>
      <c r="O2035" s="1" t="str">
        <f>IF(AND(Employee__2[[#This Row],[Education]]="Bachelors",Employee__2[[#This Row],[City]]="Pune"),"Yes","No")</f>
        <v>Yes</v>
      </c>
      <c r="P2035" s="1" t="str">
        <f>IF(OR(Employee__2[[#This Row],[Age]]&gt;=30,Employee__2[[#This Row],[Gender]]="Male"),"Mached","Not mached")</f>
        <v>Not mached</v>
      </c>
    </row>
    <row r="2036" spans="4:16" x14ac:dyDescent="0.25">
      <c r="D2036" s="6" t="s">
        <v>34</v>
      </c>
      <c r="E2036">
        <v>2014</v>
      </c>
      <c r="F2036" s="6" t="s">
        <v>35</v>
      </c>
      <c r="G2036">
        <v>3</v>
      </c>
      <c r="H2036">
        <v>30</v>
      </c>
      <c r="I2036" s="6" t="s">
        <v>36</v>
      </c>
      <c r="J2036" s="6" t="s">
        <v>37</v>
      </c>
      <c r="K2036">
        <v>2</v>
      </c>
      <c r="M2036" s="1" t="b">
        <f>Employee__2[[#This Row],[Experience]]&gt;1</f>
        <v>1</v>
      </c>
      <c r="N2036" s="1" t="str">
        <f>IF(Employee__2[[#This Row],[City]]="Pune","Yes","No")</f>
        <v>No</v>
      </c>
      <c r="O2036" s="1" t="str">
        <f>IF(AND(Employee__2[[#This Row],[Education]]="Bachelors",Employee__2[[#This Row],[City]]="Pune"),"Yes","No")</f>
        <v>No</v>
      </c>
      <c r="P2036" s="1" t="str">
        <f>IF(OR(Employee__2[[#This Row],[Age]]&gt;=30,Employee__2[[#This Row],[Gender]]="Male"),"Mached","Not mached")</f>
        <v>Mached</v>
      </c>
    </row>
    <row r="2037" spans="4:16" x14ac:dyDescent="0.25">
      <c r="D2037" s="6" t="s">
        <v>34</v>
      </c>
      <c r="E2037">
        <v>2014</v>
      </c>
      <c r="F2037" s="6" t="s">
        <v>35</v>
      </c>
      <c r="G2037">
        <v>3</v>
      </c>
      <c r="H2037">
        <v>26</v>
      </c>
      <c r="I2037" s="6" t="s">
        <v>39</v>
      </c>
      <c r="J2037" s="6" t="s">
        <v>37</v>
      </c>
      <c r="K2037">
        <v>4</v>
      </c>
      <c r="M2037" s="1" t="b">
        <f>Employee__2[[#This Row],[Experience]]&gt;1</f>
        <v>1</v>
      </c>
      <c r="N2037" s="1" t="str">
        <f>IF(Employee__2[[#This Row],[City]]="Pune","Yes","No")</f>
        <v>No</v>
      </c>
      <c r="O2037" s="1" t="str">
        <f>IF(AND(Employee__2[[#This Row],[Education]]="Bachelors",Employee__2[[#This Row],[City]]="Pune"),"Yes","No")</f>
        <v>No</v>
      </c>
      <c r="P2037" s="1" t="str">
        <f>IF(OR(Employee__2[[#This Row],[Age]]&gt;=30,Employee__2[[#This Row],[Gender]]="Male"),"Mached","Not mached")</f>
        <v>Not mached</v>
      </c>
    </row>
    <row r="2038" spans="4:16" x14ac:dyDescent="0.25">
      <c r="D2038" s="6" t="s">
        <v>41</v>
      </c>
      <c r="E2038">
        <v>2013</v>
      </c>
      <c r="F2038" s="6" t="s">
        <v>40</v>
      </c>
      <c r="G2038">
        <v>3</v>
      </c>
      <c r="H2038">
        <v>26</v>
      </c>
      <c r="I2038" s="6" t="s">
        <v>36</v>
      </c>
      <c r="J2038" s="6" t="s">
        <v>37</v>
      </c>
      <c r="K2038">
        <v>4</v>
      </c>
      <c r="M2038" s="1" t="b">
        <f>Employee__2[[#This Row],[Experience]]&gt;1</f>
        <v>1</v>
      </c>
      <c r="N2038" s="1" t="str">
        <f>IF(Employee__2[[#This Row],[City]]="Pune","Yes","No")</f>
        <v>No</v>
      </c>
      <c r="O2038" s="1" t="str">
        <f>IF(AND(Employee__2[[#This Row],[Education]]="Bachelors",Employee__2[[#This Row],[City]]="Pune"),"Yes","No")</f>
        <v>No</v>
      </c>
      <c r="P2038" s="1" t="str">
        <f>IF(OR(Employee__2[[#This Row],[Age]]&gt;=30,Employee__2[[#This Row],[Gender]]="Male"),"Mached","Not mached")</f>
        <v>Mached</v>
      </c>
    </row>
    <row r="2039" spans="4:16" x14ac:dyDescent="0.25">
      <c r="D2039" s="6" t="s">
        <v>34</v>
      </c>
      <c r="E2039">
        <v>2013</v>
      </c>
      <c r="F2039" s="6" t="s">
        <v>40</v>
      </c>
      <c r="G2039">
        <v>3</v>
      </c>
      <c r="H2039">
        <v>29</v>
      </c>
      <c r="I2039" s="6" t="s">
        <v>39</v>
      </c>
      <c r="J2039" s="6" t="s">
        <v>37</v>
      </c>
      <c r="K2039">
        <v>1</v>
      </c>
      <c r="M2039" s="1" t="b">
        <f>Employee__2[[#This Row],[Experience]]&gt;1</f>
        <v>0</v>
      </c>
      <c r="N2039" s="1" t="str">
        <f>IF(Employee__2[[#This Row],[City]]="Pune","Yes","No")</f>
        <v>No</v>
      </c>
      <c r="O2039" s="1" t="str">
        <f>IF(AND(Employee__2[[#This Row],[Education]]="Bachelors",Employee__2[[#This Row],[City]]="Pune"),"Yes","No")</f>
        <v>No</v>
      </c>
      <c r="P2039" s="1" t="str">
        <f>IF(OR(Employee__2[[#This Row],[Age]]&gt;=30,Employee__2[[#This Row],[Gender]]="Male"),"Mached","Not mached")</f>
        <v>Not mached</v>
      </c>
    </row>
    <row r="2040" spans="4:16" x14ac:dyDescent="0.25">
      <c r="D2040" s="6" t="s">
        <v>34</v>
      </c>
      <c r="E2040">
        <v>2018</v>
      </c>
      <c r="F2040" s="6" t="s">
        <v>40</v>
      </c>
      <c r="G2040">
        <v>3</v>
      </c>
      <c r="H2040">
        <v>27</v>
      </c>
      <c r="I2040" s="6" t="s">
        <v>39</v>
      </c>
      <c r="J2040" s="6" t="s">
        <v>37</v>
      </c>
      <c r="K2040">
        <v>5</v>
      </c>
      <c r="M2040" s="1" t="b">
        <f>Employee__2[[#This Row],[Experience]]&gt;1</f>
        <v>1</v>
      </c>
      <c r="N2040" s="1" t="str">
        <f>IF(Employee__2[[#This Row],[City]]="Pune","Yes","No")</f>
        <v>No</v>
      </c>
      <c r="O2040" s="1" t="str">
        <f>IF(AND(Employee__2[[#This Row],[Education]]="Bachelors",Employee__2[[#This Row],[City]]="Pune"),"Yes","No")</f>
        <v>No</v>
      </c>
      <c r="P2040" s="1" t="str">
        <f>IF(OR(Employee__2[[#This Row],[Age]]&gt;=30,Employee__2[[#This Row],[Gender]]="Male"),"Mached","Not mached")</f>
        <v>Not mached</v>
      </c>
    </row>
    <row r="2041" spans="4:16" x14ac:dyDescent="0.25">
      <c r="D2041" s="6" t="s">
        <v>34</v>
      </c>
      <c r="E2041">
        <v>2014</v>
      </c>
      <c r="F2041" s="6" t="s">
        <v>35</v>
      </c>
      <c r="G2041">
        <v>3</v>
      </c>
      <c r="H2041">
        <v>29</v>
      </c>
      <c r="I2041" s="6" t="s">
        <v>36</v>
      </c>
      <c r="J2041" s="6" t="s">
        <v>37</v>
      </c>
      <c r="K2041">
        <v>1</v>
      </c>
      <c r="M2041" s="1" t="b">
        <f>Employee__2[[#This Row],[Experience]]&gt;1</f>
        <v>0</v>
      </c>
      <c r="N2041" s="1" t="str">
        <f>IF(Employee__2[[#This Row],[City]]="Pune","Yes","No")</f>
        <v>No</v>
      </c>
      <c r="O2041" s="1" t="str">
        <f>IF(AND(Employee__2[[#This Row],[Education]]="Bachelors",Employee__2[[#This Row],[City]]="Pune"),"Yes","No")</f>
        <v>No</v>
      </c>
      <c r="P2041" s="1" t="str">
        <f>IF(OR(Employee__2[[#This Row],[Age]]&gt;=30,Employee__2[[#This Row],[Gender]]="Male"),"Mached","Not mached")</f>
        <v>Mached</v>
      </c>
    </row>
    <row r="2042" spans="4:16" x14ac:dyDescent="0.25">
      <c r="D2042" s="6" t="s">
        <v>34</v>
      </c>
      <c r="E2042">
        <v>2017</v>
      </c>
      <c r="F2042" s="6" t="s">
        <v>38</v>
      </c>
      <c r="G2042">
        <v>3</v>
      </c>
      <c r="H2042">
        <v>26</v>
      </c>
      <c r="I2042" s="6" t="s">
        <v>39</v>
      </c>
      <c r="J2042" s="6" t="s">
        <v>37</v>
      </c>
      <c r="K2042">
        <v>4</v>
      </c>
      <c r="M2042" s="1" t="b">
        <f>Employee__2[[#This Row],[Experience]]&gt;1</f>
        <v>1</v>
      </c>
      <c r="N2042" s="1" t="str">
        <f>IF(Employee__2[[#This Row],[City]]="Pune","Yes","No")</f>
        <v>Yes</v>
      </c>
      <c r="O2042" s="1" t="str">
        <f>IF(AND(Employee__2[[#This Row],[Education]]="Bachelors",Employee__2[[#This Row],[City]]="Pune"),"Yes","No")</f>
        <v>Yes</v>
      </c>
      <c r="P2042" s="1" t="str">
        <f>IF(OR(Employee__2[[#This Row],[Age]]&gt;=30,Employee__2[[#This Row],[Gender]]="Male"),"Mached","Not mached")</f>
        <v>Not mached</v>
      </c>
    </row>
    <row r="2043" spans="4:16" x14ac:dyDescent="0.25">
      <c r="D2043" s="6" t="s">
        <v>41</v>
      </c>
      <c r="E2043">
        <v>2015</v>
      </c>
      <c r="F2043" s="6" t="s">
        <v>35</v>
      </c>
      <c r="G2043">
        <v>2</v>
      </c>
      <c r="H2043">
        <v>27</v>
      </c>
      <c r="I2043" s="6" t="s">
        <v>39</v>
      </c>
      <c r="J2043" s="6" t="s">
        <v>42</v>
      </c>
      <c r="K2043">
        <v>5</v>
      </c>
      <c r="M2043" s="1" t="b">
        <f>Employee__2[[#This Row],[Experience]]&gt;1</f>
        <v>1</v>
      </c>
      <c r="N2043" s="1" t="str">
        <f>IF(Employee__2[[#This Row],[City]]="Pune","Yes","No")</f>
        <v>No</v>
      </c>
      <c r="O2043" s="1" t="str">
        <f>IF(AND(Employee__2[[#This Row],[Education]]="Bachelors",Employee__2[[#This Row],[City]]="Pune"),"Yes","No")</f>
        <v>No</v>
      </c>
      <c r="P2043" s="1" t="str">
        <f>IF(OR(Employee__2[[#This Row],[Age]]&gt;=30,Employee__2[[#This Row],[Gender]]="Male"),"Mached","Not mached")</f>
        <v>Not mached</v>
      </c>
    </row>
    <row r="2044" spans="4:16" x14ac:dyDescent="0.25">
      <c r="D2044" s="6" t="s">
        <v>41</v>
      </c>
      <c r="E2044">
        <v>2017</v>
      </c>
      <c r="F2044" s="6" t="s">
        <v>40</v>
      </c>
      <c r="G2044">
        <v>2</v>
      </c>
      <c r="H2044">
        <v>29</v>
      </c>
      <c r="I2044" s="6" t="s">
        <v>39</v>
      </c>
      <c r="J2044" s="6" t="s">
        <v>37</v>
      </c>
      <c r="K2044">
        <v>2</v>
      </c>
      <c r="M2044" s="1" t="b">
        <f>Employee__2[[#This Row],[Experience]]&gt;1</f>
        <v>1</v>
      </c>
      <c r="N2044" s="1" t="str">
        <f>IF(Employee__2[[#This Row],[City]]="Pune","Yes","No")</f>
        <v>No</v>
      </c>
      <c r="O2044" s="1" t="str">
        <f>IF(AND(Employee__2[[#This Row],[Education]]="Bachelors",Employee__2[[#This Row],[City]]="Pune"),"Yes","No")</f>
        <v>No</v>
      </c>
      <c r="P2044" s="1" t="str">
        <f>IF(OR(Employee__2[[#This Row],[Age]]&gt;=30,Employee__2[[#This Row],[Gender]]="Male"),"Mached","Not mached")</f>
        <v>Not mached</v>
      </c>
    </row>
    <row r="2045" spans="4:16" x14ac:dyDescent="0.25">
      <c r="D2045" s="6" t="s">
        <v>41</v>
      </c>
      <c r="E2045">
        <v>2017</v>
      </c>
      <c r="F2045" s="6" t="s">
        <v>35</v>
      </c>
      <c r="G2045">
        <v>3</v>
      </c>
      <c r="H2045">
        <v>26</v>
      </c>
      <c r="I2045" s="6" t="s">
        <v>39</v>
      </c>
      <c r="J2045" s="6" t="s">
        <v>37</v>
      </c>
      <c r="K2045">
        <v>4</v>
      </c>
      <c r="M2045" s="1" t="b">
        <f>Employee__2[[#This Row],[Experience]]&gt;1</f>
        <v>1</v>
      </c>
      <c r="N2045" s="1" t="str">
        <f>IF(Employee__2[[#This Row],[City]]="Pune","Yes","No")</f>
        <v>No</v>
      </c>
      <c r="O2045" s="1" t="str">
        <f>IF(AND(Employee__2[[#This Row],[Education]]="Bachelors",Employee__2[[#This Row],[City]]="Pune"),"Yes","No")</f>
        <v>No</v>
      </c>
      <c r="P2045" s="1" t="str">
        <f>IF(OR(Employee__2[[#This Row],[Age]]&gt;=30,Employee__2[[#This Row],[Gender]]="Male"),"Mached","Not mached")</f>
        <v>Not mached</v>
      </c>
    </row>
    <row r="2046" spans="4:16" x14ac:dyDescent="0.25">
      <c r="D2046" s="6" t="s">
        <v>34</v>
      </c>
      <c r="E2046">
        <v>2015</v>
      </c>
      <c r="F2046" s="6" t="s">
        <v>35</v>
      </c>
      <c r="G2046">
        <v>3</v>
      </c>
      <c r="H2046">
        <v>28</v>
      </c>
      <c r="I2046" s="6" t="s">
        <v>36</v>
      </c>
      <c r="J2046" s="6" t="s">
        <v>37</v>
      </c>
      <c r="K2046">
        <v>2</v>
      </c>
      <c r="M2046" s="1" t="b">
        <f>Employee__2[[#This Row],[Experience]]&gt;1</f>
        <v>1</v>
      </c>
      <c r="N2046" s="1" t="str">
        <f>IF(Employee__2[[#This Row],[City]]="Pune","Yes","No")</f>
        <v>No</v>
      </c>
      <c r="O2046" s="1" t="str">
        <f>IF(AND(Employee__2[[#This Row],[Education]]="Bachelors",Employee__2[[#This Row],[City]]="Pune"),"Yes","No")</f>
        <v>No</v>
      </c>
      <c r="P2046" s="1" t="str">
        <f>IF(OR(Employee__2[[#This Row],[Age]]&gt;=30,Employee__2[[#This Row],[Gender]]="Male"),"Mached","Not mached")</f>
        <v>Mached</v>
      </c>
    </row>
    <row r="2047" spans="4:16" x14ac:dyDescent="0.25">
      <c r="D2047" s="6" t="s">
        <v>34</v>
      </c>
      <c r="E2047">
        <v>2013</v>
      </c>
      <c r="F2047" s="6" t="s">
        <v>35</v>
      </c>
      <c r="G2047">
        <v>3</v>
      </c>
      <c r="H2047">
        <v>27</v>
      </c>
      <c r="I2047" s="6" t="s">
        <v>36</v>
      </c>
      <c r="J2047" s="6" t="s">
        <v>37</v>
      </c>
      <c r="K2047">
        <v>5</v>
      </c>
      <c r="M2047" s="1" t="b">
        <f>Employee__2[[#This Row],[Experience]]&gt;1</f>
        <v>1</v>
      </c>
      <c r="N2047" s="1" t="str">
        <f>IF(Employee__2[[#This Row],[City]]="Pune","Yes","No")</f>
        <v>No</v>
      </c>
      <c r="O2047" s="1" t="str">
        <f>IF(AND(Employee__2[[#This Row],[Education]]="Bachelors",Employee__2[[#This Row],[City]]="Pune"),"Yes","No")</f>
        <v>No</v>
      </c>
      <c r="P2047" s="1" t="str">
        <f>IF(OR(Employee__2[[#This Row],[Age]]&gt;=30,Employee__2[[#This Row],[Gender]]="Male"),"Mached","Not mached")</f>
        <v>Mached</v>
      </c>
    </row>
    <row r="2048" spans="4:16" x14ac:dyDescent="0.25">
      <c r="D2048" s="6" t="s">
        <v>34</v>
      </c>
      <c r="E2048">
        <v>2014</v>
      </c>
      <c r="F2048" s="6" t="s">
        <v>40</v>
      </c>
      <c r="G2048">
        <v>3</v>
      </c>
      <c r="H2048">
        <v>28</v>
      </c>
      <c r="I2048" s="6" t="s">
        <v>39</v>
      </c>
      <c r="J2048" s="6" t="s">
        <v>37</v>
      </c>
      <c r="K2048">
        <v>2</v>
      </c>
      <c r="M2048" s="1" t="b">
        <f>Employee__2[[#This Row],[Experience]]&gt;1</f>
        <v>1</v>
      </c>
      <c r="N2048" s="1" t="str">
        <f>IF(Employee__2[[#This Row],[City]]="Pune","Yes","No")</f>
        <v>No</v>
      </c>
      <c r="O2048" s="1" t="str">
        <f>IF(AND(Employee__2[[#This Row],[Education]]="Bachelors",Employee__2[[#This Row],[City]]="Pune"),"Yes","No")</f>
        <v>No</v>
      </c>
      <c r="P2048" s="1" t="str">
        <f>IF(OR(Employee__2[[#This Row],[Age]]&gt;=30,Employee__2[[#This Row],[Gender]]="Male"),"Mached","Not mached")</f>
        <v>Not mached</v>
      </c>
    </row>
    <row r="2049" spans="4:16" x14ac:dyDescent="0.25">
      <c r="D2049" s="6" t="s">
        <v>34</v>
      </c>
      <c r="E2049">
        <v>2012</v>
      </c>
      <c r="F2049" s="6" t="s">
        <v>35</v>
      </c>
      <c r="G2049">
        <v>3</v>
      </c>
      <c r="H2049">
        <v>29</v>
      </c>
      <c r="I2049" s="6" t="s">
        <v>36</v>
      </c>
      <c r="J2049" s="6" t="s">
        <v>37</v>
      </c>
      <c r="K2049">
        <v>1</v>
      </c>
      <c r="M2049" s="1" t="b">
        <f>Employee__2[[#This Row],[Experience]]&gt;1</f>
        <v>0</v>
      </c>
      <c r="N2049" s="1" t="str">
        <f>IF(Employee__2[[#This Row],[City]]="Pune","Yes","No")</f>
        <v>No</v>
      </c>
      <c r="O2049" s="1" t="str">
        <f>IF(AND(Employee__2[[#This Row],[Education]]="Bachelors",Employee__2[[#This Row],[City]]="Pune"),"Yes","No")</f>
        <v>No</v>
      </c>
      <c r="P2049" s="1" t="str">
        <f>IF(OR(Employee__2[[#This Row],[Age]]&gt;=30,Employee__2[[#This Row],[Gender]]="Male"),"Mached","Not mached")</f>
        <v>Mached</v>
      </c>
    </row>
    <row r="2050" spans="4:16" x14ac:dyDescent="0.25">
      <c r="D2050" s="6" t="s">
        <v>34</v>
      </c>
      <c r="E2050">
        <v>2016</v>
      </c>
      <c r="F2050" s="6" t="s">
        <v>40</v>
      </c>
      <c r="G2050">
        <v>3</v>
      </c>
      <c r="H2050">
        <v>28</v>
      </c>
      <c r="I2050" s="6" t="s">
        <v>39</v>
      </c>
      <c r="J2050" s="6" t="s">
        <v>37</v>
      </c>
      <c r="K2050">
        <v>2</v>
      </c>
      <c r="M2050" s="1" t="b">
        <f>Employee__2[[#This Row],[Experience]]&gt;1</f>
        <v>1</v>
      </c>
      <c r="N2050" s="1" t="str">
        <f>IF(Employee__2[[#This Row],[City]]="Pune","Yes","No")</f>
        <v>No</v>
      </c>
      <c r="O2050" s="1" t="str">
        <f>IF(AND(Employee__2[[#This Row],[Education]]="Bachelors",Employee__2[[#This Row],[City]]="Pune"),"Yes","No")</f>
        <v>No</v>
      </c>
      <c r="P2050" s="1" t="str">
        <f>IF(OR(Employee__2[[#This Row],[Age]]&gt;=30,Employee__2[[#This Row],[Gender]]="Male"),"Mached","Not mached")</f>
        <v>Not mached</v>
      </c>
    </row>
    <row r="2051" spans="4:16" x14ac:dyDescent="0.25">
      <c r="D2051" s="6" t="s">
        <v>41</v>
      </c>
      <c r="E2051">
        <v>2012</v>
      </c>
      <c r="F2051" s="6" t="s">
        <v>40</v>
      </c>
      <c r="G2051">
        <v>3</v>
      </c>
      <c r="H2051">
        <v>26</v>
      </c>
      <c r="I2051" s="6" t="s">
        <v>39</v>
      </c>
      <c r="J2051" s="6" t="s">
        <v>37</v>
      </c>
      <c r="K2051">
        <v>4</v>
      </c>
      <c r="M2051" s="1" t="b">
        <f>Employee__2[[#This Row],[Experience]]&gt;1</f>
        <v>1</v>
      </c>
      <c r="N2051" s="1" t="str">
        <f>IF(Employee__2[[#This Row],[City]]="Pune","Yes","No")</f>
        <v>No</v>
      </c>
      <c r="O2051" s="1" t="str">
        <f>IF(AND(Employee__2[[#This Row],[Education]]="Bachelors",Employee__2[[#This Row],[City]]="Pune"),"Yes","No")</f>
        <v>No</v>
      </c>
      <c r="P2051" s="1" t="str">
        <f>IF(OR(Employee__2[[#This Row],[Age]]&gt;=30,Employee__2[[#This Row],[Gender]]="Male"),"Mached","Not mached")</f>
        <v>Not mached</v>
      </c>
    </row>
    <row r="2052" spans="4:16" x14ac:dyDescent="0.25">
      <c r="D2052" s="6" t="s">
        <v>34</v>
      </c>
      <c r="E2052">
        <v>2014</v>
      </c>
      <c r="F2052" s="6" t="s">
        <v>35</v>
      </c>
      <c r="G2052">
        <v>3</v>
      </c>
      <c r="H2052">
        <v>26</v>
      </c>
      <c r="I2052" s="6" t="s">
        <v>36</v>
      </c>
      <c r="J2052" s="6" t="s">
        <v>37</v>
      </c>
      <c r="K2052">
        <v>4</v>
      </c>
      <c r="M2052" s="1" t="b">
        <f>Employee__2[[#This Row],[Experience]]&gt;1</f>
        <v>1</v>
      </c>
      <c r="N2052" s="1" t="str">
        <f>IF(Employee__2[[#This Row],[City]]="Pune","Yes","No")</f>
        <v>No</v>
      </c>
      <c r="O2052" s="1" t="str">
        <f>IF(AND(Employee__2[[#This Row],[Education]]="Bachelors",Employee__2[[#This Row],[City]]="Pune"),"Yes","No")</f>
        <v>No</v>
      </c>
      <c r="P2052" s="1" t="str">
        <f>IF(OR(Employee__2[[#This Row],[Age]]&gt;=30,Employee__2[[#This Row],[Gender]]="Male"),"Mached","Not mached")</f>
        <v>Mached</v>
      </c>
    </row>
    <row r="2053" spans="4:16" x14ac:dyDescent="0.25">
      <c r="D2053" s="6" t="s">
        <v>34</v>
      </c>
      <c r="E2053">
        <v>2017</v>
      </c>
      <c r="F2053" s="6" t="s">
        <v>38</v>
      </c>
      <c r="G2053">
        <v>3</v>
      </c>
      <c r="H2053">
        <v>28</v>
      </c>
      <c r="I2053" s="6" t="s">
        <v>36</v>
      </c>
      <c r="J2053" s="6" t="s">
        <v>37</v>
      </c>
      <c r="K2053">
        <v>2</v>
      </c>
      <c r="M2053" s="1" t="b">
        <f>Employee__2[[#This Row],[Experience]]&gt;1</f>
        <v>1</v>
      </c>
      <c r="N2053" s="1" t="str">
        <f>IF(Employee__2[[#This Row],[City]]="Pune","Yes","No")</f>
        <v>Yes</v>
      </c>
      <c r="O2053" s="1" t="str">
        <f>IF(AND(Employee__2[[#This Row],[Education]]="Bachelors",Employee__2[[#This Row],[City]]="Pune"),"Yes","No")</f>
        <v>Yes</v>
      </c>
      <c r="P2053" s="1" t="str">
        <f>IF(OR(Employee__2[[#This Row],[Age]]&gt;=30,Employee__2[[#This Row],[Gender]]="Male"),"Mached","Not mached")</f>
        <v>Mached</v>
      </c>
    </row>
    <row r="2054" spans="4:16" x14ac:dyDescent="0.25">
      <c r="D2054" s="6" t="s">
        <v>34</v>
      </c>
      <c r="E2054">
        <v>2012</v>
      </c>
      <c r="F2054" s="6" t="s">
        <v>35</v>
      </c>
      <c r="G2054">
        <v>2</v>
      </c>
      <c r="H2054">
        <v>27</v>
      </c>
      <c r="I2054" s="6" t="s">
        <v>39</v>
      </c>
      <c r="J2054" s="6" t="s">
        <v>37</v>
      </c>
      <c r="K2054">
        <v>5</v>
      </c>
      <c r="M2054" s="1" t="b">
        <f>Employee__2[[#This Row],[Experience]]&gt;1</f>
        <v>1</v>
      </c>
      <c r="N2054" s="1" t="str">
        <f>IF(Employee__2[[#This Row],[City]]="Pune","Yes","No")</f>
        <v>No</v>
      </c>
      <c r="O2054" s="1" t="str">
        <f>IF(AND(Employee__2[[#This Row],[Education]]="Bachelors",Employee__2[[#This Row],[City]]="Pune"),"Yes","No")</f>
        <v>No</v>
      </c>
      <c r="P2054" s="1" t="str">
        <f>IF(OR(Employee__2[[#This Row],[Age]]&gt;=30,Employee__2[[#This Row],[Gender]]="Male"),"Mached","Not mached")</f>
        <v>Not mached</v>
      </c>
    </row>
    <row r="2055" spans="4:16" x14ac:dyDescent="0.25">
      <c r="D2055" s="6" t="s">
        <v>34</v>
      </c>
      <c r="E2055">
        <v>2018</v>
      </c>
      <c r="F2055" s="6" t="s">
        <v>35</v>
      </c>
      <c r="G2055">
        <v>3</v>
      </c>
      <c r="H2055">
        <v>28</v>
      </c>
      <c r="I2055" s="6" t="s">
        <v>36</v>
      </c>
      <c r="J2055" s="6" t="s">
        <v>37</v>
      </c>
      <c r="K2055">
        <v>1</v>
      </c>
      <c r="M2055" s="1" t="b">
        <f>Employee__2[[#This Row],[Experience]]&gt;1</f>
        <v>0</v>
      </c>
      <c r="N2055" s="1" t="str">
        <f>IF(Employee__2[[#This Row],[City]]="Pune","Yes","No")</f>
        <v>No</v>
      </c>
      <c r="O2055" s="1" t="str">
        <f>IF(AND(Employee__2[[#This Row],[Education]]="Bachelors",Employee__2[[#This Row],[City]]="Pune"),"Yes","No")</f>
        <v>No</v>
      </c>
      <c r="P2055" s="1" t="str">
        <f>IF(OR(Employee__2[[#This Row],[Age]]&gt;=30,Employee__2[[#This Row],[Gender]]="Male"),"Mached","Not mached")</f>
        <v>Mached</v>
      </c>
    </row>
    <row r="2056" spans="4:16" x14ac:dyDescent="0.25">
      <c r="D2056" s="6" t="s">
        <v>34</v>
      </c>
      <c r="E2056">
        <v>2015</v>
      </c>
      <c r="F2056" s="6" t="s">
        <v>38</v>
      </c>
      <c r="G2056">
        <v>2</v>
      </c>
      <c r="H2056">
        <v>26</v>
      </c>
      <c r="I2056" s="6" t="s">
        <v>39</v>
      </c>
      <c r="J2056" s="6" t="s">
        <v>37</v>
      </c>
      <c r="K2056">
        <v>4</v>
      </c>
      <c r="M2056" s="1" t="b">
        <f>Employee__2[[#This Row],[Experience]]&gt;1</f>
        <v>1</v>
      </c>
      <c r="N2056" s="1" t="str">
        <f>IF(Employee__2[[#This Row],[City]]="Pune","Yes","No")</f>
        <v>Yes</v>
      </c>
      <c r="O2056" s="1" t="str">
        <f>IF(AND(Employee__2[[#This Row],[Education]]="Bachelors",Employee__2[[#This Row],[City]]="Pune"),"Yes","No")</f>
        <v>Yes</v>
      </c>
      <c r="P2056" s="1" t="str">
        <f>IF(OR(Employee__2[[#This Row],[Age]]&gt;=30,Employee__2[[#This Row],[Gender]]="Male"),"Mached","Not mached")</f>
        <v>Not mached</v>
      </c>
    </row>
    <row r="2057" spans="4:16" x14ac:dyDescent="0.25">
      <c r="D2057" s="6" t="s">
        <v>43</v>
      </c>
      <c r="E2057">
        <v>2016</v>
      </c>
      <c r="F2057" s="6" t="s">
        <v>35</v>
      </c>
      <c r="G2057">
        <v>3</v>
      </c>
      <c r="H2057">
        <v>29</v>
      </c>
      <c r="I2057" s="6" t="s">
        <v>39</v>
      </c>
      <c r="J2057" s="6" t="s">
        <v>37</v>
      </c>
      <c r="K2057">
        <v>1</v>
      </c>
      <c r="M2057" s="1" t="b">
        <f>Employee__2[[#This Row],[Experience]]&gt;1</f>
        <v>0</v>
      </c>
      <c r="N2057" s="1" t="str">
        <f>IF(Employee__2[[#This Row],[City]]="Pune","Yes","No")</f>
        <v>No</v>
      </c>
      <c r="O2057" s="1" t="str">
        <f>IF(AND(Employee__2[[#This Row],[Education]]="Bachelors",Employee__2[[#This Row],[City]]="Pune"),"Yes","No")</f>
        <v>No</v>
      </c>
      <c r="P2057" s="1" t="str">
        <f>IF(OR(Employee__2[[#This Row],[Age]]&gt;=30,Employee__2[[#This Row],[Gender]]="Male"),"Mached","Not mached")</f>
        <v>Not mached</v>
      </c>
    </row>
    <row r="2058" spans="4:16" x14ac:dyDescent="0.25">
      <c r="D2058" s="6" t="s">
        <v>41</v>
      </c>
      <c r="E2058">
        <v>2018</v>
      </c>
      <c r="F2058" s="6" t="s">
        <v>35</v>
      </c>
      <c r="G2058">
        <v>3</v>
      </c>
      <c r="H2058">
        <v>30</v>
      </c>
      <c r="I2058" s="6" t="s">
        <v>39</v>
      </c>
      <c r="J2058" s="6" t="s">
        <v>37</v>
      </c>
      <c r="K2058">
        <v>2</v>
      </c>
      <c r="M2058" s="1" t="b">
        <f>Employee__2[[#This Row],[Experience]]&gt;1</f>
        <v>1</v>
      </c>
      <c r="N2058" s="1" t="str">
        <f>IF(Employee__2[[#This Row],[City]]="Pune","Yes","No")</f>
        <v>No</v>
      </c>
      <c r="O2058" s="1" t="str">
        <f>IF(AND(Employee__2[[#This Row],[Education]]="Bachelors",Employee__2[[#This Row],[City]]="Pune"),"Yes","No")</f>
        <v>No</v>
      </c>
      <c r="P2058" s="1" t="str">
        <f>IF(OR(Employee__2[[#This Row],[Age]]&gt;=30,Employee__2[[#This Row],[Gender]]="Male"),"Mached","Not mached")</f>
        <v>Mached</v>
      </c>
    </row>
    <row r="2059" spans="4:16" x14ac:dyDescent="0.25">
      <c r="D2059" s="6" t="s">
        <v>34</v>
      </c>
      <c r="E2059">
        <v>2014</v>
      </c>
      <c r="F2059" s="6" t="s">
        <v>35</v>
      </c>
      <c r="G2059">
        <v>3</v>
      </c>
      <c r="H2059">
        <v>28</v>
      </c>
      <c r="I2059" s="6" t="s">
        <v>39</v>
      </c>
      <c r="J2059" s="6" t="s">
        <v>37</v>
      </c>
      <c r="K2059">
        <v>2</v>
      </c>
      <c r="M2059" s="1" t="b">
        <f>Employee__2[[#This Row],[Experience]]&gt;1</f>
        <v>1</v>
      </c>
      <c r="N2059" s="1" t="str">
        <f>IF(Employee__2[[#This Row],[City]]="Pune","Yes","No")</f>
        <v>No</v>
      </c>
      <c r="O2059" s="1" t="str">
        <f>IF(AND(Employee__2[[#This Row],[Education]]="Bachelors",Employee__2[[#This Row],[City]]="Pune"),"Yes","No")</f>
        <v>No</v>
      </c>
      <c r="P2059" s="1" t="str">
        <f>IF(OR(Employee__2[[#This Row],[Age]]&gt;=30,Employee__2[[#This Row],[Gender]]="Male"),"Mached","Not mached")</f>
        <v>Not mached</v>
      </c>
    </row>
    <row r="2060" spans="4:16" x14ac:dyDescent="0.25">
      <c r="D2060" s="6" t="s">
        <v>41</v>
      </c>
      <c r="E2060">
        <v>2017</v>
      </c>
      <c r="F2060" s="6" t="s">
        <v>40</v>
      </c>
      <c r="G2060">
        <v>2</v>
      </c>
      <c r="H2060">
        <v>30</v>
      </c>
      <c r="I2060" s="6" t="s">
        <v>36</v>
      </c>
      <c r="J2060" s="6" t="s">
        <v>37</v>
      </c>
      <c r="K2060">
        <v>2</v>
      </c>
      <c r="M2060" s="1" t="b">
        <f>Employee__2[[#This Row],[Experience]]&gt;1</f>
        <v>1</v>
      </c>
      <c r="N2060" s="1" t="str">
        <f>IF(Employee__2[[#This Row],[City]]="Pune","Yes","No")</f>
        <v>No</v>
      </c>
      <c r="O2060" s="1" t="str">
        <f>IF(AND(Employee__2[[#This Row],[Education]]="Bachelors",Employee__2[[#This Row],[City]]="Pune"),"Yes","No")</f>
        <v>No</v>
      </c>
      <c r="P2060" s="1" t="str">
        <f>IF(OR(Employee__2[[#This Row],[Age]]&gt;=30,Employee__2[[#This Row],[Gender]]="Male"),"Mached","Not mached")</f>
        <v>Mached</v>
      </c>
    </row>
    <row r="2061" spans="4:16" x14ac:dyDescent="0.25">
      <c r="D2061" s="6" t="s">
        <v>34</v>
      </c>
      <c r="E2061">
        <v>2012</v>
      </c>
      <c r="F2061" s="6" t="s">
        <v>35</v>
      </c>
      <c r="G2061">
        <v>3</v>
      </c>
      <c r="H2061">
        <v>30</v>
      </c>
      <c r="I2061" s="6" t="s">
        <v>36</v>
      </c>
      <c r="J2061" s="6" t="s">
        <v>37</v>
      </c>
      <c r="K2061">
        <v>1</v>
      </c>
      <c r="M2061" s="1" t="b">
        <f>Employee__2[[#This Row],[Experience]]&gt;1</f>
        <v>0</v>
      </c>
      <c r="N2061" s="1" t="str">
        <f>IF(Employee__2[[#This Row],[City]]="Pune","Yes","No")</f>
        <v>No</v>
      </c>
      <c r="O2061" s="1" t="str">
        <f>IF(AND(Employee__2[[#This Row],[Education]]="Bachelors",Employee__2[[#This Row],[City]]="Pune"),"Yes","No")</f>
        <v>No</v>
      </c>
      <c r="P2061" s="1" t="str">
        <f>IF(OR(Employee__2[[#This Row],[Age]]&gt;=30,Employee__2[[#This Row],[Gender]]="Male"),"Mached","Not mached")</f>
        <v>Mached</v>
      </c>
    </row>
    <row r="2062" spans="4:16" x14ac:dyDescent="0.25">
      <c r="D2062" s="6" t="s">
        <v>41</v>
      </c>
      <c r="E2062">
        <v>2017</v>
      </c>
      <c r="F2062" s="6" t="s">
        <v>40</v>
      </c>
      <c r="G2062">
        <v>2</v>
      </c>
      <c r="H2062">
        <v>30</v>
      </c>
      <c r="I2062" s="6" t="s">
        <v>36</v>
      </c>
      <c r="J2062" s="6" t="s">
        <v>37</v>
      </c>
      <c r="K2062">
        <v>2</v>
      </c>
      <c r="M2062" s="1" t="b">
        <f>Employee__2[[#This Row],[Experience]]&gt;1</f>
        <v>1</v>
      </c>
      <c r="N2062" s="1" t="str">
        <f>IF(Employee__2[[#This Row],[City]]="Pune","Yes","No")</f>
        <v>No</v>
      </c>
      <c r="O2062" s="1" t="str">
        <f>IF(AND(Employee__2[[#This Row],[Education]]="Bachelors",Employee__2[[#This Row],[City]]="Pune"),"Yes","No")</f>
        <v>No</v>
      </c>
      <c r="P2062" s="1" t="str">
        <f>IF(OR(Employee__2[[#This Row],[Age]]&gt;=30,Employee__2[[#This Row],[Gender]]="Male"),"Mached","Not mached")</f>
        <v>Mached</v>
      </c>
    </row>
    <row r="2063" spans="4:16" x14ac:dyDescent="0.25">
      <c r="D2063" s="6" t="s">
        <v>34</v>
      </c>
      <c r="E2063">
        <v>2017</v>
      </c>
      <c r="F2063" s="6" t="s">
        <v>40</v>
      </c>
      <c r="G2063">
        <v>3</v>
      </c>
      <c r="H2063">
        <v>26</v>
      </c>
      <c r="I2063" s="6" t="s">
        <v>36</v>
      </c>
      <c r="J2063" s="6" t="s">
        <v>37</v>
      </c>
      <c r="K2063">
        <v>4</v>
      </c>
      <c r="M2063" s="1" t="b">
        <f>Employee__2[[#This Row],[Experience]]&gt;1</f>
        <v>1</v>
      </c>
      <c r="N2063" s="1" t="str">
        <f>IF(Employee__2[[#This Row],[City]]="Pune","Yes","No")</f>
        <v>No</v>
      </c>
      <c r="O2063" s="1" t="str">
        <f>IF(AND(Employee__2[[#This Row],[Education]]="Bachelors",Employee__2[[#This Row],[City]]="Pune"),"Yes","No")</f>
        <v>No</v>
      </c>
      <c r="P2063" s="1" t="str">
        <f>IF(OR(Employee__2[[#This Row],[Age]]&gt;=30,Employee__2[[#This Row],[Gender]]="Male"),"Mached","Not mached")</f>
        <v>Mached</v>
      </c>
    </row>
    <row r="2064" spans="4:16" x14ac:dyDescent="0.25">
      <c r="D2064" s="6" t="s">
        <v>34</v>
      </c>
      <c r="E2064">
        <v>2017</v>
      </c>
      <c r="F2064" s="6" t="s">
        <v>35</v>
      </c>
      <c r="G2064">
        <v>3</v>
      </c>
      <c r="H2064">
        <v>28</v>
      </c>
      <c r="I2064" s="6" t="s">
        <v>39</v>
      </c>
      <c r="J2064" s="6" t="s">
        <v>37</v>
      </c>
      <c r="K2064">
        <v>2</v>
      </c>
      <c r="M2064" s="1" t="b">
        <f>Employee__2[[#This Row],[Experience]]&gt;1</f>
        <v>1</v>
      </c>
      <c r="N2064" s="1" t="str">
        <f>IF(Employee__2[[#This Row],[City]]="Pune","Yes","No")</f>
        <v>No</v>
      </c>
      <c r="O2064" s="1" t="str">
        <f>IF(AND(Employee__2[[#This Row],[Education]]="Bachelors",Employee__2[[#This Row],[City]]="Pune"),"Yes","No")</f>
        <v>No</v>
      </c>
      <c r="P2064" s="1" t="str">
        <f>IF(OR(Employee__2[[#This Row],[Age]]&gt;=30,Employee__2[[#This Row],[Gender]]="Male"),"Mached","Not mached")</f>
        <v>Not mached</v>
      </c>
    </row>
    <row r="2065" spans="4:16" x14ac:dyDescent="0.25">
      <c r="D2065" s="6" t="s">
        <v>41</v>
      </c>
      <c r="E2065">
        <v>2013</v>
      </c>
      <c r="F2065" s="6" t="s">
        <v>40</v>
      </c>
      <c r="G2065">
        <v>3</v>
      </c>
      <c r="H2065">
        <v>26</v>
      </c>
      <c r="I2065" s="6" t="s">
        <v>39</v>
      </c>
      <c r="J2065" s="6" t="s">
        <v>37</v>
      </c>
      <c r="K2065">
        <v>4</v>
      </c>
      <c r="M2065" s="1" t="b">
        <f>Employee__2[[#This Row],[Experience]]&gt;1</f>
        <v>1</v>
      </c>
      <c r="N2065" s="1" t="str">
        <f>IF(Employee__2[[#This Row],[City]]="Pune","Yes","No")</f>
        <v>No</v>
      </c>
      <c r="O2065" s="1" t="str">
        <f>IF(AND(Employee__2[[#This Row],[Education]]="Bachelors",Employee__2[[#This Row],[City]]="Pune"),"Yes","No")</f>
        <v>No</v>
      </c>
      <c r="P2065" s="1" t="str">
        <f>IF(OR(Employee__2[[#This Row],[Age]]&gt;=30,Employee__2[[#This Row],[Gender]]="Male"),"Mached","Not mached")</f>
        <v>Not mached</v>
      </c>
    </row>
    <row r="2066" spans="4:16" x14ac:dyDescent="0.25">
      <c r="D2066" s="6" t="s">
        <v>43</v>
      </c>
      <c r="E2066">
        <v>2015</v>
      </c>
      <c r="F2066" s="6" t="s">
        <v>40</v>
      </c>
      <c r="G2066">
        <v>1</v>
      </c>
      <c r="H2066">
        <v>29</v>
      </c>
      <c r="I2066" s="6" t="s">
        <v>36</v>
      </c>
      <c r="J2066" s="6" t="s">
        <v>37</v>
      </c>
      <c r="K2066">
        <v>2</v>
      </c>
      <c r="M2066" s="1" t="b">
        <f>Employee__2[[#This Row],[Experience]]&gt;1</f>
        <v>1</v>
      </c>
      <c r="N2066" s="1" t="str">
        <f>IF(Employee__2[[#This Row],[City]]="Pune","Yes","No")</f>
        <v>No</v>
      </c>
      <c r="O2066" s="1" t="str">
        <f>IF(AND(Employee__2[[#This Row],[Education]]="Bachelors",Employee__2[[#This Row],[City]]="Pune"),"Yes","No")</f>
        <v>No</v>
      </c>
      <c r="P2066" s="1" t="str">
        <f>IF(OR(Employee__2[[#This Row],[Age]]&gt;=30,Employee__2[[#This Row],[Gender]]="Male"),"Mached","Not mached")</f>
        <v>Mached</v>
      </c>
    </row>
    <row r="2067" spans="4:16" x14ac:dyDescent="0.25">
      <c r="D2067" s="6" t="s">
        <v>41</v>
      </c>
      <c r="E2067">
        <v>2017</v>
      </c>
      <c r="F2067" s="6" t="s">
        <v>40</v>
      </c>
      <c r="G2067">
        <v>2</v>
      </c>
      <c r="H2067">
        <v>27</v>
      </c>
      <c r="I2067" s="6" t="s">
        <v>39</v>
      </c>
      <c r="J2067" s="6" t="s">
        <v>37</v>
      </c>
      <c r="K2067">
        <v>5</v>
      </c>
      <c r="M2067" s="1" t="b">
        <f>Employee__2[[#This Row],[Experience]]&gt;1</f>
        <v>1</v>
      </c>
      <c r="N2067" s="1" t="str">
        <f>IF(Employee__2[[#This Row],[City]]="Pune","Yes","No")</f>
        <v>No</v>
      </c>
      <c r="O2067" s="1" t="str">
        <f>IF(AND(Employee__2[[#This Row],[Education]]="Bachelors",Employee__2[[#This Row],[City]]="Pune"),"Yes","No")</f>
        <v>No</v>
      </c>
      <c r="P2067" s="1" t="str">
        <f>IF(OR(Employee__2[[#This Row],[Age]]&gt;=30,Employee__2[[#This Row],[Gender]]="Male"),"Mached","Not mached")</f>
        <v>Not mached</v>
      </c>
    </row>
    <row r="2068" spans="4:16" x14ac:dyDescent="0.25">
      <c r="D2068" s="6" t="s">
        <v>34</v>
      </c>
      <c r="E2068">
        <v>2016</v>
      </c>
      <c r="F2068" s="6" t="s">
        <v>38</v>
      </c>
      <c r="G2068">
        <v>3</v>
      </c>
      <c r="H2068">
        <v>30</v>
      </c>
      <c r="I2068" s="6" t="s">
        <v>36</v>
      </c>
      <c r="J2068" s="6" t="s">
        <v>37</v>
      </c>
      <c r="K2068">
        <v>1</v>
      </c>
      <c r="M2068" s="1" t="b">
        <f>Employee__2[[#This Row],[Experience]]&gt;1</f>
        <v>0</v>
      </c>
      <c r="N2068" s="1" t="str">
        <f>IF(Employee__2[[#This Row],[City]]="Pune","Yes","No")</f>
        <v>Yes</v>
      </c>
      <c r="O2068" s="1" t="str">
        <f>IF(AND(Employee__2[[#This Row],[Education]]="Bachelors",Employee__2[[#This Row],[City]]="Pune"),"Yes","No")</f>
        <v>Yes</v>
      </c>
      <c r="P2068" s="1" t="str">
        <f>IF(OR(Employee__2[[#This Row],[Age]]&gt;=30,Employee__2[[#This Row],[Gender]]="Male"),"Mached","Not mached")</f>
        <v>Mached</v>
      </c>
    </row>
    <row r="2069" spans="4:16" x14ac:dyDescent="0.25">
      <c r="D2069" s="6" t="s">
        <v>34</v>
      </c>
      <c r="E2069">
        <v>2012</v>
      </c>
      <c r="F2069" s="6" t="s">
        <v>35</v>
      </c>
      <c r="G2069">
        <v>3</v>
      </c>
      <c r="H2069">
        <v>26</v>
      </c>
      <c r="I2069" s="6" t="s">
        <v>36</v>
      </c>
      <c r="J2069" s="6" t="s">
        <v>37</v>
      </c>
      <c r="K2069">
        <v>4</v>
      </c>
      <c r="M2069" s="1" t="b">
        <f>Employee__2[[#This Row],[Experience]]&gt;1</f>
        <v>1</v>
      </c>
      <c r="N2069" s="1" t="str">
        <f>IF(Employee__2[[#This Row],[City]]="Pune","Yes","No")</f>
        <v>No</v>
      </c>
      <c r="O2069" s="1" t="str">
        <f>IF(AND(Employee__2[[#This Row],[Education]]="Bachelors",Employee__2[[#This Row],[City]]="Pune"),"Yes","No")</f>
        <v>No</v>
      </c>
      <c r="P2069" s="1" t="str">
        <f>IF(OR(Employee__2[[#This Row],[Age]]&gt;=30,Employee__2[[#This Row],[Gender]]="Male"),"Mached","Not mached")</f>
        <v>Mached</v>
      </c>
    </row>
    <row r="2070" spans="4:16" x14ac:dyDescent="0.25">
      <c r="D2070" s="6" t="s">
        <v>34</v>
      </c>
      <c r="E2070">
        <v>2014</v>
      </c>
      <c r="F2070" s="6" t="s">
        <v>38</v>
      </c>
      <c r="G2070">
        <v>2</v>
      </c>
      <c r="H2070">
        <v>29</v>
      </c>
      <c r="I2070" s="6" t="s">
        <v>39</v>
      </c>
      <c r="J2070" s="6" t="s">
        <v>37</v>
      </c>
      <c r="K2070">
        <v>2</v>
      </c>
      <c r="M2070" s="1" t="b">
        <f>Employee__2[[#This Row],[Experience]]&gt;1</f>
        <v>1</v>
      </c>
      <c r="N2070" s="1" t="str">
        <f>IF(Employee__2[[#This Row],[City]]="Pune","Yes","No")</f>
        <v>Yes</v>
      </c>
      <c r="O2070" s="1" t="str">
        <f>IF(AND(Employee__2[[#This Row],[Education]]="Bachelors",Employee__2[[#This Row],[City]]="Pune"),"Yes","No")</f>
        <v>Yes</v>
      </c>
      <c r="P2070" s="1" t="str">
        <f>IF(OR(Employee__2[[#This Row],[Age]]&gt;=30,Employee__2[[#This Row],[Gender]]="Male"),"Mached","Not mached")</f>
        <v>Not mached</v>
      </c>
    </row>
    <row r="2071" spans="4:16" x14ac:dyDescent="0.25">
      <c r="D2071" s="6" t="s">
        <v>34</v>
      </c>
      <c r="E2071">
        <v>2016</v>
      </c>
      <c r="F2071" s="6" t="s">
        <v>35</v>
      </c>
      <c r="G2071">
        <v>3</v>
      </c>
      <c r="H2071">
        <v>30</v>
      </c>
      <c r="I2071" s="6" t="s">
        <v>36</v>
      </c>
      <c r="J2071" s="6" t="s">
        <v>37</v>
      </c>
      <c r="K2071">
        <v>2</v>
      </c>
      <c r="M2071" s="1" t="b">
        <f>Employee__2[[#This Row],[Experience]]&gt;1</f>
        <v>1</v>
      </c>
      <c r="N2071" s="1" t="str">
        <f>IF(Employee__2[[#This Row],[City]]="Pune","Yes","No")</f>
        <v>No</v>
      </c>
      <c r="O2071" s="1" t="str">
        <f>IF(AND(Employee__2[[#This Row],[Education]]="Bachelors",Employee__2[[#This Row],[City]]="Pune"),"Yes","No")</f>
        <v>No</v>
      </c>
      <c r="P2071" s="1" t="str">
        <f>IF(OR(Employee__2[[#This Row],[Age]]&gt;=30,Employee__2[[#This Row],[Gender]]="Male"),"Mached","Not mached")</f>
        <v>Mached</v>
      </c>
    </row>
    <row r="2072" spans="4:16" x14ac:dyDescent="0.25">
      <c r="D2072" s="6" t="s">
        <v>34</v>
      </c>
      <c r="E2072">
        <v>2013</v>
      </c>
      <c r="F2072" s="6" t="s">
        <v>35</v>
      </c>
      <c r="G2072">
        <v>3</v>
      </c>
      <c r="H2072">
        <v>27</v>
      </c>
      <c r="I2072" s="6" t="s">
        <v>39</v>
      </c>
      <c r="J2072" s="6" t="s">
        <v>37</v>
      </c>
      <c r="K2072">
        <v>5</v>
      </c>
      <c r="M2072" s="1" t="b">
        <f>Employee__2[[#This Row],[Experience]]&gt;1</f>
        <v>1</v>
      </c>
      <c r="N2072" s="1" t="str">
        <f>IF(Employee__2[[#This Row],[City]]="Pune","Yes","No")</f>
        <v>No</v>
      </c>
      <c r="O2072" s="1" t="str">
        <f>IF(AND(Employee__2[[#This Row],[Education]]="Bachelors",Employee__2[[#This Row],[City]]="Pune"),"Yes","No")</f>
        <v>No</v>
      </c>
      <c r="P2072" s="1" t="str">
        <f>IF(OR(Employee__2[[#This Row],[Age]]&gt;=30,Employee__2[[#This Row],[Gender]]="Male"),"Mached","Not mached")</f>
        <v>Not mached</v>
      </c>
    </row>
    <row r="2073" spans="4:16" x14ac:dyDescent="0.25">
      <c r="D2073" s="6" t="s">
        <v>43</v>
      </c>
      <c r="E2073">
        <v>2015</v>
      </c>
      <c r="F2073" s="6" t="s">
        <v>40</v>
      </c>
      <c r="G2073">
        <v>2</v>
      </c>
      <c r="H2073">
        <v>29</v>
      </c>
      <c r="I2073" s="6" t="s">
        <v>39</v>
      </c>
      <c r="J2073" s="6" t="s">
        <v>42</v>
      </c>
      <c r="K2073">
        <v>1</v>
      </c>
      <c r="M2073" s="1" t="b">
        <f>Employee__2[[#This Row],[Experience]]&gt;1</f>
        <v>0</v>
      </c>
      <c r="N2073" s="1" t="str">
        <f>IF(Employee__2[[#This Row],[City]]="Pune","Yes","No")</f>
        <v>No</v>
      </c>
      <c r="O2073" s="1" t="str">
        <f>IF(AND(Employee__2[[#This Row],[Education]]="Bachelors",Employee__2[[#This Row],[City]]="Pune"),"Yes","No")</f>
        <v>No</v>
      </c>
      <c r="P2073" s="1" t="str">
        <f>IF(OR(Employee__2[[#This Row],[Age]]&gt;=30,Employee__2[[#This Row],[Gender]]="Male"),"Mached","Not mached")</f>
        <v>Not mached</v>
      </c>
    </row>
    <row r="2074" spans="4:16" x14ac:dyDescent="0.25">
      <c r="D2074" s="6" t="s">
        <v>34</v>
      </c>
      <c r="E2074">
        <v>2012</v>
      </c>
      <c r="F2074" s="6" t="s">
        <v>35</v>
      </c>
      <c r="G2074">
        <v>3</v>
      </c>
      <c r="H2074">
        <v>27</v>
      </c>
      <c r="I2074" s="6" t="s">
        <v>36</v>
      </c>
      <c r="J2074" s="6" t="s">
        <v>37</v>
      </c>
      <c r="K2074">
        <v>5</v>
      </c>
      <c r="M2074" s="1" t="b">
        <f>Employee__2[[#This Row],[Experience]]&gt;1</f>
        <v>1</v>
      </c>
      <c r="N2074" s="1" t="str">
        <f>IF(Employee__2[[#This Row],[City]]="Pune","Yes","No")</f>
        <v>No</v>
      </c>
      <c r="O2074" s="1" t="str">
        <f>IF(AND(Employee__2[[#This Row],[Education]]="Bachelors",Employee__2[[#This Row],[City]]="Pune"),"Yes","No")</f>
        <v>No</v>
      </c>
      <c r="P2074" s="1" t="str">
        <f>IF(OR(Employee__2[[#This Row],[Age]]&gt;=30,Employee__2[[#This Row],[Gender]]="Male"),"Mached","Not mached")</f>
        <v>Mached</v>
      </c>
    </row>
    <row r="2075" spans="4:16" x14ac:dyDescent="0.25">
      <c r="D2075" s="6" t="s">
        <v>34</v>
      </c>
      <c r="E2075">
        <v>2018</v>
      </c>
      <c r="F2075" s="6" t="s">
        <v>35</v>
      </c>
      <c r="G2075">
        <v>3</v>
      </c>
      <c r="H2075">
        <v>30</v>
      </c>
      <c r="I2075" s="6" t="s">
        <v>36</v>
      </c>
      <c r="J2075" s="6" t="s">
        <v>37</v>
      </c>
      <c r="K2075">
        <v>2</v>
      </c>
      <c r="M2075" s="1" t="b">
        <f>Employee__2[[#This Row],[Experience]]&gt;1</f>
        <v>1</v>
      </c>
      <c r="N2075" s="1" t="str">
        <f>IF(Employee__2[[#This Row],[City]]="Pune","Yes","No")</f>
        <v>No</v>
      </c>
      <c r="O2075" s="1" t="str">
        <f>IF(AND(Employee__2[[#This Row],[Education]]="Bachelors",Employee__2[[#This Row],[City]]="Pune"),"Yes","No")</f>
        <v>No</v>
      </c>
      <c r="P2075" s="1" t="str">
        <f>IF(OR(Employee__2[[#This Row],[Age]]&gt;=30,Employee__2[[#This Row],[Gender]]="Male"),"Mached","Not mached")</f>
        <v>Mached</v>
      </c>
    </row>
    <row r="2076" spans="4:16" x14ac:dyDescent="0.25">
      <c r="D2076" s="6" t="s">
        <v>41</v>
      </c>
      <c r="E2076">
        <v>2017</v>
      </c>
      <c r="F2076" s="6" t="s">
        <v>38</v>
      </c>
      <c r="G2076">
        <v>2</v>
      </c>
      <c r="H2076">
        <v>29</v>
      </c>
      <c r="I2076" s="6" t="s">
        <v>39</v>
      </c>
      <c r="J2076" s="6" t="s">
        <v>37</v>
      </c>
      <c r="K2076">
        <v>2</v>
      </c>
      <c r="M2076" s="1" t="b">
        <f>Employee__2[[#This Row],[Experience]]&gt;1</f>
        <v>1</v>
      </c>
      <c r="N2076" s="1" t="str">
        <f>IF(Employee__2[[#This Row],[City]]="Pune","Yes","No")</f>
        <v>Yes</v>
      </c>
      <c r="O2076" s="1" t="str">
        <f>IF(AND(Employee__2[[#This Row],[Education]]="Bachelors",Employee__2[[#This Row],[City]]="Pune"),"Yes","No")</f>
        <v>No</v>
      </c>
      <c r="P2076" s="1" t="str">
        <f>IF(OR(Employee__2[[#This Row],[Age]]&gt;=30,Employee__2[[#This Row],[Gender]]="Male"),"Mached","Not mached")</f>
        <v>Not mached</v>
      </c>
    </row>
    <row r="2077" spans="4:16" x14ac:dyDescent="0.25">
      <c r="D2077" s="6" t="s">
        <v>41</v>
      </c>
      <c r="E2077">
        <v>2016</v>
      </c>
      <c r="F2077" s="6" t="s">
        <v>35</v>
      </c>
      <c r="G2077">
        <v>3</v>
      </c>
      <c r="H2077">
        <v>29</v>
      </c>
      <c r="I2077" s="6" t="s">
        <v>39</v>
      </c>
      <c r="J2077" s="6" t="s">
        <v>37</v>
      </c>
      <c r="K2077">
        <v>2</v>
      </c>
      <c r="M2077" s="1" t="b">
        <f>Employee__2[[#This Row],[Experience]]&gt;1</f>
        <v>1</v>
      </c>
      <c r="N2077" s="1" t="str">
        <f>IF(Employee__2[[#This Row],[City]]="Pune","Yes","No")</f>
        <v>No</v>
      </c>
      <c r="O2077" s="1" t="str">
        <f>IF(AND(Employee__2[[#This Row],[Education]]="Bachelors",Employee__2[[#This Row],[City]]="Pune"),"Yes","No")</f>
        <v>No</v>
      </c>
      <c r="P2077" s="1" t="str">
        <f>IF(OR(Employee__2[[#This Row],[Age]]&gt;=30,Employee__2[[#This Row],[Gender]]="Male"),"Mached","Not mached")</f>
        <v>Not mached</v>
      </c>
    </row>
    <row r="2078" spans="4:16" x14ac:dyDescent="0.25">
      <c r="D2078" s="6" t="s">
        <v>34</v>
      </c>
      <c r="E2078">
        <v>2017</v>
      </c>
      <c r="F2078" s="6" t="s">
        <v>35</v>
      </c>
      <c r="G2078">
        <v>3</v>
      </c>
      <c r="H2078">
        <v>27</v>
      </c>
      <c r="I2078" s="6" t="s">
        <v>39</v>
      </c>
      <c r="J2078" s="6" t="s">
        <v>37</v>
      </c>
      <c r="K2078">
        <v>5</v>
      </c>
      <c r="M2078" s="1" t="b">
        <f>Employee__2[[#This Row],[Experience]]&gt;1</f>
        <v>1</v>
      </c>
      <c r="N2078" s="1" t="str">
        <f>IF(Employee__2[[#This Row],[City]]="Pune","Yes","No")</f>
        <v>No</v>
      </c>
      <c r="O2078" s="1" t="str">
        <f>IF(AND(Employee__2[[#This Row],[Education]]="Bachelors",Employee__2[[#This Row],[City]]="Pune"),"Yes","No")</f>
        <v>No</v>
      </c>
      <c r="P2078" s="1" t="str">
        <f>IF(OR(Employee__2[[#This Row],[Age]]&gt;=30,Employee__2[[#This Row],[Gender]]="Male"),"Mached","Not mached")</f>
        <v>Not mached</v>
      </c>
    </row>
    <row r="2079" spans="4:16" x14ac:dyDescent="0.25">
      <c r="D2079" s="6" t="s">
        <v>34</v>
      </c>
      <c r="E2079">
        <v>2017</v>
      </c>
      <c r="F2079" s="6" t="s">
        <v>35</v>
      </c>
      <c r="G2079">
        <v>3</v>
      </c>
      <c r="H2079">
        <v>28</v>
      </c>
      <c r="I2079" s="6" t="s">
        <v>36</v>
      </c>
      <c r="J2079" s="6" t="s">
        <v>37</v>
      </c>
      <c r="K2079">
        <v>2</v>
      </c>
      <c r="M2079" s="1" t="b">
        <f>Employee__2[[#This Row],[Experience]]&gt;1</f>
        <v>1</v>
      </c>
      <c r="N2079" s="1" t="str">
        <f>IF(Employee__2[[#This Row],[City]]="Pune","Yes","No")</f>
        <v>No</v>
      </c>
      <c r="O2079" s="1" t="str">
        <f>IF(AND(Employee__2[[#This Row],[Education]]="Bachelors",Employee__2[[#This Row],[City]]="Pune"),"Yes","No")</f>
        <v>No</v>
      </c>
      <c r="P2079" s="1" t="str">
        <f>IF(OR(Employee__2[[#This Row],[Age]]&gt;=30,Employee__2[[#This Row],[Gender]]="Male"),"Mached","Not mached")</f>
        <v>Mached</v>
      </c>
    </row>
    <row r="2080" spans="4:16" x14ac:dyDescent="0.25">
      <c r="D2080" s="6" t="s">
        <v>34</v>
      </c>
      <c r="E2080">
        <v>2017</v>
      </c>
      <c r="F2080" s="6" t="s">
        <v>35</v>
      </c>
      <c r="G2080">
        <v>3</v>
      </c>
      <c r="H2080">
        <v>27</v>
      </c>
      <c r="I2080" s="6" t="s">
        <v>39</v>
      </c>
      <c r="J2080" s="6" t="s">
        <v>37</v>
      </c>
      <c r="K2080">
        <v>5</v>
      </c>
      <c r="M2080" s="1" t="b">
        <f>Employee__2[[#This Row],[Experience]]&gt;1</f>
        <v>1</v>
      </c>
      <c r="N2080" s="1" t="str">
        <f>IF(Employee__2[[#This Row],[City]]="Pune","Yes","No")</f>
        <v>No</v>
      </c>
      <c r="O2080" s="1" t="str">
        <f>IF(AND(Employee__2[[#This Row],[Education]]="Bachelors",Employee__2[[#This Row],[City]]="Pune"),"Yes","No")</f>
        <v>No</v>
      </c>
      <c r="P2080" s="1" t="str">
        <f>IF(OR(Employee__2[[#This Row],[Age]]&gt;=30,Employee__2[[#This Row],[Gender]]="Male"),"Mached","Not mached")</f>
        <v>Not mached</v>
      </c>
    </row>
    <row r="2081" spans="4:16" x14ac:dyDescent="0.25">
      <c r="D2081" s="6" t="s">
        <v>34</v>
      </c>
      <c r="E2081">
        <v>2012</v>
      </c>
      <c r="F2081" s="6" t="s">
        <v>40</v>
      </c>
      <c r="G2081">
        <v>3</v>
      </c>
      <c r="H2081">
        <v>29</v>
      </c>
      <c r="I2081" s="6" t="s">
        <v>36</v>
      </c>
      <c r="J2081" s="6" t="s">
        <v>37</v>
      </c>
      <c r="K2081">
        <v>1</v>
      </c>
      <c r="M2081" s="1" t="b">
        <f>Employee__2[[#This Row],[Experience]]&gt;1</f>
        <v>0</v>
      </c>
      <c r="N2081" s="1" t="str">
        <f>IF(Employee__2[[#This Row],[City]]="Pune","Yes","No")</f>
        <v>No</v>
      </c>
      <c r="O2081" s="1" t="str">
        <f>IF(AND(Employee__2[[#This Row],[Education]]="Bachelors",Employee__2[[#This Row],[City]]="Pune"),"Yes","No")</f>
        <v>No</v>
      </c>
      <c r="P2081" s="1" t="str">
        <f>IF(OR(Employee__2[[#This Row],[Age]]&gt;=30,Employee__2[[#This Row],[Gender]]="Male"),"Mached","Not mached")</f>
        <v>Mached</v>
      </c>
    </row>
    <row r="2082" spans="4:16" x14ac:dyDescent="0.25">
      <c r="D2082" s="6" t="s">
        <v>34</v>
      </c>
      <c r="E2082">
        <v>2017</v>
      </c>
      <c r="F2082" s="6" t="s">
        <v>35</v>
      </c>
      <c r="G2082">
        <v>3</v>
      </c>
      <c r="H2082">
        <v>26</v>
      </c>
      <c r="I2082" s="6" t="s">
        <v>36</v>
      </c>
      <c r="J2082" s="6" t="s">
        <v>37</v>
      </c>
      <c r="K2082">
        <v>4</v>
      </c>
      <c r="M2082" s="1" t="b">
        <f>Employee__2[[#This Row],[Experience]]&gt;1</f>
        <v>1</v>
      </c>
      <c r="N2082" s="1" t="str">
        <f>IF(Employee__2[[#This Row],[City]]="Pune","Yes","No")</f>
        <v>No</v>
      </c>
      <c r="O2082" s="1" t="str">
        <f>IF(AND(Employee__2[[#This Row],[Education]]="Bachelors",Employee__2[[#This Row],[City]]="Pune"),"Yes","No")</f>
        <v>No</v>
      </c>
      <c r="P2082" s="1" t="str">
        <f>IF(OR(Employee__2[[#This Row],[Age]]&gt;=30,Employee__2[[#This Row],[Gender]]="Male"),"Mached","Not mached")</f>
        <v>Mached</v>
      </c>
    </row>
    <row r="2083" spans="4:16" x14ac:dyDescent="0.25">
      <c r="D2083" s="6" t="s">
        <v>34</v>
      </c>
      <c r="E2083">
        <v>2013</v>
      </c>
      <c r="F2083" s="6" t="s">
        <v>35</v>
      </c>
      <c r="G2083">
        <v>3</v>
      </c>
      <c r="H2083">
        <v>28</v>
      </c>
      <c r="I2083" s="6" t="s">
        <v>39</v>
      </c>
      <c r="J2083" s="6" t="s">
        <v>37</v>
      </c>
      <c r="K2083">
        <v>1</v>
      </c>
      <c r="M2083" s="1" t="b">
        <f>Employee__2[[#This Row],[Experience]]&gt;1</f>
        <v>0</v>
      </c>
      <c r="N2083" s="1" t="str">
        <f>IF(Employee__2[[#This Row],[City]]="Pune","Yes","No")</f>
        <v>No</v>
      </c>
      <c r="O2083" s="1" t="str">
        <f>IF(AND(Employee__2[[#This Row],[Education]]="Bachelors",Employee__2[[#This Row],[City]]="Pune"),"Yes","No")</f>
        <v>No</v>
      </c>
      <c r="P2083" s="1" t="str">
        <f>IF(OR(Employee__2[[#This Row],[Age]]&gt;=30,Employee__2[[#This Row],[Gender]]="Male"),"Mached","Not mached")</f>
        <v>Not mached</v>
      </c>
    </row>
    <row r="2084" spans="4:16" x14ac:dyDescent="0.25">
      <c r="D2084" s="6" t="s">
        <v>34</v>
      </c>
      <c r="E2084">
        <v>2013</v>
      </c>
      <c r="F2084" s="6" t="s">
        <v>38</v>
      </c>
      <c r="G2084">
        <v>2</v>
      </c>
      <c r="H2084">
        <v>29</v>
      </c>
      <c r="I2084" s="6" t="s">
        <v>39</v>
      </c>
      <c r="J2084" s="6" t="s">
        <v>37</v>
      </c>
      <c r="K2084">
        <v>1</v>
      </c>
      <c r="M2084" s="1" t="b">
        <f>Employee__2[[#This Row],[Experience]]&gt;1</f>
        <v>0</v>
      </c>
      <c r="N2084" s="1" t="str">
        <f>IF(Employee__2[[#This Row],[City]]="Pune","Yes","No")</f>
        <v>Yes</v>
      </c>
      <c r="O2084" s="1" t="str">
        <f>IF(AND(Employee__2[[#This Row],[Education]]="Bachelors",Employee__2[[#This Row],[City]]="Pune"),"Yes","No")</f>
        <v>Yes</v>
      </c>
      <c r="P2084" s="1" t="str">
        <f>IF(OR(Employee__2[[#This Row],[Age]]&gt;=30,Employee__2[[#This Row],[Gender]]="Male"),"Mached","Not mached")</f>
        <v>Not mached</v>
      </c>
    </row>
    <row r="2085" spans="4:16" x14ac:dyDescent="0.25">
      <c r="D2085" s="6" t="s">
        <v>34</v>
      </c>
      <c r="E2085">
        <v>2015</v>
      </c>
      <c r="F2085" s="6" t="s">
        <v>35</v>
      </c>
      <c r="G2085">
        <v>1</v>
      </c>
      <c r="H2085">
        <v>27</v>
      </c>
      <c r="I2085" s="6" t="s">
        <v>36</v>
      </c>
      <c r="J2085" s="6" t="s">
        <v>37</v>
      </c>
      <c r="K2085">
        <v>5</v>
      </c>
      <c r="M2085" s="1" t="b">
        <f>Employee__2[[#This Row],[Experience]]&gt;1</f>
        <v>1</v>
      </c>
      <c r="N2085" s="1" t="str">
        <f>IF(Employee__2[[#This Row],[City]]="Pune","Yes","No")</f>
        <v>No</v>
      </c>
      <c r="O2085" s="1" t="str">
        <f>IF(AND(Employee__2[[#This Row],[Education]]="Bachelors",Employee__2[[#This Row],[City]]="Pune"),"Yes","No")</f>
        <v>No</v>
      </c>
      <c r="P2085" s="1" t="str">
        <f>IF(OR(Employee__2[[#This Row],[Age]]&gt;=30,Employee__2[[#This Row],[Gender]]="Male"),"Mached","Not mached")</f>
        <v>Mached</v>
      </c>
    </row>
    <row r="2086" spans="4:16" x14ac:dyDescent="0.25">
      <c r="D2086" s="6" t="s">
        <v>34</v>
      </c>
      <c r="E2086">
        <v>2016</v>
      </c>
      <c r="F2086" s="6" t="s">
        <v>35</v>
      </c>
      <c r="G2086">
        <v>3</v>
      </c>
      <c r="H2086">
        <v>30</v>
      </c>
      <c r="I2086" s="6" t="s">
        <v>36</v>
      </c>
      <c r="J2086" s="6" t="s">
        <v>37</v>
      </c>
      <c r="K2086">
        <v>1</v>
      </c>
      <c r="M2086" s="1" t="b">
        <f>Employee__2[[#This Row],[Experience]]&gt;1</f>
        <v>0</v>
      </c>
      <c r="N2086" s="1" t="str">
        <f>IF(Employee__2[[#This Row],[City]]="Pune","Yes","No")</f>
        <v>No</v>
      </c>
      <c r="O2086" s="1" t="str">
        <f>IF(AND(Employee__2[[#This Row],[Education]]="Bachelors",Employee__2[[#This Row],[City]]="Pune"),"Yes","No")</f>
        <v>No</v>
      </c>
      <c r="P2086" s="1" t="str">
        <f>IF(OR(Employee__2[[#This Row],[Age]]&gt;=30,Employee__2[[#This Row],[Gender]]="Male"),"Mached","Not mached")</f>
        <v>Mached</v>
      </c>
    </row>
    <row r="2087" spans="4:16" x14ac:dyDescent="0.25">
      <c r="D2087" s="6" t="s">
        <v>34</v>
      </c>
      <c r="E2087">
        <v>2013</v>
      </c>
      <c r="F2087" s="6" t="s">
        <v>40</v>
      </c>
      <c r="G2087">
        <v>3</v>
      </c>
      <c r="H2087">
        <v>30</v>
      </c>
      <c r="I2087" s="6" t="s">
        <v>39</v>
      </c>
      <c r="J2087" s="6" t="s">
        <v>37</v>
      </c>
      <c r="K2087">
        <v>1</v>
      </c>
      <c r="M2087" s="1" t="b">
        <f>Employee__2[[#This Row],[Experience]]&gt;1</f>
        <v>0</v>
      </c>
      <c r="N2087" s="1" t="str">
        <f>IF(Employee__2[[#This Row],[City]]="Pune","Yes","No")</f>
        <v>No</v>
      </c>
      <c r="O2087" s="1" t="str">
        <f>IF(AND(Employee__2[[#This Row],[Education]]="Bachelors",Employee__2[[#This Row],[City]]="Pune"),"Yes","No")</f>
        <v>No</v>
      </c>
      <c r="P2087" s="1" t="str">
        <f>IF(OR(Employee__2[[#This Row],[Age]]&gt;=30,Employee__2[[#This Row],[Gender]]="Male"),"Mached","Not mached")</f>
        <v>Mached</v>
      </c>
    </row>
    <row r="2088" spans="4:16" x14ac:dyDescent="0.25">
      <c r="D2088" s="6" t="s">
        <v>41</v>
      </c>
      <c r="E2088">
        <v>2017</v>
      </c>
      <c r="F2088" s="6" t="s">
        <v>38</v>
      </c>
      <c r="G2088">
        <v>2</v>
      </c>
      <c r="H2088">
        <v>27</v>
      </c>
      <c r="I2088" s="6" t="s">
        <v>36</v>
      </c>
      <c r="J2088" s="6" t="s">
        <v>37</v>
      </c>
      <c r="K2088">
        <v>5</v>
      </c>
      <c r="M2088" s="1" t="b">
        <f>Employee__2[[#This Row],[Experience]]&gt;1</f>
        <v>1</v>
      </c>
      <c r="N2088" s="1" t="str">
        <f>IF(Employee__2[[#This Row],[City]]="Pune","Yes","No")</f>
        <v>Yes</v>
      </c>
      <c r="O2088" s="1" t="str">
        <f>IF(AND(Employee__2[[#This Row],[Education]]="Bachelors",Employee__2[[#This Row],[City]]="Pune"),"Yes","No")</f>
        <v>No</v>
      </c>
      <c r="P2088" s="1" t="str">
        <f>IF(OR(Employee__2[[#This Row],[Age]]&gt;=30,Employee__2[[#This Row],[Gender]]="Male"),"Mached","Not mached")</f>
        <v>Mached</v>
      </c>
    </row>
    <row r="2089" spans="4:16" x14ac:dyDescent="0.25">
      <c r="D2089" s="6" t="s">
        <v>41</v>
      </c>
      <c r="E2089">
        <v>2017</v>
      </c>
      <c r="F2089" s="6" t="s">
        <v>38</v>
      </c>
      <c r="G2089">
        <v>2</v>
      </c>
      <c r="H2089">
        <v>29</v>
      </c>
      <c r="I2089" s="6" t="s">
        <v>36</v>
      </c>
      <c r="J2089" s="6" t="s">
        <v>37</v>
      </c>
      <c r="K2089">
        <v>2</v>
      </c>
      <c r="M2089" s="1" t="b">
        <f>Employee__2[[#This Row],[Experience]]&gt;1</f>
        <v>1</v>
      </c>
      <c r="N2089" s="1" t="str">
        <f>IF(Employee__2[[#This Row],[City]]="Pune","Yes","No")</f>
        <v>Yes</v>
      </c>
      <c r="O2089" s="1" t="str">
        <f>IF(AND(Employee__2[[#This Row],[Education]]="Bachelors",Employee__2[[#This Row],[City]]="Pune"),"Yes","No")</f>
        <v>No</v>
      </c>
      <c r="P2089" s="1" t="str">
        <f>IF(OR(Employee__2[[#This Row],[Age]]&gt;=30,Employee__2[[#This Row],[Gender]]="Male"),"Mached","Not mached")</f>
        <v>Mached</v>
      </c>
    </row>
    <row r="2090" spans="4:16" x14ac:dyDescent="0.25">
      <c r="D2090" s="6" t="s">
        <v>34</v>
      </c>
      <c r="E2090">
        <v>2016</v>
      </c>
      <c r="F2090" s="6" t="s">
        <v>40</v>
      </c>
      <c r="G2090">
        <v>3</v>
      </c>
      <c r="H2090">
        <v>29</v>
      </c>
      <c r="I2090" s="6" t="s">
        <v>39</v>
      </c>
      <c r="J2090" s="6" t="s">
        <v>37</v>
      </c>
      <c r="K2090">
        <v>1</v>
      </c>
      <c r="M2090" s="1" t="b">
        <f>Employee__2[[#This Row],[Experience]]&gt;1</f>
        <v>0</v>
      </c>
      <c r="N2090" s="1" t="str">
        <f>IF(Employee__2[[#This Row],[City]]="Pune","Yes","No")</f>
        <v>No</v>
      </c>
      <c r="O2090" s="1" t="str">
        <f>IF(AND(Employee__2[[#This Row],[Education]]="Bachelors",Employee__2[[#This Row],[City]]="Pune"),"Yes","No")</f>
        <v>No</v>
      </c>
      <c r="P2090" s="1" t="str">
        <f>IF(OR(Employee__2[[#This Row],[Age]]&gt;=30,Employee__2[[#This Row],[Gender]]="Male"),"Mached","Not mached")</f>
        <v>Not mached</v>
      </c>
    </row>
    <row r="2091" spans="4:16" x14ac:dyDescent="0.25">
      <c r="D2091" s="6" t="s">
        <v>34</v>
      </c>
      <c r="E2091">
        <v>2014</v>
      </c>
      <c r="F2091" s="6" t="s">
        <v>35</v>
      </c>
      <c r="G2091">
        <v>3</v>
      </c>
      <c r="H2091">
        <v>26</v>
      </c>
      <c r="I2091" s="6" t="s">
        <v>36</v>
      </c>
      <c r="J2091" s="6" t="s">
        <v>37</v>
      </c>
      <c r="K2091">
        <v>4</v>
      </c>
      <c r="M2091" s="1" t="b">
        <f>Employee__2[[#This Row],[Experience]]&gt;1</f>
        <v>1</v>
      </c>
      <c r="N2091" s="1" t="str">
        <f>IF(Employee__2[[#This Row],[City]]="Pune","Yes","No")</f>
        <v>No</v>
      </c>
      <c r="O2091" s="1" t="str">
        <f>IF(AND(Employee__2[[#This Row],[Education]]="Bachelors",Employee__2[[#This Row],[City]]="Pune"),"Yes","No")</f>
        <v>No</v>
      </c>
      <c r="P2091" s="1" t="str">
        <f>IF(OR(Employee__2[[#This Row],[Age]]&gt;=30,Employee__2[[#This Row],[Gender]]="Male"),"Mached","Not mached")</f>
        <v>Mached</v>
      </c>
    </row>
    <row r="2092" spans="4:16" x14ac:dyDescent="0.25">
      <c r="D2092" s="6" t="s">
        <v>34</v>
      </c>
      <c r="E2092">
        <v>2014</v>
      </c>
      <c r="F2092" s="6" t="s">
        <v>35</v>
      </c>
      <c r="G2092">
        <v>3</v>
      </c>
      <c r="H2092">
        <v>26</v>
      </c>
      <c r="I2092" s="6" t="s">
        <v>36</v>
      </c>
      <c r="J2092" s="6" t="s">
        <v>37</v>
      </c>
      <c r="K2092">
        <v>4</v>
      </c>
      <c r="M2092" s="1" t="b">
        <f>Employee__2[[#This Row],[Experience]]&gt;1</f>
        <v>1</v>
      </c>
      <c r="N2092" s="1" t="str">
        <f>IF(Employee__2[[#This Row],[City]]="Pune","Yes","No")</f>
        <v>No</v>
      </c>
      <c r="O2092" s="1" t="str">
        <f>IF(AND(Employee__2[[#This Row],[Education]]="Bachelors",Employee__2[[#This Row],[City]]="Pune"),"Yes","No")</f>
        <v>No</v>
      </c>
      <c r="P2092" s="1" t="str">
        <f>IF(OR(Employee__2[[#This Row],[Age]]&gt;=30,Employee__2[[#This Row],[Gender]]="Male"),"Mached","Not mached")</f>
        <v>Mached</v>
      </c>
    </row>
    <row r="2093" spans="4:16" x14ac:dyDescent="0.25">
      <c r="D2093" s="6" t="s">
        <v>34</v>
      </c>
      <c r="E2093">
        <v>2015</v>
      </c>
      <c r="F2093" s="6" t="s">
        <v>40</v>
      </c>
      <c r="G2093">
        <v>3</v>
      </c>
      <c r="H2093">
        <v>28</v>
      </c>
      <c r="I2093" s="6" t="s">
        <v>39</v>
      </c>
      <c r="J2093" s="6" t="s">
        <v>42</v>
      </c>
      <c r="K2093">
        <v>1</v>
      </c>
      <c r="M2093" s="1" t="b">
        <f>Employee__2[[#This Row],[Experience]]&gt;1</f>
        <v>0</v>
      </c>
      <c r="N2093" s="1" t="str">
        <f>IF(Employee__2[[#This Row],[City]]="Pune","Yes","No")</f>
        <v>No</v>
      </c>
      <c r="O2093" s="1" t="str">
        <f>IF(AND(Employee__2[[#This Row],[Education]]="Bachelors",Employee__2[[#This Row],[City]]="Pune"),"Yes","No")</f>
        <v>No</v>
      </c>
      <c r="P2093" s="1" t="str">
        <f>IF(OR(Employee__2[[#This Row],[Age]]&gt;=30,Employee__2[[#This Row],[Gender]]="Male"),"Mached","Not mached")</f>
        <v>Not mached</v>
      </c>
    </row>
    <row r="2094" spans="4:16" x14ac:dyDescent="0.25">
      <c r="D2094" s="6" t="s">
        <v>34</v>
      </c>
      <c r="E2094">
        <v>2013</v>
      </c>
      <c r="F2094" s="6" t="s">
        <v>38</v>
      </c>
      <c r="G2094">
        <v>2</v>
      </c>
      <c r="H2094">
        <v>28</v>
      </c>
      <c r="I2094" s="6" t="s">
        <v>39</v>
      </c>
      <c r="J2094" s="6" t="s">
        <v>37</v>
      </c>
      <c r="K2094">
        <v>1</v>
      </c>
      <c r="M2094" s="1" t="b">
        <f>Employee__2[[#This Row],[Experience]]&gt;1</f>
        <v>0</v>
      </c>
      <c r="N2094" s="1" t="str">
        <f>IF(Employee__2[[#This Row],[City]]="Pune","Yes","No")</f>
        <v>Yes</v>
      </c>
      <c r="O2094" s="1" t="str">
        <f>IF(AND(Employee__2[[#This Row],[Education]]="Bachelors",Employee__2[[#This Row],[City]]="Pune"),"Yes","No")</f>
        <v>Yes</v>
      </c>
      <c r="P2094" s="1" t="str">
        <f>IF(OR(Employee__2[[#This Row],[Age]]&gt;=30,Employee__2[[#This Row],[Gender]]="Male"),"Mached","Not mached")</f>
        <v>Not mached</v>
      </c>
    </row>
    <row r="2095" spans="4:16" x14ac:dyDescent="0.25">
      <c r="D2095" s="6" t="s">
        <v>34</v>
      </c>
      <c r="E2095">
        <v>2016</v>
      </c>
      <c r="F2095" s="6" t="s">
        <v>35</v>
      </c>
      <c r="G2095">
        <v>3</v>
      </c>
      <c r="H2095">
        <v>27</v>
      </c>
      <c r="I2095" s="6" t="s">
        <v>39</v>
      </c>
      <c r="J2095" s="6" t="s">
        <v>42</v>
      </c>
      <c r="K2095">
        <v>5</v>
      </c>
      <c r="M2095" s="1" t="b">
        <f>Employee__2[[#This Row],[Experience]]&gt;1</f>
        <v>1</v>
      </c>
      <c r="N2095" s="1" t="str">
        <f>IF(Employee__2[[#This Row],[City]]="Pune","Yes","No")</f>
        <v>No</v>
      </c>
      <c r="O2095" s="1" t="str">
        <f>IF(AND(Employee__2[[#This Row],[Education]]="Bachelors",Employee__2[[#This Row],[City]]="Pune"),"Yes","No")</f>
        <v>No</v>
      </c>
      <c r="P2095" s="1" t="str">
        <f>IF(OR(Employee__2[[#This Row],[Age]]&gt;=30,Employee__2[[#This Row],[Gender]]="Male"),"Mached","Not mached")</f>
        <v>Not mached</v>
      </c>
    </row>
    <row r="2096" spans="4:16" x14ac:dyDescent="0.25">
      <c r="D2096" s="6" t="s">
        <v>34</v>
      </c>
      <c r="E2096">
        <v>2017</v>
      </c>
      <c r="F2096" s="6" t="s">
        <v>35</v>
      </c>
      <c r="G2096">
        <v>3</v>
      </c>
      <c r="H2096">
        <v>26</v>
      </c>
      <c r="I2096" s="6" t="s">
        <v>36</v>
      </c>
      <c r="J2096" s="6" t="s">
        <v>37</v>
      </c>
      <c r="K2096">
        <v>4</v>
      </c>
      <c r="M2096" s="1" t="b">
        <f>Employee__2[[#This Row],[Experience]]&gt;1</f>
        <v>1</v>
      </c>
      <c r="N2096" s="1" t="str">
        <f>IF(Employee__2[[#This Row],[City]]="Pune","Yes","No")</f>
        <v>No</v>
      </c>
      <c r="O2096" s="1" t="str">
        <f>IF(AND(Employee__2[[#This Row],[Education]]="Bachelors",Employee__2[[#This Row],[City]]="Pune"),"Yes","No")</f>
        <v>No</v>
      </c>
      <c r="P2096" s="1" t="str">
        <f>IF(OR(Employee__2[[#This Row],[Age]]&gt;=30,Employee__2[[#This Row],[Gender]]="Male"),"Mached","Not mached")</f>
        <v>Mached</v>
      </c>
    </row>
    <row r="2097" spans="4:16" x14ac:dyDescent="0.25">
      <c r="D2097" s="6" t="s">
        <v>34</v>
      </c>
      <c r="E2097">
        <v>2014</v>
      </c>
      <c r="F2097" s="6" t="s">
        <v>40</v>
      </c>
      <c r="G2097">
        <v>3</v>
      </c>
      <c r="H2097">
        <v>30</v>
      </c>
      <c r="I2097" s="6" t="s">
        <v>36</v>
      </c>
      <c r="J2097" s="6" t="s">
        <v>37</v>
      </c>
      <c r="K2097">
        <v>2</v>
      </c>
      <c r="M2097" s="1" t="b">
        <f>Employee__2[[#This Row],[Experience]]&gt;1</f>
        <v>1</v>
      </c>
      <c r="N2097" s="1" t="str">
        <f>IF(Employee__2[[#This Row],[City]]="Pune","Yes","No")</f>
        <v>No</v>
      </c>
      <c r="O2097" s="1" t="str">
        <f>IF(AND(Employee__2[[#This Row],[Education]]="Bachelors",Employee__2[[#This Row],[City]]="Pune"),"Yes","No")</f>
        <v>No</v>
      </c>
      <c r="P2097" s="1" t="str">
        <f>IF(OR(Employee__2[[#This Row],[Age]]&gt;=30,Employee__2[[#This Row],[Gender]]="Male"),"Mached","Not mached")</f>
        <v>Mached</v>
      </c>
    </row>
    <row r="2098" spans="4:16" x14ac:dyDescent="0.25">
      <c r="D2098" s="6" t="s">
        <v>34</v>
      </c>
      <c r="E2098">
        <v>2015</v>
      </c>
      <c r="F2098" s="6" t="s">
        <v>38</v>
      </c>
      <c r="G2098">
        <v>2</v>
      </c>
      <c r="H2098">
        <v>30</v>
      </c>
      <c r="I2098" s="6" t="s">
        <v>36</v>
      </c>
      <c r="J2098" s="6" t="s">
        <v>37</v>
      </c>
      <c r="K2098">
        <v>2</v>
      </c>
      <c r="M2098" s="1" t="b">
        <f>Employee__2[[#This Row],[Experience]]&gt;1</f>
        <v>1</v>
      </c>
      <c r="N2098" s="1" t="str">
        <f>IF(Employee__2[[#This Row],[City]]="Pune","Yes","No")</f>
        <v>Yes</v>
      </c>
      <c r="O2098" s="1" t="str">
        <f>IF(AND(Employee__2[[#This Row],[Education]]="Bachelors",Employee__2[[#This Row],[City]]="Pune"),"Yes","No")</f>
        <v>Yes</v>
      </c>
      <c r="P2098" s="1" t="str">
        <f>IF(OR(Employee__2[[#This Row],[Age]]&gt;=30,Employee__2[[#This Row],[Gender]]="Male"),"Mached","Not mached")</f>
        <v>Mached</v>
      </c>
    </row>
    <row r="2099" spans="4:16" x14ac:dyDescent="0.25">
      <c r="D2099" s="6" t="s">
        <v>34</v>
      </c>
      <c r="E2099">
        <v>2016</v>
      </c>
      <c r="F2099" s="6" t="s">
        <v>35</v>
      </c>
      <c r="G2099">
        <v>3</v>
      </c>
      <c r="H2099">
        <v>27</v>
      </c>
      <c r="I2099" s="6" t="s">
        <v>36</v>
      </c>
      <c r="J2099" s="6" t="s">
        <v>37</v>
      </c>
      <c r="K2099">
        <v>5</v>
      </c>
      <c r="M2099" s="1" t="b">
        <f>Employee__2[[#This Row],[Experience]]&gt;1</f>
        <v>1</v>
      </c>
      <c r="N2099" s="1" t="str">
        <f>IF(Employee__2[[#This Row],[City]]="Pune","Yes","No")</f>
        <v>No</v>
      </c>
      <c r="O2099" s="1" t="str">
        <f>IF(AND(Employee__2[[#This Row],[Education]]="Bachelors",Employee__2[[#This Row],[City]]="Pune"),"Yes","No")</f>
        <v>No</v>
      </c>
      <c r="P2099" s="1" t="str">
        <f>IF(OR(Employee__2[[#This Row],[Age]]&gt;=30,Employee__2[[#This Row],[Gender]]="Male"),"Mached","Not mached")</f>
        <v>Mached</v>
      </c>
    </row>
    <row r="2100" spans="4:16" x14ac:dyDescent="0.25">
      <c r="D2100" s="6" t="s">
        <v>34</v>
      </c>
      <c r="E2100">
        <v>2015</v>
      </c>
      <c r="F2100" s="6" t="s">
        <v>38</v>
      </c>
      <c r="G2100">
        <v>3</v>
      </c>
      <c r="H2100">
        <v>26</v>
      </c>
      <c r="I2100" s="6" t="s">
        <v>39</v>
      </c>
      <c r="J2100" s="6" t="s">
        <v>37</v>
      </c>
      <c r="K2100">
        <v>4</v>
      </c>
      <c r="M2100" s="1" t="b">
        <f>Employee__2[[#This Row],[Experience]]&gt;1</f>
        <v>1</v>
      </c>
      <c r="N2100" s="1" t="str">
        <f>IF(Employee__2[[#This Row],[City]]="Pune","Yes","No")</f>
        <v>Yes</v>
      </c>
      <c r="O2100" s="1" t="str">
        <f>IF(AND(Employee__2[[#This Row],[Education]]="Bachelors",Employee__2[[#This Row],[City]]="Pune"),"Yes","No")</f>
        <v>Yes</v>
      </c>
      <c r="P2100" s="1" t="str">
        <f>IF(OR(Employee__2[[#This Row],[Age]]&gt;=30,Employee__2[[#This Row],[Gender]]="Male"),"Mached","Not mached")</f>
        <v>Not mached</v>
      </c>
    </row>
    <row r="2101" spans="4:16" x14ac:dyDescent="0.25">
      <c r="D2101" s="6" t="s">
        <v>34</v>
      </c>
      <c r="E2101">
        <v>2014</v>
      </c>
      <c r="F2101" s="6" t="s">
        <v>40</v>
      </c>
      <c r="G2101">
        <v>3</v>
      </c>
      <c r="H2101">
        <v>30</v>
      </c>
      <c r="I2101" s="6" t="s">
        <v>36</v>
      </c>
      <c r="J2101" s="6" t="s">
        <v>37</v>
      </c>
      <c r="K2101">
        <v>1</v>
      </c>
      <c r="M2101" s="1" t="b">
        <f>Employee__2[[#This Row],[Experience]]&gt;1</f>
        <v>0</v>
      </c>
      <c r="N2101" s="1" t="str">
        <f>IF(Employee__2[[#This Row],[City]]="Pune","Yes","No")</f>
        <v>No</v>
      </c>
      <c r="O2101" s="1" t="str">
        <f>IF(AND(Employee__2[[#This Row],[Education]]="Bachelors",Employee__2[[#This Row],[City]]="Pune"),"Yes","No")</f>
        <v>No</v>
      </c>
      <c r="P2101" s="1" t="str">
        <f>IF(OR(Employee__2[[#This Row],[Age]]&gt;=30,Employee__2[[#This Row],[Gender]]="Male"),"Mached","Not mached")</f>
        <v>Mached</v>
      </c>
    </row>
    <row r="2102" spans="4:16" x14ac:dyDescent="0.25">
      <c r="D2102" s="6" t="s">
        <v>41</v>
      </c>
      <c r="E2102">
        <v>2017</v>
      </c>
      <c r="F2102" s="6" t="s">
        <v>38</v>
      </c>
      <c r="G2102">
        <v>2</v>
      </c>
      <c r="H2102">
        <v>26</v>
      </c>
      <c r="I2102" s="6" t="s">
        <v>36</v>
      </c>
      <c r="J2102" s="6" t="s">
        <v>37</v>
      </c>
      <c r="K2102">
        <v>4</v>
      </c>
      <c r="M2102" s="1" t="b">
        <f>Employee__2[[#This Row],[Experience]]&gt;1</f>
        <v>1</v>
      </c>
      <c r="N2102" s="1" t="str">
        <f>IF(Employee__2[[#This Row],[City]]="Pune","Yes","No")</f>
        <v>Yes</v>
      </c>
      <c r="O2102" s="1" t="str">
        <f>IF(AND(Employee__2[[#This Row],[Education]]="Bachelors",Employee__2[[#This Row],[City]]="Pune"),"Yes","No")</f>
        <v>No</v>
      </c>
      <c r="P2102" s="1" t="str">
        <f>IF(OR(Employee__2[[#This Row],[Age]]&gt;=30,Employee__2[[#This Row],[Gender]]="Male"),"Mached","Not mached")</f>
        <v>Mached</v>
      </c>
    </row>
    <row r="2103" spans="4:16" x14ac:dyDescent="0.25">
      <c r="D2103" s="6" t="s">
        <v>34</v>
      </c>
      <c r="E2103">
        <v>2016</v>
      </c>
      <c r="F2103" s="6" t="s">
        <v>35</v>
      </c>
      <c r="G2103">
        <v>3</v>
      </c>
      <c r="H2103">
        <v>27</v>
      </c>
      <c r="I2103" s="6" t="s">
        <v>36</v>
      </c>
      <c r="J2103" s="6" t="s">
        <v>37</v>
      </c>
      <c r="K2103">
        <v>5</v>
      </c>
      <c r="M2103" s="1" t="b">
        <f>Employee__2[[#This Row],[Experience]]&gt;1</f>
        <v>1</v>
      </c>
      <c r="N2103" s="1" t="str">
        <f>IF(Employee__2[[#This Row],[City]]="Pune","Yes","No")</f>
        <v>No</v>
      </c>
      <c r="O2103" s="1" t="str">
        <f>IF(AND(Employee__2[[#This Row],[Education]]="Bachelors",Employee__2[[#This Row],[City]]="Pune"),"Yes","No")</f>
        <v>No</v>
      </c>
      <c r="P2103" s="1" t="str">
        <f>IF(OR(Employee__2[[#This Row],[Age]]&gt;=30,Employee__2[[#This Row],[Gender]]="Male"),"Mached","Not mached")</f>
        <v>Mached</v>
      </c>
    </row>
    <row r="2104" spans="4:16" x14ac:dyDescent="0.25">
      <c r="D2104" s="6" t="s">
        <v>43</v>
      </c>
      <c r="E2104">
        <v>2017</v>
      </c>
      <c r="F2104" s="6" t="s">
        <v>38</v>
      </c>
      <c r="G2104">
        <v>3</v>
      </c>
      <c r="H2104">
        <v>28</v>
      </c>
      <c r="I2104" s="6" t="s">
        <v>36</v>
      </c>
      <c r="J2104" s="6" t="s">
        <v>37</v>
      </c>
      <c r="K2104">
        <v>1</v>
      </c>
      <c r="M2104" s="1" t="b">
        <f>Employee__2[[#This Row],[Experience]]&gt;1</f>
        <v>0</v>
      </c>
      <c r="N2104" s="1" t="str">
        <f>IF(Employee__2[[#This Row],[City]]="Pune","Yes","No")</f>
        <v>Yes</v>
      </c>
      <c r="O2104" s="1" t="str">
        <f>IF(AND(Employee__2[[#This Row],[Education]]="Bachelors",Employee__2[[#This Row],[City]]="Pune"),"Yes","No")</f>
        <v>No</v>
      </c>
      <c r="P2104" s="1" t="str">
        <f>IF(OR(Employee__2[[#This Row],[Age]]&gt;=30,Employee__2[[#This Row],[Gender]]="Male"),"Mached","Not mached")</f>
        <v>Mached</v>
      </c>
    </row>
    <row r="2105" spans="4:16" x14ac:dyDescent="0.25">
      <c r="D2105" s="6" t="s">
        <v>34</v>
      </c>
      <c r="E2105">
        <v>2015</v>
      </c>
      <c r="F2105" s="6" t="s">
        <v>40</v>
      </c>
      <c r="G2105">
        <v>3</v>
      </c>
      <c r="H2105">
        <v>30</v>
      </c>
      <c r="I2105" s="6" t="s">
        <v>39</v>
      </c>
      <c r="J2105" s="6" t="s">
        <v>37</v>
      </c>
      <c r="K2105">
        <v>2</v>
      </c>
      <c r="M2105" s="1" t="b">
        <f>Employee__2[[#This Row],[Experience]]&gt;1</f>
        <v>1</v>
      </c>
      <c r="N2105" s="1" t="str">
        <f>IF(Employee__2[[#This Row],[City]]="Pune","Yes","No")</f>
        <v>No</v>
      </c>
      <c r="O2105" s="1" t="str">
        <f>IF(AND(Employee__2[[#This Row],[Education]]="Bachelors",Employee__2[[#This Row],[City]]="Pune"),"Yes","No")</f>
        <v>No</v>
      </c>
      <c r="P2105" s="1" t="str">
        <f>IF(OR(Employee__2[[#This Row],[Age]]&gt;=30,Employee__2[[#This Row],[Gender]]="Male"),"Mached","Not mached")</f>
        <v>Mached</v>
      </c>
    </row>
    <row r="2106" spans="4:16" x14ac:dyDescent="0.25">
      <c r="D2106" s="6" t="s">
        <v>34</v>
      </c>
      <c r="E2106">
        <v>2016</v>
      </c>
      <c r="F2106" s="6" t="s">
        <v>35</v>
      </c>
      <c r="G2106">
        <v>3</v>
      </c>
      <c r="H2106">
        <v>29</v>
      </c>
      <c r="I2106" s="6" t="s">
        <v>36</v>
      </c>
      <c r="J2106" s="6" t="s">
        <v>37</v>
      </c>
      <c r="K2106">
        <v>2</v>
      </c>
      <c r="M2106" s="1" t="b">
        <f>Employee__2[[#This Row],[Experience]]&gt;1</f>
        <v>1</v>
      </c>
      <c r="N2106" s="1" t="str">
        <f>IF(Employee__2[[#This Row],[City]]="Pune","Yes","No")</f>
        <v>No</v>
      </c>
      <c r="O2106" s="1" t="str">
        <f>IF(AND(Employee__2[[#This Row],[Education]]="Bachelors",Employee__2[[#This Row],[City]]="Pune"),"Yes","No")</f>
        <v>No</v>
      </c>
      <c r="P2106" s="1" t="str">
        <f>IF(OR(Employee__2[[#This Row],[Age]]&gt;=30,Employee__2[[#This Row],[Gender]]="Male"),"Mached","Not mached")</f>
        <v>Mached</v>
      </c>
    </row>
    <row r="2107" spans="4:16" x14ac:dyDescent="0.25">
      <c r="D2107" s="6" t="s">
        <v>34</v>
      </c>
      <c r="E2107">
        <v>2012</v>
      </c>
      <c r="F2107" s="6" t="s">
        <v>35</v>
      </c>
      <c r="G2107">
        <v>3</v>
      </c>
      <c r="H2107">
        <v>28</v>
      </c>
      <c r="I2107" s="6" t="s">
        <v>36</v>
      </c>
      <c r="J2107" s="6" t="s">
        <v>37</v>
      </c>
      <c r="K2107">
        <v>2</v>
      </c>
      <c r="M2107" s="1" t="b">
        <f>Employee__2[[#This Row],[Experience]]&gt;1</f>
        <v>1</v>
      </c>
      <c r="N2107" s="1" t="str">
        <f>IF(Employee__2[[#This Row],[City]]="Pune","Yes","No")</f>
        <v>No</v>
      </c>
      <c r="O2107" s="1" t="str">
        <f>IF(AND(Employee__2[[#This Row],[Education]]="Bachelors",Employee__2[[#This Row],[City]]="Pune"),"Yes","No")</f>
        <v>No</v>
      </c>
      <c r="P2107" s="1" t="str">
        <f>IF(OR(Employee__2[[#This Row],[Age]]&gt;=30,Employee__2[[#This Row],[Gender]]="Male"),"Mached","Not mached")</f>
        <v>Mached</v>
      </c>
    </row>
    <row r="2108" spans="4:16" x14ac:dyDescent="0.25">
      <c r="D2108" s="6" t="s">
        <v>34</v>
      </c>
      <c r="E2108">
        <v>2014</v>
      </c>
      <c r="F2108" s="6" t="s">
        <v>35</v>
      </c>
      <c r="G2108">
        <v>1</v>
      </c>
      <c r="H2108">
        <v>30</v>
      </c>
      <c r="I2108" s="6" t="s">
        <v>36</v>
      </c>
      <c r="J2108" s="6" t="s">
        <v>42</v>
      </c>
      <c r="K2108">
        <v>2</v>
      </c>
      <c r="M2108" s="1" t="b">
        <f>Employee__2[[#This Row],[Experience]]&gt;1</f>
        <v>1</v>
      </c>
      <c r="N2108" s="1" t="str">
        <f>IF(Employee__2[[#This Row],[City]]="Pune","Yes","No")</f>
        <v>No</v>
      </c>
      <c r="O2108" s="1" t="str">
        <f>IF(AND(Employee__2[[#This Row],[Education]]="Bachelors",Employee__2[[#This Row],[City]]="Pune"),"Yes","No")</f>
        <v>No</v>
      </c>
      <c r="P2108" s="1" t="str">
        <f>IF(OR(Employee__2[[#This Row],[Age]]&gt;=30,Employee__2[[#This Row],[Gender]]="Male"),"Mached","Not mached")</f>
        <v>Mached</v>
      </c>
    </row>
    <row r="2109" spans="4:16" x14ac:dyDescent="0.25">
      <c r="D2109" s="6" t="s">
        <v>34</v>
      </c>
      <c r="E2109">
        <v>2013</v>
      </c>
      <c r="F2109" s="6" t="s">
        <v>35</v>
      </c>
      <c r="G2109">
        <v>3</v>
      </c>
      <c r="H2109">
        <v>27</v>
      </c>
      <c r="I2109" s="6" t="s">
        <v>36</v>
      </c>
      <c r="J2109" s="6" t="s">
        <v>37</v>
      </c>
      <c r="K2109">
        <v>5</v>
      </c>
      <c r="M2109" s="1" t="b">
        <f>Employee__2[[#This Row],[Experience]]&gt;1</f>
        <v>1</v>
      </c>
      <c r="N2109" s="1" t="str">
        <f>IF(Employee__2[[#This Row],[City]]="Pune","Yes","No")</f>
        <v>No</v>
      </c>
      <c r="O2109" s="1" t="str">
        <f>IF(AND(Employee__2[[#This Row],[Education]]="Bachelors",Employee__2[[#This Row],[City]]="Pune"),"Yes","No")</f>
        <v>No</v>
      </c>
      <c r="P2109" s="1" t="str">
        <f>IF(OR(Employee__2[[#This Row],[Age]]&gt;=30,Employee__2[[#This Row],[Gender]]="Male"),"Mached","Not mached")</f>
        <v>Mached</v>
      </c>
    </row>
    <row r="2110" spans="4:16" x14ac:dyDescent="0.25">
      <c r="D2110" s="6" t="s">
        <v>41</v>
      </c>
      <c r="E2110">
        <v>2017</v>
      </c>
      <c r="F2110" s="6" t="s">
        <v>38</v>
      </c>
      <c r="G2110">
        <v>2</v>
      </c>
      <c r="H2110">
        <v>30</v>
      </c>
      <c r="I2110" s="6" t="s">
        <v>36</v>
      </c>
      <c r="J2110" s="6" t="s">
        <v>37</v>
      </c>
      <c r="K2110">
        <v>2</v>
      </c>
      <c r="M2110" s="1" t="b">
        <f>Employee__2[[#This Row],[Experience]]&gt;1</f>
        <v>1</v>
      </c>
      <c r="N2110" s="1" t="str">
        <f>IF(Employee__2[[#This Row],[City]]="Pune","Yes","No")</f>
        <v>Yes</v>
      </c>
      <c r="O2110" s="1" t="str">
        <f>IF(AND(Employee__2[[#This Row],[Education]]="Bachelors",Employee__2[[#This Row],[City]]="Pune"),"Yes","No")</f>
        <v>No</v>
      </c>
      <c r="P2110" s="1" t="str">
        <f>IF(OR(Employee__2[[#This Row],[Age]]&gt;=30,Employee__2[[#This Row],[Gender]]="Male"),"Mached","Not mached")</f>
        <v>Mached</v>
      </c>
    </row>
    <row r="2111" spans="4:16" x14ac:dyDescent="0.25">
      <c r="D2111" s="6" t="s">
        <v>34</v>
      </c>
      <c r="E2111">
        <v>2012</v>
      </c>
      <c r="F2111" s="6" t="s">
        <v>35</v>
      </c>
      <c r="G2111">
        <v>3</v>
      </c>
      <c r="H2111">
        <v>30</v>
      </c>
      <c r="I2111" s="6" t="s">
        <v>36</v>
      </c>
      <c r="J2111" s="6" t="s">
        <v>37</v>
      </c>
      <c r="K2111">
        <v>2</v>
      </c>
      <c r="M2111" s="1" t="b">
        <f>Employee__2[[#This Row],[Experience]]&gt;1</f>
        <v>1</v>
      </c>
      <c r="N2111" s="1" t="str">
        <f>IF(Employee__2[[#This Row],[City]]="Pune","Yes","No")</f>
        <v>No</v>
      </c>
      <c r="O2111" s="1" t="str">
        <f>IF(AND(Employee__2[[#This Row],[Education]]="Bachelors",Employee__2[[#This Row],[City]]="Pune"),"Yes","No")</f>
        <v>No</v>
      </c>
      <c r="P2111" s="1" t="str">
        <f>IF(OR(Employee__2[[#This Row],[Age]]&gt;=30,Employee__2[[#This Row],[Gender]]="Male"),"Mached","Not mached")</f>
        <v>Mached</v>
      </c>
    </row>
    <row r="2112" spans="4:16" x14ac:dyDescent="0.25">
      <c r="D2112" s="6" t="s">
        <v>41</v>
      </c>
      <c r="E2112">
        <v>2017</v>
      </c>
      <c r="F2112" s="6" t="s">
        <v>40</v>
      </c>
      <c r="G2112">
        <v>2</v>
      </c>
      <c r="H2112">
        <v>26</v>
      </c>
      <c r="I2112" s="6" t="s">
        <v>36</v>
      </c>
      <c r="J2112" s="6" t="s">
        <v>37</v>
      </c>
      <c r="K2112">
        <v>4</v>
      </c>
      <c r="M2112" s="1" t="b">
        <f>Employee__2[[#This Row],[Experience]]&gt;1</f>
        <v>1</v>
      </c>
      <c r="N2112" s="1" t="str">
        <f>IF(Employee__2[[#This Row],[City]]="Pune","Yes","No")</f>
        <v>No</v>
      </c>
      <c r="O2112" s="1" t="str">
        <f>IF(AND(Employee__2[[#This Row],[Education]]="Bachelors",Employee__2[[#This Row],[City]]="Pune"),"Yes","No")</f>
        <v>No</v>
      </c>
      <c r="P2112" s="1" t="str">
        <f>IF(OR(Employee__2[[#This Row],[Age]]&gt;=30,Employee__2[[#This Row],[Gender]]="Male"),"Mached","Not mached")</f>
        <v>Mached</v>
      </c>
    </row>
    <row r="2113" spans="4:16" x14ac:dyDescent="0.25">
      <c r="D2113" s="6" t="s">
        <v>34</v>
      </c>
      <c r="E2113">
        <v>2014</v>
      </c>
      <c r="F2113" s="6" t="s">
        <v>38</v>
      </c>
      <c r="G2113">
        <v>2</v>
      </c>
      <c r="H2113">
        <v>26</v>
      </c>
      <c r="I2113" s="6" t="s">
        <v>36</v>
      </c>
      <c r="J2113" s="6" t="s">
        <v>37</v>
      </c>
      <c r="K2113">
        <v>4</v>
      </c>
      <c r="M2113" s="1" t="b">
        <f>Employee__2[[#This Row],[Experience]]&gt;1</f>
        <v>1</v>
      </c>
      <c r="N2113" s="1" t="str">
        <f>IF(Employee__2[[#This Row],[City]]="Pune","Yes","No")</f>
        <v>Yes</v>
      </c>
      <c r="O2113" s="1" t="str">
        <f>IF(AND(Employee__2[[#This Row],[Education]]="Bachelors",Employee__2[[#This Row],[City]]="Pune"),"Yes","No")</f>
        <v>Yes</v>
      </c>
      <c r="P2113" s="1" t="str">
        <f>IF(OR(Employee__2[[#This Row],[Age]]&gt;=30,Employee__2[[#This Row],[Gender]]="Male"),"Mached","Not mached")</f>
        <v>Mached</v>
      </c>
    </row>
    <row r="2114" spans="4:16" x14ac:dyDescent="0.25">
      <c r="D2114" s="6" t="s">
        <v>34</v>
      </c>
      <c r="E2114">
        <v>2013</v>
      </c>
      <c r="F2114" s="6" t="s">
        <v>35</v>
      </c>
      <c r="G2114">
        <v>3</v>
      </c>
      <c r="H2114">
        <v>29</v>
      </c>
      <c r="I2114" s="6" t="s">
        <v>39</v>
      </c>
      <c r="J2114" s="6" t="s">
        <v>37</v>
      </c>
      <c r="K2114">
        <v>1</v>
      </c>
      <c r="M2114" s="1" t="b">
        <f>Employee__2[[#This Row],[Experience]]&gt;1</f>
        <v>0</v>
      </c>
      <c r="N2114" s="1" t="str">
        <f>IF(Employee__2[[#This Row],[City]]="Pune","Yes","No")</f>
        <v>No</v>
      </c>
      <c r="O2114" s="1" t="str">
        <f>IF(AND(Employee__2[[#This Row],[Education]]="Bachelors",Employee__2[[#This Row],[City]]="Pune"),"Yes","No")</f>
        <v>No</v>
      </c>
      <c r="P2114" s="1" t="str">
        <f>IF(OR(Employee__2[[#This Row],[Age]]&gt;=30,Employee__2[[#This Row],[Gender]]="Male"),"Mached","Not mached")</f>
        <v>Not mached</v>
      </c>
    </row>
    <row r="2115" spans="4:16" x14ac:dyDescent="0.25">
      <c r="D2115" s="6" t="s">
        <v>34</v>
      </c>
      <c r="E2115">
        <v>2015</v>
      </c>
      <c r="F2115" s="6" t="s">
        <v>38</v>
      </c>
      <c r="G2115">
        <v>3</v>
      </c>
      <c r="H2115">
        <v>29</v>
      </c>
      <c r="I2115" s="6" t="s">
        <v>39</v>
      </c>
      <c r="J2115" s="6" t="s">
        <v>37</v>
      </c>
      <c r="K2115">
        <v>2</v>
      </c>
      <c r="M2115" s="1" t="b">
        <f>Employee__2[[#This Row],[Experience]]&gt;1</f>
        <v>1</v>
      </c>
      <c r="N2115" s="1" t="str">
        <f>IF(Employee__2[[#This Row],[City]]="Pune","Yes","No")</f>
        <v>Yes</v>
      </c>
      <c r="O2115" s="1" t="str">
        <f>IF(AND(Employee__2[[#This Row],[Education]]="Bachelors",Employee__2[[#This Row],[City]]="Pune"),"Yes","No")</f>
        <v>Yes</v>
      </c>
      <c r="P2115" s="1" t="str">
        <f>IF(OR(Employee__2[[#This Row],[Age]]&gt;=30,Employee__2[[#This Row],[Gender]]="Male"),"Mached","Not mached")</f>
        <v>Not mached</v>
      </c>
    </row>
    <row r="2116" spans="4:16" x14ac:dyDescent="0.25">
      <c r="D2116" s="6" t="s">
        <v>34</v>
      </c>
      <c r="E2116">
        <v>2013</v>
      </c>
      <c r="F2116" s="6" t="s">
        <v>35</v>
      </c>
      <c r="G2116">
        <v>3</v>
      </c>
      <c r="H2116">
        <v>28</v>
      </c>
      <c r="I2116" s="6" t="s">
        <v>39</v>
      </c>
      <c r="J2116" s="6" t="s">
        <v>37</v>
      </c>
      <c r="K2116">
        <v>1</v>
      </c>
      <c r="M2116" s="1" t="b">
        <f>Employee__2[[#This Row],[Experience]]&gt;1</f>
        <v>0</v>
      </c>
      <c r="N2116" s="1" t="str">
        <f>IF(Employee__2[[#This Row],[City]]="Pune","Yes","No")</f>
        <v>No</v>
      </c>
      <c r="O2116" s="1" t="str">
        <f>IF(AND(Employee__2[[#This Row],[Education]]="Bachelors",Employee__2[[#This Row],[City]]="Pune"),"Yes","No")</f>
        <v>No</v>
      </c>
      <c r="P2116" s="1" t="str">
        <f>IF(OR(Employee__2[[#This Row],[Age]]&gt;=30,Employee__2[[#This Row],[Gender]]="Male"),"Mached","Not mached")</f>
        <v>Not mached</v>
      </c>
    </row>
    <row r="2117" spans="4:16" x14ac:dyDescent="0.25">
      <c r="D2117" s="6" t="s">
        <v>41</v>
      </c>
      <c r="E2117">
        <v>2016</v>
      </c>
      <c r="F2117" s="6" t="s">
        <v>35</v>
      </c>
      <c r="G2117">
        <v>3</v>
      </c>
      <c r="H2117">
        <v>29</v>
      </c>
      <c r="I2117" s="6" t="s">
        <v>36</v>
      </c>
      <c r="J2117" s="6" t="s">
        <v>37</v>
      </c>
      <c r="K2117">
        <v>1</v>
      </c>
      <c r="M2117" s="1" t="b">
        <f>Employee__2[[#This Row],[Experience]]&gt;1</f>
        <v>0</v>
      </c>
      <c r="N2117" s="1" t="str">
        <f>IF(Employee__2[[#This Row],[City]]="Pune","Yes","No")</f>
        <v>No</v>
      </c>
      <c r="O2117" s="1" t="str">
        <f>IF(AND(Employee__2[[#This Row],[Education]]="Bachelors",Employee__2[[#This Row],[City]]="Pune"),"Yes","No")</f>
        <v>No</v>
      </c>
      <c r="P2117" s="1" t="str">
        <f>IF(OR(Employee__2[[#This Row],[Age]]&gt;=30,Employee__2[[#This Row],[Gender]]="Male"),"Mached","Not mached")</f>
        <v>Mached</v>
      </c>
    </row>
    <row r="2118" spans="4:16" x14ac:dyDescent="0.25">
      <c r="D2118" s="6" t="s">
        <v>41</v>
      </c>
      <c r="E2118">
        <v>2016</v>
      </c>
      <c r="F2118" s="6" t="s">
        <v>40</v>
      </c>
      <c r="G2118">
        <v>3</v>
      </c>
      <c r="H2118">
        <v>26</v>
      </c>
      <c r="I2118" s="6" t="s">
        <v>39</v>
      </c>
      <c r="J2118" s="6" t="s">
        <v>37</v>
      </c>
      <c r="K2118">
        <v>4</v>
      </c>
      <c r="M2118" s="1" t="b">
        <f>Employee__2[[#This Row],[Experience]]&gt;1</f>
        <v>1</v>
      </c>
      <c r="N2118" s="1" t="str">
        <f>IF(Employee__2[[#This Row],[City]]="Pune","Yes","No")</f>
        <v>No</v>
      </c>
      <c r="O2118" s="1" t="str">
        <f>IF(AND(Employee__2[[#This Row],[Education]]="Bachelors",Employee__2[[#This Row],[City]]="Pune"),"Yes","No")</f>
        <v>No</v>
      </c>
      <c r="P2118" s="1" t="str">
        <f>IF(OR(Employee__2[[#This Row],[Age]]&gt;=30,Employee__2[[#This Row],[Gender]]="Male"),"Mached","Not mached")</f>
        <v>Not mached</v>
      </c>
    </row>
    <row r="2119" spans="4:16" x14ac:dyDescent="0.25">
      <c r="D2119" s="6" t="s">
        <v>34</v>
      </c>
      <c r="E2119">
        <v>2015</v>
      </c>
      <c r="F2119" s="6" t="s">
        <v>35</v>
      </c>
      <c r="G2119">
        <v>3</v>
      </c>
      <c r="H2119">
        <v>26</v>
      </c>
      <c r="I2119" s="6" t="s">
        <v>36</v>
      </c>
      <c r="J2119" s="6" t="s">
        <v>37</v>
      </c>
      <c r="K2119">
        <v>4</v>
      </c>
      <c r="M2119" s="1" t="b">
        <f>Employee__2[[#This Row],[Experience]]&gt;1</f>
        <v>1</v>
      </c>
      <c r="N2119" s="1" t="str">
        <f>IF(Employee__2[[#This Row],[City]]="Pune","Yes","No")</f>
        <v>No</v>
      </c>
      <c r="O2119" s="1" t="str">
        <f>IF(AND(Employee__2[[#This Row],[Education]]="Bachelors",Employee__2[[#This Row],[City]]="Pune"),"Yes","No")</f>
        <v>No</v>
      </c>
      <c r="P2119" s="1" t="str">
        <f>IF(OR(Employee__2[[#This Row],[Age]]&gt;=30,Employee__2[[#This Row],[Gender]]="Male"),"Mached","Not mached")</f>
        <v>Mached</v>
      </c>
    </row>
    <row r="2120" spans="4:16" x14ac:dyDescent="0.25">
      <c r="D2120" s="6" t="s">
        <v>34</v>
      </c>
      <c r="E2120">
        <v>2016</v>
      </c>
      <c r="F2120" s="6" t="s">
        <v>38</v>
      </c>
      <c r="G2120">
        <v>3</v>
      </c>
      <c r="H2120">
        <v>26</v>
      </c>
      <c r="I2120" s="6" t="s">
        <v>36</v>
      </c>
      <c r="J2120" s="6" t="s">
        <v>37</v>
      </c>
      <c r="K2120">
        <v>4</v>
      </c>
      <c r="M2120" s="1" t="b">
        <f>Employee__2[[#This Row],[Experience]]&gt;1</f>
        <v>1</v>
      </c>
      <c r="N2120" s="1" t="str">
        <f>IF(Employee__2[[#This Row],[City]]="Pune","Yes","No")</f>
        <v>Yes</v>
      </c>
      <c r="O2120" s="1" t="str">
        <f>IF(AND(Employee__2[[#This Row],[Education]]="Bachelors",Employee__2[[#This Row],[City]]="Pune"),"Yes","No")</f>
        <v>Yes</v>
      </c>
      <c r="P2120" s="1" t="str">
        <f>IF(OR(Employee__2[[#This Row],[Age]]&gt;=30,Employee__2[[#This Row],[Gender]]="Male"),"Mached","Not mached")</f>
        <v>Mached</v>
      </c>
    </row>
    <row r="2121" spans="4:16" x14ac:dyDescent="0.25">
      <c r="D2121" s="6" t="s">
        <v>41</v>
      </c>
      <c r="E2121">
        <v>2015</v>
      </c>
      <c r="F2121" s="6" t="s">
        <v>40</v>
      </c>
      <c r="G2121">
        <v>1</v>
      </c>
      <c r="H2121">
        <v>27</v>
      </c>
      <c r="I2121" s="6" t="s">
        <v>36</v>
      </c>
      <c r="J2121" s="6" t="s">
        <v>42</v>
      </c>
      <c r="K2121">
        <v>5</v>
      </c>
      <c r="M2121" s="1" t="b">
        <f>Employee__2[[#This Row],[Experience]]&gt;1</f>
        <v>1</v>
      </c>
      <c r="N2121" s="1" t="str">
        <f>IF(Employee__2[[#This Row],[City]]="Pune","Yes","No")</f>
        <v>No</v>
      </c>
      <c r="O2121" s="1" t="str">
        <f>IF(AND(Employee__2[[#This Row],[Education]]="Bachelors",Employee__2[[#This Row],[City]]="Pune"),"Yes","No")</f>
        <v>No</v>
      </c>
      <c r="P2121" s="1" t="str">
        <f>IF(OR(Employee__2[[#This Row],[Age]]&gt;=30,Employee__2[[#This Row],[Gender]]="Male"),"Mached","Not mached")</f>
        <v>Mached</v>
      </c>
    </row>
    <row r="2122" spans="4:16" x14ac:dyDescent="0.25">
      <c r="D2122" s="6" t="s">
        <v>34</v>
      </c>
      <c r="E2122">
        <v>2012</v>
      </c>
      <c r="F2122" s="6" t="s">
        <v>35</v>
      </c>
      <c r="G2122">
        <v>3</v>
      </c>
      <c r="H2122">
        <v>28</v>
      </c>
      <c r="I2122" s="6" t="s">
        <v>36</v>
      </c>
      <c r="J2122" s="6" t="s">
        <v>37</v>
      </c>
      <c r="K2122">
        <v>1</v>
      </c>
      <c r="M2122" s="1" t="b">
        <f>Employee__2[[#This Row],[Experience]]&gt;1</f>
        <v>0</v>
      </c>
      <c r="N2122" s="1" t="str">
        <f>IF(Employee__2[[#This Row],[City]]="Pune","Yes","No")</f>
        <v>No</v>
      </c>
      <c r="O2122" s="1" t="str">
        <f>IF(AND(Employee__2[[#This Row],[Education]]="Bachelors",Employee__2[[#This Row],[City]]="Pune"),"Yes","No")</f>
        <v>No</v>
      </c>
      <c r="P2122" s="1" t="str">
        <f>IF(OR(Employee__2[[#This Row],[Age]]&gt;=30,Employee__2[[#This Row],[Gender]]="Male"),"Mached","Not mached")</f>
        <v>Mached</v>
      </c>
    </row>
    <row r="2123" spans="4:16" x14ac:dyDescent="0.25">
      <c r="D2123" s="6" t="s">
        <v>41</v>
      </c>
      <c r="E2123">
        <v>2017</v>
      </c>
      <c r="F2123" s="6" t="s">
        <v>38</v>
      </c>
      <c r="G2123">
        <v>2</v>
      </c>
      <c r="H2123">
        <v>27</v>
      </c>
      <c r="I2123" s="6" t="s">
        <v>36</v>
      </c>
      <c r="J2123" s="6" t="s">
        <v>37</v>
      </c>
      <c r="K2123">
        <v>5</v>
      </c>
      <c r="M2123" s="1" t="b">
        <f>Employee__2[[#This Row],[Experience]]&gt;1</f>
        <v>1</v>
      </c>
      <c r="N2123" s="1" t="str">
        <f>IF(Employee__2[[#This Row],[City]]="Pune","Yes","No")</f>
        <v>Yes</v>
      </c>
      <c r="O2123" s="1" t="str">
        <f>IF(AND(Employee__2[[#This Row],[Education]]="Bachelors",Employee__2[[#This Row],[City]]="Pune"),"Yes","No")</f>
        <v>No</v>
      </c>
      <c r="P2123" s="1" t="str">
        <f>IF(OR(Employee__2[[#This Row],[Age]]&gt;=30,Employee__2[[#This Row],[Gender]]="Male"),"Mached","Not mached")</f>
        <v>Mached</v>
      </c>
    </row>
    <row r="2124" spans="4:16" x14ac:dyDescent="0.25">
      <c r="D2124" s="6" t="s">
        <v>41</v>
      </c>
      <c r="E2124">
        <v>2015</v>
      </c>
      <c r="F2124" s="6" t="s">
        <v>38</v>
      </c>
      <c r="G2124">
        <v>2</v>
      </c>
      <c r="H2124">
        <v>29</v>
      </c>
      <c r="I2124" s="6" t="s">
        <v>39</v>
      </c>
      <c r="J2124" s="6" t="s">
        <v>37</v>
      </c>
      <c r="K2124">
        <v>2</v>
      </c>
      <c r="M2124" s="1" t="b">
        <f>Employee__2[[#This Row],[Experience]]&gt;1</f>
        <v>1</v>
      </c>
      <c r="N2124" s="1" t="str">
        <f>IF(Employee__2[[#This Row],[City]]="Pune","Yes","No")</f>
        <v>Yes</v>
      </c>
      <c r="O2124" s="1" t="str">
        <f>IF(AND(Employee__2[[#This Row],[Education]]="Bachelors",Employee__2[[#This Row],[City]]="Pune"),"Yes","No")</f>
        <v>No</v>
      </c>
      <c r="P2124" s="1" t="str">
        <f>IF(OR(Employee__2[[#This Row],[Age]]&gt;=30,Employee__2[[#This Row],[Gender]]="Male"),"Mached","Not mached")</f>
        <v>Not mached</v>
      </c>
    </row>
    <row r="2125" spans="4:16" x14ac:dyDescent="0.25">
      <c r="D2125" s="6" t="s">
        <v>34</v>
      </c>
      <c r="E2125">
        <v>2012</v>
      </c>
      <c r="F2125" s="6" t="s">
        <v>35</v>
      </c>
      <c r="G2125">
        <v>3</v>
      </c>
      <c r="H2125">
        <v>28</v>
      </c>
      <c r="I2125" s="6" t="s">
        <v>36</v>
      </c>
      <c r="J2125" s="6" t="s">
        <v>37</v>
      </c>
      <c r="K2125">
        <v>2</v>
      </c>
      <c r="M2125" s="1" t="b">
        <f>Employee__2[[#This Row],[Experience]]&gt;1</f>
        <v>1</v>
      </c>
      <c r="N2125" s="1" t="str">
        <f>IF(Employee__2[[#This Row],[City]]="Pune","Yes","No")</f>
        <v>No</v>
      </c>
      <c r="O2125" s="1" t="str">
        <f>IF(AND(Employee__2[[#This Row],[Education]]="Bachelors",Employee__2[[#This Row],[City]]="Pune"),"Yes","No")</f>
        <v>No</v>
      </c>
      <c r="P2125" s="1" t="str">
        <f>IF(OR(Employee__2[[#This Row],[Age]]&gt;=30,Employee__2[[#This Row],[Gender]]="Male"),"Mached","Not mached")</f>
        <v>Mached</v>
      </c>
    </row>
    <row r="2126" spans="4:16" x14ac:dyDescent="0.25">
      <c r="D2126" s="6" t="s">
        <v>34</v>
      </c>
      <c r="E2126">
        <v>2012</v>
      </c>
      <c r="F2126" s="6" t="s">
        <v>38</v>
      </c>
      <c r="G2126">
        <v>2</v>
      </c>
      <c r="H2126">
        <v>28</v>
      </c>
      <c r="I2126" s="6" t="s">
        <v>36</v>
      </c>
      <c r="J2126" s="6" t="s">
        <v>37</v>
      </c>
      <c r="K2126">
        <v>2</v>
      </c>
      <c r="M2126" s="1" t="b">
        <f>Employee__2[[#This Row],[Experience]]&gt;1</f>
        <v>1</v>
      </c>
      <c r="N2126" s="1" t="str">
        <f>IF(Employee__2[[#This Row],[City]]="Pune","Yes","No")</f>
        <v>Yes</v>
      </c>
      <c r="O2126" s="1" t="str">
        <f>IF(AND(Employee__2[[#This Row],[Education]]="Bachelors",Employee__2[[#This Row],[City]]="Pune"),"Yes","No")</f>
        <v>Yes</v>
      </c>
      <c r="P2126" s="1" t="str">
        <f>IF(OR(Employee__2[[#This Row],[Age]]&gt;=30,Employee__2[[#This Row],[Gender]]="Male"),"Mached","Not mached")</f>
        <v>Mached</v>
      </c>
    </row>
    <row r="2127" spans="4:16" x14ac:dyDescent="0.25">
      <c r="D2127" s="6" t="s">
        <v>34</v>
      </c>
      <c r="E2127">
        <v>2015</v>
      </c>
      <c r="F2127" s="6" t="s">
        <v>38</v>
      </c>
      <c r="G2127">
        <v>2</v>
      </c>
      <c r="H2127">
        <v>27</v>
      </c>
      <c r="I2127" s="6" t="s">
        <v>39</v>
      </c>
      <c r="J2127" s="6" t="s">
        <v>37</v>
      </c>
      <c r="K2127">
        <v>5</v>
      </c>
      <c r="M2127" s="1" t="b">
        <f>Employee__2[[#This Row],[Experience]]&gt;1</f>
        <v>1</v>
      </c>
      <c r="N2127" s="1" t="str">
        <f>IF(Employee__2[[#This Row],[City]]="Pune","Yes","No")</f>
        <v>Yes</v>
      </c>
      <c r="O2127" s="1" t="str">
        <f>IF(AND(Employee__2[[#This Row],[Education]]="Bachelors",Employee__2[[#This Row],[City]]="Pune"),"Yes","No")</f>
        <v>Yes</v>
      </c>
      <c r="P2127" s="1" t="str">
        <f>IF(OR(Employee__2[[#This Row],[Age]]&gt;=30,Employee__2[[#This Row],[Gender]]="Male"),"Mached","Not mached")</f>
        <v>Not mached</v>
      </c>
    </row>
    <row r="2128" spans="4:16" x14ac:dyDescent="0.25">
      <c r="D2128" s="6" t="s">
        <v>41</v>
      </c>
      <c r="E2128">
        <v>2017</v>
      </c>
      <c r="F2128" s="6" t="s">
        <v>38</v>
      </c>
      <c r="G2128">
        <v>2</v>
      </c>
      <c r="H2128">
        <v>29</v>
      </c>
      <c r="I2128" s="6" t="s">
        <v>39</v>
      </c>
      <c r="J2128" s="6" t="s">
        <v>37</v>
      </c>
      <c r="K2128">
        <v>1</v>
      </c>
      <c r="M2128" s="1" t="b">
        <f>Employee__2[[#This Row],[Experience]]&gt;1</f>
        <v>0</v>
      </c>
      <c r="N2128" s="1" t="str">
        <f>IF(Employee__2[[#This Row],[City]]="Pune","Yes","No")</f>
        <v>Yes</v>
      </c>
      <c r="O2128" s="1" t="str">
        <f>IF(AND(Employee__2[[#This Row],[Education]]="Bachelors",Employee__2[[#This Row],[City]]="Pune"),"Yes","No")</f>
        <v>No</v>
      </c>
      <c r="P2128" s="1" t="str">
        <f>IF(OR(Employee__2[[#This Row],[Age]]&gt;=30,Employee__2[[#This Row],[Gender]]="Male"),"Mached","Not mached")</f>
        <v>Not mached</v>
      </c>
    </row>
    <row r="2129" spans="4:16" x14ac:dyDescent="0.25">
      <c r="D2129" s="6" t="s">
        <v>34</v>
      </c>
      <c r="E2129">
        <v>2014</v>
      </c>
      <c r="F2129" s="6" t="s">
        <v>38</v>
      </c>
      <c r="G2129">
        <v>2</v>
      </c>
      <c r="H2129">
        <v>28</v>
      </c>
      <c r="I2129" s="6" t="s">
        <v>39</v>
      </c>
      <c r="J2129" s="6" t="s">
        <v>37</v>
      </c>
      <c r="K2129">
        <v>1</v>
      </c>
      <c r="M2129" s="1" t="b">
        <f>Employee__2[[#This Row],[Experience]]&gt;1</f>
        <v>0</v>
      </c>
      <c r="N2129" s="1" t="str">
        <f>IF(Employee__2[[#This Row],[City]]="Pune","Yes","No")</f>
        <v>Yes</v>
      </c>
      <c r="O2129" s="1" t="str">
        <f>IF(AND(Employee__2[[#This Row],[Education]]="Bachelors",Employee__2[[#This Row],[City]]="Pune"),"Yes","No")</f>
        <v>Yes</v>
      </c>
      <c r="P2129" s="1" t="str">
        <f>IF(OR(Employee__2[[#This Row],[Age]]&gt;=30,Employee__2[[#This Row],[Gender]]="Male"),"Mached","Not mached")</f>
        <v>Not mached</v>
      </c>
    </row>
    <row r="2130" spans="4:16" x14ac:dyDescent="0.25">
      <c r="D2130" s="6" t="s">
        <v>41</v>
      </c>
      <c r="E2130">
        <v>2012</v>
      </c>
      <c r="F2130" s="6" t="s">
        <v>40</v>
      </c>
      <c r="G2130">
        <v>1</v>
      </c>
      <c r="H2130">
        <v>29</v>
      </c>
      <c r="I2130" s="6" t="s">
        <v>39</v>
      </c>
      <c r="J2130" s="6" t="s">
        <v>37</v>
      </c>
      <c r="K2130">
        <v>1</v>
      </c>
      <c r="M2130" s="1" t="b">
        <f>Employee__2[[#This Row],[Experience]]&gt;1</f>
        <v>0</v>
      </c>
      <c r="N2130" s="1" t="str">
        <f>IF(Employee__2[[#This Row],[City]]="Pune","Yes","No")</f>
        <v>No</v>
      </c>
      <c r="O2130" s="1" t="str">
        <f>IF(AND(Employee__2[[#This Row],[Education]]="Bachelors",Employee__2[[#This Row],[City]]="Pune"),"Yes","No")</f>
        <v>No</v>
      </c>
      <c r="P2130" s="1" t="str">
        <f>IF(OR(Employee__2[[#This Row],[Age]]&gt;=30,Employee__2[[#This Row],[Gender]]="Male"),"Mached","Not mached")</f>
        <v>Not mached</v>
      </c>
    </row>
    <row r="2131" spans="4:16" x14ac:dyDescent="0.25">
      <c r="D2131" s="6" t="s">
        <v>34</v>
      </c>
      <c r="E2131">
        <v>2015</v>
      </c>
      <c r="F2131" s="6" t="s">
        <v>35</v>
      </c>
      <c r="G2131">
        <v>3</v>
      </c>
      <c r="H2131">
        <v>30</v>
      </c>
      <c r="I2131" s="6" t="s">
        <v>39</v>
      </c>
      <c r="J2131" s="6" t="s">
        <v>37</v>
      </c>
      <c r="K2131">
        <v>2</v>
      </c>
      <c r="M2131" s="1" t="b">
        <f>Employee__2[[#This Row],[Experience]]&gt;1</f>
        <v>1</v>
      </c>
      <c r="N2131" s="1" t="str">
        <f>IF(Employee__2[[#This Row],[City]]="Pune","Yes","No")</f>
        <v>No</v>
      </c>
      <c r="O2131" s="1" t="str">
        <f>IF(AND(Employee__2[[#This Row],[Education]]="Bachelors",Employee__2[[#This Row],[City]]="Pune"),"Yes","No")</f>
        <v>No</v>
      </c>
      <c r="P2131" s="1" t="str">
        <f>IF(OR(Employee__2[[#This Row],[Age]]&gt;=30,Employee__2[[#This Row],[Gender]]="Male"),"Mached","Not mached")</f>
        <v>Mached</v>
      </c>
    </row>
    <row r="2132" spans="4:16" x14ac:dyDescent="0.25">
      <c r="D2132" s="6" t="s">
        <v>41</v>
      </c>
      <c r="E2132">
        <v>2017</v>
      </c>
      <c r="F2132" s="6" t="s">
        <v>35</v>
      </c>
      <c r="G2132">
        <v>2</v>
      </c>
      <c r="H2132">
        <v>26</v>
      </c>
      <c r="I2132" s="6" t="s">
        <v>36</v>
      </c>
      <c r="J2132" s="6" t="s">
        <v>42</v>
      </c>
      <c r="K2132">
        <v>4</v>
      </c>
      <c r="M2132" s="1" t="b">
        <f>Employee__2[[#This Row],[Experience]]&gt;1</f>
        <v>1</v>
      </c>
      <c r="N2132" s="1" t="str">
        <f>IF(Employee__2[[#This Row],[City]]="Pune","Yes","No")</f>
        <v>No</v>
      </c>
      <c r="O2132" s="1" t="str">
        <f>IF(AND(Employee__2[[#This Row],[Education]]="Bachelors",Employee__2[[#This Row],[City]]="Pune"),"Yes","No")</f>
        <v>No</v>
      </c>
      <c r="P2132" s="1" t="str">
        <f>IF(OR(Employee__2[[#This Row],[Age]]&gt;=30,Employee__2[[#This Row],[Gender]]="Male"),"Mached","Not mached")</f>
        <v>Mached</v>
      </c>
    </row>
    <row r="2133" spans="4:16" x14ac:dyDescent="0.25">
      <c r="D2133" s="6" t="s">
        <v>34</v>
      </c>
      <c r="E2133">
        <v>2012</v>
      </c>
      <c r="F2133" s="6" t="s">
        <v>35</v>
      </c>
      <c r="G2133">
        <v>3</v>
      </c>
      <c r="H2133">
        <v>26</v>
      </c>
      <c r="I2133" s="6" t="s">
        <v>36</v>
      </c>
      <c r="J2133" s="6" t="s">
        <v>37</v>
      </c>
      <c r="K2133">
        <v>4</v>
      </c>
      <c r="M2133" s="1" t="b">
        <f>Employee__2[[#This Row],[Experience]]&gt;1</f>
        <v>1</v>
      </c>
      <c r="N2133" s="1" t="str">
        <f>IF(Employee__2[[#This Row],[City]]="Pune","Yes","No")</f>
        <v>No</v>
      </c>
      <c r="O2133" s="1" t="str">
        <f>IF(AND(Employee__2[[#This Row],[Education]]="Bachelors",Employee__2[[#This Row],[City]]="Pune"),"Yes","No")</f>
        <v>No</v>
      </c>
      <c r="P2133" s="1" t="str">
        <f>IF(OR(Employee__2[[#This Row],[Age]]&gt;=30,Employee__2[[#This Row],[Gender]]="Male"),"Mached","Not mached")</f>
        <v>Mached</v>
      </c>
    </row>
    <row r="2134" spans="4:16" x14ac:dyDescent="0.25">
      <c r="D2134" s="6" t="s">
        <v>34</v>
      </c>
      <c r="E2134">
        <v>2013</v>
      </c>
      <c r="F2134" s="6" t="s">
        <v>35</v>
      </c>
      <c r="G2134">
        <v>1</v>
      </c>
      <c r="H2134">
        <v>30</v>
      </c>
      <c r="I2134" s="6" t="s">
        <v>36</v>
      </c>
      <c r="J2134" s="6" t="s">
        <v>37</v>
      </c>
      <c r="K2134">
        <v>1</v>
      </c>
      <c r="M2134" s="1" t="b">
        <f>Employee__2[[#This Row],[Experience]]&gt;1</f>
        <v>0</v>
      </c>
      <c r="N2134" s="1" t="str">
        <f>IF(Employee__2[[#This Row],[City]]="Pune","Yes","No")</f>
        <v>No</v>
      </c>
      <c r="O2134" s="1" t="str">
        <f>IF(AND(Employee__2[[#This Row],[Education]]="Bachelors",Employee__2[[#This Row],[City]]="Pune"),"Yes","No")</f>
        <v>No</v>
      </c>
      <c r="P2134" s="1" t="str">
        <f>IF(OR(Employee__2[[#This Row],[Age]]&gt;=30,Employee__2[[#This Row],[Gender]]="Male"),"Mached","Not mached")</f>
        <v>Mached</v>
      </c>
    </row>
    <row r="2135" spans="4:16" x14ac:dyDescent="0.25">
      <c r="D2135" s="6" t="s">
        <v>41</v>
      </c>
      <c r="E2135">
        <v>2017</v>
      </c>
      <c r="F2135" s="6" t="s">
        <v>40</v>
      </c>
      <c r="G2135">
        <v>3</v>
      </c>
      <c r="H2135">
        <v>30</v>
      </c>
      <c r="I2135" s="6" t="s">
        <v>36</v>
      </c>
      <c r="J2135" s="6" t="s">
        <v>42</v>
      </c>
      <c r="K2135">
        <v>2</v>
      </c>
      <c r="M2135" s="1" t="b">
        <f>Employee__2[[#This Row],[Experience]]&gt;1</f>
        <v>1</v>
      </c>
      <c r="N2135" s="1" t="str">
        <f>IF(Employee__2[[#This Row],[City]]="Pune","Yes","No")</f>
        <v>No</v>
      </c>
      <c r="O2135" s="1" t="str">
        <f>IF(AND(Employee__2[[#This Row],[Education]]="Bachelors",Employee__2[[#This Row],[City]]="Pune"),"Yes","No")</f>
        <v>No</v>
      </c>
      <c r="P2135" s="1" t="str">
        <f>IF(OR(Employee__2[[#This Row],[Age]]&gt;=30,Employee__2[[#This Row],[Gender]]="Male"),"Mached","Not mached")</f>
        <v>Mached</v>
      </c>
    </row>
    <row r="2136" spans="4:16" x14ac:dyDescent="0.25">
      <c r="D2136" s="6" t="s">
        <v>34</v>
      </c>
      <c r="E2136">
        <v>2015</v>
      </c>
      <c r="F2136" s="6" t="s">
        <v>38</v>
      </c>
      <c r="G2136">
        <v>2</v>
      </c>
      <c r="H2136">
        <v>27</v>
      </c>
      <c r="I2136" s="6" t="s">
        <v>39</v>
      </c>
      <c r="J2136" s="6" t="s">
        <v>42</v>
      </c>
      <c r="K2136">
        <v>5</v>
      </c>
      <c r="M2136" s="1" t="b">
        <f>Employee__2[[#This Row],[Experience]]&gt;1</f>
        <v>1</v>
      </c>
      <c r="N2136" s="1" t="str">
        <f>IF(Employee__2[[#This Row],[City]]="Pune","Yes","No")</f>
        <v>Yes</v>
      </c>
      <c r="O2136" s="1" t="str">
        <f>IF(AND(Employee__2[[#This Row],[Education]]="Bachelors",Employee__2[[#This Row],[City]]="Pune"),"Yes","No")</f>
        <v>Yes</v>
      </c>
      <c r="P2136" s="1" t="str">
        <f>IF(OR(Employee__2[[#This Row],[Age]]&gt;=30,Employee__2[[#This Row],[Gender]]="Male"),"Mached","Not mached")</f>
        <v>Not mached</v>
      </c>
    </row>
    <row r="2137" spans="4:16" x14ac:dyDescent="0.25">
      <c r="D2137" s="6" t="s">
        <v>34</v>
      </c>
      <c r="E2137">
        <v>2016</v>
      </c>
      <c r="F2137" s="6" t="s">
        <v>35</v>
      </c>
      <c r="G2137">
        <v>3</v>
      </c>
      <c r="H2137">
        <v>28</v>
      </c>
      <c r="I2137" s="6" t="s">
        <v>36</v>
      </c>
      <c r="J2137" s="6" t="s">
        <v>37</v>
      </c>
      <c r="K2137">
        <v>2</v>
      </c>
      <c r="M2137" s="1" t="b">
        <f>Employee__2[[#This Row],[Experience]]&gt;1</f>
        <v>1</v>
      </c>
      <c r="N2137" s="1" t="str">
        <f>IF(Employee__2[[#This Row],[City]]="Pune","Yes","No")</f>
        <v>No</v>
      </c>
      <c r="O2137" s="1" t="str">
        <f>IF(AND(Employee__2[[#This Row],[Education]]="Bachelors",Employee__2[[#This Row],[City]]="Pune"),"Yes","No")</f>
        <v>No</v>
      </c>
      <c r="P2137" s="1" t="str">
        <f>IF(OR(Employee__2[[#This Row],[Age]]&gt;=30,Employee__2[[#This Row],[Gender]]="Male"),"Mached","Not mached")</f>
        <v>Mached</v>
      </c>
    </row>
    <row r="2138" spans="4:16" x14ac:dyDescent="0.25">
      <c r="D2138" s="6" t="s">
        <v>34</v>
      </c>
      <c r="E2138">
        <v>2017</v>
      </c>
      <c r="F2138" s="6" t="s">
        <v>38</v>
      </c>
      <c r="G2138">
        <v>2</v>
      </c>
      <c r="H2138">
        <v>26</v>
      </c>
      <c r="I2138" s="6" t="s">
        <v>39</v>
      </c>
      <c r="J2138" s="6" t="s">
        <v>37</v>
      </c>
      <c r="K2138">
        <v>4</v>
      </c>
      <c r="M2138" s="1" t="b">
        <f>Employee__2[[#This Row],[Experience]]&gt;1</f>
        <v>1</v>
      </c>
      <c r="N2138" s="1" t="str">
        <f>IF(Employee__2[[#This Row],[City]]="Pune","Yes","No")</f>
        <v>Yes</v>
      </c>
      <c r="O2138" s="1" t="str">
        <f>IF(AND(Employee__2[[#This Row],[Education]]="Bachelors",Employee__2[[#This Row],[City]]="Pune"),"Yes","No")</f>
        <v>Yes</v>
      </c>
      <c r="P2138" s="1" t="str">
        <f>IF(OR(Employee__2[[#This Row],[Age]]&gt;=30,Employee__2[[#This Row],[Gender]]="Male"),"Mached","Not mached")</f>
        <v>Not mached</v>
      </c>
    </row>
    <row r="2139" spans="4:16" x14ac:dyDescent="0.25">
      <c r="D2139" s="6" t="s">
        <v>41</v>
      </c>
      <c r="E2139">
        <v>2015</v>
      </c>
      <c r="F2139" s="6" t="s">
        <v>40</v>
      </c>
      <c r="G2139">
        <v>2</v>
      </c>
      <c r="H2139">
        <v>26</v>
      </c>
      <c r="I2139" s="6" t="s">
        <v>39</v>
      </c>
      <c r="J2139" s="6" t="s">
        <v>37</v>
      </c>
      <c r="K2139">
        <v>4</v>
      </c>
      <c r="M2139" s="1" t="b">
        <f>Employee__2[[#This Row],[Experience]]&gt;1</f>
        <v>1</v>
      </c>
      <c r="N2139" s="1" t="str">
        <f>IF(Employee__2[[#This Row],[City]]="Pune","Yes","No")</f>
        <v>No</v>
      </c>
      <c r="O2139" s="1" t="str">
        <f>IF(AND(Employee__2[[#This Row],[Education]]="Bachelors",Employee__2[[#This Row],[City]]="Pune"),"Yes","No")</f>
        <v>No</v>
      </c>
      <c r="P2139" s="1" t="str">
        <f>IF(OR(Employee__2[[#This Row],[Age]]&gt;=30,Employee__2[[#This Row],[Gender]]="Male"),"Mached","Not mached")</f>
        <v>Not mached</v>
      </c>
    </row>
    <row r="2140" spans="4:16" x14ac:dyDescent="0.25">
      <c r="D2140" s="6" t="s">
        <v>34</v>
      </c>
      <c r="E2140">
        <v>2015</v>
      </c>
      <c r="F2140" s="6" t="s">
        <v>38</v>
      </c>
      <c r="G2140">
        <v>2</v>
      </c>
      <c r="H2140">
        <v>26</v>
      </c>
      <c r="I2140" s="6" t="s">
        <v>39</v>
      </c>
      <c r="J2140" s="6" t="s">
        <v>37</v>
      </c>
      <c r="K2140">
        <v>4</v>
      </c>
      <c r="M2140" s="1" t="b">
        <f>Employee__2[[#This Row],[Experience]]&gt;1</f>
        <v>1</v>
      </c>
      <c r="N2140" s="1" t="str">
        <f>IF(Employee__2[[#This Row],[City]]="Pune","Yes","No")</f>
        <v>Yes</v>
      </c>
      <c r="O2140" s="1" t="str">
        <f>IF(AND(Employee__2[[#This Row],[Education]]="Bachelors",Employee__2[[#This Row],[City]]="Pune"),"Yes","No")</f>
        <v>Yes</v>
      </c>
      <c r="P2140" s="1" t="str">
        <f>IF(OR(Employee__2[[#This Row],[Age]]&gt;=30,Employee__2[[#This Row],[Gender]]="Male"),"Mached","Not mached")</f>
        <v>Not mached</v>
      </c>
    </row>
    <row r="2141" spans="4:16" x14ac:dyDescent="0.25">
      <c r="D2141" s="6" t="s">
        <v>43</v>
      </c>
      <c r="E2141">
        <v>2013</v>
      </c>
      <c r="F2141" s="6" t="s">
        <v>40</v>
      </c>
      <c r="G2141">
        <v>3</v>
      </c>
      <c r="H2141">
        <v>27</v>
      </c>
      <c r="I2141" s="6" t="s">
        <v>39</v>
      </c>
      <c r="J2141" s="6" t="s">
        <v>42</v>
      </c>
      <c r="K2141">
        <v>5</v>
      </c>
      <c r="M2141" s="1" t="b">
        <f>Employee__2[[#This Row],[Experience]]&gt;1</f>
        <v>1</v>
      </c>
      <c r="N2141" s="1" t="str">
        <f>IF(Employee__2[[#This Row],[City]]="Pune","Yes","No")</f>
        <v>No</v>
      </c>
      <c r="O2141" s="1" t="str">
        <f>IF(AND(Employee__2[[#This Row],[Education]]="Bachelors",Employee__2[[#This Row],[City]]="Pune"),"Yes","No")</f>
        <v>No</v>
      </c>
      <c r="P2141" s="1" t="str">
        <f>IF(OR(Employee__2[[#This Row],[Age]]&gt;=30,Employee__2[[#This Row],[Gender]]="Male"),"Mached","Not mached")</f>
        <v>Not mached</v>
      </c>
    </row>
    <row r="2142" spans="4:16" x14ac:dyDescent="0.25">
      <c r="D2142" s="6" t="s">
        <v>34</v>
      </c>
      <c r="E2142">
        <v>2014</v>
      </c>
      <c r="F2142" s="6" t="s">
        <v>35</v>
      </c>
      <c r="G2142">
        <v>3</v>
      </c>
      <c r="H2142">
        <v>27</v>
      </c>
      <c r="I2142" s="6" t="s">
        <v>36</v>
      </c>
      <c r="J2142" s="6" t="s">
        <v>37</v>
      </c>
      <c r="K2142">
        <v>5</v>
      </c>
      <c r="M2142" s="1" t="b">
        <f>Employee__2[[#This Row],[Experience]]&gt;1</f>
        <v>1</v>
      </c>
      <c r="N2142" s="1" t="str">
        <f>IF(Employee__2[[#This Row],[City]]="Pune","Yes","No")</f>
        <v>No</v>
      </c>
      <c r="O2142" s="1" t="str">
        <f>IF(AND(Employee__2[[#This Row],[Education]]="Bachelors",Employee__2[[#This Row],[City]]="Pune"),"Yes","No")</f>
        <v>No</v>
      </c>
      <c r="P2142" s="1" t="str">
        <f>IF(OR(Employee__2[[#This Row],[Age]]&gt;=30,Employee__2[[#This Row],[Gender]]="Male"),"Mached","Not mached")</f>
        <v>Mached</v>
      </c>
    </row>
    <row r="2143" spans="4:16" x14ac:dyDescent="0.25">
      <c r="D2143" s="6" t="s">
        <v>34</v>
      </c>
      <c r="E2143">
        <v>2013</v>
      </c>
      <c r="F2143" s="6" t="s">
        <v>40</v>
      </c>
      <c r="G2143">
        <v>3</v>
      </c>
      <c r="H2143">
        <v>29</v>
      </c>
      <c r="I2143" s="6" t="s">
        <v>39</v>
      </c>
      <c r="J2143" s="6" t="s">
        <v>37</v>
      </c>
      <c r="K2143">
        <v>1</v>
      </c>
      <c r="M2143" s="1" t="b">
        <f>Employee__2[[#This Row],[Experience]]&gt;1</f>
        <v>0</v>
      </c>
      <c r="N2143" s="1" t="str">
        <f>IF(Employee__2[[#This Row],[City]]="Pune","Yes","No")</f>
        <v>No</v>
      </c>
      <c r="O2143" s="1" t="str">
        <f>IF(AND(Employee__2[[#This Row],[Education]]="Bachelors",Employee__2[[#This Row],[City]]="Pune"),"Yes","No")</f>
        <v>No</v>
      </c>
      <c r="P2143" s="1" t="str">
        <f>IF(OR(Employee__2[[#This Row],[Age]]&gt;=30,Employee__2[[#This Row],[Gender]]="Male"),"Mached","Not mached")</f>
        <v>Not mached</v>
      </c>
    </row>
    <row r="2144" spans="4:16" x14ac:dyDescent="0.25">
      <c r="D2144" s="6" t="s">
        <v>41</v>
      </c>
      <c r="E2144">
        <v>2017</v>
      </c>
      <c r="F2144" s="6" t="s">
        <v>38</v>
      </c>
      <c r="G2144">
        <v>3</v>
      </c>
      <c r="H2144">
        <v>29</v>
      </c>
      <c r="I2144" s="6" t="s">
        <v>36</v>
      </c>
      <c r="J2144" s="6" t="s">
        <v>37</v>
      </c>
      <c r="K2144">
        <v>2</v>
      </c>
      <c r="M2144" s="1" t="b">
        <f>Employee__2[[#This Row],[Experience]]&gt;1</f>
        <v>1</v>
      </c>
      <c r="N2144" s="1" t="str">
        <f>IF(Employee__2[[#This Row],[City]]="Pune","Yes","No")</f>
        <v>Yes</v>
      </c>
      <c r="O2144" s="1" t="str">
        <f>IF(AND(Employee__2[[#This Row],[Education]]="Bachelors",Employee__2[[#This Row],[City]]="Pune"),"Yes","No")</f>
        <v>No</v>
      </c>
      <c r="P2144" s="1" t="str">
        <f>IF(OR(Employee__2[[#This Row],[Age]]&gt;=30,Employee__2[[#This Row],[Gender]]="Male"),"Mached","Not mached")</f>
        <v>Mached</v>
      </c>
    </row>
    <row r="2145" spans="4:16" x14ac:dyDescent="0.25">
      <c r="D2145" s="6" t="s">
        <v>34</v>
      </c>
      <c r="E2145">
        <v>2016</v>
      </c>
      <c r="F2145" s="6" t="s">
        <v>38</v>
      </c>
      <c r="G2145">
        <v>3</v>
      </c>
      <c r="H2145">
        <v>28</v>
      </c>
      <c r="I2145" s="6" t="s">
        <v>36</v>
      </c>
      <c r="J2145" s="6" t="s">
        <v>37</v>
      </c>
      <c r="K2145">
        <v>2</v>
      </c>
      <c r="M2145" s="1" t="b">
        <f>Employee__2[[#This Row],[Experience]]&gt;1</f>
        <v>1</v>
      </c>
      <c r="N2145" s="1" t="str">
        <f>IF(Employee__2[[#This Row],[City]]="Pune","Yes","No")</f>
        <v>Yes</v>
      </c>
      <c r="O2145" s="1" t="str">
        <f>IF(AND(Employee__2[[#This Row],[Education]]="Bachelors",Employee__2[[#This Row],[City]]="Pune"),"Yes","No")</f>
        <v>Yes</v>
      </c>
      <c r="P2145" s="1" t="str">
        <f>IF(OR(Employee__2[[#This Row],[Age]]&gt;=30,Employee__2[[#This Row],[Gender]]="Male"),"Mached","Not mached")</f>
        <v>Mached</v>
      </c>
    </row>
    <row r="2146" spans="4:16" x14ac:dyDescent="0.25">
      <c r="D2146" s="6" t="s">
        <v>34</v>
      </c>
      <c r="E2146">
        <v>2013</v>
      </c>
      <c r="F2146" s="6" t="s">
        <v>35</v>
      </c>
      <c r="G2146">
        <v>3</v>
      </c>
      <c r="H2146">
        <v>26</v>
      </c>
      <c r="I2146" s="6" t="s">
        <v>36</v>
      </c>
      <c r="J2146" s="6" t="s">
        <v>37</v>
      </c>
      <c r="K2146">
        <v>4</v>
      </c>
      <c r="M2146" s="1" t="b">
        <f>Employee__2[[#This Row],[Experience]]&gt;1</f>
        <v>1</v>
      </c>
      <c r="N2146" s="1" t="str">
        <f>IF(Employee__2[[#This Row],[City]]="Pune","Yes","No")</f>
        <v>No</v>
      </c>
      <c r="O2146" s="1" t="str">
        <f>IF(AND(Employee__2[[#This Row],[Education]]="Bachelors",Employee__2[[#This Row],[City]]="Pune"),"Yes","No")</f>
        <v>No</v>
      </c>
      <c r="P2146" s="1" t="str">
        <f>IF(OR(Employee__2[[#This Row],[Age]]&gt;=30,Employee__2[[#This Row],[Gender]]="Male"),"Mached","Not mached")</f>
        <v>Mached</v>
      </c>
    </row>
    <row r="2147" spans="4:16" x14ac:dyDescent="0.25">
      <c r="D2147" s="6" t="s">
        <v>34</v>
      </c>
      <c r="E2147">
        <v>2013</v>
      </c>
      <c r="F2147" s="6" t="s">
        <v>35</v>
      </c>
      <c r="G2147">
        <v>3</v>
      </c>
      <c r="H2147">
        <v>29</v>
      </c>
      <c r="I2147" s="6" t="s">
        <v>36</v>
      </c>
      <c r="J2147" s="6" t="s">
        <v>37</v>
      </c>
      <c r="K2147">
        <v>1</v>
      </c>
      <c r="M2147" s="1" t="b">
        <f>Employee__2[[#This Row],[Experience]]&gt;1</f>
        <v>0</v>
      </c>
      <c r="N2147" s="1" t="str">
        <f>IF(Employee__2[[#This Row],[City]]="Pune","Yes","No")</f>
        <v>No</v>
      </c>
      <c r="O2147" s="1" t="str">
        <f>IF(AND(Employee__2[[#This Row],[Education]]="Bachelors",Employee__2[[#This Row],[City]]="Pune"),"Yes","No")</f>
        <v>No</v>
      </c>
      <c r="P2147" s="1" t="str">
        <f>IF(OR(Employee__2[[#This Row],[Age]]&gt;=30,Employee__2[[#This Row],[Gender]]="Male"),"Mached","Not mached")</f>
        <v>Mached</v>
      </c>
    </row>
    <row r="2148" spans="4:16" x14ac:dyDescent="0.25">
      <c r="D2148" s="6" t="s">
        <v>34</v>
      </c>
      <c r="E2148">
        <v>2016</v>
      </c>
      <c r="F2148" s="6" t="s">
        <v>38</v>
      </c>
      <c r="G2148">
        <v>3</v>
      </c>
      <c r="H2148">
        <v>29</v>
      </c>
      <c r="I2148" s="6" t="s">
        <v>36</v>
      </c>
      <c r="J2148" s="6" t="s">
        <v>37</v>
      </c>
      <c r="K2148">
        <v>2</v>
      </c>
      <c r="M2148" s="1" t="b">
        <f>Employee__2[[#This Row],[Experience]]&gt;1</f>
        <v>1</v>
      </c>
      <c r="N2148" s="1" t="str">
        <f>IF(Employee__2[[#This Row],[City]]="Pune","Yes","No")</f>
        <v>Yes</v>
      </c>
      <c r="O2148" s="1" t="str">
        <f>IF(AND(Employee__2[[#This Row],[Education]]="Bachelors",Employee__2[[#This Row],[City]]="Pune"),"Yes","No")</f>
        <v>Yes</v>
      </c>
      <c r="P2148" s="1" t="str">
        <f>IF(OR(Employee__2[[#This Row],[Age]]&gt;=30,Employee__2[[#This Row],[Gender]]="Male"),"Mached","Not mached")</f>
        <v>Mached</v>
      </c>
    </row>
    <row r="2149" spans="4:16" x14ac:dyDescent="0.25">
      <c r="D2149" s="6" t="s">
        <v>41</v>
      </c>
      <c r="E2149">
        <v>2016</v>
      </c>
      <c r="F2149" s="6" t="s">
        <v>40</v>
      </c>
      <c r="G2149">
        <v>3</v>
      </c>
      <c r="H2149">
        <v>26</v>
      </c>
      <c r="I2149" s="6" t="s">
        <v>36</v>
      </c>
      <c r="J2149" s="6" t="s">
        <v>37</v>
      </c>
      <c r="K2149">
        <v>4</v>
      </c>
      <c r="M2149" s="1" t="b">
        <f>Employee__2[[#This Row],[Experience]]&gt;1</f>
        <v>1</v>
      </c>
      <c r="N2149" s="1" t="str">
        <f>IF(Employee__2[[#This Row],[City]]="Pune","Yes","No")</f>
        <v>No</v>
      </c>
      <c r="O2149" s="1" t="str">
        <f>IF(AND(Employee__2[[#This Row],[Education]]="Bachelors",Employee__2[[#This Row],[City]]="Pune"),"Yes","No")</f>
        <v>No</v>
      </c>
      <c r="P2149" s="1" t="str">
        <f>IF(OR(Employee__2[[#This Row],[Age]]&gt;=30,Employee__2[[#This Row],[Gender]]="Male"),"Mached","Not mached")</f>
        <v>Mached</v>
      </c>
    </row>
    <row r="2150" spans="4:16" x14ac:dyDescent="0.25">
      <c r="D2150" s="6" t="s">
        <v>34</v>
      </c>
      <c r="E2150">
        <v>2015</v>
      </c>
      <c r="F2150" s="6" t="s">
        <v>35</v>
      </c>
      <c r="G2150">
        <v>3</v>
      </c>
      <c r="H2150">
        <v>30</v>
      </c>
      <c r="I2150" s="6" t="s">
        <v>39</v>
      </c>
      <c r="J2150" s="6" t="s">
        <v>37</v>
      </c>
      <c r="K2150">
        <v>1</v>
      </c>
      <c r="M2150" s="1" t="b">
        <f>Employee__2[[#This Row],[Experience]]&gt;1</f>
        <v>0</v>
      </c>
      <c r="N2150" s="1" t="str">
        <f>IF(Employee__2[[#This Row],[City]]="Pune","Yes","No")</f>
        <v>No</v>
      </c>
      <c r="O2150" s="1" t="str">
        <f>IF(AND(Employee__2[[#This Row],[Education]]="Bachelors",Employee__2[[#This Row],[City]]="Pune"),"Yes","No")</f>
        <v>No</v>
      </c>
      <c r="P2150" s="1" t="str">
        <f>IF(OR(Employee__2[[#This Row],[Age]]&gt;=30,Employee__2[[#This Row],[Gender]]="Male"),"Mached","Not mached")</f>
        <v>Mached</v>
      </c>
    </row>
    <row r="2151" spans="4:16" x14ac:dyDescent="0.25">
      <c r="D2151" s="6" t="s">
        <v>34</v>
      </c>
      <c r="E2151">
        <v>2014</v>
      </c>
      <c r="F2151" s="6" t="s">
        <v>35</v>
      </c>
      <c r="G2151">
        <v>3</v>
      </c>
      <c r="H2151">
        <v>26</v>
      </c>
      <c r="I2151" s="6" t="s">
        <v>36</v>
      </c>
      <c r="J2151" s="6" t="s">
        <v>37</v>
      </c>
      <c r="K2151">
        <v>4</v>
      </c>
      <c r="M2151" s="1" t="b">
        <f>Employee__2[[#This Row],[Experience]]&gt;1</f>
        <v>1</v>
      </c>
      <c r="N2151" s="1" t="str">
        <f>IF(Employee__2[[#This Row],[City]]="Pune","Yes","No")</f>
        <v>No</v>
      </c>
      <c r="O2151" s="1" t="str">
        <f>IF(AND(Employee__2[[#This Row],[Education]]="Bachelors",Employee__2[[#This Row],[City]]="Pune"),"Yes","No")</f>
        <v>No</v>
      </c>
      <c r="P2151" s="1" t="str">
        <f>IF(OR(Employee__2[[#This Row],[Age]]&gt;=30,Employee__2[[#This Row],[Gender]]="Male"),"Mached","Not mached")</f>
        <v>Mached</v>
      </c>
    </row>
    <row r="2152" spans="4:16" x14ac:dyDescent="0.25">
      <c r="D2152" s="6" t="s">
        <v>34</v>
      </c>
      <c r="E2152">
        <v>2013</v>
      </c>
      <c r="F2152" s="6" t="s">
        <v>35</v>
      </c>
      <c r="G2152">
        <v>3</v>
      </c>
      <c r="H2152">
        <v>27</v>
      </c>
      <c r="I2152" s="6" t="s">
        <v>39</v>
      </c>
      <c r="J2152" s="6" t="s">
        <v>37</v>
      </c>
      <c r="K2152">
        <v>5</v>
      </c>
      <c r="M2152" s="1" t="b">
        <f>Employee__2[[#This Row],[Experience]]&gt;1</f>
        <v>1</v>
      </c>
      <c r="N2152" s="1" t="str">
        <f>IF(Employee__2[[#This Row],[City]]="Pune","Yes","No")</f>
        <v>No</v>
      </c>
      <c r="O2152" s="1" t="str">
        <f>IF(AND(Employee__2[[#This Row],[Education]]="Bachelors",Employee__2[[#This Row],[City]]="Pune"),"Yes","No")</f>
        <v>No</v>
      </c>
      <c r="P2152" s="1" t="str">
        <f>IF(OR(Employee__2[[#This Row],[Age]]&gt;=30,Employee__2[[#This Row],[Gender]]="Male"),"Mached","Not mached")</f>
        <v>Not mached</v>
      </c>
    </row>
    <row r="2153" spans="4:16" x14ac:dyDescent="0.25">
      <c r="D2153" s="6" t="s">
        <v>34</v>
      </c>
      <c r="E2153">
        <v>2016</v>
      </c>
      <c r="F2153" s="6" t="s">
        <v>35</v>
      </c>
      <c r="G2153">
        <v>3</v>
      </c>
      <c r="H2153">
        <v>29</v>
      </c>
      <c r="I2153" s="6" t="s">
        <v>36</v>
      </c>
      <c r="J2153" s="6" t="s">
        <v>37</v>
      </c>
      <c r="K2153">
        <v>2</v>
      </c>
      <c r="M2153" s="1" t="b">
        <f>Employee__2[[#This Row],[Experience]]&gt;1</f>
        <v>1</v>
      </c>
      <c r="N2153" s="1" t="str">
        <f>IF(Employee__2[[#This Row],[City]]="Pune","Yes","No")</f>
        <v>No</v>
      </c>
      <c r="O2153" s="1" t="str">
        <f>IF(AND(Employee__2[[#This Row],[Education]]="Bachelors",Employee__2[[#This Row],[City]]="Pune"),"Yes","No")</f>
        <v>No</v>
      </c>
      <c r="P2153" s="1" t="str">
        <f>IF(OR(Employee__2[[#This Row],[Age]]&gt;=30,Employee__2[[#This Row],[Gender]]="Male"),"Mached","Not mached")</f>
        <v>Mached</v>
      </c>
    </row>
    <row r="2154" spans="4:16" x14ac:dyDescent="0.25">
      <c r="D2154" s="6" t="s">
        <v>34</v>
      </c>
      <c r="E2154">
        <v>2016</v>
      </c>
      <c r="F2154" s="6" t="s">
        <v>35</v>
      </c>
      <c r="G2154">
        <v>3</v>
      </c>
      <c r="H2154">
        <v>29</v>
      </c>
      <c r="I2154" s="6" t="s">
        <v>36</v>
      </c>
      <c r="J2154" s="6" t="s">
        <v>37</v>
      </c>
      <c r="K2154">
        <v>1</v>
      </c>
      <c r="M2154" s="1" t="b">
        <f>Employee__2[[#This Row],[Experience]]&gt;1</f>
        <v>0</v>
      </c>
      <c r="N2154" s="1" t="str">
        <f>IF(Employee__2[[#This Row],[City]]="Pune","Yes","No")</f>
        <v>No</v>
      </c>
      <c r="O2154" s="1" t="str">
        <f>IF(AND(Employee__2[[#This Row],[Education]]="Bachelors",Employee__2[[#This Row],[City]]="Pune"),"Yes","No")</f>
        <v>No</v>
      </c>
      <c r="P2154" s="1" t="str">
        <f>IF(OR(Employee__2[[#This Row],[Age]]&gt;=30,Employee__2[[#This Row],[Gender]]="Male"),"Mached","Not mached")</f>
        <v>Mached</v>
      </c>
    </row>
    <row r="2155" spans="4:16" x14ac:dyDescent="0.25">
      <c r="D2155" s="6" t="s">
        <v>41</v>
      </c>
      <c r="E2155">
        <v>2014</v>
      </c>
      <c r="F2155" s="6" t="s">
        <v>40</v>
      </c>
      <c r="G2155">
        <v>3</v>
      </c>
      <c r="H2155">
        <v>29</v>
      </c>
      <c r="I2155" s="6" t="s">
        <v>36</v>
      </c>
      <c r="J2155" s="6" t="s">
        <v>37</v>
      </c>
      <c r="K2155">
        <v>1</v>
      </c>
      <c r="M2155" s="1" t="b">
        <f>Employee__2[[#This Row],[Experience]]&gt;1</f>
        <v>0</v>
      </c>
      <c r="N2155" s="1" t="str">
        <f>IF(Employee__2[[#This Row],[City]]="Pune","Yes","No")</f>
        <v>No</v>
      </c>
      <c r="O2155" s="1" t="str">
        <f>IF(AND(Employee__2[[#This Row],[Education]]="Bachelors",Employee__2[[#This Row],[City]]="Pune"),"Yes","No")</f>
        <v>No</v>
      </c>
      <c r="P2155" s="1" t="str">
        <f>IF(OR(Employee__2[[#This Row],[Age]]&gt;=30,Employee__2[[#This Row],[Gender]]="Male"),"Mached","Not mached")</f>
        <v>Mached</v>
      </c>
    </row>
    <row r="2156" spans="4:16" x14ac:dyDescent="0.25">
      <c r="D2156" s="6" t="s">
        <v>34</v>
      </c>
      <c r="E2156">
        <v>2014</v>
      </c>
      <c r="F2156" s="6" t="s">
        <v>35</v>
      </c>
      <c r="G2156">
        <v>3</v>
      </c>
      <c r="H2156">
        <v>27</v>
      </c>
      <c r="I2156" s="6" t="s">
        <v>36</v>
      </c>
      <c r="J2156" s="6" t="s">
        <v>37</v>
      </c>
      <c r="K2156">
        <v>5</v>
      </c>
      <c r="M2156" s="1" t="b">
        <f>Employee__2[[#This Row],[Experience]]&gt;1</f>
        <v>1</v>
      </c>
      <c r="N2156" s="1" t="str">
        <f>IF(Employee__2[[#This Row],[City]]="Pune","Yes","No")</f>
        <v>No</v>
      </c>
      <c r="O2156" s="1" t="str">
        <f>IF(AND(Employee__2[[#This Row],[Education]]="Bachelors",Employee__2[[#This Row],[City]]="Pune"),"Yes","No")</f>
        <v>No</v>
      </c>
      <c r="P2156" s="1" t="str">
        <f>IF(OR(Employee__2[[#This Row],[Age]]&gt;=30,Employee__2[[#This Row],[Gender]]="Male"),"Mached","Not mached")</f>
        <v>Mached</v>
      </c>
    </row>
    <row r="2157" spans="4:16" x14ac:dyDescent="0.25">
      <c r="D2157" s="6" t="s">
        <v>34</v>
      </c>
      <c r="E2157">
        <v>2012</v>
      </c>
      <c r="F2157" s="6" t="s">
        <v>35</v>
      </c>
      <c r="G2157">
        <v>1</v>
      </c>
      <c r="H2157">
        <v>27</v>
      </c>
      <c r="I2157" s="6" t="s">
        <v>39</v>
      </c>
      <c r="J2157" s="6" t="s">
        <v>37</v>
      </c>
      <c r="K2157">
        <v>5</v>
      </c>
      <c r="M2157" s="1" t="b">
        <f>Employee__2[[#This Row],[Experience]]&gt;1</f>
        <v>1</v>
      </c>
      <c r="N2157" s="1" t="str">
        <f>IF(Employee__2[[#This Row],[City]]="Pune","Yes","No")</f>
        <v>No</v>
      </c>
      <c r="O2157" s="1" t="str">
        <f>IF(AND(Employee__2[[#This Row],[Education]]="Bachelors",Employee__2[[#This Row],[City]]="Pune"),"Yes","No")</f>
        <v>No</v>
      </c>
      <c r="P2157" s="1" t="str">
        <f>IF(OR(Employee__2[[#This Row],[Age]]&gt;=30,Employee__2[[#This Row],[Gender]]="Male"),"Mached","Not mached")</f>
        <v>Not mached</v>
      </c>
    </row>
    <row r="2158" spans="4:16" x14ac:dyDescent="0.25">
      <c r="D2158" s="6" t="s">
        <v>34</v>
      </c>
      <c r="E2158">
        <v>2015</v>
      </c>
      <c r="F2158" s="6" t="s">
        <v>40</v>
      </c>
      <c r="G2158">
        <v>3</v>
      </c>
      <c r="H2158">
        <v>26</v>
      </c>
      <c r="I2158" s="6" t="s">
        <v>39</v>
      </c>
      <c r="J2158" s="6" t="s">
        <v>37</v>
      </c>
      <c r="K2158">
        <v>4</v>
      </c>
      <c r="M2158" s="1" t="b">
        <f>Employee__2[[#This Row],[Experience]]&gt;1</f>
        <v>1</v>
      </c>
      <c r="N2158" s="1" t="str">
        <f>IF(Employee__2[[#This Row],[City]]="Pune","Yes","No")</f>
        <v>No</v>
      </c>
      <c r="O2158" s="1" t="str">
        <f>IF(AND(Employee__2[[#This Row],[Education]]="Bachelors",Employee__2[[#This Row],[City]]="Pune"),"Yes","No")</f>
        <v>No</v>
      </c>
      <c r="P2158" s="1" t="str">
        <f>IF(OR(Employee__2[[#This Row],[Age]]&gt;=30,Employee__2[[#This Row],[Gender]]="Male"),"Mached","Not mached")</f>
        <v>Not mached</v>
      </c>
    </row>
    <row r="2159" spans="4:16" x14ac:dyDescent="0.25">
      <c r="D2159" s="6" t="s">
        <v>34</v>
      </c>
      <c r="E2159">
        <v>2015</v>
      </c>
      <c r="F2159" s="6" t="s">
        <v>38</v>
      </c>
      <c r="G2159">
        <v>1</v>
      </c>
      <c r="H2159">
        <v>28</v>
      </c>
      <c r="I2159" s="6" t="s">
        <v>39</v>
      </c>
      <c r="J2159" s="6" t="s">
        <v>37</v>
      </c>
      <c r="K2159">
        <v>2</v>
      </c>
      <c r="M2159" s="1" t="b">
        <f>Employee__2[[#This Row],[Experience]]&gt;1</f>
        <v>1</v>
      </c>
      <c r="N2159" s="1" t="str">
        <f>IF(Employee__2[[#This Row],[City]]="Pune","Yes","No")</f>
        <v>Yes</v>
      </c>
      <c r="O2159" s="1" t="str">
        <f>IF(AND(Employee__2[[#This Row],[Education]]="Bachelors",Employee__2[[#This Row],[City]]="Pune"),"Yes","No")</f>
        <v>Yes</v>
      </c>
      <c r="P2159" s="1" t="str">
        <f>IF(OR(Employee__2[[#This Row],[Age]]&gt;=30,Employee__2[[#This Row],[Gender]]="Male"),"Mached","Not mached")</f>
        <v>Not mached</v>
      </c>
    </row>
    <row r="2160" spans="4:16" x14ac:dyDescent="0.25">
      <c r="D2160" s="6" t="s">
        <v>34</v>
      </c>
      <c r="E2160">
        <v>2015</v>
      </c>
      <c r="F2160" s="6" t="s">
        <v>38</v>
      </c>
      <c r="G2160">
        <v>2</v>
      </c>
      <c r="H2160">
        <v>28</v>
      </c>
      <c r="I2160" s="6" t="s">
        <v>39</v>
      </c>
      <c r="J2160" s="6" t="s">
        <v>37</v>
      </c>
      <c r="K2160">
        <v>1</v>
      </c>
      <c r="M2160" s="1" t="b">
        <f>Employee__2[[#This Row],[Experience]]&gt;1</f>
        <v>0</v>
      </c>
      <c r="N2160" s="1" t="str">
        <f>IF(Employee__2[[#This Row],[City]]="Pune","Yes","No")</f>
        <v>Yes</v>
      </c>
      <c r="O2160" s="1" t="str">
        <f>IF(AND(Employee__2[[#This Row],[Education]]="Bachelors",Employee__2[[#This Row],[City]]="Pune"),"Yes","No")</f>
        <v>Yes</v>
      </c>
      <c r="P2160" s="1" t="str">
        <f>IF(OR(Employee__2[[#This Row],[Age]]&gt;=30,Employee__2[[#This Row],[Gender]]="Male"),"Mached","Not mached")</f>
        <v>Not mached</v>
      </c>
    </row>
    <row r="2161" spans="4:16" x14ac:dyDescent="0.25">
      <c r="D2161" s="6" t="s">
        <v>34</v>
      </c>
      <c r="E2161">
        <v>2018</v>
      </c>
      <c r="F2161" s="6" t="s">
        <v>38</v>
      </c>
      <c r="G2161">
        <v>2</v>
      </c>
      <c r="H2161">
        <v>28</v>
      </c>
      <c r="I2161" s="6" t="s">
        <v>39</v>
      </c>
      <c r="J2161" s="6" t="s">
        <v>37</v>
      </c>
      <c r="K2161">
        <v>2</v>
      </c>
      <c r="M2161" s="1" t="b">
        <f>Employee__2[[#This Row],[Experience]]&gt;1</f>
        <v>1</v>
      </c>
      <c r="N2161" s="1" t="str">
        <f>IF(Employee__2[[#This Row],[City]]="Pune","Yes","No")</f>
        <v>Yes</v>
      </c>
      <c r="O2161" s="1" t="str">
        <f>IF(AND(Employee__2[[#This Row],[Education]]="Bachelors",Employee__2[[#This Row],[City]]="Pune"),"Yes","No")</f>
        <v>Yes</v>
      </c>
      <c r="P2161" s="1" t="str">
        <f>IF(OR(Employee__2[[#This Row],[Age]]&gt;=30,Employee__2[[#This Row],[Gender]]="Male"),"Mached","Not mached")</f>
        <v>Not mached</v>
      </c>
    </row>
    <row r="2162" spans="4:16" x14ac:dyDescent="0.25">
      <c r="D2162" s="6" t="s">
        <v>34</v>
      </c>
      <c r="E2162">
        <v>2015</v>
      </c>
      <c r="F2162" s="6" t="s">
        <v>38</v>
      </c>
      <c r="G2162">
        <v>3</v>
      </c>
      <c r="H2162">
        <v>28</v>
      </c>
      <c r="I2162" s="6" t="s">
        <v>39</v>
      </c>
      <c r="J2162" s="6" t="s">
        <v>42</v>
      </c>
      <c r="K2162">
        <v>1</v>
      </c>
      <c r="M2162" s="1" t="b">
        <f>Employee__2[[#This Row],[Experience]]&gt;1</f>
        <v>0</v>
      </c>
      <c r="N2162" s="1" t="str">
        <f>IF(Employee__2[[#This Row],[City]]="Pune","Yes","No")</f>
        <v>Yes</v>
      </c>
      <c r="O2162" s="1" t="str">
        <f>IF(AND(Employee__2[[#This Row],[Education]]="Bachelors",Employee__2[[#This Row],[City]]="Pune"),"Yes","No")</f>
        <v>Yes</v>
      </c>
      <c r="P2162" s="1" t="str">
        <f>IF(OR(Employee__2[[#This Row],[Age]]&gt;=30,Employee__2[[#This Row],[Gender]]="Male"),"Mached","Not mached")</f>
        <v>Not mached</v>
      </c>
    </row>
    <row r="2163" spans="4:16" x14ac:dyDescent="0.25">
      <c r="D2163" s="6" t="s">
        <v>34</v>
      </c>
      <c r="E2163">
        <v>2015</v>
      </c>
      <c r="F2163" s="6" t="s">
        <v>38</v>
      </c>
      <c r="G2163">
        <v>3</v>
      </c>
      <c r="H2163">
        <v>29</v>
      </c>
      <c r="I2163" s="6" t="s">
        <v>36</v>
      </c>
      <c r="J2163" s="6" t="s">
        <v>37</v>
      </c>
      <c r="K2163">
        <v>2</v>
      </c>
      <c r="M2163" s="1" t="b">
        <f>Employee__2[[#This Row],[Experience]]&gt;1</f>
        <v>1</v>
      </c>
      <c r="N2163" s="1" t="str">
        <f>IF(Employee__2[[#This Row],[City]]="Pune","Yes","No")</f>
        <v>Yes</v>
      </c>
      <c r="O2163" s="1" t="str">
        <f>IF(AND(Employee__2[[#This Row],[Education]]="Bachelors",Employee__2[[#This Row],[City]]="Pune"),"Yes","No")</f>
        <v>Yes</v>
      </c>
      <c r="P2163" s="1" t="str">
        <f>IF(OR(Employee__2[[#This Row],[Age]]&gt;=30,Employee__2[[#This Row],[Gender]]="Male"),"Mached","Not mached")</f>
        <v>Mached</v>
      </c>
    </row>
    <row r="2164" spans="4:16" x14ac:dyDescent="0.25">
      <c r="D2164" s="6" t="s">
        <v>34</v>
      </c>
      <c r="E2164">
        <v>2013</v>
      </c>
      <c r="F2164" s="6" t="s">
        <v>35</v>
      </c>
      <c r="G2164">
        <v>3</v>
      </c>
      <c r="H2164">
        <v>27</v>
      </c>
      <c r="I2164" s="6" t="s">
        <v>36</v>
      </c>
      <c r="J2164" s="6" t="s">
        <v>37</v>
      </c>
      <c r="K2164">
        <v>5</v>
      </c>
      <c r="M2164" s="1" t="b">
        <f>Employee__2[[#This Row],[Experience]]&gt;1</f>
        <v>1</v>
      </c>
      <c r="N2164" s="1" t="str">
        <f>IF(Employee__2[[#This Row],[City]]="Pune","Yes","No")</f>
        <v>No</v>
      </c>
      <c r="O2164" s="1" t="str">
        <f>IF(AND(Employee__2[[#This Row],[Education]]="Bachelors",Employee__2[[#This Row],[City]]="Pune"),"Yes","No")</f>
        <v>No</v>
      </c>
      <c r="P2164" s="1" t="str">
        <f>IF(OR(Employee__2[[#This Row],[Age]]&gt;=30,Employee__2[[#This Row],[Gender]]="Male"),"Mached","Not mached")</f>
        <v>Mached</v>
      </c>
    </row>
    <row r="2165" spans="4:16" x14ac:dyDescent="0.25">
      <c r="D2165" s="6" t="s">
        <v>34</v>
      </c>
      <c r="E2165">
        <v>2014</v>
      </c>
      <c r="F2165" s="6" t="s">
        <v>38</v>
      </c>
      <c r="G2165">
        <v>2</v>
      </c>
      <c r="H2165">
        <v>27</v>
      </c>
      <c r="I2165" s="6" t="s">
        <v>39</v>
      </c>
      <c r="J2165" s="6" t="s">
        <v>37</v>
      </c>
      <c r="K2165">
        <v>5</v>
      </c>
      <c r="M2165" s="1" t="b">
        <f>Employee__2[[#This Row],[Experience]]&gt;1</f>
        <v>1</v>
      </c>
      <c r="N2165" s="1" t="str">
        <f>IF(Employee__2[[#This Row],[City]]="Pune","Yes","No")</f>
        <v>Yes</v>
      </c>
      <c r="O2165" s="1" t="str">
        <f>IF(AND(Employee__2[[#This Row],[Education]]="Bachelors",Employee__2[[#This Row],[City]]="Pune"),"Yes","No")</f>
        <v>Yes</v>
      </c>
      <c r="P2165" s="1" t="str">
        <f>IF(OR(Employee__2[[#This Row],[Age]]&gt;=30,Employee__2[[#This Row],[Gender]]="Male"),"Mached","Not mached")</f>
        <v>Not mached</v>
      </c>
    </row>
    <row r="2166" spans="4:16" x14ac:dyDescent="0.25">
      <c r="D2166" s="6" t="s">
        <v>34</v>
      </c>
      <c r="E2166">
        <v>2014</v>
      </c>
      <c r="F2166" s="6" t="s">
        <v>35</v>
      </c>
      <c r="G2166">
        <v>3</v>
      </c>
      <c r="H2166">
        <v>27</v>
      </c>
      <c r="I2166" s="6" t="s">
        <v>36</v>
      </c>
      <c r="J2166" s="6" t="s">
        <v>37</v>
      </c>
      <c r="K2166">
        <v>5</v>
      </c>
      <c r="M2166" s="1" t="b">
        <f>Employee__2[[#This Row],[Experience]]&gt;1</f>
        <v>1</v>
      </c>
      <c r="N2166" s="1" t="str">
        <f>IF(Employee__2[[#This Row],[City]]="Pune","Yes","No")</f>
        <v>No</v>
      </c>
      <c r="O2166" s="1" t="str">
        <f>IF(AND(Employee__2[[#This Row],[Education]]="Bachelors",Employee__2[[#This Row],[City]]="Pune"),"Yes","No")</f>
        <v>No</v>
      </c>
      <c r="P2166" s="1" t="str">
        <f>IF(OR(Employee__2[[#This Row],[Age]]&gt;=30,Employee__2[[#This Row],[Gender]]="Male"),"Mached","Not mached")</f>
        <v>Mached</v>
      </c>
    </row>
    <row r="2167" spans="4:16" x14ac:dyDescent="0.25">
      <c r="D2167" s="6" t="s">
        <v>34</v>
      </c>
      <c r="E2167">
        <v>2016</v>
      </c>
      <c r="F2167" s="6" t="s">
        <v>35</v>
      </c>
      <c r="G2167">
        <v>3</v>
      </c>
      <c r="H2167">
        <v>30</v>
      </c>
      <c r="I2167" s="6" t="s">
        <v>36</v>
      </c>
      <c r="J2167" s="6" t="s">
        <v>42</v>
      </c>
      <c r="K2167">
        <v>1</v>
      </c>
      <c r="M2167" s="1" t="b">
        <f>Employee__2[[#This Row],[Experience]]&gt;1</f>
        <v>0</v>
      </c>
      <c r="N2167" s="1" t="str">
        <f>IF(Employee__2[[#This Row],[City]]="Pune","Yes","No")</f>
        <v>No</v>
      </c>
      <c r="O2167" s="1" t="str">
        <f>IF(AND(Employee__2[[#This Row],[Education]]="Bachelors",Employee__2[[#This Row],[City]]="Pune"),"Yes","No")</f>
        <v>No</v>
      </c>
      <c r="P2167" s="1" t="str">
        <f>IF(OR(Employee__2[[#This Row],[Age]]&gt;=30,Employee__2[[#This Row],[Gender]]="Male"),"Mached","Not mached")</f>
        <v>Mached</v>
      </c>
    </row>
    <row r="2168" spans="4:16" x14ac:dyDescent="0.25">
      <c r="D2168" s="6" t="s">
        <v>43</v>
      </c>
      <c r="E2168">
        <v>2015</v>
      </c>
      <c r="F2168" s="6" t="s">
        <v>40</v>
      </c>
      <c r="G2168">
        <v>3</v>
      </c>
      <c r="H2168">
        <v>28</v>
      </c>
      <c r="I2168" s="6" t="s">
        <v>36</v>
      </c>
      <c r="J2168" s="6" t="s">
        <v>37</v>
      </c>
      <c r="K2168">
        <v>2</v>
      </c>
      <c r="M2168" s="1" t="b">
        <f>Employee__2[[#This Row],[Experience]]&gt;1</f>
        <v>1</v>
      </c>
      <c r="N2168" s="1" t="str">
        <f>IF(Employee__2[[#This Row],[City]]="Pune","Yes","No")</f>
        <v>No</v>
      </c>
      <c r="O2168" s="1" t="str">
        <f>IF(AND(Employee__2[[#This Row],[Education]]="Bachelors",Employee__2[[#This Row],[City]]="Pune"),"Yes","No")</f>
        <v>No</v>
      </c>
      <c r="P2168" s="1" t="str">
        <f>IF(OR(Employee__2[[#This Row],[Age]]&gt;=30,Employee__2[[#This Row],[Gender]]="Male"),"Mached","Not mached")</f>
        <v>Mached</v>
      </c>
    </row>
    <row r="2169" spans="4:16" x14ac:dyDescent="0.25">
      <c r="D2169" s="6" t="s">
        <v>34</v>
      </c>
      <c r="E2169">
        <v>2014</v>
      </c>
      <c r="F2169" s="6" t="s">
        <v>38</v>
      </c>
      <c r="G2169">
        <v>3</v>
      </c>
      <c r="H2169">
        <v>29</v>
      </c>
      <c r="I2169" s="6" t="s">
        <v>36</v>
      </c>
      <c r="J2169" s="6" t="s">
        <v>37</v>
      </c>
      <c r="K2169">
        <v>2</v>
      </c>
      <c r="M2169" s="1" t="b">
        <f>Employee__2[[#This Row],[Experience]]&gt;1</f>
        <v>1</v>
      </c>
      <c r="N2169" s="1" t="str">
        <f>IF(Employee__2[[#This Row],[City]]="Pune","Yes","No")</f>
        <v>Yes</v>
      </c>
      <c r="O2169" s="1" t="str">
        <f>IF(AND(Employee__2[[#This Row],[Education]]="Bachelors",Employee__2[[#This Row],[City]]="Pune"),"Yes","No")</f>
        <v>Yes</v>
      </c>
      <c r="P2169" s="1" t="str">
        <f>IF(OR(Employee__2[[#This Row],[Age]]&gt;=30,Employee__2[[#This Row],[Gender]]="Male"),"Mached","Not mached")</f>
        <v>Mached</v>
      </c>
    </row>
    <row r="2170" spans="4:16" x14ac:dyDescent="0.25">
      <c r="D2170" s="6" t="s">
        <v>34</v>
      </c>
      <c r="E2170">
        <v>2015</v>
      </c>
      <c r="F2170" s="6" t="s">
        <v>35</v>
      </c>
      <c r="G2170">
        <v>3</v>
      </c>
      <c r="H2170">
        <v>29</v>
      </c>
      <c r="I2170" s="6" t="s">
        <v>36</v>
      </c>
      <c r="J2170" s="6" t="s">
        <v>37</v>
      </c>
      <c r="K2170">
        <v>1</v>
      </c>
      <c r="M2170" s="1" t="b">
        <f>Employee__2[[#This Row],[Experience]]&gt;1</f>
        <v>0</v>
      </c>
      <c r="N2170" s="1" t="str">
        <f>IF(Employee__2[[#This Row],[City]]="Pune","Yes","No")</f>
        <v>No</v>
      </c>
      <c r="O2170" s="1" t="str">
        <f>IF(AND(Employee__2[[#This Row],[Education]]="Bachelors",Employee__2[[#This Row],[City]]="Pune"),"Yes","No")</f>
        <v>No</v>
      </c>
      <c r="P2170" s="1" t="str">
        <f>IF(OR(Employee__2[[#This Row],[Age]]&gt;=30,Employee__2[[#This Row],[Gender]]="Male"),"Mached","Not mached")</f>
        <v>Mached</v>
      </c>
    </row>
    <row r="2171" spans="4:16" x14ac:dyDescent="0.25">
      <c r="D2171" s="6" t="s">
        <v>34</v>
      </c>
      <c r="E2171">
        <v>2013</v>
      </c>
      <c r="F2171" s="6" t="s">
        <v>38</v>
      </c>
      <c r="G2171">
        <v>3</v>
      </c>
      <c r="H2171">
        <v>30</v>
      </c>
      <c r="I2171" s="6" t="s">
        <v>36</v>
      </c>
      <c r="J2171" s="6" t="s">
        <v>37</v>
      </c>
      <c r="K2171">
        <v>2</v>
      </c>
      <c r="M2171" s="1" t="b">
        <f>Employee__2[[#This Row],[Experience]]&gt;1</f>
        <v>1</v>
      </c>
      <c r="N2171" s="1" t="str">
        <f>IF(Employee__2[[#This Row],[City]]="Pune","Yes","No")</f>
        <v>Yes</v>
      </c>
      <c r="O2171" s="1" t="str">
        <f>IF(AND(Employee__2[[#This Row],[Education]]="Bachelors",Employee__2[[#This Row],[City]]="Pune"),"Yes","No")</f>
        <v>Yes</v>
      </c>
      <c r="P2171" s="1" t="str">
        <f>IF(OR(Employee__2[[#This Row],[Age]]&gt;=30,Employee__2[[#This Row],[Gender]]="Male"),"Mached","Not mached")</f>
        <v>Mached</v>
      </c>
    </row>
    <row r="2172" spans="4:16" x14ac:dyDescent="0.25">
      <c r="D2172" s="6" t="s">
        <v>34</v>
      </c>
      <c r="E2172">
        <v>2013</v>
      </c>
      <c r="F2172" s="6" t="s">
        <v>35</v>
      </c>
      <c r="G2172">
        <v>3</v>
      </c>
      <c r="H2172">
        <v>28</v>
      </c>
      <c r="I2172" s="6" t="s">
        <v>36</v>
      </c>
      <c r="J2172" s="6" t="s">
        <v>42</v>
      </c>
      <c r="K2172">
        <v>1</v>
      </c>
      <c r="M2172" s="1" t="b">
        <f>Employee__2[[#This Row],[Experience]]&gt;1</f>
        <v>0</v>
      </c>
      <c r="N2172" s="1" t="str">
        <f>IF(Employee__2[[#This Row],[City]]="Pune","Yes","No")</f>
        <v>No</v>
      </c>
      <c r="O2172" s="1" t="str">
        <f>IF(AND(Employee__2[[#This Row],[Education]]="Bachelors",Employee__2[[#This Row],[City]]="Pune"),"Yes","No")</f>
        <v>No</v>
      </c>
      <c r="P2172" s="1" t="str">
        <f>IF(OR(Employee__2[[#This Row],[Age]]&gt;=30,Employee__2[[#This Row],[Gender]]="Male"),"Mached","Not mached")</f>
        <v>Mached</v>
      </c>
    </row>
    <row r="2173" spans="4:16" x14ac:dyDescent="0.25">
      <c r="D2173" s="6" t="s">
        <v>34</v>
      </c>
      <c r="E2173">
        <v>2015</v>
      </c>
      <c r="F2173" s="6" t="s">
        <v>38</v>
      </c>
      <c r="G2173">
        <v>2</v>
      </c>
      <c r="H2173">
        <v>29</v>
      </c>
      <c r="I2173" s="6" t="s">
        <v>39</v>
      </c>
      <c r="J2173" s="6" t="s">
        <v>37</v>
      </c>
      <c r="K2173">
        <v>2</v>
      </c>
      <c r="M2173" s="1" t="b">
        <f>Employee__2[[#This Row],[Experience]]&gt;1</f>
        <v>1</v>
      </c>
      <c r="N2173" s="1" t="str">
        <f>IF(Employee__2[[#This Row],[City]]="Pune","Yes","No")</f>
        <v>Yes</v>
      </c>
      <c r="O2173" s="1" t="str">
        <f>IF(AND(Employee__2[[#This Row],[Education]]="Bachelors",Employee__2[[#This Row],[City]]="Pune"),"Yes","No")</f>
        <v>Yes</v>
      </c>
      <c r="P2173" s="1" t="str">
        <f>IF(OR(Employee__2[[#This Row],[Age]]&gt;=30,Employee__2[[#This Row],[Gender]]="Male"),"Mached","Not mached")</f>
        <v>Not mached</v>
      </c>
    </row>
    <row r="2174" spans="4:16" x14ac:dyDescent="0.25">
      <c r="D2174" s="6" t="s">
        <v>34</v>
      </c>
      <c r="E2174">
        <v>2017</v>
      </c>
      <c r="F2174" s="6" t="s">
        <v>35</v>
      </c>
      <c r="G2174">
        <v>3</v>
      </c>
      <c r="H2174">
        <v>30</v>
      </c>
      <c r="I2174" s="6" t="s">
        <v>36</v>
      </c>
      <c r="J2174" s="6" t="s">
        <v>37</v>
      </c>
      <c r="K2174">
        <v>1</v>
      </c>
      <c r="M2174" s="1" t="b">
        <f>Employee__2[[#This Row],[Experience]]&gt;1</f>
        <v>0</v>
      </c>
      <c r="N2174" s="1" t="str">
        <f>IF(Employee__2[[#This Row],[City]]="Pune","Yes","No")</f>
        <v>No</v>
      </c>
      <c r="O2174" s="1" t="str">
        <f>IF(AND(Employee__2[[#This Row],[Education]]="Bachelors",Employee__2[[#This Row],[City]]="Pune"),"Yes","No")</f>
        <v>No</v>
      </c>
      <c r="P2174" s="1" t="str">
        <f>IF(OR(Employee__2[[#This Row],[Age]]&gt;=30,Employee__2[[#This Row],[Gender]]="Male"),"Mached","Not mached")</f>
        <v>Mached</v>
      </c>
    </row>
    <row r="2175" spans="4:16" x14ac:dyDescent="0.25">
      <c r="D2175" s="6" t="s">
        <v>34</v>
      </c>
      <c r="E2175">
        <v>2012</v>
      </c>
      <c r="F2175" s="6" t="s">
        <v>35</v>
      </c>
      <c r="G2175">
        <v>3</v>
      </c>
      <c r="H2175">
        <v>27</v>
      </c>
      <c r="I2175" s="6" t="s">
        <v>36</v>
      </c>
      <c r="J2175" s="6" t="s">
        <v>37</v>
      </c>
      <c r="K2175">
        <v>5</v>
      </c>
      <c r="M2175" s="1" t="b">
        <f>Employee__2[[#This Row],[Experience]]&gt;1</f>
        <v>1</v>
      </c>
      <c r="N2175" s="1" t="str">
        <f>IF(Employee__2[[#This Row],[City]]="Pune","Yes","No")</f>
        <v>No</v>
      </c>
      <c r="O2175" s="1" t="str">
        <f>IF(AND(Employee__2[[#This Row],[Education]]="Bachelors",Employee__2[[#This Row],[City]]="Pune"),"Yes","No")</f>
        <v>No</v>
      </c>
      <c r="P2175" s="1" t="str">
        <f>IF(OR(Employee__2[[#This Row],[Age]]&gt;=30,Employee__2[[#This Row],[Gender]]="Male"),"Mached","Not mached")</f>
        <v>Mached</v>
      </c>
    </row>
    <row r="2176" spans="4:16" x14ac:dyDescent="0.25">
      <c r="D2176" s="6" t="s">
        <v>41</v>
      </c>
      <c r="E2176">
        <v>2017</v>
      </c>
      <c r="F2176" s="6" t="s">
        <v>40</v>
      </c>
      <c r="G2176">
        <v>2</v>
      </c>
      <c r="H2176">
        <v>27</v>
      </c>
      <c r="I2176" s="6" t="s">
        <v>36</v>
      </c>
      <c r="J2176" s="6" t="s">
        <v>37</v>
      </c>
      <c r="K2176">
        <v>5</v>
      </c>
      <c r="M2176" s="1" t="b">
        <f>Employee__2[[#This Row],[Experience]]&gt;1</f>
        <v>1</v>
      </c>
      <c r="N2176" s="1" t="str">
        <f>IF(Employee__2[[#This Row],[City]]="Pune","Yes","No")</f>
        <v>No</v>
      </c>
      <c r="O2176" s="1" t="str">
        <f>IF(AND(Employee__2[[#This Row],[Education]]="Bachelors",Employee__2[[#This Row],[City]]="Pune"),"Yes","No")</f>
        <v>No</v>
      </c>
      <c r="P2176" s="1" t="str">
        <f>IF(OR(Employee__2[[#This Row],[Age]]&gt;=30,Employee__2[[#This Row],[Gender]]="Male"),"Mached","Not mached")</f>
        <v>Mached</v>
      </c>
    </row>
    <row r="2177" spans="4:16" x14ac:dyDescent="0.25">
      <c r="D2177" s="6" t="s">
        <v>34</v>
      </c>
      <c r="E2177">
        <v>2018</v>
      </c>
      <c r="F2177" s="6" t="s">
        <v>35</v>
      </c>
      <c r="G2177">
        <v>3</v>
      </c>
      <c r="H2177">
        <v>29</v>
      </c>
      <c r="I2177" s="6" t="s">
        <v>36</v>
      </c>
      <c r="J2177" s="6" t="s">
        <v>37</v>
      </c>
      <c r="K2177">
        <v>1</v>
      </c>
      <c r="M2177" s="1" t="b">
        <f>Employee__2[[#This Row],[Experience]]&gt;1</f>
        <v>0</v>
      </c>
      <c r="N2177" s="1" t="str">
        <f>IF(Employee__2[[#This Row],[City]]="Pune","Yes","No")</f>
        <v>No</v>
      </c>
      <c r="O2177" s="1" t="str">
        <f>IF(AND(Employee__2[[#This Row],[Education]]="Bachelors",Employee__2[[#This Row],[City]]="Pune"),"Yes","No")</f>
        <v>No</v>
      </c>
      <c r="P2177" s="1" t="str">
        <f>IF(OR(Employee__2[[#This Row],[Age]]&gt;=30,Employee__2[[#This Row],[Gender]]="Male"),"Mached","Not mached")</f>
        <v>Mached</v>
      </c>
    </row>
    <row r="2178" spans="4:16" x14ac:dyDescent="0.25">
      <c r="D2178" s="6" t="s">
        <v>41</v>
      </c>
      <c r="E2178">
        <v>2012</v>
      </c>
      <c r="F2178" s="6" t="s">
        <v>40</v>
      </c>
      <c r="G2178">
        <v>1</v>
      </c>
      <c r="H2178">
        <v>30</v>
      </c>
      <c r="I2178" s="6" t="s">
        <v>39</v>
      </c>
      <c r="J2178" s="6" t="s">
        <v>37</v>
      </c>
      <c r="K2178">
        <v>2</v>
      </c>
      <c r="M2178" s="1" t="b">
        <f>Employee__2[[#This Row],[Experience]]&gt;1</f>
        <v>1</v>
      </c>
      <c r="N2178" s="1" t="str">
        <f>IF(Employee__2[[#This Row],[City]]="Pune","Yes","No")</f>
        <v>No</v>
      </c>
      <c r="O2178" s="1" t="str">
        <f>IF(AND(Employee__2[[#This Row],[Education]]="Bachelors",Employee__2[[#This Row],[City]]="Pune"),"Yes","No")</f>
        <v>No</v>
      </c>
      <c r="P2178" s="1" t="str">
        <f>IF(OR(Employee__2[[#This Row],[Age]]&gt;=30,Employee__2[[#This Row],[Gender]]="Male"),"Mached","Not mached")</f>
        <v>Mached</v>
      </c>
    </row>
    <row r="2179" spans="4:16" x14ac:dyDescent="0.25">
      <c r="D2179" s="6" t="s">
        <v>41</v>
      </c>
      <c r="E2179">
        <v>2016</v>
      </c>
      <c r="F2179" s="6" t="s">
        <v>40</v>
      </c>
      <c r="G2179">
        <v>3</v>
      </c>
      <c r="H2179">
        <v>28</v>
      </c>
      <c r="I2179" s="6" t="s">
        <v>39</v>
      </c>
      <c r="J2179" s="6" t="s">
        <v>37</v>
      </c>
      <c r="K2179">
        <v>2</v>
      </c>
      <c r="M2179" s="1" t="b">
        <f>Employee__2[[#This Row],[Experience]]&gt;1</f>
        <v>1</v>
      </c>
      <c r="N2179" s="1" t="str">
        <f>IF(Employee__2[[#This Row],[City]]="Pune","Yes","No")</f>
        <v>No</v>
      </c>
      <c r="O2179" s="1" t="str">
        <f>IF(AND(Employee__2[[#This Row],[Education]]="Bachelors",Employee__2[[#This Row],[City]]="Pune"),"Yes","No")</f>
        <v>No</v>
      </c>
      <c r="P2179" s="1" t="str">
        <f>IF(OR(Employee__2[[#This Row],[Age]]&gt;=30,Employee__2[[#This Row],[Gender]]="Male"),"Mached","Not mached")</f>
        <v>Not mached</v>
      </c>
    </row>
    <row r="2180" spans="4:16" x14ac:dyDescent="0.25">
      <c r="D2180" s="6" t="s">
        <v>34</v>
      </c>
      <c r="E2180">
        <v>2016</v>
      </c>
      <c r="F2180" s="6" t="s">
        <v>35</v>
      </c>
      <c r="G2180">
        <v>3</v>
      </c>
      <c r="H2180">
        <v>26</v>
      </c>
      <c r="I2180" s="6" t="s">
        <v>36</v>
      </c>
      <c r="J2180" s="6" t="s">
        <v>37</v>
      </c>
      <c r="K2180">
        <v>4</v>
      </c>
      <c r="M2180" s="1" t="b">
        <f>Employee__2[[#This Row],[Experience]]&gt;1</f>
        <v>1</v>
      </c>
      <c r="N2180" s="1" t="str">
        <f>IF(Employee__2[[#This Row],[City]]="Pune","Yes","No")</f>
        <v>No</v>
      </c>
      <c r="O2180" s="1" t="str">
        <f>IF(AND(Employee__2[[#This Row],[Education]]="Bachelors",Employee__2[[#This Row],[City]]="Pune"),"Yes","No")</f>
        <v>No</v>
      </c>
      <c r="P2180" s="1" t="str">
        <f>IF(OR(Employee__2[[#This Row],[Age]]&gt;=30,Employee__2[[#This Row],[Gender]]="Male"),"Mached","Not mached")</f>
        <v>Mached</v>
      </c>
    </row>
    <row r="2181" spans="4:16" x14ac:dyDescent="0.25">
      <c r="D2181" s="6" t="s">
        <v>34</v>
      </c>
      <c r="E2181">
        <v>2012</v>
      </c>
      <c r="F2181" s="6" t="s">
        <v>35</v>
      </c>
      <c r="G2181">
        <v>3</v>
      </c>
      <c r="H2181">
        <v>28</v>
      </c>
      <c r="I2181" s="6" t="s">
        <v>39</v>
      </c>
      <c r="J2181" s="6" t="s">
        <v>37</v>
      </c>
      <c r="K2181">
        <v>1</v>
      </c>
      <c r="M2181" s="1" t="b">
        <f>Employee__2[[#This Row],[Experience]]&gt;1</f>
        <v>0</v>
      </c>
      <c r="N2181" s="1" t="str">
        <f>IF(Employee__2[[#This Row],[City]]="Pune","Yes","No")</f>
        <v>No</v>
      </c>
      <c r="O2181" s="1" t="str">
        <f>IF(AND(Employee__2[[#This Row],[Education]]="Bachelors",Employee__2[[#This Row],[City]]="Pune"),"Yes","No")</f>
        <v>No</v>
      </c>
      <c r="P2181" s="1" t="str">
        <f>IF(OR(Employee__2[[#This Row],[Age]]&gt;=30,Employee__2[[#This Row],[Gender]]="Male"),"Mached","Not mached")</f>
        <v>Not mached</v>
      </c>
    </row>
    <row r="2182" spans="4:16" x14ac:dyDescent="0.25">
      <c r="D2182" s="6" t="s">
        <v>34</v>
      </c>
      <c r="E2182">
        <v>2018</v>
      </c>
      <c r="F2182" s="6" t="s">
        <v>38</v>
      </c>
      <c r="G2182">
        <v>3</v>
      </c>
      <c r="H2182">
        <v>27</v>
      </c>
      <c r="I2182" s="6" t="s">
        <v>36</v>
      </c>
      <c r="J2182" s="6" t="s">
        <v>37</v>
      </c>
      <c r="K2182">
        <v>5</v>
      </c>
      <c r="M2182" s="1" t="b">
        <f>Employee__2[[#This Row],[Experience]]&gt;1</f>
        <v>1</v>
      </c>
      <c r="N2182" s="1" t="str">
        <f>IF(Employee__2[[#This Row],[City]]="Pune","Yes","No")</f>
        <v>Yes</v>
      </c>
      <c r="O2182" s="1" t="str">
        <f>IF(AND(Employee__2[[#This Row],[Education]]="Bachelors",Employee__2[[#This Row],[City]]="Pune"),"Yes","No")</f>
        <v>Yes</v>
      </c>
      <c r="P2182" s="1" t="str">
        <f>IF(OR(Employee__2[[#This Row],[Age]]&gt;=30,Employee__2[[#This Row],[Gender]]="Male"),"Mached","Not mached")</f>
        <v>Mached</v>
      </c>
    </row>
    <row r="2183" spans="4:16" x14ac:dyDescent="0.25">
      <c r="D2183" s="6" t="s">
        <v>34</v>
      </c>
      <c r="E2183">
        <v>2014</v>
      </c>
      <c r="F2183" s="6" t="s">
        <v>35</v>
      </c>
      <c r="G2183">
        <v>3</v>
      </c>
      <c r="H2183">
        <v>29</v>
      </c>
      <c r="I2183" s="6" t="s">
        <v>39</v>
      </c>
      <c r="J2183" s="6" t="s">
        <v>37</v>
      </c>
      <c r="K2183">
        <v>2</v>
      </c>
      <c r="M2183" s="1" t="b">
        <f>Employee__2[[#This Row],[Experience]]&gt;1</f>
        <v>1</v>
      </c>
      <c r="N2183" s="1" t="str">
        <f>IF(Employee__2[[#This Row],[City]]="Pune","Yes","No")</f>
        <v>No</v>
      </c>
      <c r="O2183" s="1" t="str">
        <f>IF(AND(Employee__2[[#This Row],[Education]]="Bachelors",Employee__2[[#This Row],[City]]="Pune"),"Yes","No")</f>
        <v>No</v>
      </c>
      <c r="P2183" s="1" t="str">
        <f>IF(OR(Employee__2[[#This Row],[Age]]&gt;=30,Employee__2[[#This Row],[Gender]]="Male"),"Mached","Not mached")</f>
        <v>Not mached</v>
      </c>
    </row>
    <row r="2184" spans="4:16" x14ac:dyDescent="0.25">
      <c r="D2184" s="6" t="s">
        <v>43</v>
      </c>
      <c r="E2184">
        <v>2017</v>
      </c>
      <c r="F2184" s="6" t="s">
        <v>35</v>
      </c>
      <c r="G2184">
        <v>3</v>
      </c>
      <c r="H2184">
        <v>27</v>
      </c>
      <c r="I2184" s="6" t="s">
        <v>36</v>
      </c>
      <c r="J2184" s="6" t="s">
        <v>37</v>
      </c>
      <c r="K2184">
        <v>5</v>
      </c>
      <c r="M2184" s="1" t="b">
        <f>Employee__2[[#This Row],[Experience]]&gt;1</f>
        <v>1</v>
      </c>
      <c r="N2184" s="1" t="str">
        <f>IF(Employee__2[[#This Row],[City]]="Pune","Yes","No")</f>
        <v>No</v>
      </c>
      <c r="O2184" s="1" t="str">
        <f>IF(AND(Employee__2[[#This Row],[Education]]="Bachelors",Employee__2[[#This Row],[City]]="Pune"),"Yes","No")</f>
        <v>No</v>
      </c>
      <c r="P2184" s="1" t="str">
        <f>IF(OR(Employee__2[[#This Row],[Age]]&gt;=30,Employee__2[[#This Row],[Gender]]="Male"),"Mached","Not mached")</f>
        <v>Mached</v>
      </c>
    </row>
    <row r="2185" spans="4:16" x14ac:dyDescent="0.25">
      <c r="D2185" s="6" t="s">
        <v>34</v>
      </c>
      <c r="E2185">
        <v>2017</v>
      </c>
      <c r="F2185" s="6" t="s">
        <v>35</v>
      </c>
      <c r="G2185">
        <v>3</v>
      </c>
      <c r="H2185">
        <v>29</v>
      </c>
      <c r="I2185" s="6" t="s">
        <v>36</v>
      </c>
      <c r="J2185" s="6" t="s">
        <v>37</v>
      </c>
      <c r="K2185">
        <v>2</v>
      </c>
      <c r="M2185" s="1" t="b">
        <f>Employee__2[[#This Row],[Experience]]&gt;1</f>
        <v>1</v>
      </c>
      <c r="N2185" s="1" t="str">
        <f>IF(Employee__2[[#This Row],[City]]="Pune","Yes","No")</f>
        <v>No</v>
      </c>
      <c r="O2185" s="1" t="str">
        <f>IF(AND(Employee__2[[#This Row],[Education]]="Bachelors",Employee__2[[#This Row],[City]]="Pune"),"Yes","No")</f>
        <v>No</v>
      </c>
      <c r="P2185" s="1" t="str">
        <f>IF(OR(Employee__2[[#This Row],[Age]]&gt;=30,Employee__2[[#This Row],[Gender]]="Male"),"Mached","Not mached")</f>
        <v>Mached</v>
      </c>
    </row>
    <row r="2186" spans="4:16" x14ac:dyDescent="0.25">
      <c r="D2186" s="6" t="s">
        <v>34</v>
      </c>
      <c r="E2186">
        <v>2014</v>
      </c>
      <c r="F2186" s="6" t="s">
        <v>35</v>
      </c>
      <c r="G2186">
        <v>3</v>
      </c>
      <c r="H2186">
        <v>28</v>
      </c>
      <c r="I2186" s="6" t="s">
        <v>36</v>
      </c>
      <c r="J2186" s="6" t="s">
        <v>37</v>
      </c>
      <c r="K2186">
        <v>2</v>
      </c>
      <c r="M2186" s="1" t="b">
        <f>Employee__2[[#This Row],[Experience]]&gt;1</f>
        <v>1</v>
      </c>
      <c r="N2186" s="1" t="str">
        <f>IF(Employee__2[[#This Row],[City]]="Pune","Yes","No")</f>
        <v>No</v>
      </c>
      <c r="O2186" s="1" t="str">
        <f>IF(AND(Employee__2[[#This Row],[Education]]="Bachelors",Employee__2[[#This Row],[City]]="Pune"),"Yes","No")</f>
        <v>No</v>
      </c>
      <c r="P2186" s="1" t="str">
        <f>IF(OR(Employee__2[[#This Row],[Age]]&gt;=30,Employee__2[[#This Row],[Gender]]="Male"),"Mached","Not mached")</f>
        <v>Mached</v>
      </c>
    </row>
    <row r="2187" spans="4:16" x14ac:dyDescent="0.25">
      <c r="D2187" s="6" t="s">
        <v>34</v>
      </c>
      <c r="E2187">
        <v>2014</v>
      </c>
      <c r="F2187" s="6" t="s">
        <v>35</v>
      </c>
      <c r="G2187">
        <v>3</v>
      </c>
      <c r="H2187">
        <v>26</v>
      </c>
      <c r="I2187" s="6" t="s">
        <v>39</v>
      </c>
      <c r="J2187" s="6" t="s">
        <v>37</v>
      </c>
      <c r="K2187">
        <v>4</v>
      </c>
      <c r="M2187" s="1" t="b">
        <f>Employee__2[[#This Row],[Experience]]&gt;1</f>
        <v>1</v>
      </c>
      <c r="N2187" s="1" t="str">
        <f>IF(Employee__2[[#This Row],[City]]="Pune","Yes","No")</f>
        <v>No</v>
      </c>
      <c r="O2187" s="1" t="str">
        <f>IF(AND(Employee__2[[#This Row],[Education]]="Bachelors",Employee__2[[#This Row],[City]]="Pune"),"Yes","No")</f>
        <v>No</v>
      </c>
      <c r="P2187" s="1" t="str">
        <f>IF(OR(Employee__2[[#This Row],[Age]]&gt;=30,Employee__2[[#This Row],[Gender]]="Male"),"Mached","Not mached")</f>
        <v>Not mached</v>
      </c>
    </row>
    <row r="2188" spans="4:16" x14ac:dyDescent="0.25">
      <c r="D2188" s="6" t="s">
        <v>34</v>
      </c>
      <c r="E2188">
        <v>2012</v>
      </c>
      <c r="F2188" s="6" t="s">
        <v>35</v>
      </c>
      <c r="G2188">
        <v>3</v>
      </c>
      <c r="H2188">
        <v>28</v>
      </c>
      <c r="I2188" s="6" t="s">
        <v>36</v>
      </c>
      <c r="J2188" s="6" t="s">
        <v>37</v>
      </c>
      <c r="K2188">
        <v>2</v>
      </c>
      <c r="M2188" s="1" t="b">
        <f>Employee__2[[#This Row],[Experience]]&gt;1</f>
        <v>1</v>
      </c>
      <c r="N2188" s="1" t="str">
        <f>IF(Employee__2[[#This Row],[City]]="Pune","Yes","No")</f>
        <v>No</v>
      </c>
      <c r="O2188" s="1" t="str">
        <f>IF(AND(Employee__2[[#This Row],[Education]]="Bachelors",Employee__2[[#This Row],[City]]="Pune"),"Yes","No")</f>
        <v>No</v>
      </c>
      <c r="P2188" s="1" t="str">
        <f>IF(OR(Employee__2[[#This Row],[Age]]&gt;=30,Employee__2[[#This Row],[Gender]]="Male"),"Mached","Not mached")</f>
        <v>Mached</v>
      </c>
    </row>
    <row r="2189" spans="4:16" x14ac:dyDescent="0.25">
      <c r="D2189" s="6" t="s">
        <v>41</v>
      </c>
      <c r="E2189">
        <v>2018</v>
      </c>
      <c r="F2189" s="6" t="s">
        <v>35</v>
      </c>
      <c r="G2189">
        <v>3</v>
      </c>
      <c r="H2189">
        <v>28</v>
      </c>
      <c r="I2189" s="6" t="s">
        <v>39</v>
      </c>
      <c r="J2189" s="6" t="s">
        <v>37</v>
      </c>
      <c r="K2189">
        <v>2</v>
      </c>
      <c r="M2189" s="1" t="b">
        <f>Employee__2[[#This Row],[Experience]]&gt;1</f>
        <v>1</v>
      </c>
      <c r="N2189" s="1" t="str">
        <f>IF(Employee__2[[#This Row],[City]]="Pune","Yes","No")</f>
        <v>No</v>
      </c>
      <c r="O2189" s="1" t="str">
        <f>IF(AND(Employee__2[[#This Row],[Education]]="Bachelors",Employee__2[[#This Row],[City]]="Pune"),"Yes","No")</f>
        <v>No</v>
      </c>
      <c r="P2189" s="1" t="str">
        <f>IF(OR(Employee__2[[#This Row],[Age]]&gt;=30,Employee__2[[#This Row],[Gender]]="Male"),"Mached","Not mached")</f>
        <v>Not mached</v>
      </c>
    </row>
    <row r="2190" spans="4:16" x14ac:dyDescent="0.25">
      <c r="D2190" s="6" t="s">
        <v>34</v>
      </c>
      <c r="E2190">
        <v>2017</v>
      </c>
      <c r="F2190" s="6" t="s">
        <v>35</v>
      </c>
      <c r="G2190">
        <v>3</v>
      </c>
      <c r="H2190">
        <v>28</v>
      </c>
      <c r="I2190" s="6" t="s">
        <v>39</v>
      </c>
      <c r="J2190" s="6" t="s">
        <v>37</v>
      </c>
      <c r="K2190">
        <v>1</v>
      </c>
      <c r="M2190" s="1" t="b">
        <f>Employee__2[[#This Row],[Experience]]&gt;1</f>
        <v>0</v>
      </c>
      <c r="N2190" s="1" t="str">
        <f>IF(Employee__2[[#This Row],[City]]="Pune","Yes","No")</f>
        <v>No</v>
      </c>
      <c r="O2190" s="1" t="str">
        <f>IF(AND(Employee__2[[#This Row],[Education]]="Bachelors",Employee__2[[#This Row],[City]]="Pune"),"Yes","No")</f>
        <v>No</v>
      </c>
      <c r="P2190" s="1" t="str">
        <f>IF(OR(Employee__2[[#This Row],[Age]]&gt;=30,Employee__2[[#This Row],[Gender]]="Male"),"Mached","Not mached")</f>
        <v>Not mached</v>
      </c>
    </row>
    <row r="2191" spans="4:16" x14ac:dyDescent="0.25">
      <c r="D2191" s="6" t="s">
        <v>34</v>
      </c>
      <c r="E2191">
        <v>2015</v>
      </c>
      <c r="F2191" s="6" t="s">
        <v>35</v>
      </c>
      <c r="G2191">
        <v>3</v>
      </c>
      <c r="H2191">
        <v>28</v>
      </c>
      <c r="I2191" s="6" t="s">
        <v>36</v>
      </c>
      <c r="J2191" s="6" t="s">
        <v>37</v>
      </c>
      <c r="K2191">
        <v>1</v>
      </c>
      <c r="M2191" s="1" t="b">
        <f>Employee__2[[#This Row],[Experience]]&gt;1</f>
        <v>0</v>
      </c>
      <c r="N2191" s="1" t="str">
        <f>IF(Employee__2[[#This Row],[City]]="Pune","Yes","No")</f>
        <v>No</v>
      </c>
      <c r="O2191" s="1" t="str">
        <f>IF(AND(Employee__2[[#This Row],[Education]]="Bachelors",Employee__2[[#This Row],[City]]="Pune"),"Yes","No")</f>
        <v>No</v>
      </c>
      <c r="P2191" s="1" t="str">
        <f>IF(OR(Employee__2[[#This Row],[Age]]&gt;=30,Employee__2[[#This Row],[Gender]]="Male"),"Mached","Not mached")</f>
        <v>Mached</v>
      </c>
    </row>
    <row r="2192" spans="4:16" x14ac:dyDescent="0.25">
      <c r="D2192" s="6" t="s">
        <v>34</v>
      </c>
      <c r="E2192">
        <v>2014</v>
      </c>
      <c r="F2192" s="6" t="s">
        <v>40</v>
      </c>
      <c r="G2192">
        <v>3</v>
      </c>
      <c r="H2192">
        <v>29</v>
      </c>
      <c r="I2192" s="6" t="s">
        <v>39</v>
      </c>
      <c r="J2192" s="6" t="s">
        <v>37</v>
      </c>
      <c r="K2192">
        <v>1</v>
      </c>
      <c r="M2192" s="1" t="b">
        <f>Employee__2[[#This Row],[Experience]]&gt;1</f>
        <v>0</v>
      </c>
      <c r="N2192" s="1" t="str">
        <f>IF(Employee__2[[#This Row],[City]]="Pune","Yes","No")</f>
        <v>No</v>
      </c>
      <c r="O2192" s="1" t="str">
        <f>IF(AND(Employee__2[[#This Row],[Education]]="Bachelors",Employee__2[[#This Row],[City]]="Pune"),"Yes","No")</f>
        <v>No</v>
      </c>
      <c r="P2192" s="1" t="str">
        <f>IF(OR(Employee__2[[#This Row],[Age]]&gt;=30,Employee__2[[#This Row],[Gender]]="Male"),"Mached","Not mached")</f>
        <v>Not mached</v>
      </c>
    </row>
    <row r="2193" spans="4:16" x14ac:dyDescent="0.25">
      <c r="D2193" s="6" t="s">
        <v>41</v>
      </c>
      <c r="E2193">
        <v>2017</v>
      </c>
      <c r="F2193" s="6" t="s">
        <v>40</v>
      </c>
      <c r="G2193">
        <v>3</v>
      </c>
      <c r="H2193">
        <v>28</v>
      </c>
      <c r="I2193" s="6" t="s">
        <v>36</v>
      </c>
      <c r="J2193" s="6" t="s">
        <v>37</v>
      </c>
      <c r="K2193">
        <v>2</v>
      </c>
      <c r="M2193" s="1" t="b">
        <f>Employee__2[[#This Row],[Experience]]&gt;1</f>
        <v>1</v>
      </c>
      <c r="N2193" s="1" t="str">
        <f>IF(Employee__2[[#This Row],[City]]="Pune","Yes","No")</f>
        <v>No</v>
      </c>
      <c r="O2193" s="1" t="str">
        <f>IF(AND(Employee__2[[#This Row],[Education]]="Bachelors",Employee__2[[#This Row],[City]]="Pune"),"Yes","No")</f>
        <v>No</v>
      </c>
      <c r="P2193" s="1" t="str">
        <f>IF(OR(Employee__2[[#This Row],[Age]]&gt;=30,Employee__2[[#This Row],[Gender]]="Male"),"Mached","Not mached")</f>
        <v>Mached</v>
      </c>
    </row>
    <row r="2194" spans="4:16" x14ac:dyDescent="0.25">
      <c r="D2194" s="6" t="s">
        <v>41</v>
      </c>
      <c r="E2194">
        <v>2017</v>
      </c>
      <c r="F2194" s="6" t="s">
        <v>40</v>
      </c>
      <c r="G2194">
        <v>3</v>
      </c>
      <c r="H2194">
        <v>29</v>
      </c>
      <c r="I2194" s="6" t="s">
        <v>36</v>
      </c>
      <c r="J2194" s="6" t="s">
        <v>37</v>
      </c>
      <c r="K2194">
        <v>1</v>
      </c>
      <c r="M2194" s="1" t="b">
        <f>Employee__2[[#This Row],[Experience]]&gt;1</f>
        <v>0</v>
      </c>
      <c r="N2194" s="1" t="str">
        <f>IF(Employee__2[[#This Row],[City]]="Pune","Yes","No")</f>
        <v>No</v>
      </c>
      <c r="O2194" s="1" t="str">
        <f>IF(AND(Employee__2[[#This Row],[Education]]="Bachelors",Employee__2[[#This Row],[City]]="Pune"),"Yes","No")</f>
        <v>No</v>
      </c>
      <c r="P2194" s="1" t="str">
        <f>IF(OR(Employee__2[[#This Row],[Age]]&gt;=30,Employee__2[[#This Row],[Gender]]="Male"),"Mached","Not mached")</f>
        <v>Mached</v>
      </c>
    </row>
    <row r="2195" spans="4:16" x14ac:dyDescent="0.25">
      <c r="D2195" s="6" t="s">
        <v>34</v>
      </c>
      <c r="E2195">
        <v>2014</v>
      </c>
      <c r="F2195" s="6" t="s">
        <v>38</v>
      </c>
      <c r="G2195">
        <v>2</v>
      </c>
      <c r="H2195">
        <v>29</v>
      </c>
      <c r="I2195" s="6" t="s">
        <v>36</v>
      </c>
      <c r="J2195" s="6" t="s">
        <v>37</v>
      </c>
      <c r="K2195">
        <v>2</v>
      </c>
      <c r="M2195" s="1" t="b">
        <f>Employee__2[[#This Row],[Experience]]&gt;1</f>
        <v>1</v>
      </c>
      <c r="N2195" s="1" t="str">
        <f>IF(Employee__2[[#This Row],[City]]="Pune","Yes","No")</f>
        <v>Yes</v>
      </c>
      <c r="O2195" s="1" t="str">
        <f>IF(AND(Employee__2[[#This Row],[Education]]="Bachelors",Employee__2[[#This Row],[City]]="Pune"),"Yes","No")</f>
        <v>Yes</v>
      </c>
      <c r="P2195" s="1" t="str">
        <f>IF(OR(Employee__2[[#This Row],[Age]]&gt;=30,Employee__2[[#This Row],[Gender]]="Male"),"Mached","Not mached")</f>
        <v>Mached</v>
      </c>
    </row>
    <row r="2196" spans="4:16" x14ac:dyDescent="0.25">
      <c r="D2196" s="6" t="s">
        <v>41</v>
      </c>
      <c r="E2196">
        <v>2013</v>
      </c>
      <c r="F2196" s="6" t="s">
        <v>40</v>
      </c>
      <c r="G2196">
        <v>3</v>
      </c>
      <c r="H2196">
        <v>26</v>
      </c>
      <c r="I2196" s="6" t="s">
        <v>36</v>
      </c>
      <c r="J2196" s="6" t="s">
        <v>37</v>
      </c>
      <c r="K2196">
        <v>4</v>
      </c>
      <c r="M2196" s="1" t="b">
        <f>Employee__2[[#This Row],[Experience]]&gt;1</f>
        <v>1</v>
      </c>
      <c r="N2196" s="1" t="str">
        <f>IF(Employee__2[[#This Row],[City]]="Pune","Yes","No")</f>
        <v>No</v>
      </c>
      <c r="O2196" s="1" t="str">
        <f>IF(AND(Employee__2[[#This Row],[Education]]="Bachelors",Employee__2[[#This Row],[City]]="Pune"),"Yes","No")</f>
        <v>No</v>
      </c>
      <c r="P2196" s="1" t="str">
        <f>IF(OR(Employee__2[[#This Row],[Age]]&gt;=30,Employee__2[[#This Row],[Gender]]="Male"),"Mached","Not mached")</f>
        <v>Mached</v>
      </c>
    </row>
    <row r="2197" spans="4:16" x14ac:dyDescent="0.25">
      <c r="D2197" s="6" t="s">
        <v>34</v>
      </c>
      <c r="E2197">
        <v>2014</v>
      </c>
      <c r="F2197" s="6" t="s">
        <v>35</v>
      </c>
      <c r="G2197">
        <v>3</v>
      </c>
      <c r="H2197">
        <v>30</v>
      </c>
      <c r="I2197" s="6" t="s">
        <v>36</v>
      </c>
      <c r="J2197" s="6" t="s">
        <v>37</v>
      </c>
      <c r="K2197">
        <v>1</v>
      </c>
      <c r="M2197" s="1" t="b">
        <f>Employee__2[[#This Row],[Experience]]&gt;1</f>
        <v>0</v>
      </c>
      <c r="N2197" s="1" t="str">
        <f>IF(Employee__2[[#This Row],[City]]="Pune","Yes","No")</f>
        <v>No</v>
      </c>
      <c r="O2197" s="1" t="str">
        <f>IF(AND(Employee__2[[#This Row],[Education]]="Bachelors",Employee__2[[#This Row],[City]]="Pune"),"Yes","No")</f>
        <v>No</v>
      </c>
      <c r="P2197" s="1" t="str">
        <f>IF(OR(Employee__2[[#This Row],[Age]]&gt;=30,Employee__2[[#This Row],[Gender]]="Male"),"Mached","Not mached")</f>
        <v>Mached</v>
      </c>
    </row>
    <row r="2198" spans="4:16" x14ac:dyDescent="0.25">
      <c r="D2198" s="6" t="s">
        <v>34</v>
      </c>
      <c r="E2198">
        <v>2013</v>
      </c>
      <c r="F2198" s="6" t="s">
        <v>40</v>
      </c>
      <c r="G2198">
        <v>3</v>
      </c>
      <c r="H2198">
        <v>26</v>
      </c>
      <c r="I2198" s="6" t="s">
        <v>39</v>
      </c>
      <c r="J2198" s="6" t="s">
        <v>37</v>
      </c>
      <c r="K2198">
        <v>4</v>
      </c>
      <c r="M2198" s="1" t="b">
        <f>Employee__2[[#This Row],[Experience]]&gt;1</f>
        <v>1</v>
      </c>
      <c r="N2198" s="1" t="str">
        <f>IF(Employee__2[[#This Row],[City]]="Pune","Yes","No")</f>
        <v>No</v>
      </c>
      <c r="O2198" s="1" t="str">
        <f>IF(AND(Employee__2[[#This Row],[Education]]="Bachelors",Employee__2[[#This Row],[City]]="Pune"),"Yes","No")</f>
        <v>No</v>
      </c>
      <c r="P2198" s="1" t="str">
        <f>IF(OR(Employee__2[[#This Row],[Age]]&gt;=30,Employee__2[[#This Row],[Gender]]="Male"),"Mached","Not mached")</f>
        <v>Not mached</v>
      </c>
    </row>
    <row r="2199" spans="4:16" x14ac:dyDescent="0.25">
      <c r="D2199" s="6" t="s">
        <v>34</v>
      </c>
      <c r="E2199">
        <v>2014</v>
      </c>
      <c r="F2199" s="6" t="s">
        <v>35</v>
      </c>
      <c r="G2199">
        <v>1</v>
      </c>
      <c r="H2199">
        <v>29</v>
      </c>
      <c r="I2199" s="6" t="s">
        <v>36</v>
      </c>
      <c r="J2199" s="6" t="s">
        <v>37</v>
      </c>
      <c r="K2199">
        <v>2</v>
      </c>
      <c r="M2199" s="1" t="b">
        <f>Employee__2[[#This Row],[Experience]]&gt;1</f>
        <v>1</v>
      </c>
      <c r="N2199" s="1" t="str">
        <f>IF(Employee__2[[#This Row],[City]]="Pune","Yes","No")</f>
        <v>No</v>
      </c>
      <c r="O2199" s="1" t="str">
        <f>IF(AND(Employee__2[[#This Row],[Education]]="Bachelors",Employee__2[[#This Row],[City]]="Pune"),"Yes","No")</f>
        <v>No</v>
      </c>
      <c r="P2199" s="1" t="str">
        <f>IF(OR(Employee__2[[#This Row],[Age]]&gt;=30,Employee__2[[#This Row],[Gender]]="Male"),"Mached","Not mached")</f>
        <v>Mached</v>
      </c>
    </row>
    <row r="2200" spans="4:16" x14ac:dyDescent="0.25">
      <c r="D2200" s="6" t="s">
        <v>41</v>
      </c>
      <c r="E2200">
        <v>2016</v>
      </c>
      <c r="F2200" s="6" t="s">
        <v>38</v>
      </c>
      <c r="G2200">
        <v>3</v>
      </c>
      <c r="H2200">
        <v>29</v>
      </c>
      <c r="I2200" s="6" t="s">
        <v>36</v>
      </c>
      <c r="J2200" s="6" t="s">
        <v>37</v>
      </c>
      <c r="K2200">
        <v>2</v>
      </c>
      <c r="M2200" s="1" t="b">
        <f>Employee__2[[#This Row],[Experience]]&gt;1</f>
        <v>1</v>
      </c>
      <c r="N2200" s="1" t="str">
        <f>IF(Employee__2[[#This Row],[City]]="Pune","Yes","No")</f>
        <v>Yes</v>
      </c>
      <c r="O2200" s="1" t="str">
        <f>IF(AND(Employee__2[[#This Row],[Education]]="Bachelors",Employee__2[[#This Row],[City]]="Pune"),"Yes","No")</f>
        <v>No</v>
      </c>
      <c r="P2200" s="1" t="str">
        <f>IF(OR(Employee__2[[#This Row],[Age]]&gt;=30,Employee__2[[#This Row],[Gender]]="Male"),"Mached","Not mached")</f>
        <v>Mached</v>
      </c>
    </row>
    <row r="2201" spans="4:16" x14ac:dyDescent="0.25">
      <c r="D2201" s="6" t="s">
        <v>43</v>
      </c>
      <c r="E2201">
        <v>2016</v>
      </c>
      <c r="F2201" s="6" t="s">
        <v>38</v>
      </c>
      <c r="G2201">
        <v>1</v>
      </c>
      <c r="H2201">
        <v>28</v>
      </c>
      <c r="I2201" s="6" t="s">
        <v>36</v>
      </c>
      <c r="J2201" s="6" t="s">
        <v>37</v>
      </c>
      <c r="K2201">
        <v>2</v>
      </c>
      <c r="M2201" s="1" t="b">
        <f>Employee__2[[#This Row],[Experience]]&gt;1</f>
        <v>1</v>
      </c>
      <c r="N2201" s="1" t="str">
        <f>IF(Employee__2[[#This Row],[City]]="Pune","Yes","No")</f>
        <v>Yes</v>
      </c>
      <c r="O2201" s="1" t="str">
        <f>IF(AND(Employee__2[[#This Row],[Education]]="Bachelors",Employee__2[[#This Row],[City]]="Pune"),"Yes","No")</f>
        <v>No</v>
      </c>
      <c r="P2201" s="1" t="str">
        <f>IF(OR(Employee__2[[#This Row],[Age]]&gt;=30,Employee__2[[#This Row],[Gender]]="Male"),"Mached","Not mached")</f>
        <v>Mached</v>
      </c>
    </row>
    <row r="2202" spans="4:16" x14ac:dyDescent="0.25">
      <c r="D2202" s="6" t="s">
        <v>43</v>
      </c>
      <c r="E2202">
        <v>2015</v>
      </c>
      <c r="F2202" s="6" t="s">
        <v>35</v>
      </c>
      <c r="G2202">
        <v>3</v>
      </c>
      <c r="H2202">
        <v>29</v>
      </c>
      <c r="I2202" s="6" t="s">
        <v>36</v>
      </c>
      <c r="J2202" s="6" t="s">
        <v>37</v>
      </c>
      <c r="K2202">
        <v>2</v>
      </c>
      <c r="M2202" s="1" t="b">
        <f>Employee__2[[#This Row],[Experience]]&gt;1</f>
        <v>1</v>
      </c>
      <c r="N2202" s="1" t="str">
        <f>IF(Employee__2[[#This Row],[City]]="Pune","Yes","No")</f>
        <v>No</v>
      </c>
      <c r="O2202" s="1" t="str">
        <f>IF(AND(Employee__2[[#This Row],[Education]]="Bachelors",Employee__2[[#This Row],[City]]="Pune"),"Yes","No")</f>
        <v>No</v>
      </c>
      <c r="P2202" s="1" t="str">
        <f>IF(OR(Employee__2[[#This Row],[Age]]&gt;=30,Employee__2[[#This Row],[Gender]]="Male"),"Mached","Not mached")</f>
        <v>Mached</v>
      </c>
    </row>
    <row r="2203" spans="4:16" x14ac:dyDescent="0.25">
      <c r="D2203" s="6" t="s">
        <v>34</v>
      </c>
      <c r="E2203">
        <v>2014</v>
      </c>
      <c r="F2203" s="6" t="s">
        <v>35</v>
      </c>
      <c r="G2203">
        <v>3</v>
      </c>
      <c r="H2203">
        <v>28</v>
      </c>
      <c r="I2203" s="6" t="s">
        <v>36</v>
      </c>
      <c r="J2203" s="6" t="s">
        <v>37</v>
      </c>
      <c r="K2203">
        <v>1</v>
      </c>
      <c r="M2203" s="1" t="b">
        <f>Employee__2[[#This Row],[Experience]]&gt;1</f>
        <v>0</v>
      </c>
      <c r="N2203" s="1" t="str">
        <f>IF(Employee__2[[#This Row],[City]]="Pune","Yes","No")</f>
        <v>No</v>
      </c>
      <c r="O2203" s="1" t="str">
        <f>IF(AND(Employee__2[[#This Row],[Education]]="Bachelors",Employee__2[[#This Row],[City]]="Pune"),"Yes","No")</f>
        <v>No</v>
      </c>
      <c r="P2203" s="1" t="str">
        <f>IF(OR(Employee__2[[#This Row],[Age]]&gt;=30,Employee__2[[#This Row],[Gender]]="Male"),"Mached","Not mached")</f>
        <v>Mached</v>
      </c>
    </row>
    <row r="2204" spans="4:16" x14ac:dyDescent="0.25">
      <c r="D2204" s="6" t="s">
        <v>34</v>
      </c>
      <c r="E2204">
        <v>2015</v>
      </c>
      <c r="F2204" s="6" t="s">
        <v>38</v>
      </c>
      <c r="G2204">
        <v>2</v>
      </c>
      <c r="H2204">
        <v>26</v>
      </c>
      <c r="I2204" s="6" t="s">
        <v>39</v>
      </c>
      <c r="J2204" s="6" t="s">
        <v>42</v>
      </c>
      <c r="K2204">
        <v>4</v>
      </c>
      <c r="M2204" s="1" t="b">
        <f>Employee__2[[#This Row],[Experience]]&gt;1</f>
        <v>1</v>
      </c>
      <c r="N2204" s="1" t="str">
        <f>IF(Employee__2[[#This Row],[City]]="Pune","Yes","No")</f>
        <v>Yes</v>
      </c>
      <c r="O2204" s="1" t="str">
        <f>IF(AND(Employee__2[[#This Row],[Education]]="Bachelors",Employee__2[[#This Row],[City]]="Pune"),"Yes","No")</f>
        <v>Yes</v>
      </c>
      <c r="P2204" s="1" t="str">
        <f>IF(OR(Employee__2[[#This Row],[Age]]&gt;=30,Employee__2[[#This Row],[Gender]]="Male"),"Mached","Not mached")</f>
        <v>Not mached</v>
      </c>
    </row>
    <row r="2205" spans="4:16" x14ac:dyDescent="0.25">
      <c r="D2205" s="6" t="s">
        <v>34</v>
      </c>
      <c r="E2205">
        <v>2015</v>
      </c>
      <c r="F2205" s="6" t="s">
        <v>35</v>
      </c>
      <c r="G2205">
        <v>3</v>
      </c>
      <c r="H2205">
        <v>28</v>
      </c>
      <c r="I2205" s="6" t="s">
        <v>39</v>
      </c>
      <c r="J2205" s="6" t="s">
        <v>37</v>
      </c>
      <c r="K2205">
        <v>1</v>
      </c>
      <c r="M2205" s="1" t="b">
        <f>Employee__2[[#This Row],[Experience]]&gt;1</f>
        <v>0</v>
      </c>
      <c r="N2205" s="1" t="str">
        <f>IF(Employee__2[[#This Row],[City]]="Pune","Yes","No")</f>
        <v>No</v>
      </c>
      <c r="O2205" s="1" t="str">
        <f>IF(AND(Employee__2[[#This Row],[Education]]="Bachelors",Employee__2[[#This Row],[City]]="Pune"),"Yes","No")</f>
        <v>No</v>
      </c>
      <c r="P2205" s="1" t="str">
        <f>IF(OR(Employee__2[[#This Row],[Age]]&gt;=30,Employee__2[[#This Row],[Gender]]="Male"),"Mached","Not mached")</f>
        <v>Not mached</v>
      </c>
    </row>
    <row r="2206" spans="4:16" x14ac:dyDescent="0.25">
      <c r="D2206" s="6" t="s">
        <v>34</v>
      </c>
      <c r="E2206">
        <v>2015</v>
      </c>
      <c r="F2206" s="6" t="s">
        <v>38</v>
      </c>
      <c r="G2206">
        <v>3</v>
      </c>
      <c r="H2206">
        <v>28</v>
      </c>
      <c r="I2206" s="6" t="s">
        <v>36</v>
      </c>
      <c r="J2206" s="6" t="s">
        <v>42</v>
      </c>
      <c r="K2206">
        <v>2</v>
      </c>
      <c r="M2206" s="1" t="b">
        <f>Employee__2[[#This Row],[Experience]]&gt;1</f>
        <v>1</v>
      </c>
      <c r="N2206" s="1" t="str">
        <f>IF(Employee__2[[#This Row],[City]]="Pune","Yes","No")</f>
        <v>Yes</v>
      </c>
      <c r="O2206" s="1" t="str">
        <f>IF(AND(Employee__2[[#This Row],[Education]]="Bachelors",Employee__2[[#This Row],[City]]="Pune"),"Yes","No")</f>
        <v>Yes</v>
      </c>
      <c r="P2206" s="1" t="str">
        <f>IF(OR(Employee__2[[#This Row],[Age]]&gt;=30,Employee__2[[#This Row],[Gender]]="Male"),"Mached","Not mached")</f>
        <v>Mached</v>
      </c>
    </row>
    <row r="2207" spans="4:16" x14ac:dyDescent="0.25">
      <c r="D2207" s="6" t="s">
        <v>34</v>
      </c>
      <c r="E2207">
        <v>2016</v>
      </c>
      <c r="F2207" s="6" t="s">
        <v>40</v>
      </c>
      <c r="G2207">
        <v>3</v>
      </c>
      <c r="H2207">
        <v>26</v>
      </c>
      <c r="I2207" s="6" t="s">
        <v>39</v>
      </c>
      <c r="J2207" s="6" t="s">
        <v>37</v>
      </c>
      <c r="K2207">
        <v>4</v>
      </c>
      <c r="M2207" s="1" t="b">
        <f>Employee__2[[#This Row],[Experience]]&gt;1</f>
        <v>1</v>
      </c>
      <c r="N2207" s="1" t="str">
        <f>IF(Employee__2[[#This Row],[City]]="Pune","Yes","No")</f>
        <v>No</v>
      </c>
      <c r="O2207" s="1" t="str">
        <f>IF(AND(Employee__2[[#This Row],[Education]]="Bachelors",Employee__2[[#This Row],[City]]="Pune"),"Yes","No")</f>
        <v>No</v>
      </c>
      <c r="P2207" s="1" t="str">
        <f>IF(OR(Employee__2[[#This Row],[Age]]&gt;=30,Employee__2[[#This Row],[Gender]]="Male"),"Mached","Not mached")</f>
        <v>Not mached</v>
      </c>
    </row>
    <row r="2208" spans="4:16" x14ac:dyDescent="0.25">
      <c r="D2208" s="6" t="s">
        <v>34</v>
      </c>
      <c r="E2208">
        <v>2014</v>
      </c>
      <c r="F2208" s="6" t="s">
        <v>35</v>
      </c>
      <c r="G2208">
        <v>3</v>
      </c>
      <c r="H2208">
        <v>29</v>
      </c>
      <c r="I2208" s="6" t="s">
        <v>36</v>
      </c>
      <c r="J2208" s="6" t="s">
        <v>37</v>
      </c>
      <c r="K2208">
        <v>1</v>
      </c>
      <c r="M2208" s="1" t="b">
        <f>Employee__2[[#This Row],[Experience]]&gt;1</f>
        <v>0</v>
      </c>
      <c r="N2208" s="1" t="str">
        <f>IF(Employee__2[[#This Row],[City]]="Pune","Yes","No")</f>
        <v>No</v>
      </c>
      <c r="O2208" s="1" t="str">
        <f>IF(AND(Employee__2[[#This Row],[Education]]="Bachelors",Employee__2[[#This Row],[City]]="Pune"),"Yes","No")</f>
        <v>No</v>
      </c>
      <c r="P2208" s="1" t="str">
        <f>IF(OR(Employee__2[[#This Row],[Age]]&gt;=30,Employee__2[[#This Row],[Gender]]="Male"),"Mached","Not mached")</f>
        <v>Mached</v>
      </c>
    </row>
    <row r="2209" spans="4:16" x14ac:dyDescent="0.25">
      <c r="D2209" s="6" t="s">
        <v>34</v>
      </c>
      <c r="E2209">
        <v>2013</v>
      </c>
      <c r="F2209" s="6" t="s">
        <v>35</v>
      </c>
      <c r="G2209">
        <v>2</v>
      </c>
      <c r="H2209">
        <v>30</v>
      </c>
      <c r="I2209" s="6" t="s">
        <v>39</v>
      </c>
      <c r="J2209" s="6" t="s">
        <v>37</v>
      </c>
      <c r="K2209">
        <v>1</v>
      </c>
      <c r="M2209" s="1" t="b">
        <f>Employee__2[[#This Row],[Experience]]&gt;1</f>
        <v>0</v>
      </c>
      <c r="N2209" s="1" t="str">
        <f>IF(Employee__2[[#This Row],[City]]="Pune","Yes","No")</f>
        <v>No</v>
      </c>
      <c r="O2209" s="1" t="str">
        <f>IF(AND(Employee__2[[#This Row],[Education]]="Bachelors",Employee__2[[#This Row],[City]]="Pune"),"Yes","No")</f>
        <v>No</v>
      </c>
      <c r="P2209" s="1" t="str">
        <f>IF(OR(Employee__2[[#This Row],[Age]]&gt;=30,Employee__2[[#This Row],[Gender]]="Male"),"Mached","Not mached")</f>
        <v>Mached</v>
      </c>
    </row>
    <row r="2210" spans="4:16" x14ac:dyDescent="0.25">
      <c r="D2210" s="6" t="s">
        <v>34</v>
      </c>
      <c r="E2210">
        <v>2015</v>
      </c>
      <c r="F2210" s="6" t="s">
        <v>35</v>
      </c>
      <c r="G2210">
        <v>3</v>
      </c>
      <c r="H2210">
        <v>29</v>
      </c>
      <c r="I2210" s="6" t="s">
        <v>36</v>
      </c>
      <c r="J2210" s="6" t="s">
        <v>42</v>
      </c>
      <c r="K2210">
        <v>1</v>
      </c>
      <c r="M2210" s="1" t="b">
        <f>Employee__2[[#This Row],[Experience]]&gt;1</f>
        <v>0</v>
      </c>
      <c r="N2210" s="1" t="str">
        <f>IF(Employee__2[[#This Row],[City]]="Pune","Yes","No")</f>
        <v>No</v>
      </c>
      <c r="O2210" s="1" t="str">
        <f>IF(AND(Employee__2[[#This Row],[Education]]="Bachelors",Employee__2[[#This Row],[City]]="Pune"),"Yes","No")</f>
        <v>No</v>
      </c>
      <c r="P2210" s="1" t="str">
        <f>IF(OR(Employee__2[[#This Row],[Age]]&gt;=30,Employee__2[[#This Row],[Gender]]="Male"),"Mached","Not mached")</f>
        <v>Mached</v>
      </c>
    </row>
    <row r="2211" spans="4:16" x14ac:dyDescent="0.25">
      <c r="D2211" s="6" t="s">
        <v>34</v>
      </c>
      <c r="E2211">
        <v>2012</v>
      </c>
      <c r="F2211" s="6" t="s">
        <v>35</v>
      </c>
      <c r="G2211">
        <v>3</v>
      </c>
      <c r="H2211">
        <v>26</v>
      </c>
      <c r="I2211" s="6" t="s">
        <v>36</v>
      </c>
      <c r="J2211" s="6" t="s">
        <v>37</v>
      </c>
      <c r="K2211">
        <v>4</v>
      </c>
      <c r="M2211" s="1" t="b">
        <f>Employee__2[[#This Row],[Experience]]&gt;1</f>
        <v>1</v>
      </c>
      <c r="N2211" s="1" t="str">
        <f>IF(Employee__2[[#This Row],[City]]="Pune","Yes","No")</f>
        <v>No</v>
      </c>
      <c r="O2211" s="1" t="str">
        <f>IF(AND(Employee__2[[#This Row],[Education]]="Bachelors",Employee__2[[#This Row],[City]]="Pune"),"Yes","No")</f>
        <v>No</v>
      </c>
      <c r="P2211" s="1" t="str">
        <f>IF(OR(Employee__2[[#This Row],[Age]]&gt;=30,Employee__2[[#This Row],[Gender]]="Male"),"Mached","Not mached")</f>
        <v>Mached</v>
      </c>
    </row>
    <row r="2212" spans="4:16" x14ac:dyDescent="0.25">
      <c r="D2212" s="6" t="s">
        <v>43</v>
      </c>
      <c r="E2212">
        <v>2017</v>
      </c>
      <c r="F2212" s="6" t="s">
        <v>40</v>
      </c>
      <c r="G2212">
        <v>3</v>
      </c>
      <c r="H2212">
        <v>29</v>
      </c>
      <c r="I2212" s="6" t="s">
        <v>36</v>
      </c>
      <c r="J2212" s="6" t="s">
        <v>37</v>
      </c>
      <c r="K2212">
        <v>1</v>
      </c>
      <c r="M2212" s="1" t="b">
        <f>Employee__2[[#This Row],[Experience]]&gt;1</f>
        <v>0</v>
      </c>
      <c r="N2212" s="1" t="str">
        <f>IF(Employee__2[[#This Row],[City]]="Pune","Yes","No")</f>
        <v>No</v>
      </c>
      <c r="O2212" s="1" t="str">
        <f>IF(AND(Employee__2[[#This Row],[Education]]="Bachelors",Employee__2[[#This Row],[City]]="Pune"),"Yes","No")</f>
        <v>No</v>
      </c>
      <c r="P2212" s="1" t="str">
        <f>IF(OR(Employee__2[[#This Row],[Age]]&gt;=30,Employee__2[[#This Row],[Gender]]="Male"),"Mached","Not mached")</f>
        <v>Mached</v>
      </c>
    </row>
    <row r="2213" spans="4:16" x14ac:dyDescent="0.25">
      <c r="D2213" s="6" t="s">
        <v>41</v>
      </c>
      <c r="E2213">
        <v>2017</v>
      </c>
      <c r="F2213" s="6" t="s">
        <v>40</v>
      </c>
      <c r="G2213">
        <v>3</v>
      </c>
      <c r="H2213">
        <v>29</v>
      </c>
      <c r="I2213" s="6" t="s">
        <v>36</v>
      </c>
      <c r="J2213" s="6" t="s">
        <v>37</v>
      </c>
      <c r="K2213">
        <v>2</v>
      </c>
      <c r="M2213" s="1" t="b">
        <f>Employee__2[[#This Row],[Experience]]&gt;1</f>
        <v>1</v>
      </c>
      <c r="N2213" s="1" t="str">
        <f>IF(Employee__2[[#This Row],[City]]="Pune","Yes","No")</f>
        <v>No</v>
      </c>
      <c r="O2213" s="1" t="str">
        <f>IF(AND(Employee__2[[#This Row],[Education]]="Bachelors",Employee__2[[#This Row],[City]]="Pune"),"Yes","No")</f>
        <v>No</v>
      </c>
      <c r="P2213" s="1" t="str">
        <f>IF(OR(Employee__2[[#This Row],[Age]]&gt;=30,Employee__2[[#This Row],[Gender]]="Male"),"Mached","Not mached")</f>
        <v>Mached</v>
      </c>
    </row>
    <row r="2214" spans="4:16" x14ac:dyDescent="0.25">
      <c r="D2214" s="6" t="s">
        <v>34</v>
      </c>
      <c r="E2214">
        <v>2015</v>
      </c>
      <c r="F2214" s="6" t="s">
        <v>38</v>
      </c>
      <c r="G2214">
        <v>2</v>
      </c>
      <c r="H2214">
        <v>30</v>
      </c>
      <c r="I2214" s="6" t="s">
        <v>39</v>
      </c>
      <c r="J2214" s="6" t="s">
        <v>42</v>
      </c>
      <c r="K2214">
        <v>1</v>
      </c>
      <c r="M2214" s="1" t="b">
        <f>Employee__2[[#This Row],[Experience]]&gt;1</f>
        <v>0</v>
      </c>
      <c r="N2214" s="1" t="str">
        <f>IF(Employee__2[[#This Row],[City]]="Pune","Yes","No")</f>
        <v>Yes</v>
      </c>
      <c r="O2214" s="1" t="str">
        <f>IF(AND(Employee__2[[#This Row],[Education]]="Bachelors",Employee__2[[#This Row],[City]]="Pune"),"Yes","No")</f>
        <v>Yes</v>
      </c>
      <c r="P2214" s="1" t="str">
        <f>IF(OR(Employee__2[[#This Row],[Age]]&gt;=30,Employee__2[[#This Row],[Gender]]="Male"),"Mached","Not mached")</f>
        <v>Mached</v>
      </c>
    </row>
    <row r="2215" spans="4:16" x14ac:dyDescent="0.25">
      <c r="D2215" s="6" t="s">
        <v>34</v>
      </c>
      <c r="E2215">
        <v>2012</v>
      </c>
      <c r="F2215" s="6" t="s">
        <v>40</v>
      </c>
      <c r="G2215">
        <v>3</v>
      </c>
      <c r="H2215">
        <v>26</v>
      </c>
      <c r="I2215" s="6" t="s">
        <v>39</v>
      </c>
      <c r="J2215" s="6" t="s">
        <v>37</v>
      </c>
      <c r="K2215">
        <v>4</v>
      </c>
      <c r="M2215" s="1" t="b">
        <f>Employee__2[[#This Row],[Experience]]&gt;1</f>
        <v>1</v>
      </c>
      <c r="N2215" s="1" t="str">
        <f>IF(Employee__2[[#This Row],[City]]="Pune","Yes","No")</f>
        <v>No</v>
      </c>
      <c r="O2215" s="1" t="str">
        <f>IF(AND(Employee__2[[#This Row],[Education]]="Bachelors",Employee__2[[#This Row],[City]]="Pune"),"Yes","No")</f>
        <v>No</v>
      </c>
      <c r="P2215" s="1" t="str">
        <f>IF(OR(Employee__2[[#This Row],[Age]]&gt;=30,Employee__2[[#This Row],[Gender]]="Male"),"Mached","Not mached")</f>
        <v>Not mached</v>
      </c>
    </row>
    <row r="2216" spans="4:16" x14ac:dyDescent="0.25">
      <c r="D2216" s="6" t="s">
        <v>34</v>
      </c>
      <c r="E2216">
        <v>2013</v>
      </c>
      <c r="F2216" s="6" t="s">
        <v>38</v>
      </c>
      <c r="G2216">
        <v>3</v>
      </c>
      <c r="H2216">
        <v>30</v>
      </c>
      <c r="I2216" s="6" t="s">
        <v>36</v>
      </c>
      <c r="J2216" s="6" t="s">
        <v>37</v>
      </c>
      <c r="K2216">
        <v>1</v>
      </c>
      <c r="M2216" s="1" t="b">
        <f>Employee__2[[#This Row],[Experience]]&gt;1</f>
        <v>0</v>
      </c>
      <c r="N2216" s="1" t="str">
        <f>IF(Employee__2[[#This Row],[City]]="Pune","Yes","No")</f>
        <v>Yes</v>
      </c>
      <c r="O2216" s="1" t="str">
        <f>IF(AND(Employee__2[[#This Row],[Education]]="Bachelors",Employee__2[[#This Row],[City]]="Pune"),"Yes","No")</f>
        <v>Yes</v>
      </c>
      <c r="P2216" s="1" t="str">
        <f>IF(OR(Employee__2[[#This Row],[Age]]&gt;=30,Employee__2[[#This Row],[Gender]]="Male"),"Mached","Not mached")</f>
        <v>Mached</v>
      </c>
    </row>
    <row r="2217" spans="4:16" x14ac:dyDescent="0.25">
      <c r="D2217" s="6" t="s">
        <v>34</v>
      </c>
      <c r="E2217">
        <v>2012</v>
      </c>
      <c r="F2217" s="6" t="s">
        <v>35</v>
      </c>
      <c r="G2217">
        <v>3</v>
      </c>
      <c r="H2217">
        <v>30</v>
      </c>
      <c r="I2217" s="6" t="s">
        <v>39</v>
      </c>
      <c r="J2217" s="6" t="s">
        <v>37</v>
      </c>
      <c r="K2217">
        <v>1</v>
      </c>
      <c r="M2217" s="1" t="b">
        <f>Employee__2[[#This Row],[Experience]]&gt;1</f>
        <v>0</v>
      </c>
      <c r="N2217" s="1" t="str">
        <f>IF(Employee__2[[#This Row],[City]]="Pune","Yes","No")</f>
        <v>No</v>
      </c>
      <c r="O2217" s="1" t="str">
        <f>IF(AND(Employee__2[[#This Row],[Education]]="Bachelors",Employee__2[[#This Row],[City]]="Pune"),"Yes","No")</f>
        <v>No</v>
      </c>
      <c r="P2217" s="1" t="str">
        <f>IF(OR(Employee__2[[#This Row],[Age]]&gt;=30,Employee__2[[#This Row],[Gender]]="Male"),"Mached","Not mached")</f>
        <v>Mached</v>
      </c>
    </row>
    <row r="2218" spans="4:16" x14ac:dyDescent="0.25">
      <c r="D2218" s="6" t="s">
        <v>34</v>
      </c>
      <c r="E2218">
        <v>2015</v>
      </c>
      <c r="F2218" s="6" t="s">
        <v>40</v>
      </c>
      <c r="G2218">
        <v>3</v>
      </c>
      <c r="H2218">
        <v>26</v>
      </c>
      <c r="I2218" s="6" t="s">
        <v>39</v>
      </c>
      <c r="J2218" s="6" t="s">
        <v>37</v>
      </c>
      <c r="K2218">
        <v>4</v>
      </c>
      <c r="M2218" s="1" t="b">
        <f>Employee__2[[#This Row],[Experience]]&gt;1</f>
        <v>1</v>
      </c>
      <c r="N2218" s="1" t="str">
        <f>IF(Employee__2[[#This Row],[City]]="Pune","Yes","No")</f>
        <v>No</v>
      </c>
      <c r="O2218" s="1" t="str">
        <f>IF(AND(Employee__2[[#This Row],[Education]]="Bachelors",Employee__2[[#This Row],[City]]="Pune"),"Yes","No")</f>
        <v>No</v>
      </c>
      <c r="P2218" s="1" t="str">
        <f>IF(OR(Employee__2[[#This Row],[Age]]&gt;=30,Employee__2[[#This Row],[Gender]]="Male"),"Mached","Not mached")</f>
        <v>Not mached</v>
      </c>
    </row>
    <row r="2219" spans="4:16" x14ac:dyDescent="0.25">
      <c r="D2219" s="6" t="s">
        <v>34</v>
      </c>
      <c r="E2219">
        <v>2015</v>
      </c>
      <c r="F2219" s="6" t="s">
        <v>38</v>
      </c>
      <c r="G2219">
        <v>3</v>
      </c>
      <c r="H2219">
        <v>28</v>
      </c>
      <c r="I2219" s="6" t="s">
        <v>39</v>
      </c>
      <c r="J2219" s="6" t="s">
        <v>42</v>
      </c>
      <c r="K2219">
        <v>2</v>
      </c>
      <c r="M2219" s="1" t="b">
        <f>Employee__2[[#This Row],[Experience]]&gt;1</f>
        <v>1</v>
      </c>
      <c r="N2219" s="1" t="str">
        <f>IF(Employee__2[[#This Row],[City]]="Pune","Yes","No")</f>
        <v>Yes</v>
      </c>
      <c r="O2219" s="1" t="str">
        <f>IF(AND(Employee__2[[#This Row],[Education]]="Bachelors",Employee__2[[#This Row],[City]]="Pune"),"Yes","No")</f>
        <v>Yes</v>
      </c>
      <c r="P2219" s="1" t="str">
        <f>IF(OR(Employee__2[[#This Row],[Age]]&gt;=30,Employee__2[[#This Row],[Gender]]="Male"),"Mached","Not mached")</f>
        <v>Not mached</v>
      </c>
    </row>
    <row r="2220" spans="4:16" x14ac:dyDescent="0.25">
      <c r="D2220" s="6" t="s">
        <v>34</v>
      </c>
      <c r="E2220">
        <v>2014</v>
      </c>
      <c r="F2220" s="6" t="s">
        <v>35</v>
      </c>
      <c r="G2220">
        <v>3</v>
      </c>
      <c r="H2220">
        <v>29</v>
      </c>
      <c r="I2220" s="6" t="s">
        <v>36</v>
      </c>
      <c r="J2220" s="6" t="s">
        <v>37</v>
      </c>
      <c r="K2220">
        <v>1</v>
      </c>
      <c r="M2220" s="1" t="b">
        <f>Employee__2[[#This Row],[Experience]]&gt;1</f>
        <v>0</v>
      </c>
      <c r="N2220" s="1" t="str">
        <f>IF(Employee__2[[#This Row],[City]]="Pune","Yes","No")</f>
        <v>No</v>
      </c>
      <c r="O2220" s="1" t="str">
        <f>IF(AND(Employee__2[[#This Row],[Education]]="Bachelors",Employee__2[[#This Row],[City]]="Pune"),"Yes","No")</f>
        <v>No</v>
      </c>
      <c r="P2220" s="1" t="str">
        <f>IF(OR(Employee__2[[#This Row],[Age]]&gt;=30,Employee__2[[#This Row],[Gender]]="Male"),"Mached","Not mached")</f>
        <v>Mached</v>
      </c>
    </row>
    <row r="2221" spans="4:16" x14ac:dyDescent="0.25">
      <c r="D2221" s="6" t="s">
        <v>34</v>
      </c>
      <c r="E2221">
        <v>2013</v>
      </c>
      <c r="F2221" s="6" t="s">
        <v>38</v>
      </c>
      <c r="G2221">
        <v>2</v>
      </c>
      <c r="H2221">
        <v>28</v>
      </c>
      <c r="I2221" s="6" t="s">
        <v>39</v>
      </c>
      <c r="J2221" s="6" t="s">
        <v>37</v>
      </c>
      <c r="K2221">
        <v>1</v>
      </c>
      <c r="M2221" s="1" t="b">
        <f>Employee__2[[#This Row],[Experience]]&gt;1</f>
        <v>0</v>
      </c>
      <c r="N2221" s="1" t="str">
        <f>IF(Employee__2[[#This Row],[City]]="Pune","Yes","No")</f>
        <v>Yes</v>
      </c>
      <c r="O2221" s="1" t="str">
        <f>IF(AND(Employee__2[[#This Row],[Education]]="Bachelors",Employee__2[[#This Row],[City]]="Pune"),"Yes","No")</f>
        <v>Yes</v>
      </c>
      <c r="P2221" s="1" t="str">
        <f>IF(OR(Employee__2[[#This Row],[Age]]&gt;=30,Employee__2[[#This Row],[Gender]]="Male"),"Mached","Not mached")</f>
        <v>Not mached</v>
      </c>
    </row>
    <row r="2222" spans="4:16" x14ac:dyDescent="0.25">
      <c r="D2222" s="6" t="s">
        <v>34</v>
      </c>
      <c r="E2222">
        <v>2016</v>
      </c>
      <c r="F2222" s="6" t="s">
        <v>35</v>
      </c>
      <c r="G2222">
        <v>3</v>
      </c>
      <c r="H2222">
        <v>28</v>
      </c>
      <c r="I2222" s="6" t="s">
        <v>39</v>
      </c>
      <c r="J2222" s="6" t="s">
        <v>37</v>
      </c>
      <c r="K2222">
        <v>1</v>
      </c>
      <c r="M2222" s="1" t="b">
        <f>Employee__2[[#This Row],[Experience]]&gt;1</f>
        <v>0</v>
      </c>
      <c r="N2222" s="1" t="str">
        <f>IF(Employee__2[[#This Row],[City]]="Pune","Yes","No")</f>
        <v>No</v>
      </c>
      <c r="O2222" s="1" t="str">
        <f>IF(AND(Employee__2[[#This Row],[Education]]="Bachelors",Employee__2[[#This Row],[City]]="Pune"),"Yes","No")</f>
        <v>No</v>
      </c>
      <c r="P2222" s="1" t="str">
        <f>IF(OR(Employee__2[[#This Row],[Age]]&gt;=30,Employee__2[[#This Row],[Gender]]="Male"),"Mached","Not mached")</f>
        <v>Not mached</v>
      </c>
    </row>
    <row r="2223" spans="4:16" x14ac:dyDescent="0.25">
      <c r="D2223" s="6" t="s">
        <v>41</v>
      </c>
      <c r="E2223">
        <v>2018</v>
      </c>
      <c r="F2223" s="6" t="s">
        <v>40</v>
      </c>
      <c r="G2223">
        <v>3</v>
      </c>
      <c r="H2223">
        <v>30</v>
      </c>
      <c r="I2223" s="6" t="s">
        <v>39</v>
      </c>
      <c r="J2223" s="6" t="s">
        <v>37</v>
      </c>
      <c r="K2223">
        <v>2</v>
      </c>
      <c r="M2223" s="1" t="b">
        <f>Employee__2[[#This Row],[Experience]]&gt;1</f>
        <v>1</v>
      </c>
      <c r="N2223" s="1" t="str">
        <f>IF(Employee__2[[#This Row],[City]]="Pune","Yes","No")</f>
        <v>No</v>
      </c>
      <c r="O2223" s="1" t="str">
        <f>IF(AND(Employee__2[[#This Row],[Education]]="Bachelors",Employee__2[[#This Row],[City]]="Pune"),"Yes","No")</f>
        <v>No</v>
      </c>
      <c r="P2223" s="1" t="str">
        <f>IF(OR(Employee__2[[#This Row],[Age]]&gt;=30,Employee__2[[#This Row],[Gender]]="Male"),"Mached","Not mached")</f>
        <v>Mached</v>
      </c>
    </row>
    <row r="2224" spans="4:16" x14ac:dyDescent="0.25">
      <c r="D2224" s="6" t="s">
        <v>34</v>
      </c>
      <c r="E2224">
        <v>2018</v>
      </c>
      <c r="F2224" s="6" t="s">
        <v>38</v>
      </c>
      <c r="G2224">
        <v>3</v>
      </c>
      <c r="H2224">
        <v>29</v>
      </c>
      <c r="I2224" s="6" t="s">
        <v>36</v>
      </c>
      <c r="J2224" s="6" t="s">
        <v>42</v>
      </c>
      <c r="K2224">
        <v>1</v>
      </c>
      <c r="M2224" s="1" t="b">
        <f>Employee__2[[#This Row],[Experience]]&gt;1</f>
        <v>0</v>
      </c>
      <c r="N2224" s="1" t="str">
        <f>IF(Employee__2[[#This Row],[City]]="Pune","Yes","No")</f>
        <v>Yes</v>
      </c>
      <c r="O2224" s="1" t="str">
        <f>IF(AND(Employee__2[[#This Row],[Education]]="Bachelors",Employee__2[[#This Row],[City]]="Pune"),"Yes","No")</f>
        <v>Yes</v>
      </c>
      <c r="P2224" s="1" t="str">
        <f>IF(OR(Employee__2[[#This Row],[Age]]&gt;=30,Employee__2[[#This Row],[Gender]]="Male"),"Mached","Not mached")</f>
        <v>Mached</v>
      </c>
    </row>
    <row r="2225" spans="4:16" x14ac:dyDescent="0.25">
      <c r="D2225" s="6" t="s">
        <v>34</v>
      </c>
      <c r="E2225">
        <v>2016</v>
      </c>
      <c r="F2225" s="6" t="s">
        <v>35</v>
      </c>
      <c r="G2225">
        <v>3</v>
      </c>
      <c r="H2225">
        <v>30</v>
      </c>
      <c r="I2225" s="6" t="s">
        <v>39</v>
      </c>
      <c r="J2225" s="6" t="s">
        <v>42</v>
      </c>
      <c r="K2225">
        <v>2</v>
      </c>
      <c r="M2225" s="1" t="b">
        <f>Employee__2[[#This Row],[Experience]]&gt;1</f>
        <v>1</v>
      </c>
      <c r="N2225" s="1" t="str">
        <f>IF(Employee__2[[#This Row],[City]]="Pune","Yes","No")</f>
        <v>No</v>
      </c>
      <c r="O2225" s="1" t="str">
        <f>IF(AND(Employee__2[[#This Row],[Education]]="Bachelors",Employee__2[[#This Row],[City]]="Pune"),"Yes","No")</f>
        <v>No</v>
      </c>
      <c r="P2225" s="1" t="str">
        <f>IF(OR(Employee__2[[#This Row],[Age]]&gt;=30,Employee__2[[#This Row],[Gender]]="Male"),"Mached","Not mached")</f>
        <v>Mached</v>
      </c>
    </row>
    <row r="2226" spans="4:16" x14ac:dyDescent="0.25">
      <c r="D2226" s="6" t="s">
        <v>34</v>
      </c>
      <c r="E2226">
        <v>2015</v>
      </c>
      <c r="F2226" s="6" t="s">
        <v>35</v>
      </c>
      <c r="G2226">
        <v>3</v>
      </c>
      <c r="H2226">
        <v>26</v>
      </c>
      <c r="I2226" s="6" t="s">
        <v>36</v>
      </c>
      <c r="J2226" s="6" t="s">
        <v>37</v>
      </c>
      <c r="K2226">
        <v>4</v>
      </c>
      <c r="M2226" s="1" t="b">
        <f>Employee__2[[#This Row],[Experience]]&gt;1</f>
        <v>1</v>
      </c>
      <c r="N2226" s="1" t="str">
        <f>IF(Employee__2[[#This Row],[City]]="Pune","Yes","No")</f>
        <v>No</v>
      </c>
      <c r="O2226" s="1" t="str">
        <f>IF(AND(Employee__2[[#This Row],[Education]]="Bachelors",Employee__2[[#This Row],[City]]="Pune"),"Yes","No")</f>
        <v>No</v>
      </c>
      <c r="P2226" s="1" t="str">
        <f>IF(OR(Employee__2[[#This Row],[Age]]&gt;=30,Employee__2[[#This Row],[Gender]]="Male"),"Mached","Not mached")</f>
        <v>Mached</v>
      </c>
    </row>
    <row r="2227" spans="4:16" x14ac:dyDescent="0.25">
      <c r="D2227" s="6" t="s">
        <v>41</v>
      </c>
      <c r="E2227">
        <v>2017</v>
      </c>
      <c r="F2227" s="6" t="s">
        <v>38</v>
      </c>
      <c r="G2227">
        <v>2</v>
      </c>
      <c r="H2227">
        <v>27</v>
      </c>
      <c r="I2227" s="6" t="s">
        <v>36</v>
      </c>
      <c r="J2227" s="6" t="s">
        <v>42</v>
      </c>
      <c r="K2227">
        <v>5</v>
      </c>
      <c r="M2227" s="1" t="b">
        <f>Employee__2[[#This Row],[Experience]]&gt;1</f>
        <v>1</v>
      </c>
      <c r="N2227" s="1" t="str">
        <f>IF(Employee__2[[#This Row],[City]]="Pune","Yes","No")</f>
        <v>Yes</v>
      </c>
      <c r="O2227" s="1" t="str">
        <f>IF(AND(Employee__2[[#This Row],[Education]]="Bachelors",Employee__2[[#This Row],[City]]="Pune"),"Yes","No")</f>
        <v>No</v>
      </c>
      <c r="P2227" s="1" t="str">
        <f>IF(OR(Employee__2[[#This Row],[Age]]&gt;=30,Employee__2[[#This Row],[Gender]]="Male"),"Mached","Not mached")</f>
        <v>Mached</v>
      </c>
    </row>
    <row r="2228" spans="4:16" x14ac:dyDescent="0.25">
      <c r="D2228" s="6" t="s">
        <v>41</v>
      </c>
      <c r="E2228">
        <v>2017</v>
      </c>
      <c r="F2228" s="6" t="s">
        <v>38</v>
      </c>
      <c r="G2228">
        <v>2</v>
      </c>
      <c r="H2228">
        <v>26</v>
      </c>
      <c r="I2228" s="6" t="s">
        <v>39</v>
      </c>
      <c r="J2228" s="6" t="s">
        <v>37</v>
      </c>
      <c r="K2228">
        <v>4</v>
      </c>
      <c r="M2228" s="1" t="b">
        <f>Employee__2[[#This Row],[Experience]]&gt;1</f>
        <v>1</v>
      </c>
      <c r="N2228" s="1" t="str">
        <f>IF(Employee__2[[#This Row],[City]]="Pune","Yes","No")</f>
        <v>Yes</v>
      </c>
      <c r="O2228" s="1" t="str">
        <f>IF(AND(Employee__2[[#This Row],[Education]]="Bachelors",Employee__2[[#This Row],[City]]="Pune"),"Yes","No")</f>
        <v>No</v>
      </c>
      <c r="P2228" s="1" t="str">
        <f>IF(OR(Employee__2[[#This Row],[Age]]&gt;=30,Employee__2[[#This Row],[Gender]]="Male"),"Mached","Not mached")</f>
        <v>Not mached</v>
      </c>
    </row>
    <row r="2229" spans="4:16" x14ac:dyDescent="0.25">
      <c r="D2229" s="6" t="s">
        <v>41</v>
      </c>
      <c r="E2229">
        <v>2017</v>
      </c>
      <c r="F2229" s="6" t="s">
        <v>40</v>
      </c>
      <c r="G2229">
        <v>3</v>
      </c>
      <c r="H2229">
        <v>26</v>
      </c>
      <c r="I2229" s="6" t="s">
        <v>36</v>
      </c>
      <c r="J2229" s="6" t="s">
        <v>37</v>
      </c>
      <c r="K2229">
        <v>4</v>
      </c>
      <c r="M2229" s="1" t="b">
        <f>Employee__2[[#This Row],[Experience]]&gt;1</f>
        <v>1</v>
      </c>
      <c r="N2229" s="1" t="str">
        <f>IF(Employee__2[[#This Row],[City]]="Pune","Yes","No")</f>
        <v>No</v>
      </c>
      <c r="O2229" s="1" t="str">
        <f>IF(AND(Employee__2[[#This Row],[Education]]="Bachelors",Employee__2[[#This Row],[City]]="Pune"),"Yes","No")</f>
        <v>No</v>
      </c>
      <c r="P2229" s="1" t="str">
        <f>IF(OR(Employee__2[[#This Row],[Age]]&gt;=30,Employee__2[[#This Row],[Gender]]="Male"),"Mached","Not mached")</f>
        <v>Mached</v>
      </c>
    </row>
    <row r="2230" spans="4:16" x14ac:dyDescent="0.25">
      <c r="D2230" s="6" t="s">
        <v>34</v>
      </c>
      <c r="E2230">
        <v>2017</v>
      </c>
      <c r="F2230" s="6" t="s">
        <v>38</v>
      </c>
      <c r="G2230">
        <v>2</v>
      </c>
      <c r="H2230">
        <v>30</v>
      </c>
      <c r="I2230" s="6" t="s">
        <v>39</v>
      </c>
      <c r="J2230" s="6" t="s">
        <v>37</v>
      </c>
      <c r="K2230">
        <v>2</v>
      </c>
      <c r="M2230" s="1" t="b">
        <f>Employee__2[[#This Row],[Experience]]&gt;1</f>
        <v>1</v>
      </c>
      <c r="N2230" s="1" t="str">
        <f>IF(Employee__2[[#This Row],[City]]="Pune","Yes","No")</f>
        <v>Yes</v>
      </c>
      <c r="O2230" s="1" t="str">
        <f>IF(AND(Employee__2[[#This Row],[Education]]="Bachelors",Employee__2[[#This Row],[City]]="Pune"),"Yes","No")</f>
        <v>Yes</v>
      </c>
      <c r="P2230" s="1" t="str">
        <f>IF(OR(Employee__2[[#This Row],[Age]]&gt;=30,Employee__2[[#This Row],[Gender]]="Male"),"Mached","Not mached")</f>
        <v>Mached</v>
      </c>
    </row>
    <row r="2231" spans="4:16" x14ac:dyDescent="0.25">
      <c r="D2231" s="6" t="s">
        <v>34</v>
      </c>
      <c r="E2231">
        <v>2012</v>
      </c>
      <c r="F2231" s="6" t="s">
        <v>35</v>
      </c>
      <c r="G2231">
        <v>3</v>
      </c>
      <c r="H2231">
        <v>28</v>
      </c>
      <c r="I2231" s="6" t="s">
        <v>36</v>
      </c>
      <c r="J2231" s="6" t="s">
        <v>37</v>
      </c>
      <c r="K2231">
        <v>1</v>
      </c>
      <c r="M2231" s="1" t="b">
        <f>Employee__2[[#This Row],[Experience]]&gt;1</f>
        <v>0</v>
      </c>
      <c r="N2231" s="1" t="str">
        <f>IF(Employee__2[[#This Row],[City]]="Pune","Yes","No")</f>
        <v>No</v>
      </c>
      <c r="O2231" s="1" t="str">
        <f>IF(AND(Employee__2[[#This Row],[Education]]="Bachelors",Employee__2[[#This Row],[City]]="Pune"),"Yes","No")</f>
        <v>No</v>
      </c>
      <c r="P2231" s="1" t="str">
        <f>IF(OR(Employee__2[[#This Row],[Age]]&gt;=30,Employee__2[[#This Row],[Gender]]="Male"),"Mached","Not mached")</f>
        <v>Mached</v>
      </c>
    </row>
    <row r="2232" spans="4:16" x14ac:dyDescent="0.25">
      <c r="D2232" s="6" t="s">
        <v>34</v>
      </c>
      <c r="E2232">
        <v>2014</v>
      </c>
      <c r="F2232" s="6" t="s">
        <v>35</v>
      </c>
      <c r="G2232">
        <v>3</v>
      </c>
      <c r="H2232">
        <v>28</v>
      </c>
      <c r="I2232" s="6" t="s">
        <v>36</v>
      </c>
      <c r="J2232" s="6" t="s">
        <v>37</v>
      </c>
      <c r="K2232">
        <v>2</v>
      </c>
      <c r="M2232" s="1" t="b">
        <f>Employee__2[[#This Row],[Experience]]&gt;1</f>
        <v>1</v>
      </c>
      <c r="N2232" s="1" t="str">
        <f>IF(Employee__2[[#This Row],[City]]="Pune","Yes","No")</f>
        <v>No</v>
      </c>
      <c r="O2232" s="1" t="str">
        <f>IF(AND(Employee__2[[#This Row],[Education]]="Bachelors",Employee__2[[#This Row],[City]]="Pune"),"Yes","No")</f>
        <v>No</v>
      </c>
      <c r="P2232" s="1" t="str">
        <f>IF(OR(Employee__2[[#This Row],[Age]]&gt;=30,Employee__2[[#This Row],[Gender]]="Male"),"Mached","Not mached")</f>
        <v>Mached</v>
      </c>
    </row>
    <row r="2233" spans="4:16" x14ac:dyDescent="0.25">
      <c r="D2233" s="6" t="s">
        <v>43</v>
      </c>
      <c r="E2233">
        <v>2015</v>
      </c>
      <c r="F2233" s="6" t="s">
        <v>35</v>
      </c>
      <c r="G2233">
        <v>3</v>
      </c>
      <c r="H2233">
        <v>29</v>
      </c>
      <c r="I2233" s="6" t="s">
        <v>39</v>
      </c>
      <c r="J2233" s="6" t="s">
        <v>37</v>
      </c>
      <c r="K2233">
        <v>1</v>
      </c>
      <c r="M2233" s="1" t="b">
        <f>Employee__2[[#This Row],[Experience]]&gt;1</f>
        <v>0</v>
      </c>
      <c r="N2233" s="1" t="str">
        <f>IF(Employee__2[[#This Row],[City]]="Pune","Yes","No")</f>
        <v>No</v>
      </c>
      <c r="O2233" s="1" t="str">
        <f>IF(AND(Employee__2[[#This Row],[Education]]="Bachelors",Employee__2[[#This Row],[City]]="Pune"),"Yes","No")</f>
        <v>No</v>
      </c>
      <c r="P2233" s="1" t="str">
        <f>IF(OR(Employee__2[[#This Row],[Age]]&gt;=30,Employee__2[[#This Row],[Gender]]="Male"),"Mached","Not mached")</f>
        <v>Not mached</v>
      </c>
    </row>
    <row r="2234" spans="4:16" x14ac:dyDescent="0.25">
      <c r="D2234" s="6" t="s">
        <v>41</v>
      </c>
      <c r="E2234">
        <v>2015</v>
      </c>
      <c r="F2234" s="6" t="s">
        <v>40</v>
      </c>
      <c r="G2234">
        <v>3</v>
      </c>
      <c r="H2234">
        <v>26</v>
      </c>
      <c r="I2234" s="6" t="s">
        <v>36</v>
      </c>
      <c r="J2234" s="6" t="s">
        <v>37</v>
      </c>
      <c r="K2234">
        <v>4</v>
      </c>
      <c r="M2234" s="1" t="b">
        <f>Employee__2[[#This Row],[Experience]]&gt;1</f>
        <v>1</v>
      </c>
      <c r="N2234" s="1" t="str">
        <f>IF(Employee__2[[#This Row],[City]]="Pune","Yes","No")</f>
        <v>No</v>
      </c>
      <c r="O2234" s="1" t="str">
        <f>IF(AND(Employee__2[[#This Row],[Education]]="Bachelors",Employee__2[[#This Row],[City]]="Pune"),"Yes","No")</f>
        <v>No</v>
      </c>
      <c r="P2234" s="1" t="str">
        <f>IF(OR(Employee__2[[#This Row],[Age]]&gt;=30,Employee__2[[#This Row],[Gender]]="Male"),"Mached","Not mached")</f>
        <v>Mached</v>
      </c>
    </row>
    <row r="2235" spans="4:16" x14ac:dyDescent="0.25">
      <c r="D2235" s="6" t="s">
        <v>34</v>
      </c>
      <c r="E2235">
        <v>2017</v>
      </c>
      <c r="F2235" s="6" t="s">
        <v>38</v>
      </c>
      <c r="G2235">
        <v>3</v>
      </c>
      <c r="H2235">
        <v>30</v>
      </c>
      <c r="I2235" s="6" t="s">
        <v>36</v>
      </c>
      <c r="J2235" s="6" t="s">
        <v>37</v>
      </c>
      <c r="K2235">
        <v>2</v>
      </c>
      <c r="M2235" s="1" t="b">
        <f>Employee__2[[#This Row],[Experience]]&gt;1</f>
        <v>1</v>
      </c>
      <c r="N2235" s="1" t="str">
        <f>IF(Employee__2[[#This Row],[City]]="Pune","Yes","No")</f>
        <v>Yes</v>
      </c>
      <c r="O2235" s="1" t="str">
        <f>IF(AND(Employee__2[[#This Row],[Education]]="Bachelors",Employee__2[[#This Row],[City]]="Pune"),"Yes","No")</f>
        <v>Yes</v>
      </c>
      <c r="P2235" s="1" t="str">
        <f>IF(OR(Employee__2[[#This Row],[Age]]&gt;=30,Employee__2[[#This Row],[Gender]]="Male"),"Mached","Not mached")</f>
        <v>Mached</v>
      </c>
    </row>
    <row r="2236" spans="4:16" x14ac:dyDescent="0.25">
      <c r="D2236" s="6" t="s">
        <v>34</v>
      </c>
      <c r="E2236">
        <v>2014</v>
      </c>
      <c r="F2236" s="6" t="s">
        <v>40</v>
      </c>
      <c r="G2236">
        <v>3</v>
      </c>
      <c r="H2236">
        <v>28</v>
      </c>
      <c r="I2236" s="6" t="s">
        <v>39</v>
      </c>
      <c r="J2236" s="6" t="s">
        <v>37</v>
      </c>
      <c r="K2236">
        <v>1</v>
      </c>
      <c r="M2236" s="1" t="b">
        <f>Employee__2[[#This Row],[Experience]]&gt;1</f>
        <v>0</v>
      </c>
      <c r="N2236" s="1" t="str">
        <f>IF(Employee__2[[#This Row],[City]]="Pune","Yes","No")</f>
        <v>No</v>
      </c>
      <c r="O2236" s="1" t="str">
        <f>IF(AND(Employee__2[[#This Row],[Education]]="Bachelors",Employee__2[[#This Row],[City]]="Pune"),"Yes","No")</f>
        <v>No</v>
      </c>
      <c r="P2236" s="1" t="str">
        <f>IF(OR(Employee__2[[#This Row],[Age]]&gt;=30,Employee__2[[#This Row],[Gender]]="Male"),"Mached","Not mached")</f>
        <v>Not mached</v>
      </c>
    </row>
    <row r="2237" spans="4:16" x14ac:dyDescent="0.25">
      <c r="D2237" s="6" t="s">
        <v>34</v>
      </c>
      <c r="E2237">
        <v>2013</v>
      </c>
      <c r="F2237" s="6" t="s">
        <v>35</v>
      </c>
      <c r="G2237">
        <v>1</v>
      </c>
      <c r="H2237">
        <v>30</v>
      </c>
      <c r="I2237" s="6" t="s">
        <v>36</v>
      </c>
      <c r="J2237" s="6" t="s">
        <v>37</v>
      </c>
      <c r="K2237">
        <v>1</v>
      </c>
      <c r="M2237" s="1" t="b">
        <f>Employee__2[[#This Row],[Experience]]&gt;1</f>
        <v>0</v>
      </c>
      <c r="N2237" s="1" t="str">
        <f>IF(Employee__2[[#This Row],[City]]="Pune","Yes","No")</f>
        <v>No</v>
      </c>
      <c r="O2237" s="1" t="str">
        <f>IF(AND(Employee__2[[#This Row],[Education]]="Bachelors",Employee__2[[#This Row],[City]]="Pune"),"Yes","No")</f>
        <v>No</v>
      </c>
      <c r="P2237" s="1" t="str">
        <f>IF(OR(Employee__2[[#This Row],[Age]]&gt;=30,Employee__2[[#This Row],[Gender]]="Male"),"Mached","Not mached")</f>
        <v>Mached</v>
      </c>
    </row>
    <row r="2238" spans="4:16" x14ac:dyDescent="0.25">
      <c r="D2238" s="6" t="s">
        <v>34</v>
      </c>
      <c r="E2238">
        <v>2016</v>
      </c>
      <c r="F2238" s="6" t="s">
        <v>35</v>
      </c>
      <c r="G2238">
        <v>3</v>
      </c>
      <c r="H2238">
        <v>27</v>
      </c>
      <c r="I2238" s="6" t="s">
        <v>39</v>
      </c>
      <c r="J2238" s="6" t="s">
        <v>37</v>
      </c>
      <c r="K2238">
        <v>5</v>
      </c>
      <c r="M2238" s="1" t="b">
        <f>Employee__2[[#This Row],[Experience]]&gt;1</f>
        <v>1</v>
      </c>
      <c r="N2238" s="1" t="str">
        <f>IF(Employee__2[[#This Row],[City]]="Pune","Yes","No")</f>
        <v>No</v>
      </c>
      <c r="O2238" s="1" t="str">
        <f>IF(AND(Employee__2[[#This Row],[Education]]="Bachelors",Employee__2[[#This Row],[City]]="Pune"),"Yes","No")</f>
        <v>No</v>
      </c>
      <c r="P2238" s="1" t="str">
        <f>IF(OR(Employee__2[[#This Row],[Age]]&gt;=30,Employee__2[[#This Row],[Gender]]="Male"),"Mached","Not mached")</f>
        <v>Not mached</v>
      </c>
    </row>
    <row r="2239" spans="4:16" x14ac:dyDescent="0.25">
      <c r="D2239" s="6" t="s">
        <v>34</v>
      </c>
      <c r="E2239">
        <v>2014</v>
      </c>
      <c r="F2239" s="6" t="s">
        <v>38</v>
      </c>
      <c r="G2239">
        <v>1</v>
      </c>
      <c r="H2239">
        <v>28</v>
      </c>
      <c r="I2239" s="6" t="s">
        <v>36</v>
      </c>
      <c r="J2239" s="6" t="s">
        <v>37</v>
      </c>
      <c r="K2239">
        <v>1</v>
      </c>
      <c r="M2239" s="1" t="b">
        <f>Employee__2[[#This Row],[Experience]]&gt;1</f>
        <v>0</v>
      </c>
      <c r="N2239" s="1" t="str">
        <f>IF(Employee__2[[#This Row],[City]]="Pune","Yes","No")</f>
        <v>Yes</v>
      </c>
      <c r="O2239" s="1" t="str">
        <f>IF(AND(Employee__2[[#This Row],[Education]]="Bachelors",Employee__2[[#This Row],[City]]="Pune"),"Yes","No")</f>
        <v>Yes</v>
      </c>
      <c r="P2239" s="1" t="str">
        <f>IF(OR(Employee__2[[#This Row],[Age]]&gt;=30,Employee__2[[#This Row],[Gender]]="Male"),"Mached","Not mached")</f>
        <v>Mached</v>
      </c>
    </row>
    <row r="2240" spans="4:16" x14ac:dyDescent="0.25">
      <c r="D2240" s="6" t="s">
        <v>34</v>
      </c>
      <c r="E2240">
        <v>2015</v>
      </c>
      <c r="F2240" s="6" t="s">
        <v>35</v>
      </c>
      <c r="G2240">
        <v>3</v>
      </c>
      <c r="H2240">
        <v>30</v>
      </c>
      <c r="I2240" s="6" t="s">
        <v>36</v>
      </c>
      <c r="J2240" s="6" t="s">
        <v>37</v>
      </c>
      <c r="K2240">
        <v>1</v>
      </c>
      <c r="M2240" s="1" t="b">
        <f>Employee__2[[#This Row],[Experience]]&gt;1</f>
        <v>0</v>
      </c>
      <c r="N2240" s="1" t="str">
        <f>IF(Employee__2[[#This Row],[City]]="Pune","Yes","No")</f>
        <v>No</v>
      </c>
      <c r="O2240" s="1" t="str">
        <f>IF(AND(Employee__2[[#This Row],[Education]]="Bachelors",Employee__2[[#This Row],[City]]="Pune"),"Yes","No")</f>
        <v>No</v>
      </c>
      <c r="P2240" s="1" t="str">
        <f>IF(OR(Employee__2[[#This Row],[Age]]&gt;=30,Employee__2[[#This Row],[Gender]]="Male"),"Mached","Not mached")</f>
        <v>Mached</v>
      </c>
    </row>
    <row r="2241" spans="4:16" x14ac:dyDescent="0.25">
      <c r="D2241" s="6" t="s">
        <v>34</v>
      </c>
      <c r="E2241">
        <v>2013</v>
      </c>
      <c r="F2241" s="6" t="s">
        <v>40</v>
      </c>
      <c r="G2241">
        <v>3</v>
      </c>
      <c r="H2241">
        <v>27</v>
      </c>
      <c r="I2241" s="6" t="s">
        <v>36</v>
      </c>
      <c r="J2241" s="6" t="s">
        <v>37</v>
      </c>
      <c r="K2241">
        <v>5</v>
      </c>
      <c r="M2241" s="1" t="b">
        <f>Employee__2[[#This Row],[Experience]]&gt;1</f>
        <v>1</v>
      </c>
      <c r="N2241" s="1" t="str">
        <f>IF(Employee__2[[#This Row],[City]]="Pune","Yes","No")</f>
        <v>No</v>
      </c>
      <c r="O2241" s="1" t="str">
        <f>IF(AND(Employee__2[[#This Row],[Education]]="Bachelors",Employee__2[[#This Row],[City]]="Pune"),"Yes","No")</f>
        <v>No</v>
      </c>
      <c r="P2241" s="1" t="str">
        <f>IF(OR(Employee__2[[#This Row],[Age]]&gt;=30,Employee__2[[#This Row],[Gender]]="Male"),"Mached","Not mached")</f>
        <v>Mached</v>
      </c>
    </row>
    <row r="2242" spans="4:16" x14ac:dyDescent="0.25">
      <c r="D2242" s="6" t="s">
        <v>34</v>
      </c>
      <c r="E2242">
        <v>2017</v>
      </c>
      <c r="F2242" s="6" t="s">
        <v>38</v>
      </c>
      <c r="G2242">
        <v>2</v>
      </c>
      <c r="H2242">
        <v>27</v>
      </c>
      <c r="I2242" s="6" t="s">
        <v>36</v>
      </c>
      <c r="J2242" s="6" t="s">
        <v>37</v>
      </c>
      <c r="K2242">
        <v>5</v>
      </c>
      <c r="M2242" s="1" t="b">
        <f>Employee__2[[#This Row],[Experience]]&gt;1</f>
        <v>1</v>
      </c>
      <c r="N2242" s="1" t="str">
        <f>IF(Employee__2[[#This Row],[City]]="Pune","Yes","No")</f>
        <v>Yes</v>
      </c>
      <c r="O2242" s="1" t="str">
        <f>IF(AND(Employee__2[[#This Row],[Education]]="Bachelors",Employee__2[[#This Row],[City]]="Pune"),"Yes","No")</f>
        <v>Yes</v>
      </c>
      <c r="P2242" s="1" t="str">
        <f>IF(OR(Employee__2[[#This Row],[Age]]&gt;=30,Employee__2[[#This Row],[Gender]]="Male"),"Mached","Not mached")</f>
        <v>Mached</v>
      </c>
    </row>
    <row r="2243" spans="4:16" x14ac:dyDescent="0.25">
      <c r="D2243" s="6" t="s">
        <v>41</v>
      </c>
      <c r="E2243">
        <v>2017</v>
      </c>
      <c r="F2243" s="6" t="s">
        <v>40</v>
      </c>
      <c r="G2243">
        <v>2</v>
      </c>
      <c r="H2243">
        <v>28</v>
      </c>
      <c r="I2243" s="6" t="s">
        <v>36</v>
      </c>
      <c r="J2243" s="6" t="s">
        <v>37</v>
      </c>
      <c r="K2243">
        <v>1</v>
      </c>
      <c r="M2243" s="1" t="b">
        <f>Employee__2[[#This Row],[Experience]]&gt;1</f>
        <v>0</v>
      </c>
      <c r="N2243" s="1" t="str">
        <f>IF(Employee__2[[#This Row],[City]]="Pune","Yes","No")</f>
        <v>No</v>
      </c>
      <c r="O2243" s="1" t="str">
        <f>IF(AND(Employee__2[[#This Row],[Education]]="Bachelors",Employee__2[[#This Row],[City]]="Pune"),"Yes","No")</f>
        <v>No</v>
      </c>
      <c r="P2243" s="1" t="str">
        <f>IF(OR(Employee__2[[#This Row],[Age]]&gt;=30,Employee__2[[#This Row],[Gender]]="Male"),"Mached","Not mached")</f>
        <v>Mached</v>
      </c>
    </row>
    <row r="2244" spans="4:16" x14ac:dyDescent="0.25">
      <c r="D2244" s="6" t="s">
        <v>41</v>
      </c>
      <c r="E2244">
        <v>2017</v>
      </c>
      <c r="F2244" s="6" t="s">
        <v>40</v>
      </c>
      <c r="G2244">
        <v>2</v>
      </c>
      <c r="H2244">
        <v>27</v>
      </c>
      <c r="I2244" s="6" t="s">
        <v>36</v>
      </c>
      <c r="J2244" s="6" t="s">
        <v>37</v>
      </c>
      <c r="K2244">
        <v>5</v>
      </c>
      <c r="M2244" s="1" t="b">
        <f>Employee__2[[#This Row],[Experience]]&gt;1</f>
        <v>1</v>
      </c>
      <c r="N2244" s="1" t="str">
        <f>IF(Employee__2[[#This Row],[City]]="Pune","Yes","No")</f>
        <v>No</v>
      </c>
      <c r="O2244" s="1" t="str">
        <f>IF(AND(Employee__2[[#This Row],[Education]]="Bachelors",Employee__2[[#This Row],[City]]="Pune"),"Yes","No")</f>
        <v>No</v>
      </c>
      <c r="P2244" s="1" t="str">
        <f>IF(OR(Employee__2[[#This Row],[Age]]&gt;=30,Employee__2[[#This Row],[Gender]]="Male"),"Mached","Not mached")</f>
        <v>Mached</v>
      </c>
    </row>
    <row r="2245" spans="4:16" x14ac:dyDescent="0.25">
      <c r="D2245" s="6" t="s">
        <v>41</v>
      </c>
      <c r="E2245">
        <v>2014</v>
      </c>
      <c r="F2245" s="6" t="s">
        <v>40</v>
      </c>
      <c r="G2245">
        <v>3</v>
      </c>
      <c r="H2245">
        <v>27</v>
      </c>
      <c r="I2245" s="6" t="s">
        <v>36</v>
      </c>
      <c r="J2245" s="6" t="s">
        <v>37</v>
      </c>
      <c r="K2245">
        <v>5</v>
      </c>
      <c r="M2245" s="1" t="b">
        <f>Employee__2[[#This Row],[Experience]]&gt;1</f>
        <v>1</v>
      </c>
      <c r="N2245" s="1" t="str">
        <f>IF(Employee__2[[#This Row],[City]]="Pune","Yes","No")</f>
        <v>No</v>
      </c>
      <c r="O2245" s="1" t="str">
        <f>IF(AND(Employee__2[[#This Row],[Education]]="Bachelors",Employee__2[[#This Row],[City]]="Pune"),"Yes","No")</f>
        <v>No</v>
      </c>
      <c r="P2245" s="1" t="str">
        <f>IF(OR(Employee__2[[#This Row],[Age]]&gt;=30,Employee__2[[#This Row],[Gender]]="Male"),"Mached","Not mached")</f>
        <v>Mached</v>
      </c>
    </row>
    <row r="2246" spans="4:16" x14ac:dyDescent="0.25">
      <c r="D2246" s="6" t="s">
        <v>43</v>
      </c>
      <c r="E2246">
        <v>2014</v>
      </c>
      <c r="F2246" s="6" t="s">
        <v>40</v>
      </c>
      <c r="G2246">
        <v>2</v>
      </c>
      <c r="H2246">
        <v>27</v>
      </c>
      <c r="I2246" s="6" t="s">
        <v>39</v>
      </c>
      <c r="J2246" s="6" t="s">
        <v>37</v>
      </c>
      <c r="K2246">
        <v>5</v>
      </c>
      <c r="M2246" s="1" t="b">
        <f>Employee__2[[#This Row],[Experience]]&gt;1</f>
        <v>1</v>
      </c>
      <c r="N2246" s="1" t="str">
        <f>IF(Employee__2[[#This Row],[City]]="Pune","Yes","No")</f>
        <v>No</v>
      </c>
      <c r="O2246" s="1" t="str">
        <f>IF(AND(Employee__2[[#This Row],[Education]]="Bachelors",Employee__2[[#This Row],[City]]="Pune"),"Yes","No")</f>
        <v>No</v>
      </c>
      <c r="P2246" s="1" t="str">
        <f>IF(OR(Employee__2[[#This Row],[Age]]&gt;=30,Employee__2[[#This Row],[Gender]]="Male"),"Mached","Not mached")</f>
        <v>Not mached</v>
      </c>
    </row>
    <row r="2247" spans="4:16" x14ac:dyDescent="0.25">
      <c r="D2247" s="6" t="s">
        <v>34</v>
      </c>
      <c r="E2247">
        <v>2015</v>
      </c>
      <c r="F2247" s="6" t="s">
        <v>35</v>
      </c>
      <c r="G2247">
        <v>3</v>
      </c>
      <c r="H2247">
        <v>29</v>
      </c>
      <c r="I2247" s="6" t="s">
        <v>36</v>
      </c>
      <c r="J2247" s="6" t="s">
        <v>37</v>
      </c>
      <c r="K2247">
        <v>2</v>
      </c>
      <c r="M2247" s="1" t="b">
        <f>Employee__2[[#This Row],[Experience]]&gt;1</f>
        <v>1</v>
      </c>
      <c r="N2247" s="1" t="str">
        <f>IF(Employee__2[[#This Row],[City]]="Pune","Yes","No")</f>
        <v>No</v>
      </c>
      <c r="O2247" s="1" t="str">
        <f>IF(AND(Employee__2[[#This Row],[Education]]="Bachelors",Employee__2[[#This Row],[City]]="Pune"),"Yes","No")</f>
        <v>No</v>
      </c>
      <c r="P2247" s="1" t="str">
        <f>IF(OR(Employee__2[[#This Row],[Age]]&gt;=30,Employee__2[[#This Row],[Gender]]="Male"),"Mached","Not mached")</f>
        <v>Mached</v>
      </c>
    </row>
    <row r="2248" spans="4:16" x14ac:dyDescent="0.25">
      <c r="D2248" s="6" t="s">
        <v>34</v>
      </c>
      <c r="E2248">
        <v>2012</v>
      </c>
      <c r="F2248" s="6" t="s">
        <v>38</v>
      </c>
      <c r="G2248">
        <v>3</v>
      </c>
      <c r="H2248">
        <v>27</v>
      </c>
      <c r="I2248" s="6" t="s">
        <v>36</v>
      </c>
      <c r="J2248" s="6" t="s">
        <v>37</v>
      </c>
      <c r="K2248">
        <v>5</v>
      </c>
      <c r="M2248" s="1" t="b">
        <f>Employee__2[[#This Row],[Experience]]&gt;1</f>
        <v>1</v>
      </c>
      <c r="N2248" s="1" t="str">
        <f>IF(Employee__2[[#This Row],[City]]="Pune","Yes","No")</f>
        <v>Yes</v>
      </c>
      <c r="O2248" s="1" t="str">
        <f>IF(AND(Employee__2[[#This Row],[Education]]="Bachelors",Employee__2[[#This Row],[City]]="Pune"),"Yes","No")</f>
        <v>Yes</v>
      </c>
      <c r="P2248" s="1" t="str">
        <f>IF(OR(Employee__2[[#This Row],[Age]]&gt;=30,Employee__2[[#This Row],[Gender]]="Male"),"Mached","Not mached")</f>
        <v>Mached</v>
      </c>
    </row>
    <row r="2249" spans="4:16" x14ac:dyDescent="0.25">
      <c r="D2249" s="6" t="s">
        <v>34</v>
      </c>
      <c r="E2249">
        <v>2017</v>
      </c>
      <c r="F2249" s="6" t="s">
        <v>35</v>
      </c>
      <c r="G2249">
        <v>3</v>
      </c>
      <c r="H2249">
        <v>30</v>
      </c>
      <c r="I2249" s="6" t="s">
        <v>36</v>
      </c>
      <c r="J2249" s="6" t="s">
        <v>37</v>
      </c>
      <c r="K2249">
        <v>2</v>
      </c>
      <c r="M2249" s="1" t="b">
        <f>Employee__2[[#This Row],[Experience]]&gt;1</f>
        <v>1</v>
      </c>
      <c r="N2249" s="1" t="str">
        <f>IF(Employee__2[[#This Row],[City]]="Pune","Yes","No")</f>
        <v>No</v>
      </c>
      <c r="O2249" s="1" t="str">
        <f>IF(AND(Employee__2[[#This Row],[Education]]="Bachelors",Employee__2[[#This Row],[City]]="Pune"),"Yes","No")</f>
        <v>No</v>
      </c>
      <c r="P2249" s="1" t="str">
        <f>IF(OR(Employee__2[[#This Row],[Age]]&gt;=30,Employee__2[[#This Row],[Gender]]="Male"),"Mached","Not mached")</f>
        <v>Mached</v>
      </c>
    </row>
    <row r="2250" spans="4:16" x14ac:dyDescent="0.25">
      <c r="D2250" s="6" t="s">
        <v>34</v>
      </c>
      <c r="E2250">
        <v>2014</v>
      </c>
      <c r="F2250" s="6" t="s">
        <v>35</v>
      </c>
      <c r="G2250">
        <v>1</v>
      </c>
      <c r="H2250">
        <v>27</v>
      </c>
      <c r="I2250" s="6" t="s">
        <v>39</v>
      </c>
      <c r="J2250" s="6" t="s">
        <v>37</v>
      </c>
      <c r="K2250">
        <v>5</v>
      </c>
      <c r="M2250" s="1" t="b">
        <f>Employee__2[[#This Row],[Experience]]&gt;1</f>
        <v>1</v>
      </c>
      <c r="N2250" s="1" t="str">
        <f>IF(Employee__2[[#This Row],[City]]="Pune","Yes","No")</f>
        <v>No</v>
      </c>
      <c r="O2250" s="1" t="str">
        <f>IF(AND(Employee__2[[#This Row],[Education]]="Bachelors",Employee__2[[#This Row],[City]]="Pune"),"Yes","No")</f>
        <v>No</v>
      </c>
      <c r="P2250" s="1" t="str">
        <f>IF(OR(Employee__2[[#This Row],[Age]]&gt;=30,Employee__2[[#This Row],[Gender]]="Male"),"Mached","Not mached")</f>
        <v>Not mached</v>
      </c>
    </row>
    <row r="2251" spans="4:16" x14ac:dyDescent="0.25">
      <c r="D2251" s="6" t="s">
        <v>34</v>
      </c>
      <c r="E2251">
        <v>2014</v>
      </c>
      <c r="F2251" s="6" t="s">
        <v>38</v>
      </c>
      <c r="G2251">
        <v>1</v>
      </c>
      <c r="H2251">
        <v>26</v>
      </c>
      <c r="I2251" s="6" t="s">
        <v>36</v>
      </c>
      <c r="J2251" s="6" t="s">
        <v>37</v>
      </c>
      <c r="K2251">
        <v>4</v>
      </c>
      <c r="M2251" s="1" t="b">
        <f>Employee__2[[#This Row],[Experience]]&gt;1</f>
        <v>1</v>
      </c>
      <c r="N2251" s="1" t="str">
        <f>IF(Employee__2[[#This Row],[City]]="Pune","Yes","No")</f>
        <v>Yes</v>
      </c>
      <c r="O2251" s="1" t="str">
        <f>IF(AND(Employee__2[[#This Row],[Education]]="Bachelors",Employee__2[[#This Row],[City]]="Pune"),"Yes","No")</f>
        <v>Yes</v>
      </c>
      <c r="P2251" s="1" t="str">
        <f>IF(OR(Employee__2[[#This Row],[Age]]&gt;=30,Employee__2[[#This Row],[Gender]]="Male"),"Mached","Not mached")</f>
        <v>Mached</v>
      </c>
    </row>
    <row r="2252" spans="4:16" x14ac:dyDescent="0.25">
      <c r="D2252" s="6" t="s">
        <v>34</v>
      </c>
      <c r="E2252">
        <v>2012</v>
      </c>
      <c r="F2252" s="6" t="s">
        <v>35</v>
      </c>
      <c r="G2252">
        <v>3</v>
      </c>
      <c r="H2252">
        <v>29</v>
      </c>
      <c r="I2252" s="6" t="s">
        <v>36</v>
      </c>
      <c r="J2252" s="6" t="s">
        <v>42</v>
      </c>
      <c r="K2252">
        <v>2</v>
      </c>
      <c r="M2252" s="1" t="b">
        <f>Employee__2[[#This Row],[Experience]]&gt;1</f>
        <v>1</v>
      </c>
      <c r="N2252" s="1" t="str">
        <f>IF(Employee__2[[#This Row],[City]]="Pune","Yes","No")</f>
        <v>No</v>
      </c>
      <c r="O2252" s="1" t="str">
        <f>IF(AND(Employee__2[[#This Row],[Education]]="Bachelors",Employee__2[[#This Row],[City]]="Pune"),"Yes","No")</f>
        <v>No</v>
      </c>
      <c r="P2252" s="1" t="str">
        <f>IF(OR(Employee__2[[#This Row],[Age]]&gt;=30,Employee__2[[#This Row],[Gender]]="Male"),"Mached","Not mached")</f>
        <v>Mached</v>
      </c>
    </row>
    <row r="2253" spans="4:16" x14ac:dyDescent="0.25">
      <c r="D2253" s="6" t="s">
        <v>34</v>
      </c>
      <c r="E2253">
        <v>2012</v>
      </c>
      <c r="F2253" s="6" t="s">
        <v>40</v>
      </c>
      <c r="G2253">
        <v>3</v>
      </c>
      <c r="H2253">
        <v>30</v>
      </c>
      <c r="I2253" s="6" t="s">
        <v>36</v>
      </c>
      <c r="J2253" s="6" t="s">
        <v>37</v>
      </c>
      <c r="K2253">
        <v>1</v>
      </c>
      <c r="M2253" s="1" t="b">
        <f>Employee__2[[#This Row],[Experience]]&gt;1</f>
        <v>0</v>
      </c>
      <c r="N2253" s="1" t="str">
        <f>IF(Employee__2[[#This Row],[City]]="Pune","Yes","No")</f>
        <v>No</v>
      </c>
      <c r="O2253" s="1" t="str">
        <f>IF(AND(Employee__2[[#This Row],[Education]]="Bachelors",Employee__2[[#This Row],[City]]="Pune"),"Yes","No")</f>
        <v>No</v>
      </c>
      <c r="P2253" s="1" t="str">
        <f>IF(OR(Employee__2[[#This Row],[Age]]&gt;=30,Employee__2[[#This Row],[Gender]]="Male"),"Mached","Not mached")</f>
        <v>Mached</v>
      </c>
    </row>
    <row r="2254" spans="4:16" x14ac:dyDescent="0.25">
      <c r="D2254" s="6" t="s">
        <v>34</v>
      </c>
      <c r="E2254">
        <v>2015</v>
      </c>
      <c r="F2254" s="6" t="s">
        <v>35</v>
      </c>
      <c r="G2254">
        <v>3</v>
      </c>
      <c r="H2254">
        <v>27</v>
      </c>
      <c r="I2254" s="6" t="s">
        <v>39</v>
      </c>
      <c r="J2254" s="6" t="s">
        <v>37</v>
      </c>
      <c r="K2254">
        <v>5</v>
      </c>
      <c r="M2254" s="1" t="b">
        <f>Employee__2[[#This Row],[Experience]]&gt;1</f>
        <v>1</v>
      </c>
      <c r="N2254" s="1" t="str">
        <f>IF(Employee__2[[#This Row],[City]]="Pune","Yes","No")</f>
        <v>No</v>
      </c>
      <c r="O2254" s="1" t="str">
        <f>IF(AND(Employee__2[[#This Row],[Education]]="Bachelors",Employee__2[[#This Row],[City]]="Pune"),"Yes","No")</f>
        <v>No</v>
      </c>
      <c r="P2254" s="1" t="str">
        <f>IF(OR(Employee__2[[#This Row],[Age]]&gt;=30,Employee__2[[#This Row],[Gender]]="Male"),"Mached","Not mached")</f>
        <v>Not mached</v>
      </c>
    </row>
    <row r="2255" spans="4:16" x14ac:dyDescent="0.25">
      <c r="D2255" s="6" t="s">
        <v>41</v>
      </c>
      <c r="E2255">
        <v>2017</v>
      </c>
      <c r="F2255" s="6" t="s">
        <v>40</v>
      </c>
      <c r="G2255">
        <v>2</v>
      </c>
      <c r="H2255">
        <v>30</v>
      </c>
      <c r="I2255" s="6" t="s">
        <v>39</v>
      </c>
      <c r="J2255" s="6" t="s">
        <v>37</v>
      </c>
      <c r="K2255">
        <v>2</v>
      </c>
      <c r="M2255" s="1" t="b">
        <f>Employee__2[[#This Row],[Experience]]&gt;1</f>
        <v>1</v>
      </c>
      <c r="N2255" s="1" t="str">
        <f>IF(Employee__2[[#This Row],[City]]="Pune","Yes","No")</f>
        <v>No</v>
      </c>
      <c r="O2255" s="1" t="str">
        <f>IF(AND(Employee__2[[#This Row],[Education]]="Bachelors",Employee__2[[#This Row],[City]]="Pune"),"Yes","No")</f>
        <v>No</v>
      </c>
      <c r="P2255" s="1" t="str">
        <f>IF(OR(Employee__2[[#This Row],[Age]]&gt;=30,Employee__2[[#This Row],[Gender]]="Male"),"Mached","Not mached")</f>
        <v>Mached</v>
      </c>
    </row>
    <row r="2256" spans="4:16" x14ac:dyDescent="0.25">
      <c r="D2256" s="6" t="s">
        <v>41</v>
      </c>
      <c r="E2256">
        <v>2018</v>
      </c>
      <c r="F2256" s="6" t="s">
        <v>40</v>
      </c>
      <c r="G2256">
        <v>3</v>
      </c>
      <c r="H2256">
        <v>29</v>
      </c>
      <c r="I2256" s="6" t="s">
        <v>36</v>
      </c>
      <c r="J2256" s="6" t="s">
        <v>37</v>
      </c>
      <c r="K2256">
        <v>2</v>
      </c>
      <c r="M2256" s="1" t="b">
        <f>Employee__2[[#This Row],[Experience]]&gt;1</f>
        <v>1</v>
      </c>
      <c r="N2256" s="1" t="str">
        <f>IF(Employee__2[[#This Row],[City]]="Pune","Yes","No")</f>
        <v>No</v>
      </c>
      <c r="O2256" s="1" t="str">
        <f>IF(AND(Employee__2[[#This Row],[Education]]="Bachelors",Employee__2[[#This Row],[City]]="Pune"),"Yes","No")</f>
        <v>No</v>
      </c>
      <c r="P2256" s="1" t="str">
        <f>IF(OR(Employee__2[[#This Row],[Age]]&gt;=30,Employee__2[[#This Row],[Gender]]="Male"),"Mached","Not mached")</f>
        <v>Mached</v>
      </c>
    </row>
    <row r="2257" spans="4:16" x14ac:dyDescent="0.25">
      <c r="D2257" s="6" t="s">
        <v>34</v>
      </c>
      <c r="E2257">
        <v>2015</v>
      </c>
      <c r="F2257" s="6" t="s">
        <v>35</v>
      </c>
      <c r="G2257">
        <v>3</v>
      </c>
      <c r="H2257">
        <v>28</v>
      </c>
      <c r="I2257" s="6" t="s">
        <v>36</v>
      </c>
      <c r="J2257" s="6" t="s">
        <v>37</v>
      </c>
      <c r="K2257">
        <v>2</v>
      </c>
      <c r="M2257" s="1" t="b">
        <f>Employee__2[[#This Row],[Experience]]&gt;1</f>
        <v>1</v>
      </c>
      <c r="N2257" s="1" t="str">
        <f>IF(Employee__2[[#This Row],[City]]="Pune","Yes","No")</f>
        <v>No</v>
      </c>
      <c r="O2257" s="1" t="str">
        <f>IF(AND(Employee__2[[#This Row],[Education]]="Bachelors",Employee__2[[#This Row],[City]]="Pune"),"Yes","No")</f>
        <v>No</v>
      </c>
      <c r="P2257" s="1" t="str">
        <f>IF(OR(Employee__2[[#This Row],[Age]]&gt;=30,Employee__2[[#This Row],[Gender]]="Male"),"Mached","Not mached")</f>
        <v>Mached</v>
      </c>
    </row>
    <row r="2258" spans="4:16" x14ac:dyDescent="0.25">
      <c r="D2258" s="6" t="s">
        <v>34</v>
      </c>
      <c r="E2258">
        <v>2013</v>
      </c>
      <c r="F2258" s="6" t="s">
        <v>35</v>
      </c>
      <c r="G2258">
        <v>3</v>
      </c>
      <c r="H2258">
        <v>26</v>
      </c>
      <c r="I2258" s="6" t="s">
        <v>39</v>
      </c>
      <c r="J2258" s="6" t="s">
        <v>37</v>
      </c>
      <c r="K2258">
        <v>4</v>
      </c>
      <c r="M2258" s="1" t="b">
        <f>Employee__2[[#This Row],[Experience]]&gt;1</f>
        <v>1</v>
      </c>
      <c r="N2258" s="1" t="str">
        <f>IF(Employee__2[[#This Row],[City]]="Pune","Yes","No")</f>
        <v>No</v>
      </c>
      <c r="O2258" s="1" t="str">
        <f>IF(AND(Employee__2[[#This Row],[Education]]="Bachelors",Employee__2[[#This Row],[City]]="Pune"),"Yes","No")</f>
        <v>No</v>
      </c>
      <c r="P2258" s="1" t="str">
        <f>IF(OR(Employee__2[[#This Row],[Age]]&gt;=30,Employee__2[[#This Row],[Gender]]="Male"),"Mached","Not mached")</f>
        <v>Not mached</v>
      </c>
    </row>
    <row r="2259" spans="4:16" x14ac:dyDescent="0.25">
      <c r="D2259" s="6" t="s">
        <v>41</v>
      </c>
      <c r="E2259">
        <v>2016</v>
      </c>
      <c r="F2259" s="6" t="s">
        <v>40</v>
      </c>
      <c r="G2259">
        <v>3</v>
      </c>
      <c r="H2259">
        <v>27</v>
      </c>
      <c r="I2259" s="6" t="s">
        <v>36</v>
      </c>
      <c r="J2259" s="6" t="s">
        <v>42</v>
      </c>
      <c r="K2259">
        <v>5</v>
      </c>
      <c r="M2259" s="1" t="b">
        <f>Employee__2[[#This Row],[Experience]]&gt;1</f>
        <v>1</v>
      </c>
      <c r="N2259" s="1" t="str">
        <f>IF(Employee__2[[#This Row],[City]]="Pune","Yes","No")</f>
        <v>No</v>
      </c>
      <c r="O2259" s="1" t="str">
        <f>IF(AND(Employee__2[[#This Row],[Education]]="Bachelors",Employee__2[[#This Row],[City]]="Pune"),"Yes","No")</f>
        <v>No</v>
      </c>
      <c r="P2259" s="1" t="str">
        <f>IF(OR(Employee__2[[#This Row],[Age]]&gt;=30,Employee__2[[#This Row],[Gender]]="Male"),"Mached","Not mached")</f>
        <v>Mached</v>
      </c>
    </row>
    <row r="2260" spans="4:16" x14ac:dyDescent="0.25">
      <c r="D2260" s="6" t="s">
        <v>34</v>
      </c>
      <c r="E2260">
        <v>2014</v>
      </c>
      <c r="F2260" s="6" t="s">
        <v>38</v>
      </c>
      <c r="G2260">
        <v>1</v>
      </c>
      <c r="H2260">
        <v>26</v>
      </c>
      <c r="I2260" s="6" t="s">
        <v>39</v>
      </c>
      <c r="J2260" s="6" t="s">
        <v>37</v>
      </c>
      <c r="K2260">
        <v>4</v>
      </c>
      <c r="M2260" s="1" t="b">
        <f>Employee__2[[#This Row],[Experience]]&gt;1</f>
        <v>1</v>
      </c>
      <c r="N2260" s="1" t="str">
        <f>IF(Employee__2[[#This Row],[City]]="Pune","Yes","No")</f>
        <v>Yes</v>
      </c>
      <c r="O2260" s="1" t="str">
        <f>IF(AND(Employee__2[[#This Row],[Education]]="Bachelors",Employee__2[[#This Row],[City]]="Pune"),"Yes","No")</f>
        <v>Yes</v>
      </c>
      <c r="P2260" s="1" t="str">
        <f>IF(OR(Employee__2[[#This Row],[Age]]&gt;=30,Employee__2[[#This Row],[Gender]]="Male"),"Mached","Not mached")</f>
        <v>Not mached</v>
      </c>
    </row>
    <row r="2261" spans="4:16" x14ac:dyDescent="0.25">
      <c r="D2261" s="6" t="s">
        <v>34</v>
      </c>
      <c r="E2261">
        <v>2017</v>
      </c>
      <c r="F2261" s="6" t="s">
        <v>38</v>
      </c>
      <c r="G2261">
        <v>3</v>
      </c>
      <c r="H2261">
        <v>27</v>
      </c>
      <c r="I2261" s="6" t="s">
        <v>36</v>
      </c>
      <c r="J2261" s="6" t="s">
        <v>42</v>
      </c>
      <c r="K2261">
        <v>5</v>
      </c>
      <c r="M2261" s="1" t="b">
        <f>Employee__2[[#This Row],[Experience]]&gt;1</f>
        <v>1</v>
      </c>
      <c r="N2261" s="1" t="str">
        <f>IF(Employee__2[[#This Row],[City]]="Pune","Yes","No")</f>
        <v>Yes</v>
      </c>
      <c r="O2261" s="1" t="str">
        <f>IF(AND(Employee__2[[#This Row],[Education]]="Bachelors",Employee__2[[#This Row],[City]]="Pune"),"Yes","No")</f>
        <v>Yes</v>
      </c>
      <c r="P2261" s="1" t="str">
        <f>IF(OR(Employee__2[[#This Row],[Age]]&gt;=30,Employee__2[[#This Row],[Gender]]="Male"),"Mached","Not mached")</f>
        <v>Mached</v>
      </c>
    </row>
    <row r="2262" spans="4:16" x14ac:dyDescent="0.25">
      <c r="D2262" s="6" t="s">
        <v>43</v>
      </c>
      <c r="E2262">
        <v>2013</v>
      </c>
      <c r="F2262" s="6" t="s">
        <v>40</v>
      </c>
      <c r="G2262">
        <v>3</v>
      </c>
      <c r="H2262">
        <v>30</v>
      </c>
      <c r="I2262" s="6" t="s">
        <v>36</v>
      </c>
      <c r="J2262" s="6" t="s">
        <v>37</v>
      </c>
      <c r="K2262">
        <v>1</v>
      </c>
      <c r="M2262" s="1" t="b">
        <f>Employee__2[[#This Row],[Experience]]&gt;1</f>
        <v>0</v>
      </c>
      <c r="N2262" s="1" t="str">
        <f>IF(Employee__2[[#This Row],[City]]="Pune","Yes","No")</f>
        <v>No</v>
      </c>
      <c r="O2262" s="1" t="str">
        <f>IF(AND(Employee__2[[#This Row],[Education]]="Bachelors",Employee__2[[#This Row],[City]]="Pune"),"Yes","No")</f>
        <v>No</v>
      </c>
      <c r="P2262" s="1" t="str">
        <f>IF(OR(Employee__2[[#This Row],[Age]]&gt;=30,Employee__2[[#This Row],[Gender]]="Male"),"Mached","Not mached")</f>
        <v>Mached</v>
      </c>
    </row>
    <row r="2263" spans="4:16" x14ac:dyDescent="0.25">
      <c r="D2263" s="6" t="s">
        <v>41</v>
      </c>
      <c r="E2263">
        <v>2018</v>
      </c>
      <c r="F2263" s="6" t="s">
        <v>35</v>
      </c>
      <c r="G2263">
        <v>3</v>
      </c>
      <c r="H2263">
        <v>26</v>
      </c>
      <c r="I2263" s="6" t="s">
        <v>36</v>
      </c>
      <c r="J2263" s="6" t="s">
        <v>37</v>
      </c>
      <c r="K2263">
        <v>4</v>
      </c>
      <c r="M2263" s="1" t="b">
        <f>Employee__2[[#This Row],[Experience]]&gt;1</f>
        <v>1</v>
      </c>
      <c r="N2263" s="1" t="str">
        <f>IF(Employee__2[[#This Row],[City]]="Pune","Yes","No")</f>
        <v>No</v>
      </c>
      <c r="O2263" s="1" t="str">
        <f>IF(AND(Employee__2[[#This Row],[Education]]="Bachelors",Employee__2[[#This Row],[City]]="Pune"),"Yes","No")</f>
        <v>No</v>
      </c>
      <c r="P2263" s="1" t="str">
        <f>IF(OR(Employee__2[[#This Row],[Age]]&gt;=30,Employee__2[[#This Row],[Gender]]="Male"),"Mached","Not mached")</f>
        <v>Mached</v>
      </c>
    </row>
    <row r="2264" spans="4:16" x14ac:dyDescent="0.25">
      <c r="D2264" s="6" t="s">
        <v>34</v>
      </c>
      <c r="E2264">
        <v>2012</v>
      </c>
      <c r="F2264" s="6" t="s">
        <v>35</v>
      </c>
      <c r="G2264">
        <v>3</v>
      </c>
      <c r="H2264">
        <v>26</v>
      </c>
      <c r="I2264" s="6" t="s">
        <v>36</v>
      </c>
      <c r="J2264" s="6" t="s">
        <v>37</v>
      </c>
      <c r="K2264">
        <v>4</v>
      </c>
      <c r="M2264" s="1" t="b">
        <f>Employee__2[[#This Row],[Experience]]&gt;1</f>
        <v>1</v>
      </c>
      <c r="N2264" s="1" t="str">
        <f>IF(Employee__2[[#This Row],[City]]="Pune","Yes","No")</f>
        <v>No</v>
      </c>
      <c r="O2264" s="1" t="str">
        <f>IF(AND(Employee__2[[#This Row],[Education]]="Bachelors",Employee__2[[#This Row],[City]]="Pune"),"Yes","No")</f>
        <v>No</v>
      </c>
      <c r="P2264" s="1" t="str">
        <f>IF(OR(Employee__2[[#This Row],[Age]]&gt;=30,Employee__2[[#This Row],[Gender]]="Male"),"Mached","Not mached")</f>
        <v>Mached</v>
      </c>
    </row>
    <row r="2265" spans="4:16" x14ac:dyDescent="0.25">
      <c r="D2265" s="6" t="s">
        <v>34</v>
      </c>
      <c r="E2265">
        <v>2013</v>
      </c>
      <c r="F2265" s="6" t="s">
        <v>35</v>
      </c>
      <c r="G2265">
        <v>3</v>
      </c>
      <c r="H2265">
        <v>26</v>
      </c>
      <c r="I2265" s="6" t="s">
        <v>36</v>
      </c>
      <c r="J2265" s="6" t="s">
        <v>37</v>
      </c>
      <c r="K2265">
        <v>4</v>
      </c>
      <c r="M2265" s="1" t="b">
        <f>Employee__2[[#This Row],[Experience]]&gt;1</f>
        <v>1</v>
      </c>
      <c r="N2265" s="1" t="str">
        <f>IF(Employee__2[[#This Row],[City]]="Pune","Yes","No")</f>
        <v>No</v>
      </c>
      <c r="O2265" s="1" t="str">
        <f>IF(AND(Employee__2[[#This Row],[Education]]="Bachelors",Employee__2[[#This Row],[City]]="Pune"),"Yes","No")</f>
        <v>No</v>
      </c>
      <c r="P2265" s="1" t="str">
        <f>IF(OR(Employee__2[[#This Row],[Age]]&gt;=30,Employee__2[[#This Row],[Gender]]="Male"),"Mached","Not mached")</f>
        <v>Mached</v>
      </c>
    </row>
    <row r="2266" spans="4:16" x14ac:dyDescent="0.25">
      <c r="D2266" s="6" t="s">
        <v>34</v>
      </c>
      <c r="E2266">
        <v>2015</v>
      </c>
      <c r="F2266" s="6" t="s">
        <v>40</v>
      </c>
      <c r="G2266">
        <v>3</v>
      </c>
      <c r="H2266">
        <v>26</v>
      </c>
      <c r="I2266" s="6" t="s">
        <v>39</v>
      </c>
      <c r="J2266" s="6" t="s">
        <v>37</v>
      </c>
      <c r="K2266">
        <v>4</v>
      </c>
      <c r="M2266" s="1" t="b">
        <f>Employee__2[[#This Row],[Experience]]&gt;1</f>
        <v>1</v>
      </c>
      <c r="N2266" s="1" t="str">
        <f>IF(Employee__2[[#This Row],[City]]="Pune","Yes","No")</f>
        <v>No</v>
      </c>
      <c r="O2266" s="1" t="str">
        <f>IF(AND(Employee__2[[#This Row],[Education]]="Bachelors",Employee__2[[#This Row],[City]]="Pune"),"Yes","No")</f>
        <v>No</v>
      </c>
      <c r="P2266" s="1" t="str">
        <f>IF(OR(Employee__2[[#This Row],[Age]]&gt;=30,Employee__2[[#This Row],[Gender]]="Male"),"Mached","Not mached")</f>
        <v>Not mached</v>
      </c>
    </row>
    <row r="2267" spans="4:16" x14ac:dyDescent="0.25">
      <c r="D2267" s="6" t="s">
        <v>34</v>
      </c>
      <c r="E2267">
        <v>2016</v>
      </c>
      <c r="F2267" s="6" t="s">
        <v>38</v>
      </c>
      <c r="G2267">
        <v>3</v>
      </c>
      <c r="H2267">
        <v>29</v>
      </c>
      <c r="I2267" s="6" t="s">
        <v>36</v>
      </c>
      <c r="J2267" s="6" t="s">
        <v>37</v>
      </c>
      <c r="K2267">
        <v>2</v>
      </c>
      <c r="M2267" s="1" t="b">
        <f>Employee__2[[#This Row],[Experience]]&gt;1</f>
        <v>1</v>
      </c>
      <c r="N2267" s="1" t="str">
        <f>IF(Employee__2[[#This Row],[City]]="Pune","Yes","No")</f>
        <v>Yes</v>
      </c>
      <c r="O2267" s="1" t="str">
        <f>IF(AND(Employee__2[[#This Row],[Education]]="Bachelors",Employee__2[[#This Row],[City]]="Pune"),"Yes","No")</f>
        <v>Yes</v>
      </c>
      <c r="P2267" s="1" t="str">
        <f>IF(OR(Employee__2[[#This Row],[Age]]&gt;=30,Employee__2[[#This Row],[Gender]]="Male"),"Mached","Not mached")</f>
        <v>Mached</v>
      </c>
    </row>
    <row r="2268" spans="4:16" x14ac:dyDescent="0.25">
      <c r="D2268" s="6" t="s">
        <v>34</v>
      </c>
      <c r="E2268">
        <v>2018</v>
      </c>
      <c r="F2268" s="6" t="s">
        <v>35</v>
      </c>
      <c r="G2268">
        <v>3</v>
      </c>
      <c r="H2268">
        <v>29</v>
      </c>
      <c r="I2268" s="6" t="s">
        <v>39</v>
      </c>
      <c r="J2268" s="6" t="s">
        <v>42</v>
      </c>
      <c r="K2268">
        <v>2</v>
      </c>
      <c r="M2268" s="1" t="b">
        <f>Employee__2[[#This Row],[Experience]]&gt;1</f>
        <v>1</v>
      </c>
      <c r="N2268" s="1" t="str">
        <f>IF(Employee__2[[#This Row],[City]]="Pune","Yes","No")</f>
        <v>No</v>
      </c>
      <c r="O2268" s="1" t="str">
        <f>IF(AND(Employee__2[[#This Row],[Education]]="Bachelors",Employee__2[[#This Row],[City]]="Pune"),"Yes","No")</f>
        <v>No</v>
      </c>
      <c r="P2268" s="1" t="str">
        <f>IF(OR(Employee__2[[#This Row],[Age]]&gt;=30,Employee__2[[#This Row],[Gender]]="Male"),"Mached","Not mached")</f>
        <v>Not mached</v>
      </c>
    </row>
    <row r="2269" spans="4:16" x14ac:dyDescent="0.25">
      <c r="D2269" s="6" t="s">
        <v>34</v>
      </c>
      <c r="E2269">
        <v>2016</v>
      </c>
      <c r="F2269" s="6" t="s">
        <v>35</v>
      </c>
      <c r="G2269">
        <v>3</v>
      </c>
      <c r="H2269">
        <v>28</v>
      </c>
      <c r="I2269" s="6" t="s">
        <v>36</v>
      </c>
      <c r="J2269" s="6" t="s">
        <v>37</v>
      </c>
      <c r="K2269">
        <v>1</v>
      </c>
      <c r="M2269" s="1" t="b">
        <f>Employee__2[[#This Row],[Experience]]&gt;1</f>
        <v>0</v>
      </c>
      <c r="N2269" s="1" t="str">
        <f>IF(Employee__2[[#This Row],[City]]="Pune","Yes","No")</f>
        <v>No</v>
      </c>
      <c r="O2269" s="1" t="str">
        <f>IF(AND(Employee__2[[#This Row],[Education]]="Bachelors",Employee__2[[#This Row],[City]]="Pune"),"Yes","No")</f>
        <v>No</v>
      </c>
      <c r="P2269" s="1" t="str">
        <f>IF(OR(Employee__2[[#This Row],[Age]]&gt;=30,Employee__2[[#This Row],[Gender]]="Male"),"Mached","Not mached")</f>
        <v>Mached</v>
      </c>
    </row>
    <row r="2270" spans="4:16" x14ac:dyDescent="0.25">
      <c r="D2270" s="6" t="s">
        <v>41</v>
      </c>
      <c r="E2270">
        <v>2012</v>
      </c>
      <c r="F2270" s="6" t="s">
        <v>38</v>
      </c>
      <c r="G2270">
        <v>3</v>
      </c>
      <c r="H2270">
        <v>30</v>
      </c>
      <c r="I2270" s="6" t="s">
        <v>36</v>
      </c>
      <c r="J2270" s="6" t="s">
        <v>37</v>
      </c>
      <c r="K2270">
        <v>1</v>
      </c>
      <c r="M2270" s="1" t="b">
        <f>Employee__2[[#This Row],[Experience]]&gt;1</f>
        <v>0</v>
      </c>
      <c r="N2270" s="1" t="str">
        <f>IF(Employee__2[[#This Row],[City]]="Pune","Yes","No")</f>
        <v>Yes</v>
      </c>
      <c r="O2270" s="1" t="str">
        <f>IF(AND(Employee__2[[#This Row],[Education]]="Bachelors",Employee__2[[#This Row],[City]]="Pune"),"Yes","No")</f>
        <v>No</v>
      </c>
      <c r="P2270" s="1" t="str">
        <f>IF(OR(Employee__2[[#This Row],[Age]]&gt;=30,Employee__2[[#This Row],[Gender]]="Male"),"Mached","Not mached")</f>
        <v>Mached</v>
      </c>
    </row>
    <row r="2271" spans="4:16" x14ac:dyDescent="0.25">
      <c r="D2271" s="6" t="s">
        <v>34</v>
      </c>
      <c r="E2271">
        <v>2014</v>
      </c>
      <c r="F2271" s="6" t="s">
        <v>35</v>
      </c>
      <c r="G2271">
        <v>3</v>
      </c>
      <c r="H2271">
        <v>30</v>
      </c>
      <c r="I2271" s="6" t="s">
        <v>39</v>
      </c>
      <c r="J2271" s="6" t="s">
        <v>37</v>
      </c>
      <c r="K2271">
        <v>2</v>
      </c>
      <c r="M2271" s="1" t="b">
        <f>Employee__2[[#This Row],[Experience]]&gt;1</f>
        <v>1</v>
      </c>
      <c r="N2271" s="1" t="str">
        <f>IF(Employee__2[[#This Row],[City]]="Pune","Yes","No")</f>
        <v>No</v>
      </c>
      <c r="O2271" s="1" t="str">
        <f>IF(AND(Employee__2[[#This Row],[Education]]="Bachelors",Employee__2[[#This Row],[City]]="Pune"),"Yes","No")</f>
        <v>No</v>
      </c>
      <c r="P2271" s="1" t="str">
        <f>IF(OR(Employee__2[[#This Row],[Age]]&gt;=30,Employee__2[[#This Row],[Gender]]="Male"),"Mached","Not mached")</f>
        <v>Mached</v>
      </c>
    </row>
    <row r="2272" spans="4:16" x14ac:dyDescent="0.25">
      <c r="D2272" s="6" t="s">
        <v>34</v>
      </c>
      <c r="E2272">
        <v>2013</v>
      </c>
      <c r="F2272" s="6" t="s">
        <v>35</v>
      </c>
      <c r="G2272">
        <v>3</v>
      </c>
      <c r="H2272">
        <v>27</v>
      </c>
      <c r="I2272" s="6" t="s">
        <v>36</v>
      </c>
      <c r="J2272" s="6" t="s">
        <v>37</v>
      </c>
      <c r="K2272">
        <v>5</v>
      </c>
      <c r="M2272" s="1" t="b">
        <f>Employee__2[[#This Row],[Experience]]&gt;1</f>
        <v>1</v>
      </c>
      <c r="N2272" s="1" t="str">
        <f>IF(Employee__2[[#This Row],[City]]="Pune","Yes","No")</f>
        <v>No</v>
      </c>
      <c r="O2272" s="1" t="str">
        <f>IF(AND(Employee__2[[#This Row],[Education]]="Bachelors",Employee__2[[#This Row],[City]]="Pune"),"Yes","No")</f>
        <v>No</v>
      </c>
      <c r="P2272" s="1" t="str">
        <f>IF(OR(Employee__2[[#This Row],[Age]]&gt;=30,Employee__2[[#This Row],[Gender]]="Male"),"Mached","Not mached")</f>
        <v>Mached</v>
      </c>
    </row>
    <row r="2273" spans="4:16" x14ac:dyDescent="0.25">
      <c r="D2273" s="6" t="s">
        <v>34</v>
      </c>
      <c r="E2273">
        <v>2014</v>
      </c>
      <c r="F2273" s="6" t="s">
        <v>35</v>
      </c>
      <c r="G2273">
        <v>3</v>
      </c>
      <c r="H2273">
        <v>29</v>
      </c>
      <c r="I2273" s="6" t="s">
        <v>39</v>
      </c>
      <c r="J2273" s="6" t="s">
        <v>37</v>
      </c>
      <c r="K2273">
        <v>1</v>
      </c>
      <c r="M2273" s="1" t="b">
        <f>Employee__2[[#This Row],[Experience]]&gt;1</f>
        <v>0</v>
      </c>
      <c r="N2273" s="1" t="str">
        <f>IF(Employee__2[[#This Row],[City]]="Pune","Yes","No")</f>
        <v>No</v>
      </c>
      <c r="O2273" s="1" t="str">
        <f>IF(AND(Employee__2[[#This Row],[Education]]="Bachelors",Employee__2[[#This Row],[City]]="Pune"),"Yes","No")</f>
        <v>No</v>
      </c>
      <c r="P2273" s="1" t="str">
        <f>IF(OR(Employee__2[[#This Row],[Age]]&gt;=30,Employee__2[[#This Row],[Gender]]="Male"),"Mached","Not mached")</f>
        <v>Not mached</v>
      </c>
    </row>
    <row r="2274" spans="4:16" x14ac:dyDescent="0.25">
      <c r="D2274" s="6" t="s">
        <v>34</v>
      </c>
      <c r="E2274">
        <v>2013</v>
      </c>
      <c r="F2274" s="6" t="s">
        <v>38</v>
      </c>
      <c r="G2274">
        <v>3</v>
      </c>
      <c r="H2274">
        <v>28</v>
      </c>
      <c r="I2274" s="6" t="s">
        <v>36</v>
      </c>
      <c r="J2274" s="6" t="s">
        <v>37</v>
      </c>
      <c r="K2274">
        <v>2</v>
      </c>
      <c r="M2274" s="1" t="b">
        <f>Employee__2[[#This Row],[Experience]]&gt;1</f>
        <v>1</v>
      </c>
      <c r="N2274" s="1" t="str">
        <f>IF(Employee__2[[#This Row],[City]]="Pune","Yes","No")</f>
        <v>Yes</v>
      </c>
      <c r="O2274" s="1" t="str">
        <f>IF(AND(Employee__2[[#This Row],[Education]]="Bachelors",Employee__2[[#This Row],[City]]="Pune"),"Yes","No")</f>
        <v>Yes</v>
      </c>
      <c r="P2274" s="1" t="str">
        <f>IF(OR(Employee__2[[#This Row],[Age]]&gt;=30,Employee__2[[#This Row],[Gender]]="Male"),"Mached","Not mached")</f>
        <v>Mached</v>
      </c>
    </row>
    <row r="2275" spans="4:16" x14ac:dyDescent="0.25">
      <c r="D2275" s="6" t="s">
        <v>34</v>
      </c>
      <c r="E2275">
        <v>2014</v>
      </c>
      <c r="F2275" s="6" t="s">
        <v>38</v>
      </c>
      <c r="G2275">
        <v>3</v>
      </c>
      <c r="H2275">
        <v>29</v>
      </c>
      <c r="I2275" s="6" t="s">
        <v>36</v>
      </c>
      <c r="J2275" s="6" t="s">
        <v>37</v>
      </c>
      <c r="K2275">
        <v>2</v>
      </c>
      <c r="M2275" s="1" t="b">
        <f>Employee__2[[#This Row],[Experience]]&gt;1</f>
        <v>1</v>
      </c>
      <c r="N2275" s="1" t="str">
        <f>IF(Employee__2[[#This Row],[City]]="Pune","Yes","No")</f>
        <v>Yes</v>
      </c>
      <c r="O2275" s="1" t="str">
        <f>IF(AND(Employee__2[[#This Row],[Education]]="Bachelors",Employee__2[[#This Row],[City]]="Pune"),"Yes","No")</f>
        <v>Yes</v>
      </c>
      <c r="P2275" s="1" t="str">
        <f>IF(OR(Employee__2[[#This Row],[Age]]&gt;=30,Employee__2[[#This Row],[Gender]]="Male"),"Mached","Not mached")</f>
        <v>Mached</v>
      </c>
    </row>
    <row r="2276" spans="4:16" x14ac:dyDescent="0.25">
      <c r="D2276" s="6" t="s">
        <v>34</v>
      </c>
      <c r="E2276">
        <v>2012</v>
      </c>
      <c r="F2276" s="6" t="s">
        <v>35</v>
      </c>
      <c r="G2276">
        <v>1</v>
      </c>
      <c r="H2276">
        <v>30</v>
      </c>
      <c r="I2276" s="6" t="s">
        <v>39</v>
      </c>
      <c r="J2276" s="6" t="s">
        <v>37</v>
      </c>
      <c r="K2276">
        <v>2</v>
      </c>
      <c r="M2276" s="1" t="b">
        <f>Employee__2[[#This Row],[Experience]]&gt;1</f>
        <v>1</v>
      </c>
      <c r="N2276" s="1" t="str">
        <f>IF(Employee__2[[#This Row],[City]]="Pune","Yes","No")</f>
        <v>No</v>
      </c>
      <c r="O2276" s="1" t="str">
        <f>IF(AND(Employee__2[[#This Row],[Education]]="Bachelors",Employee__2[[#This Row],[City]]="Pune"),"Yes","No")</f>
        <v>No</v>
      </c>
      <c r="P2276" s="1" t="str">
        <f>IF(OR(Employee__2[[#This Row],[Age]]&gt;=30,Employee__2[[#This Row],[Gender]]="Male"),"Mached","Not mached")</f>
        <v>Mached</v>
      </c>
    </row>
    <row r="2277" spans="4:16" x14ac:dyDescent="0.25">
      <c r="D2277" s="6" t="s">
        <v>34</v>
      </c>
      <c r="E2277">
        <v>2018</v>
      </c>
      <c r="F2277" s="6" t="s">
        <v>38</v>
      </c>
      <c r="G2277">
        <v>3</v>
      </c>
      <c r="H2277">
        <v>28</v>
      </c>
      <c r="I2277" s="6" t="s">
        <v>36</v>
      </c>
      <c r="J2277" s="6" t="s">
        <v>37</v>
      </c>
      <c r="K2277">
        <v>2</v>
      </c>
      <c r="M2277" s="1" t="b">
        <f>Employee__2[[#This Row],[Experience]]&gt;1</f>
        <v>1</v>
      </c>
      <c r="N2277" s="1" t="str">
        <f>IF(Employee__2[[#This Row],[City]]="Pune","Yes","No")</f>
        <v>Yes</v>
      </c>
      <c r="O2277" s="1" t="str">
        <f>IF(AND(Employee__2[[#This Row],[Education]]="Bachelors",Employee__2[[#This Row],[City]]="Pune"),"Yes","No")</f>
        <v>Yes</v>
      </c>
      <c r="P2277" s="1" t="str">
        <f>IF(OR(Employee__2[[#This Row],[Age]]&gt;=30,Employee__2[[#This Row],[Gender]]="Male"),"Mached","Not mached")</f>
        <v>Mached</v>
      </c>
    </row>
    <row r="2278" spans="4:16" x14ac:dyDescent="0.25">
      <c r="D2278" s="6" t="s">
        <v>34</v>
      </c>
      <c r="E2278">
        <v>2012</v>
      </c>
      <c r="F2278" s="6" t="s">
        <v>35</v>
      </c>
      <c r="G2278">
        <v>3</v>
      </c>
      <c r="H2278">
        <v>30</v>
      </c>
      <c r="I2278" s="6" t="s">
        <v>39</v>
      </c>
      <c r="J2278" s="6" t="s">
        <v>42</v>
      </c>
      <c r="K2278">
        <v>2</v>
      </c>
      <c r="M2278" s="1" t="b">
        <f>Employee__2[[#This Row],[Experience]]&gt;1</f>
        <v>1</v>
      </c>
      <c r="N2278" s="1" t="str">
        <f>IF(Employee__2[[#This Row],[City]]="Pune","Yes","No")</f>
        <v>No</v>
      </c>
      <c r="O2278" s="1" t="str">
        <f>IF(AND(Employee__2[[#This Row],[Education]]="Bachelors",Employee__2[[#This Row],[City]]="Pune"),"Yes","No")</f>
        <v>No</v>
      </c>
      <c r="P2278" s="1" t="str">
        <f>IF(OR(Employee__2[[#This Row],[Age]]&gt;=30,Employee__2[[#This Row],[Gender]]="Male"),"Mached","Not mached")</f>
        <v>Mached</v>
      </c>
    </row>
    <row r="2279" spans="4:16" x14ac:dyDescent="0.25">
      <c r="D2279" s="6" t="s">
        <v>41</v>
      </c>
      <c r="E2279">
        <v>2017</v>
      </c>
      <c r="F2279" s="6" t="s">
        <v>40</v>
      </c>
      <c r="G2279">
        <v>2</v>
      </c>
      <c r="H2279">
        <v>30</v>
      </c>
      <c r="I2279" s="6" t="s">
        <v>36</v>
      </c>
      <c r="J2279" s="6" t="s">
        <v>37</v>
      </c>
      <c r="K2279">
        <v>1</v>
      </c>
      <c r="M2279" s="1" t="b">
        <f>Employee__2[[#This Row],[Experience]]&gt;1</f>
        <v>0</v>
      </c>
      <c r="N2279" s="1" t="str">
        <f>IF(Employee__2[[#This Row],[City]]="Pune","Yes","No")</f>
        <v>No</v>
      </c>
      <c r="O2279" s="1" t="str">
        <f>IF(AND(Employee__2[[#This Row],[Education]]="Bachelors",Employee__2[[#This Row],[City]]="Pune"),"Yes","No")</f>
        <v>No</v>
      </c>
      <c r="P2279" s="1" t="str">
        <f>IF(OR(Employee__2[[#This Row],[Age]]&gt;=30,Employee__2[[#This Row],[Gender]]="Male"),"Mached","Not mached")</f>
        <v>Mached</v>
      </c>
    </row>
    <row r="2280" spans="4:16" x14ac:dyDescent="0.25">
      <c r="D2280" s="6" t="s">
        <v>34</v>
      </c>
      <c r="E2280">
        <v>2014</v>
      </c>
      <c r="F2280" s="6" t="s">
        <v>40</v>
      </c>
      <c r="G2280">
        <v>3</v>
      </c>
      <c r="H2280">
        <v>27</v>
      </c>
      <c r="I2280" s="6" t="s">
        <v>39</v>
      </c>
      <c r="J2280" s="6" t="s">
        <v>37</v>
      </c>
      <c r="K2280">
        <v>5</v>
      </c>
      <c r="M2280" s="1" t="b">
        <f>Employee__2[[#This Row],[Experience]]&gt;1</f>
        <v>1</v>
      </c>
      <c r="N2280" s="1" t="str">
        <f>IF(Employee__2[[#This Row],[City]]="Pune","Yes","No")</f>
        <v>No</v>
      </c>
      <c r="O2280" s="1" t="str">
        <f>IF(AND(Employee__2[[#This Row],[Education]]="Bachelors",Employee__2[[#This Row],[City]]="Pune"),"Yes","No")</f>
        <v>No</v>
      </c>
      <c r="P2280" s="1" t="str">
        <f>IF(OR(Employee__2[[#This Row],[Age]]&gt;=30,Employee__2[[#This Row],[Gender]]="Male"),"Mached","Not mached")</f>
        <v>Not mached</v>
      </c>
    </row>
    <row r="2281" spans="4:16" x14ac:dyDescent="0.25">
      <c r="D2281" s="6" t="s">
        <v>41</v>
      </c>
      <c r="E2281">
        <v>2014</v>
      </c>
      <c r="F2281" s="6" t="s">
        <v>40</v>
      </c>
      <c r="G2281">
        <v>3</v>
      </c>
      <c r="H2281">
        <v>29</v>
      </c>
      <c r="I2281" s="6" t="s">
        <v>36</v>
      </c>
      <c r="J2281" s="6" t="s">
        <v>37</v>
      </c>
      <c r="K2281">
        <v>2</v>
      </c>
      <c r="M2281" s="1" t="b">
        <f>Employee__2[[#This Row],[Experience]]&gt;1</f>
        <v>1</v>
      </c>
      <c r="N2281" s="1" t="str">
        <f>IF(Employee__2[[#This Row],[City]]="Pune","Yes","No")</f>
        <v>No</v>
      </c>
      <c r="O2281" s="1" t="str">
        <f>IF(AND(Employee__2[[#This Row],[Education]]="Bachelors",Employee__2[[#This Row],[City]]="Pune"),"Yes","No")</f>
        <v>No</v>
      </c>
      <c r="P2281" s="1" t="str">
        <f>IF(OR(Employee__2[[#This Row],[Age]]&gt;=30,Employee__2[[#This Row],[Gender]]="Male"),"Mached","Not mached")</f>
        <v>Mached</v>
      </c>
    </row>
    <row r="2282" spans="4:16" x14ac:dyDescent="0.25">
      <c r="D2282" s="6" t="s">
        <v>34</v>
      </c>
      <c r="E2282">
        <v>2016</v>
      </c>
      <c r="F2282" s="6" t="s">
        <v>35</v>
      </c>
      <c r="G2282">
        <v>3</v>
      </c>
      <c r="H2282">
        <v>29</v>
      </c>
      <c r="I2282" s="6" t="s">
        <v>36</v>
      </c>
      <c r="J2282" s="6" t="s">
        <v>37</v>
      </c>
      <c r="K2282">
        <v>2</v>
      </c>
      <c r="M2282" s="1" t="b">
        <f>Employee__2[[#This Row],[Experience]]&gt;1</f>
        <v>1</v>
      </c>
      <c r="N2282" s="1" t="str">
        <f>IF(Employee__2[[#This Row],[City]]="Pune","Yes","No")</f>
        <v>No</v>
      </c>
      <c r="O2282" s="1" t="str">
        <f>IF(AND(Employee__2[[#This Row],[Education]]="Bachelors",Employee__2[[#This Row],[City]]="Pune"),"Yes","No")</f>
        <v>No</v>
      </c>
      <c r="P2282" s="1" t="str">
        <f>IF(OR(Employee__2[[#This Row],[Age]]&gt;=30,Employee__2[[#This Row],[Gender]]="Male"),"Mached","Not mached")</f>
        <v>Mached</v>
      </c>
    </row>
    <row r="2283" spans="4:16" x14ac:dyDescent="0.25">
      <c r="D2283" s="6" t="s">
        <v>34</v>
      </c>
      <c r="E2283">
        <v>2014</v>
      </c>
      <c r="F2283" s="6" t="s">
        <v>38</v>
      </c>
      <c r="G2283">
        <v>2</v>
      </c>
      <c r="H2283">
        <v>28</v>
      </c>
      <c r="I2283" s="6" t="s">
        <v>39</v>
      </c>
      <c r="J2283" s="6" t="s">
        <v>37</v>
      </c>
      <c r="K2283">
        <v>2</v>
      </c>
      <c r="M2283" s="1" t="b">
        <f>Employee__2[[#This Row],[Experience]]&gt;1</f>
        <v>1</v>
      </c>
      <c r="N2283" s="1" t="str">
        <f>IF(Employee__2[[#This Row],[City]]="Pune","Yes","No")</f>
        <v>Yes</v>
      </c>
      <c r="O2283" s="1" t="str">
        <f>IF(AND(Employee__2[[#This Row],[Education]]="Bachelors",Employee__2[[#This Row],[City]]="Pune"),"Yes","No")</f>
        <v>Yes</v>
      </c>
      <c r="P2283" s="1" t="str">
        <f>IF(OR(Employee__2[[#This Row],[Age]]&gt;=30,Employee__2[[#This Row],[Gender]]="Male"),"Mached","Not mached")</f>
        <v>Not mached</v>
      </c>
    </row>
    <row r="2284" spans="4:16" x14ac:dyDescent="0.25">
      <c r="D2284" s="6" t="s">
        <v>34</v>
      </c>
      <c r="E2284">
        <v>2017</v>
      </c>
      <c r="F2284" s="6" t="s">
        <v>40</v>
      </c>
      <c r="G2284">
        <v>3</v>
      </c>
      <c r="H2284">
        <v>26</v>
      </c>
      <c r="I2284" s="6" t="s">
        <v>36</v>
      </c>
      <c r="J2284" s="6" t="s">
        <v>37</v>
      </c>
      <c r="K2284">
        <v>4</v>
      </c>
      <c r="M2284" s="1" t="b">
        <f>Employee__2[[#This Row],[Experience]]&gt;1</f>
        <v>1</v>
      </c>
      <c r="N2284" s="1" t="str">
        <f>IF(Employee__2[[#This Row],[City]]="Pune","Yes","No")</f>
        <v>No</v>
      </c>
      <c r="O2284" s="1" t="str">
        <f>IF(AND(Employee__2[[#This Row],[Education]]="Bachelors",Employee__2[[#This Row],[City]]="Pune"),"Yes","No")</f>
        <v>No</v>
      </c>
      <c r="P2284" s="1" t="str">
        <f>IF(OR(Employee__2[[#This Row],[Age]]&gt;=30,Employee__2[[#This Row],[Gender]]="Male"),"Mached","Not mached")</f>
        <v>Mached</v>
      </c>
    </row>
    <row r="2285" spans="4:16" x14ac:dyDescent="0.25">
      <c r="D2285" s="6" t="s">
        <v>34</v>
      </c>
      <c r="E2285">
        <v>2018</v>
      </c>
      <c r="F2285" s="6" t="s">
        <v>38</v>
      </c>
      <c r="G2285">
        <v>3</v>
      </c>
      <c r="H2285">
        <v>28</v>
      </c>
      <c r="I2285" s="6" t="s">
        <v>36</v>
      </c>
      <c r="J2285" s="6" t="s">
        <v>37</v>
      </c>
      <c r="K2285">
        <v>1</v>
      </c>
      <c r="M2285" s="1" t="b">
        <f>Employee__2[[#This Row],[Experience]]&gt;1</f>
        <v>0</v>
      </c>
      <c r="N2285" s="1" t="str">
        <f>IF(Employee__2[[#This Row],[City]]="Pune","Yes","No")</f>
        <v>Yes</v>
      </c>
      <c r="O2285" s="1" t="str">
        <f>IF(AND(Employee__2[[#This Row],[Education]]="Bachelors",Employee__2[[#This Row],[City]]="Pune"),"Yes","No")</f>
        <v>Yes</v>
      </c>
      <c r="P2285" s="1" t="str">
        <f>IF(OR(Employee__2[[#This Row],[Age]]&gt;=30,Employee__2[[#This Row],[Gender]]="Male"),"Mached","Not mached")</f>
        <v>Mached</v>
      </c>
    </row>
    <row r="2286" spans="4:16" x14ac:dyDescent="0.25">
      <c r="D2286" s="6" t="s">
        <v>34</v>
      </c>
      <c r="E2286">
        <v>2016</v>
      </c>
      <c r="F2286" s="6" t="s">
        <v>38</v>
      </c>
      <c r="G2286">
        <v>3</v>
      </c>
      <c r="H2286">
        <v>29</v>
      </c>
      <c r="I2286" s="6" t="s">
        <v>36</v>
      </c>
      <c r="J2286" s="6" t="s">
        <v>37</v>
      </c>
      <c r="K2286">
        <v>1</v>
      </c>
      <c r="M2286" s="1" t="b">
        <f>Employee__2[[#This Row],[Experience]]&gt;1</f>
        <v>0</v>
      </c>
      <c r="N2286" s="1" t="str">
        <f>IF(Employee__2[[#This Row],[City]]="Pune","Yes","No")</f>
        <v>Yes</v>
      </c>
      <c r="O2286" s="1" t="str">
        <f>IF(AND(Employee__2[[#This Row],[Education]]="Bachelors",Employee__2[[#This Row],[City]]="Pune"),"Yes","No")</f>
        <v>Yes</v>
      </c>
      <c r="P2286" s="1" t="str">
        <f>IF(OR(Employee__2[[#This Row],[Age]]&gt;=30,Employee__2[[#This Row],[Gender]]="Male"),"Mached","Not mached")</f>
        <v>Mached</v>
      </c>
    </row>
    <row r="2287" spans="4:16" x14ac:dyDescent="0.25">
      <c r="D2287" s="6" t="s">
        <v>34</v>
      </c>
      <c r="E2287">
        <v>2015</v>
      </c>
      <c r="F2287" s="6" t="s">
        <v>38</v>
      </c>
      <c r="G2287">
        <v>3</v>
      </c>
      <c r="H2287">
        <v>26</v>
      </c>
      <c r="I2287" s="6" t="s">
        <v>39</v>
      </c>
      <c r="J2287" s="6" t="s">
        <v>42</v>
      </c>
      <c r="K2287">
        <v>4</v>
      </c>
      <c r="M2287" s="1" t="b">
        <f>Employee__2[[#This Row],[Experience]]&gt;1</f>
        <v>1</v>
      </c>
      <c r="N2287" s="1" t="str">
        <f>IF(Employee__2[[#This Row],[City]]="Pune","Yes","No")</f>
        <v>Yes</v>
      </c>
      <c r="O2287" s="1" t="str">
        <f>IF(AND(Employee__2[[#This Row],[Education]]="Bachelors",Employee__2[[#This Row],[City]]="Pune"),"Yes","No")</f>
        <v>Yes</v>
      </c>
      <c r="P2287" s="1" t="str">
        <f>IF(OR(Employee__2[[#This Row],[Age]]&gt;=30,Employee__2[[#This Row],[Gender]]="Male"),"Mached","Not mached")</f>
        <v>Not mached</v>
      </c>
    </row>
    <row r="2288" spans="4:16" x14ac:dyDescent="0.25">
      <c r="D2288" s="6" t="s">
        <v>41</v>
      </c>
      <c r="E2288">
        <v>2017</v>
      </c>
      <c r="F2288" s="6" t="s">
        <v>35</v>
      </c>
      <c r="G2288">
        <v>3</v>
      </c>
      <c r="H2288">
        <v>27</v>
      </c>
      <c r="I2288" s="6" t="s">
        <v>36</v>
      </c>
      <c r="J2288" s="6" t="s">
        <v>37</v>
      </c>
      <c r="K2288">
        <v>5</v>
      </c>
      <c r="M2288" s="1" t="b">
        <f>Employee__2[[#This Row],[Experience]]&gt;1</f>
        <v>1</v>
      </c>
      <c r="N2288" s="1" t="str">
        <f>IF(Employee__2[[#This Row],[City]]="Pune","Yes","No")</f>
        <v>No</v>
      </c>
      <c r="O2288" s="1" t="str">
        <f>IF(AND(Employee__2[[#This Row],[Education]]="Bachelors",Employee__2[[#This Row],[City]]="Pune"),"Yes","No")</f>
        <v>No</v>
      </c>
      <c r="P2288" s="1" t="str">
        <f>IF(OR(Employee__2[[#This Row],[Age]]&gt;=30,Employee__2[[#This Row],[Gender]]="Male"),"Mached","Not mached")</f>
        <v>Mached</v>
      </c>
    </row>
    <row r="2289" spans="4:16" x14ac:dyDescent="0.25">
      <c r="D2289" s="6" t="s">
        <v>41</v>
      </c>
      <c r="E2289">
        <v>2017</v>
      </c>
      <c r="F2289" s="6" t="s">
        <v>40</v>
      </c>
      <c r="G2289">
        <v>2</v>
      </c>
      <c r="H2289">
        <v>26</v>
      </c>
      <c r="I2289" s="6" t="s">
        <v>36</v>
      </c>
      <c r="J2289" s="6" t="s">
        <v>37</v>
      </c>
      <c r="K2289">
        <v>4</v>
      </c>
      <c r="M2289" s="1" t="b">
        <f>Employee__2[[#This Row],[Experience]]&gt;1</f>
        <v>1</v>
      </c>
      <c r="N2289" s="1" t="str">
        <f>IF(Employee__2[[#This Row],[City]]="Pune","Yes","No")</f>
        <v>No</v>
      </c>
      <c r="O2289" s="1" t="str">
        <f>IF(AND(Employee__2[[#This Row],[Education]]="Bachelors",Employee__2[[#This Row],[City]]="Pune"),"Yes","No")</f>
        <v>No</v>
      </c>
      <c r="P2289" s="1" t="str">
        <f>IF(OR(Employee__2[[#This Row],[Age]]&gt;=30,Employee__2[[#This Row],[Gender]]="Male"),"Mached","Not mached")</f>
        <v>Mached</v>
      </c>
    </row>
    <row r="2290" spans="4:16" x14ac:dyDescent="0.25">
      <c r="D2290" s="6" t="s">
        <v>41</v>
      </c>
      <c r="E2290">
        <v>2013</v>
      </c>
      <c r="F2290" s="6" t="s">
        <v>40</v>
      </c>
      <c r="G2290">
        <v>3</v>
      </c>
      <c r="H2290">
        <v>26</v>
      </c>
      <c r="I2290" s="6" t="s">
        <v>39</v>
      </c>
      <c r="J2290" s="6" t="s">
        <v>37</v>
      </c>
      <c r="K2290">
        <v>4</v>
      </c>
      <c r="M2290" s="1" t="b">
        <f>Employee__2[[#This Row],[Experience]]&gt;1</f>
        <v>1</v>
      </c>
      <c r="N2290" s="1" t="str">
        <f>IF(Employee__2[[#This Row],[City]]="Pune","Yes","No")</f>
        <v>No</v>
      </c>
      <c r="O2290" s="1" t="str">
        <f>IF(AND(Employee__2[[#This Row],[Education]]="Bachelors",Employee__2[[#This Row],[City]]="Pune"),"Yes","No")</f>
        <v>No</v>
      </c>
      <c r="P2290" s="1" t="str">
        <f>IF(OR(Employee__2[[#This Row],[Age]]&gt;=30,Employee__2[[#This Row],[Gender]]="Male"),"Mached","Not mached")</f>
        <v>Not mached</v>
      </c>
    </row>
    <row r="2291" spans="4:16" x14ac:dyDescent="0.25">
      <c r="D2291" s="6" t="s">
        <v>34</v>
      </c>
      <c r="E2291">
        <v>2017</v>
      </c>
      <c r="F2291" s="6" t="s">
        <v>35</v>
      </c>
      <c r="G2291">
        <v>3</v>
      </c>
      <c r="H2291">
        <v>29</v>
      </c>
      <c r="I2291" s="6" t="s">
        <v>36</v>
      </c>
      <c r="J2291" s="6" t="s">
        <v>37</v>
      </c>
      <c r="K2291">
        <v>1</v>
      </c>
      <c r="M2291" s="1" t="b">
        <f>Employee__2[[#This Row],[Experience]]&gt;1</f>
        <v>0</v>
      </c>
      <c r="N2291" s="1" t="str">
        <f>IF(Employee__2[[#This Row],[City]]="Pune","Yes","No")</f>
        <v>No</v>
      </c>
      <c r="O2291" s="1" t="str">
        <f>IF(AND(Employee__2[[#This Row],[Education]]="Bachelors",Employee__2[[#This Row],[City]]="Pune"),"Yes","No")</f>
        <v>No</v>
      </c>
      <c r="P2291" s="1" t="str">
        <f>IF(OR(Employee__2[[#This Row],[Age]]&gt;=30,Employee__2[[#This Row],[Gender]]="Male"),"Mached","Not mached")</f>
        <v>Mached</v>
      </c>
    </row>
    <row r="2292" spans="4:16" x14ac:dyDescent="0.25">
      <c r="D2292" s="6" t="s">
        <v>41</v>
      </c>
      <c r="E2292">
        <v>2013</v>
      </c>
      <c r="F2292" s="6" t="s">
        <v>40</v>
      </c>
      <c r="G2292">
        <v>3</v>
      </c>
      <c r="H2292">
        <v>27</v>
      </c>
      <c r="I2292" s="6" t="s">
        <v>39</v>
      </c>
      <c r="J2292" s="6" t="s">
        <v>37</v>
      </c>
      <c r="K2292">
        <v>5</v>
      </c>
      <c r="M2292" s="1" t="b">
        <f>Employee__2[[#This Row],[Experience]]&gt;1</f>
        <v>1</v>
      </c>
      <c r="N2292" s="1" t="str">
        <f>IF(Employee__2[[#This Row],[City]]="Pune","Yes","No")</f>
        <v>No</v>
      </c>
      <c r="O2292" s="1" t="str">
        <f>IF(AND(Employee__2[[#This Row],[Education]]="Bachelors",Employee__2[[#This Row],[City]]="Pune"),"Yes","No")</f>
        <v>No</v>
      </c>
      <c r="P2292" s="1" t="str">
        <f>IF(OR(Employee__2[[#This Row],[Age]]&gt;=30,Employee__2[[#This Row],[Gender]]="Male"),"Mached","Not mached")</f>
        <v>Not mached</v>
      </c>
    </row>
    <row r="2293" spans="4:16" x14ac:dyDescent="0.25">
      <c r="D2293" s="6" t="s">
        <v>34</v>
      </c>
      <c r="E2293">
        <v>2012</v>
      </c>
      <c r="F2293" s="6" t="s">
        <v>38</v>
      </c>
      <c r="G2293">
        <v>2</v>
      </c>
      <c r="H2293">
        <v>30</v>
      </c>
      <c r="I2293" s="6" t="s">
        <v>39</v>
      </c>
      <c r="J2293" s="6" t="s">
        <v>37</v>
      </c>
      <c r="K2293">
        <v>2</v>
      </c>
      <c r="M2293" s="1" t="b">
        <f>Employee__2[[#This Row],[Experience]]&gt;1</f>
        <v>1</v>
      </c>
      <c r="N2293" s="1" t="str">
        <f>IF(Employee__2[[#This Row],[City]]="Pune","Yes","No")</f>
        <v>Yes</v>
      </c>
      <c r="O2293" s="1" t="str">
        <f>IF(AND(Employee__2[[#This Row],[Education]]="Bachelors",Employee__2[[#This Row],[City]]="Pune"),"Yes","No")</f>
        <v>Yes</v>
      </c>
      <c r="P2293" s="1" t="str">
        <f>IF(OR(Employee__2[[#This Row],[Age]]&gt;=30,Employee__2[[#This Row],[Gender]]="Male"),"Mached","Not mached")</f>
        <v>Mached</v>
      </c>
    </row>
    <row r="2294" spans="4:16" x14ac:dyDescent="0.25">
      <c r="D2294" s="6" t="s">
        <v>34</v>
      </c>
      <c r="E2294">
        <v>2013</v>
      </c>
      <c r="F2294" s="6" t="s">
        <v>40</v>
      </c>
      <c r="G2294">
        <v>3</v>
      </c>
      <c r="H2294">
        <v>26</v>
      </c>
      <c r="I2294" s="6" t="s">
        <v>36</v>
      </c>
      <c r="J2294" s="6" t="s">
        <v>37</v>
      </c>
      <c r="K2294">
        <v>4</v>
      </c>
      <c r="M2294" s="1" t="b">
        <f>Employee__2[[#This Row],[Experience]]&gt;1</f>
        <v>1</v>
      </c>
      <c r="N2294" s="1" t="str">
        <f>IF(Employee__2[[#This Row],[City]]="Pune","Yes","No")</f>
        <v>No</v>
      </c>
      <c r="O2294" s="1" t="str">
        <f>IF(AND(Employee__2[[#This Row],[Education]]="Bachelors",Employee__2[[#This Row],[City]]="Pune"),"Yes","No")</f>
        <v>No</v>
      </c>
      <c r="P2294" s="1" t="str">
        <f>IF(OR(Employee__2[[#This Row],[Age]]&gt;=30,Employee__2[[#This Row],[Gender]]="Male"),"Mached","Not mached")</f>
        <v>Mached</v>
      </c>
    </row>
    <row r="2295" spans="4:16" x14ac:dyDescent="0.25">
      <c r="D2295" s="6" t="s">
        <v>34</v>
      </c>
      <c r="E2295">
        <v>2015</v>
      </c>
      <c r="F2295" s="6" t="s">
        <v>38</v>
      </c>
      <c r="G2295">
        <v>2</v>
      </c>
      <c r="H2295">
        <v>28</v>
      </c>
      <c r="I2295" s="6" t="s">
        <v>39</v>
      </c>
      <c r="J2295" s="6" t="s">
        <v>37</v>
      </c>
      <c r="K2295">
        <v>1</v>
      </c>
      <c r="M2295" s="1" t="b">
        <f>Employee__2[[#This Row],[Experience]]&gt;1</f>
        <v>0</v>
      </c>
      <c r="N2295" s="1" t="str">
        <f>IF(Employee__2[[#This Row],[City]]="Pune","Yes","No")</f>
        <v>Yes</v>
      </c>
      <c r="O2295" s="1" t="str">
        <f>IF(AND(Employee__2[[#This Row],[Education]]="Bachelors",Employee__2[[#This Row],[City]]="Pune"),"Yes","No")</f>
        <v>Yes</v>
      </c>
      <c r="P2295" s="1" t="str">
        <f>IF(OR(Employee__2[[#This Row],[Age]]&gt;=30,Employee__2[[#This Row],[Gender]]="Male"),"Mached","Not mached")</f>
        <v>Not mached</v>
      </c>
    </row>
    <row r="2296" spans="4:16" x14ac:dyDescent="0.25">
      <c r="D2296" s="6" t="s">
        <v>34</v>
      </c>
      <c r="E2296">
        <v>2013</v>
      </c>
      <c r="F2296" s="6" t="s">
        <v>40</v>
      </c>
      <c r="G2296">
        <v>3</v>
      </c>
      <c r="H2296">
        <v>27</v>
      </c>
      <c r="I2296" s="6" t="s">
        <v>36</v>
      </c>
      <c r="J2296" s="6" t="s">
        <v>37</v>
      </c>
      <c r="K2296">
        <v>5</v>
      </c>
      <c r="M2296" s="1" t="b">
        <f>Employee__2[[#This Row],[Experience]]&gt;1</f>
        <v>1</v>
      </c>
      <c r="N2296" s="1" t="str">
        <f>IF(Employee__2[[#This Row],[City]]="Pune","Yes","No")</f>
        <v>No</v>
      </c>
      <c r="O2296" s="1" t="str">
        <f>IF(AND(Employee__2[[#This Row],[Education]]="Bachelors",Employee__2[[#This Row],[City]]="Pune"),"Yes","No")</f>
        <v>No</v>
      </c>
      <c r="P2296" s="1" t="str">
        <f>IF(OR(Employee__2[[#This Row],[Age]]&gt;=30,Employee__2[[#This Row],[Gender]]="Male"),"Mached","Not mached")</f>
        <v>Mached</v>
      </c>
    </row>
    <row r="2297" spans="4:16" x14ac:dyDescent="0.25">
      <c r="D2297" s="6" t="s">
        <v>34</v>
      </c>
      <c r="E2297">
        <v>2015</v>
      </c>
      <c r="F2297" s="6" t="s">
        <v>38</v>
      </c>
      <c r="G2297">
        <v>2</v>
      </c>
      <c r="H2297">
        <v>29</v>
      </c>
      <c r="I2297" s="6" t="s">
        <v>39</v>
      </c>
      <c r="J2297" s="6" t="s">
        <v>42</v>
      </c>
      <c r="K2297">
        <v>2</v>
      </c>
      <c r="M2297" s="1" t="b">
        <f>Employee__2[[#This Row],[Experience]]&gt;1</f>
        <v>1</v>
      </c>
      <c r="N2297" s="1" t="str">
        <f>IF(Employee__2[[#This Row],[City]]="Pune","Yes","No")</f>
        <v>Yes</v>
      </c>
      <c r="O2297" s="1" t="str">
        <f>IF(AND(Employee__2[[#This Row],[Education]]="Bachelors",Employee__2[[#This Row],[City]]="Pune"),"Yes","No")</f>
        <v>Yes</v>
      </c>
      <c r="P2297" s="1" t="str">
        <f>IF(OR(Employee__2[[#This Row],[Age]]&gt;=30,Employee__2[[#This Row],[Gender]]="Male"),"Mached","Not mached")</f>
        <v>Not mached</v>
      </c>
    </row>
    <row r="2298" spans="4:16" x14ac:dyDescent="0.25">
      <c r="D2298" s="6" t="s">
        <v>34</v>
      </c>
      <c r="E2298">
        <v>2012</v>
      </c>
      <c r="F2298" s="6" t="s">
        <v>35</v>
      </c>
      <c r="G2298">
        <v>1</v>
      </c>
      <c r="H2298">
        <v>27</v>
      </c>
      <c r="I2298" s="6" t="s">
        <v>39</v>
      </c>
      <c r="J2298" s="6" t="s">
        <v>37</v>
      </c>
      <c r="K2298">
        <v>5</v>
      </c>
      <c r="M2298" s="1" t="b">
        <f>Employee__2[[#This Row],[Experience]]&gt;1</f>
        <v>1</v>
      </c>
      <c r="N2298" s="1" t="str">
        <f>IF(Employee__2[[#This Row],[City]]="Pune","Yes","No")</f>
        <v>No</v>
      </c>
      <c r="O2298" s="1" t="str">
        <f>IF(AND(Employee__2[[#This Row],[Education]]="Bachelors",Employee__2[[#This Row],[City]]="Pune"),"Yes","No")</f>
        <v>No</v>
      </c>
      <c r="P2298" s="1" t="str">
        <f>IF(OR(Employee__2[[#This Row],[Age]]&gt;=30,Employee__2[[#This Row],[Gender]]="Male"),"Mached","Not mached")</f>
        <v>Not mached</v>
      </c>
    </row>
    <row r="2299" spans="4:16" x14ac:dyDescent="0.25">
      <c r="D2299" s="6" t="s">
        <v>34</v>
      </c>
      <c r="E2299">
        <v>2012</v>
      </c>
      <c r="F2299" s="6" t="s">
        <v>35</v>
      </c>
      <c r="G2299">
        <v>3</v>
      </c>
      <c r="H2299">
        <v>28</v>
      </c>
      <c r="I2299" s="6" t="s">
        <v>36</v>
      </c>
      <c r="J2299" s="6" t="s">
        <v>37</v>
      </c>
      <c r="K2299">
        <v>2</v>
      </c>
      <c r="M2299" s="1" t="b">
        <f>Employee__2[[#This Row],[Experience]]&gt;1</f>
        <v>1</v>
      </c>
      <c r="N2299" s="1" t="str">
        <f>IF(Employee__2[[#This Row],[City]]="Pune","Yes","No")</f>
        <v>No</v>
      </c>
      <c r="O2299" s="1" t="str">
        <f>IF(AND(Employee__2[[#This Row],[Education]]="Bachelors",Employee__2[[#This Row],[City]]="Pune"),"Yes","No")</f>
        <v>No</v>
      </c>
      <c r="P2299" s="1" t="str">
        <f>IF(OR(Employee__2[[#This Row],[Age]]&gt;=30,Employee__2[[#This Row],[Gender]]="Male"),"Mached","Not mached")</f>
        <v>Mached</v>
      </c>
    </row>
    <row r="2300" spans="4:16" x14ac:dyDescent="0.25">
      <c r="D2300" s="6" t="s">
        <v>34</v>
      </c>
      <c r="E2300">
        <v>2015</v>
      </c>
      <c r="F2300" s="6" t="s">
        <v>40</v>
      </c>
      <c r="G2300">
        <v>3</v>
      </c>
      <c r="H2300">
        <v>26</v>
      </c>
      <c r="I2300" s="6" t="s">
        <v>36</v>
      </c>
      <c r="J2300" s="6" t="s">
        <v>37</v>
      </c>
      <c r="K2300">
        <v>4</v>
      </c>
      <c r="M2300" s="1" t="b">
        <f>Employee__2[[#This Row],[Experience]]&gt;1</f>
        <v>1</v>
      </c>
      <c r="N2300" s="1" t="str">
        <f>IF(Employee__2[[#This Row],[City]]="Pune","Yes","No")</f>
        <v>No</v>
      </c>
      <c r="O2300" s="1" t="str">
        <f>IF(AND(Employee__2[[#This Row],[Education]]="Bachelors",Employee__2[[#This Row],[City]]="Pune"),"Yes","No")</f>
        <v>No</v>
      </c>
      <c r="P2300" s="1" t="str">
        <f>IF(OR(Employee__2[[#This Row],[Age]]&gt;=30,Employee__2[[#This Row],[Gender]]="Male"),"Mached","Not mached")</f>
        <v>Mached</v>
      </c>
    </row>
    <row r="2301" spans="4:16" x14ac:dyDescent="0.25">
      <c r="D2301" s="6" t="s">
        <v>34</v>
      </c>
      <c r="E2301">
        <v>2017</v>
      </c>
      <c r="F2301" s="6" t="s">
        <v>40</v>
      </c>
      <c r="G2301">
        <v>3</v>
      </c>
      <c r="H2301">
        <v>28</v>
      </c>
      <c r="I2301" s="6" t="s">
        <v>39</v>
      </c>
      <c r="J2301" s="6" t="s">
        <v>37</v>
      </c>
      <c r="K2301">
        <v>1</v>
      </c>
      <c r="M2301" s="1" t="b">
        <f>Employee__2[[#This Row],[Experience]]&gt;1</f>
        <v>0</v>
      </c>
      <c r="N2301" s="1" t="str">
        <f>IF(Employee__2[[#This Row],[City]]="Pune","Yes","No")</f>
        <v>No</v>
      </c>
      <c r="O2301" s="1" t="str">
        <f>IF(AND(Employee__2[[#This Row],[Education]]="Bachelors",Employee__2[[#This Row],[City]]="Pune"),"Yes","No")</f>
        <v>No</v>
      </c>
      <c r="P2301" s="1" t="str">
        <f>IF(OR(Employee__2[[#This Row],[Age]]&gt;=30,Employee__2[[#This Row],[Gender]]="Male"),"Mached","Not mached")</f>
        <v>Not mached</v>
      </c>
    </row>
    <row r="2302" spans="4:16" x14ac:dyDescent="0.25">
      <c r="D2302" s="6" t="s">
        <v>34</v>
      </c>
      <c r="E2302">
        <v>2013</v>
      </c>
      <c r="F2302" s="6" t="s">
        <v>35</v>
      </c>
      <c r="G2302">
        <v>3</v>
      </c>
      <c r="H2302">
        <v>27</v>
      </c>
      <c r="I2302" s="6" t="s">
        <v>36</v>
      </c>
      <c r="J2302" s="6" t="s">
        <v>37</v>
      </c>
      <c r="K2302">
        <v>5</v>
      </c>
      <c r="M2302" s="1" t="b">
        <f>Employee__2[[#This Row],[Experience]]&gt;1</f>
        <v>1</v>
      </c>
      <c r="N2302" s="1" t="str">
        <f>IF(Employee__2[[#This Row],[City]]="Pune","Yes","No")</f>
        <v>No</v>
      </c>
      <c r="O2302" s="1" t="str">
        <f>IF(AND(Employee__2[[#This Row],[Education]]="Bachelors",Employee__2[[#This Row],[City]]="Pune"),"Yes","No")</f>
        <v>No</v>
      </c>
      <c r="P2302" s="1" t="str">
        <f>IF(OR(Employee__2[[#This Row],[Age]]&gt;=30,Employee__2[[#This Row],[Gender]]="Male"),"Mached","Not mached")</f>
        <v>Mached</v>
      </c>
    </row>
    <row r="2303" spans="4:16" x14ac:dyDescent="0.25">
      <c r="D2303" s="6" t="s">
        <v>41</v>
      </c>
      <c r="E2303">
        <v>2014</v>
      </c>
      <c r="F2303" s="6" t="s">
        <v>35</v>
      </c>
      <c r="G2303">
        <v>3</v>
      </c>
      <c r="H2303">
        <v>28</v>
      </c>
      <c r="I2303" s="6" t="s">
        <v>36</v>
      </c>
      <c r="J2303" s="6" t="s">
        <v>37</v>
      </c>
      <c r="K2303">
        <v>1</v>
      </c>
      <c r="M2303" s="1" t="b">
        <f>Employee__2[[#This Row],[Experience]]&gt;1</f>
        <v>0</v>
      </c>
      <c r="N2303" s="1" t="str">
        <f>IF(Employee__2[[#This Row],[City]]="Pune","Yes","No")</f>
        <v>No</v>
      </c>
      <c r="O2303" s="1" t="str">
        <f>IF(AND(Employee__2[[#This Row],[Education]]="Bachelors",Employee__2[[#This Row],[City]]="Pune"),"Yes","No")</f>
        <v>No</v>
      </c>
      <c r="P2303" s="1" t="str">
        <f>IF(OR(Employee__2[[#This Row],[Age]]&gt;=30,Employee__2[[#This Row],[Gender]]="Male"),"Mached","Not mached")</f>
        <v>Mached</v>
      </c>
    </row>
    <row r="2304" spans="4:16" x14ac:dyDescent="0.25">
      <c r="D2304" s="6" t="s">
        <v>34</v>
      </c>
      <c r="E2304">
        <v>2015</v>
      </c>
      <c r="F2304" s="6" t="s">
        <v>35</v>
      </c>
      <c r="G2304">
        <v>3</v>
      </c>
      <c r="H2304">
        <v>29</v>
      </c>
      <c r="I2304" s="6" t="s">
        <v>36</v>
      </c>
      <c r="J2304" s="6" t="s">
        <v>37</v>
      </c>
      <c r="K2304">
        <v>1</v>
      </c>
      <c r="M2304" s="1" t="b">
        <f>Employee__2[[#This Row],[Experience]]&gt;1</f>
        <v>0</v>
      </c>
      <c r="N2304" s="1" t="str">
        <f>IF(Employee__2[[#This Row],[City]]="Pune","Yes","No")</f>
        <v>No</v>
      </c>
      <c r="O2304" s="1" t="str">
        <f>IF(AND(Employee__2[[#This Row],[Education]]="Bachelors",Employee__2[[#This Row],[City]]="Pune"),"Yes","No")</f>
        <v>No</v>
      </c>
      <c r="P2304" s="1" t="str">
        <f>IF(OR(Employee__2[[#This Row],[Age]]&gt;=30,Employee__2[[#This Row],[Gender]]="Male"),"Mached","Not mached")</f>
        <v>Mached</v>
      </c>
    </row>
    <row r="2305" spans="4:16" x14ac:dyDescent="0.25">
      <c r="D2305" s="6" t="s">
        <v>34</v>
      </c>
      <c r="E2305">
        <v>2017</v>
      </c>
      <c r="F2305" s="6" t="s">
        <v>40</v>
      </c>
      <c r="G2305">
        <v>3</v>
      </c>
      <c r="H2305">
        <v>27</v>
      </c>
      <c r="I2305" s="6" t="s">
        <v>39</v>
      </c>
      <c r="J2305" s="6" t="s">
        <v>37</v>
      </c>
      <c r="K2305">
        <v>5</v>
      </c>
      <c r="M2305" s="1" t="b">
        <f>Employee__2[[#This Row],[Experience]]&gt;1</f>
        <v>1</v>
      </c>
      <c r="N2305" s="1" t="str">
        <f>IF(Employee__2[[#This Row],[City]]="Pune","Yes","No")</f>
        <v>No</v>
      </c>
      <c r="O2305" s="1" t="str">
        <f>IF(AND(Employee__2[[#This Row],[Education]]="Bachelors",Employee__2[[#This Row],[City]]="Pune"),"Yes","No")</f>
        <v>No</v>
      </c>
      <c r="P2305" s="1" t="str">
        <f>IF(OR(Employee__2[[#This Row],[Age]]&gt;=30,Employee__2[[#This Row],[Gender]]="Male"),"Mached","Not mached")</f>
        <v>Not mached</v>
      </c>
    </row>
    <row r="2306" spans="4:16" x14ac:dyDescent="0.25">
      <c r="D2306" s="6" t="s">
        <v>34</v>
      </c>
      <c r="E2306">
        <v>2012</v>
      </c>
      <c r="F2306" s="6" t="s">
        <v>35</v>
      </c>
      <c r="G2306">
        <v>3</v>
      </c>
      <c r="H2306">
        <v>27</v>
      </c>
      <c r="I2306" s="6" t="s">
        <v>36</v>
      </c>
      <c r="J2306" s="6" t="s">
        <v>42</v>
      </c>
      <c r="K2306">
        <v>5</v>
      </c>
      <c r="M2306" s="1" t="b">
        <f>Employee__2[[#This Row],[Experience]]&gt;1</f>
        <v>1</v>
      </c>
      <c r="N2306" s="1" t="str">
        <f>IF(Employee__2[[#This Row],[City]]="Pune","Yes","No")</f>
        <v>No</v>
      </c>
      <c r="O2306" s="1" t="str">
        <f>IF(AND(Employee__2[[#This Row],[Education]]="Bachelors",Employee__2[[#This Row],[City]]="Pune"),"Yes","No")</f>
        <v>No</v>
      </c>
      <c r="P2306" s="1" t="str">
        <f>IF(OR(Employee__2[[#This Row],[Age]]&gt;=30,Employee__2[[#This Row],[Gender]]="Male"),"Mached","Not mached")</f>
        <v>Mached</v>
      </c>
    </row>
    <row r="2307" spans="4:16" x14ac:dyDescent="0.25">
      <c r="D2307" s="6" t="s">
        <v>41</v>
      </c>
      <c r="E2307">
        <v>2017</v>
      </c>
      <c r="F2307" s="6" t="s">
        <v>40</v>
      </c>
      <c r="G2307">
        <v>2</v>
      </c>
      <c r="H2307">
        <v>30</v>
      </c>
      <c r="I2307" s="6" t="s">
        <v>36</v>
      </c>
      <c r="J2307" s="6" t="s">
        <v>37</v>
      </c>
      <c r="K2307">
        <v>2</v>
      </c>
      <c r="M2307" s="1" t="b">
        <f>Employee__2[[#This Row],[Experience]]&gt;1</f>
        <v>1</v>
      </c>
      <c r="N2307" s="1" t="str">
        <f>IF(Employee__2[[#This Row],[City]]="Pune","Yes","No")</f>
        <v>No</v>
      </c>
      <c r="O2307" s="1" t="str">
        <f>IF(AND(Employee__2[[#This Row],[Education]]="Bachelors",Employee__2[[#This Row],[City]]="Pune"),"Yes","No")</f>
        <v>No</v>
      </c>
      <c r="P2307" s="1" t="str">
        <f>IF(OR(Employee__2[[#This Row],[Age]]&gt;=30,Employee__2[[#This Row],[Gender]]="Male"),"Mached","Not mached")</f>
        <v>Mached</v>
      </c>
    </row>
    <row r="2308" spans="4:16" x14ac:dyDescent="0.25">
      <c r="D2308" s="6" t="s">
        <v>34</v>
      </c>
      <c r="E2308">
        <v>2015</v>
      </c>
      <c r="F2308" s="6" t="s">
        <v>35</v>
      </c>
      <c r="G2308">
        <v>3</v>
      </c>
      <c r="H2308">
        <v>28</v>
      </c>
      <c r="I2308" s="6" t="s">
        <v>39</v>
      </c>
      <c r="J2308" s="6" t="s">
        <v>37</v>
      </c>
      <c r="K2308">
        <v>2</v>
      </c>
      <c r="M2308" s="1" t="b">
        <f>Employee__2[[#This Row],[Experience]]&gt;1</f>
        <v>1</v>
      </c>
      <c r="N2308" s="1" t="str">
        <f>IF(Employee__2[[#This Row],[City]]="Pune","Yes","No")</f>
        <v>No</v>
      </c>
      <c r="O2308" s="1" t="str">
        <f>IF(AND(Employee__2[[#This Row],[Education]]="Bachelors",Employee__2[[#This Row],[City]]="Pune"),"Yes","No")</f>
        <v>No</v>
      </c>
      <c r="P2308" s="1" t="str">
        <f>IF(OR(Employee__2[[#This Row],[Age]]&gt;=30,Employee__2[[#This Row],[Gender]]="Male"),"Mached","Not mached")</f>
        <v>Not mached</v>
      </c>
    </row>
    <row r="2309" spans="4:16" x14ac:dyDescent="0.25">
      <c r="D2309" s="6" t="s">
        <v>41</v>
      </c>
      <c r="E2309">
        <v>2017</v>
      </c>
      <c r="F2309" s="6" t="s">
        <v>35</v>
      </c>
      <c r="G2309">
        <v>1</v>
      </c>
      <c r="H2309">
        <v>27</v>
      </c>
      <c r="I2309" s="6" t="s">
        <v>36</v>
      </c>
      <c r="J2309" s="6" t="s">
        <v>37</v>
      </c>
      <c r="K2309">
        <v>5</v>
      </c>
      <c r="M2309" s="1" t="b">
        <f>Employee__2[[#This Row],[Experience]]&gt;1</f>
        <v>1</v>
      </c>
      <c r="N2309" s="1" t="str">
        <f>IF(Employee__2[[#This Row],[City]]="Pune","Yes","No")</f>
        <v>No</v>
      </c>
      <c r="O2309" s="1" t="str">
        <f>IF(AND(Employee__2[[#This Row],[Education]]="Bachelors",Employee__2[[#This Row],[City]]="Pune"),"Yes","No")</f>
        <v>No</v>
      </c>
      <c r="P2309" s="1" t="str">
        <f>IF(OR(Employee__2[[#This Row],[Age]]&gt;=30,Employee__2[[#This Row],[Gender]]="Male"),"Mached","Not mached")</f>
        <v>Mached</v>
      </c>
    </row>
    <row r="2310" spans="4:16" x14ac:dyDescent="0.25">
      <c r="D2310" s="6" t="s">
        <v>34</v>
      </c>
      <c r="E2310">
        <v>2015</v>
      </c>
      <c r="F2310" s="6" t="s">
        <v>35</v>
      </c>
      <c r="G2310">
        <v>3</v>
      </c>
      <c r="H2310">
        <v>27</v>
      </c>
      <c r="I2310" s="6" t="s">
        <v>36</v>
      </c>
      <c r="J2310" s="6" t="s">
        <v>37</v>
      </c>
      <c r="K2310">
        <v>5</v>
      </c>
      <c r="M2310" s="1" t="b">
        <f>Employee__2[[#This Row],[Experience]]&gt;1</f>
        <v>1</v>
      </c>
      <c r="N2310" s="1" t="str">
        <f>IF(Employee__2[[#This Row],[City]]="Pune","Yes","No")</f>
        <v>No</v>
      </c>
      <c r="O2310" s="1" t="str">
        <f>IF(AND(Employee__2[[#This Row],[Education]]="Bachelors",Employee__2[[#This Row],[City]]="Pune"),"Yes","No")</f>
        <v>No</v>
      </c>
      <c r="P2310" s="1" t="str">
        <f>IF(OR(Employee__2[[#This Row],[Age]]&gt;=30,Employee__2[[#This Row],[Gender]]="Male"),"Mached","Not mached")</f>
        <v>Mached</v>
      </c>
    </row>
    <row r="2311" spans="4:16" x14ac:dyDescent="0.25">
      <c r="D2311" s="6" t="s">
        <v>34</v>
      </c>
      <c r="E2311">
        <v>2018</v>
      </c>
      <c r="F2311" s="6" t="s">
        <v>35</v>
      </c>
      <c r="G2311">
        <v>3</v>
      </c>
      <c r="H2311">
        <v>27</v>
      </c>
      <c r="I2311" s="6" t="s">
        <v>36</v>
      </c>
      <c r="J2311" s="6" t="s">
        <v>42</v>
      </c>
      <c r="K2311">
        <v>5</v>
      </c>
      <c r="M2311" s="1" t="b">
        <f>Employee__2[[#This Row],[Experience]]&gt;1</f>
        <v>1</v>
      </c>
      <c r="N2311" s="1" t="str">
        <f>IF(Employee__2[[#This Row],[City]]="Pune","Yes","No")</f>
        <v>No</v>
      </c>
      <c r="O2311" s="1" t="str">
        <f>IF(AND(Employee__2[[#This Row],[Education]]="Bachelors",Employee__2[[#This Row],[City]]="Pune"),"Yes","No")</f>
        <v>No</v>
      </c>
      <c r="P2311" s="1" t="str">
        <f>IF(OR(Employee__2[[#This Row],[Age]]&gt;=30,Employee__2[[#This Row],[Gender]]="Male"),"Mached","Not mached")</f>
        <v>Mached</v>
      </c>
    </row>
    <row r="2312" spans="4:16" x14ac:dyDescent="0.25">
      <c r="D2312" s="6" t="s">
        <v>41</v>
      </c>
      <c r="E2312">
        <v>2017</v>
      </c>
      <c r="F2312" s="6" t="s">
        <v>38</v>
      </c>
      <c r="G2312">
        <v>2</v>
      </c>
      <c r="H2312">
        <v>30</v>
      </c>
      <c r="I2312" s="6" t="s">
        <v>36</v>
      </c>
      <c r="J2312" s="6" t="s">
        <v>37</v>
      </c>
      <c r="K2312">
        <v>1</v>
      </c>
      <c r="M2312" s="1" t="b">
        <f>Employee__2[[#This Row],[Experience]]&gt;1</f>
        <v>0</v>
      </c>
      <c r="N2312" s="1" t="str">
        <f>IF(Employee__2[[#This Row],[City]]="Pune","Yes","No")</f>
        <v>Yes</v>
      </c>
      <c r="O2312" s="1" t="str">
        <f>IF(AND(Employee__2[[#This Row],[Education]]="Bachelors",Employee__2[[#This Row],[City]]="Pune"),"Yes","No")</f>
        <v>No</v>
      </c>
      <c r="P2312" s="1" t="str">
        <f>IF(OR(Employee__2[[#This Row],[Age]]&gt;=30,Employee__2[[#This Row],[Gender]]="Male"),"Mached","Not mached")</f>
        <v>Mached</v>
      </c>
    </row>
    <row r="2313" spans="4:16" x14ac:dyDescent="0.25">
      <c r="D2313" s="6" t="s">
        <v>34</v>
      </c>
      <c r="E2313">
        <v>2013</v>
      </c>
      <c r="F2313" s="6" t="s">
        <v>38</v>
      </c>
      <c r="G2313">
        <v>3</v>
      </c>
      <c r="H2313">
        <v>29</v>
      </c>
      <c r="I2313" s="6" t="s">
        <v>36</v>
      </c>
      <c r="J2313" s="6" t="s">
        <v>37</v>
      </c>
      <c r="K2313">
        <v>2</v>
      </c>
      <c r="M2313" s="1" t="b">
        <f>Employee__2[[#This Row],[Experience]]&gt;1</f>
        <v>1</v>
      </c>
      <c r="N2313" s="1" t="str">
        <f>IF(Employee__2[[#This Row],[City]]="Pune","Yes","No")</f>
        <v>Yes</v>
      </c>
      <c r="O2313" s="1" t="str">
        <f>IF(AND(Employee__2[[#This Row],[Education]]="Bachelors",Employee__2[[#This Row],[City]]="Pune"),"Yes","No")</f>
        <v>Yes</v>
      </c>
      <c r="P2313" s="1" t="str">
        <f>IF(OR(Employee__2[[#This Row],[Age]]&gt;=30,Employee__2[[#This Row],[Gender]]="Male"),"Mached","Not mached")</f>
        <v>Mached</v>
      </c>
    </row>
    <row r="2314" spans="4:16" x14ac:dyDescent="0.25">
      <c r="D2314" s="6" t="s">
        <v>34</v>
      </c>
      <c r="E2314">
        <v>2013</v>
      </c>
      <c r="F2314" s="6" t="s">
        <v>38</v>
      </c>
      <c r="G2314">
        <v>3</v>
      </c>
      <c r="H2314">
        <v>29</v>
      </c>
      <c r="I2314" s="6" t="s">
        <v>36</v>
      </c>
      <c r="J2314" s="6" t="s">
        <v>37</v>
      </c>
      <c r="K2314">
        <v>2</v>
      </c>
      <c r="M2314" s="1" t="b">
        <f>Employee__2[[#This Row],[Experience]]&gt;1</f>
        <v>1</v>
      </c>
      <c r="N2314" s="1" t="str">
        <f>IF(Employee__2[[#This Row],[City]]="Pune","Yes","No")</f>
        <v>Yes</v>
      </c>
      <c r="O2314" s="1" t="str">
        <f>IF(AND(Employee__2[[#This Row],[Education]]="Bachelors",Employee__2[[#This Row],[City]]="Pune"),"Yes","No")</f>
        <v>Yes</v>
      </c>
      <c r="P2314" s="1" t="str">
        <f>IF(OR(Employee__2[[#This Row],[Age]]&gt;=30,Employee__2[[#This Row],[Gender]]="Male"),"Mached","Not mached")</f>
        <v>Mached</v>
      </c>
    </row>
    <row r="2315" spans="4:16" x14ac:dyDescent="0.25">
      <c r="D2315" s="6" t="s">
        <v>34</v>
      </c>
      <c r="E2315">
        <v>2012</v>
      </c>
      <c r="F2315" s="6" t="s">
        <v>38</v>
      </c>
      <c r="G2315">
        <v>3</v>
      </c>
      <c r="H2315">
        <v>27</v>
      </c>
      <c r="I2315" s="6" t="s">
        <v>36</v>
      </c>
      <c r="J2315" s="6" t="s">
        <v>42</v>
      </c>
      <c r="K2315">
        <v>5</v>
      </c>
      <c r="M2315" s="1" t="b">
        <f>Employee__2[[#This Row],[Experience]]&gt;1</f>
        <v>1</v>
      </c>
      <c r="N2315" s="1" t="str">
        <f>IF(Employee__2[[#This Row],[City]]="Pune","Yes","No")</f>
        <v>Yes</v>
      </c>
      <c r="O2315" s="1" t="str">
        <f>IF(AND(Employee__2[[#This Row],[Education]]="Bachelors",Employee__2[[#This Row],[City]]="Pune"),"Yes","No")</f>
        <v>Yes</v>
      </c>
      <c r="P2315" s="1" t="str">
        <f>IF(OR(Employee__2[[#This Row],[Age]]&gt;=30,Employee__2[[#This Row],[Gender]]="Male"),"Mached","Not mached")</f>
        <v>Mached</v>
      </c>
    </row>
    <row r="2316" spans="4:16" x14ac:dyDescent="0.25">
      <c r="D2316" s="6" t="s">
        <v>34</v>
      </c>
      <c r="E2316">
        <v>2015</v>
      </c>
      <c r="F2316" s="6" t="s">
        <v>38</v>
      </c>
      <c r="G2316">
        <v>3</v>
      </c>
      <c r="H2316">
        <v>30</v>
      </c>
      <c r="I2316" s="6" t="s">
        <v>39</v>
      </c>
      <c r="J2316" s="6" t="s">
        <v>37</v>
      </c>
      <c r="K2316">
        <v>1</v>
      </c>
      <c r="M2316" s="1" t="b">
        <f>Employee__2[[#This Row],[Experience]]&gt;1</f>
        <v>0</v>
      </c>
      <c r="N2316" s="1" t="str">
        <f>IF(Employee__2[[#This Row],[City]]="Pune","Yes","No")</f>
        <v>Yes</v>
      </c>
      <c r="O2316" s="1" t="str">
        <f>IF(AND(Employee__2[[#This Row],[Education]]="Bachelors",Employee__2[[#This Row],[City]]="Pune"),"Yes","No")</f>
        <v>Yes</v>
      </c>
      <c r="P2316" s="1" t="str">
        <f>IF(OR(Employee__2[[#This Row],[Age]]&gt;=30,Employee__2[[#This Row],[Gender]]="Male"),"Mached","Not mached")</f>
        <v>Mached</v>
      </c>
    </row>
    <row r="2317" spans="4:16" x14ac:dyDescent="0.25">
      <c r="D2317" s="6" t="s">
        <v>34</v>
      </c>
      <c r="E2317">
        <v>2015</v>
      </c>
      <c r="F2317" s="6" t="s">
        <v>38</v>
      </c>
      <c r="G2317">
        <v>2</v>
      </c>
      <c r="H2317">
        <v>29</v>
      </c>
      <c r="I2317" s="6" t="s">
        <v>39</v>
      </c>
      <c r="J2317" s="6" t="s">
        <v>37</v>
      </c>
      <c r="K2317">
        <v>2</v>
      </c>
      <c r="M2317" s="1" t="b">
        <f>Employee__2[[#This Row],[Experience]]&gt;1</f>
        <v>1</v>
      </c>
      <c r="N2317" s="1" t="str">
        <f>IF(Employee__2[[#This Row],[City]]="Pune","Yes","No")</f>
        <v>Yes</v>
      </c>
      <c r="O2317" s="1" t="str">
        <f>IF(AND(Employee__2[[#This Row],[Education]]="Bachelors",Employee__2[[#This Row],[City]]="Pune"),"Yes","No")</f>
        <v>Yes</v>
      </c>
      <c r="P2317" s="1" t="str">
        <f>IF(OR(Employee__2[[#This Row],[Age]]&gt;=30,Employee__2[[#This Row],[Gender]]="Male"),"Mached","Not mached")</f>
        <v>Not mached</v>
      </c>
    </row>
    <row r="2318" spans="4:16" x14ac:dyDescent="0.25">
      <c r="D2318" s="6" t="s">
        <v>41</v>
      </c>
      <c r="E2318">
        <v>2018</v>
      </c>
      <c r="F2318" s="6" t="s">
        <v>38</v>
      </c>
      <c r="G2318">
        <v>3</v>
      </c>
      <c r="H2318">
        <v>26</v>
      </c>
      <c r="I2318" s="6" t="s">
        <v>36</v>
      </c>
      <c r="J2318" s="6" t="s">
        <v>37</v>
      </c>
      <c r="K2318">
        <v>4</v>
      </c>
      <c r="M2318" s="1" t="b">
        <f>Employee__2[[#This Row],[Experience]]&gt;1</f>
        <v>1</v>
      </c>
      <c r="N2318" s="1" t="str">
        <f>IF(Employee__2[[#This Row],[City]]="Pune","Yes","No")</f>
        <v>Yes</v>
      </c>
      <c r="O2318" s="1" t="str">
        <f>IF(AND(Employee__2[[#This Row],[Education]]="Bachelors",Employee__2[[#This Row],[City]]="Pune"),"Yes","No")</f>
        <v>No</v>
      </c>
      <c r="P2318" s="1" t="str">
        <f>IF(OR(Employee__2[[#This Row],[Age]]&gt;=30,Employee__2[[#This Row],[Gender]]="Male"),"Mached","Not mached")</f>
        <v>Mached</v>
      </c>
    </row>
    <row r="2319" spans="4:16" x14ac:dyDescent="0.25">
      <c r="D2319" s="6" t="s">
        <v>41</v>
      </c>
      <c r="E2319">
        <v>2013</v>
      </c>
      <c r="F2319" s="6" t="s">
        <v>35</v>
      </c>
      <c r="G2319">
        <v>2</v>
      </c>
      <c r="H2319">
        <v>29</v>
      </c>
      <c r="I2319" s="6" t="s">
        <v>39</v>
      </c>
      <c r="J2319" s="6" t="s">
        <v>37</v>
      </c>
      <c r="K2319">
        <v>2</v>
      </c>
      <c r="M2319" s="1" t="b">
        <f>Employee__2[[#This Row],[Experience]]&gt;1</f>
        <v>1</v>
      </c>
      <c r="N2319" s="1" t="str">
        <f>IF(Employee__2[[#This Row],[City]]="Pune","Yes","No")</f>
        <v>No</v>
      </c>
      <c r="O2319" s="1" t="str">
        <f>IF(AND(Employee__2[[#This Row],[Education]]="Bachelors",Employee__2[[#This Row],[City]]="Pune"),"Yes","No")</f>
        <v>No</v>
      </c>
      <c r="P2319" s="1" t="str">
        <f>IF(OR(Employee__2[[#This Row],[Age]]&gt;=30,Employee__2[[#This Row],[Gender]]="Male"),"Mached","Not mached")</f>
        <v>Not mached</v>
      </c>
    </row>
    <row r="2320" spans="4:16" x14ac:dyDescent="0.25">
      <c r="D2320" s="6" t="s">
        <v>34</v>
      </c>
      <c r="E2320">
        <v>2014</v>
      </c>
      <c r="F2320" s="6" t="s">
        <v>35</v>
      </c>
      <c r="G2320">
        <v>1</v>
      </c>
      <c r="H2320">
        <v>28</v>
      </c>
      <c r="I2320" s="6" t="s">
        <v>36</v>
      </c>
      <c r="J2320" s="6" t="s">
        <v>37</v>
      </c>
      <c r="K2320">
        <v>2</v>
      </c>
      <c r="M2320" s="1" t="b">
        <f>Employee__2[[#This Row],[Experience]]&gt;1</f>
        <v>1</v>
      </c>
      <c r="N2320" s="1" t="str">
        <f>IF(Employee__2[[#This Row],[City]]="Pune","Yes","No")</f>
        <v>No</v>
      </c>
      <c r="O2320" s="1" t="str">
        <f>IF(AND(Employee__2[[#This Row],[Education]]="Bachelors",Employee__2[[#This Row],[City]]="Pune"),"Yes","No")</f>
        <v>No</v>
      </c>
      <c r="P2320" s="1" t="str">
        <f>IF(OR(Employee__2[[#This Row],[Age]]&gt;=30,Employee__2[[#This Row],[Gender]]="Male"),"Mached","Not mached")</f>
        <v>Mached</v>
      </c>
    </row>
    <row r="2321" spans="4:16" x14ac:dyDescent="0.25">
      <c r="D2321" s="6" t="s">
        <v>34</v>
      </c>
      <c r="E2321">
        <v>2015</v>
      </c>
      <c r="F2321" s="6" t="s">
        <v>35</v>
      </c>
      <c r="G2321">
        <v>3</v>
      </c>
      <c r="H2321">
        <v>30</v>
      </c>
      <c r="I2321" s="6" t="s">
        <v>36</v>
      </c>
      <c r="J2321" s="6" t="s">
        <v>37</v>
      </c>
      <c r="K2321">
        <v>1</v>
      </c>
      <c r="M2321" s="1" t="b">
        <f>Employee__2[[#This Row],[Experience]]&gt;1</f>
        <v>0</v>
      </c>
      <c r="N2321" s="1" t="str">
        <f>IF(Employee__2[[#This Row],[City]]="Pune","Yes","No")</f>
        <v>No</v>
      </c>
      <c r="O2321" s="1" t="str">
        <f>IF(AND(Employee__2[[#This Row],[Education]]="Bachelors",Employee__2[[#This Row],[City]]="Pune"),"Yes","No")</f>
        <v>No</v>
      </c>
      <c r="P2321" s="1" t="str">
        <f>IF(OR(Employee__2[[#This Row],[Age]]&gt;=30,Employee__2[[#This Row],[Gender]]="Male"),"Mached","Not mached")</f>
        <v>Mached</v>
      </c>
    </row>
    <row r="2322" spans="4:16" x14ac:dyDescent="0.25">
      <c r="D2322" s="6" t="s">
        <v>34</v>
      </c>
      <c r="E2322">
        <v>2015</v>
      </c>
      <c r="F2322" s="6" t="s">
        <v>38</v>
      </c>
      <c r="G2322">
        <v>2</v>
      </c>
      <c r="H2322">
        <v>27</v>
      </c>
      <c r="I2322" s="6" t="s">
        <v>39</v>
      </c>
      <c r="J2322" s="6" t="s">
        <v>37</v>
      </c>
      <c r="K2322">
        <v>5</v>
      </c>
      <c r="M2322" s="1" t="b">
        <f>Employee__2[[#This Row],[Experience]]&gt;1</f>
        <v>1</v>
      </c>
      <c r="N2322" s="1" t="str">
        <f>IF(Employee__2[[#This Row],[City]]="Pune","Yes","No")</f>
        <v>Yes</v>
      </c>
      <c r="O2322" s="1" t="str">
        <f>IF(AND(Employee__2[[#This Row],[Education]]="Bachelors",Employee__2[[#This Row],[City]]="Pune"),"Yes","No")</f>
        <v>Yes</v>
      </c>
      <c r="P2322" s="1" t="str">
        <f>IF(OR(Employee__2[[#This Row],[Age]]&gt;=30,Employee__2[[#This Row],[Gender]]="Male"),"Mached","Not mached")</f>
        <v>Not mached</v>
      </c>
    </row>
    <row r="2323" spans="4:16" x14ac:dyDescent="0.25">
      <c r="D2323" s="6" t="s">
        <v>34</v>
      </c>
      <c r="E2323">
        <v>2014</v>
      </c>
      <c r="F2323" s="6" t="s">
        <v>35</v>
      </c>
      <c r="G2323">
        <v>3</v>
      </c>
      <c r="H2323">
        <v>28</v>
      </c>
      <c r="I2323" s="6" t="s">
        <v>39</v>
      </c>
      <c r="J2323" s="6" t="s">
        <v>42</v>
      </c>
      <c r="K2323">
        <v>1</v>
      </c>
      <c r="M2323" s="1" t="b">
        <f>Employee__2[[#This Row],[Experience]]&gt;1</f>
        <v>0</v>
      </c>
      <c r="N2323" s="1" t="str">
        <f>IF(Employee__2[[#This Row],[City]]="Pune","Yes","No")</f>
        <v>No</v>
      </c>
      <c r="O2323" s="1" t="str">
        <f>IF(AND(Employee__2[[#This Row],[Education]]="Bachelors",Employee__2[[#This Row],[City]]="Pune"),"Yes","No")</f>
        <v>No</v>
      </c>
      <c r="P2323" s="1" t="str">
        <f>IF(OR(Employee__2[[#This Row],[Age]]&gt;=30,Employee__2[[#This Row],[Gender]]="Male"),"Mached","Not mached")</f>
        <v>Not mached</v>
      </c>
    </row>
    <row r="2324" spans="4:16" x14ac:dyDescent="0.25">
      <c r="D2324" s="6" t="s">
        <v>41</v>
      </c>
      <c r="E2324">
        <v>2015</v>
      </c>
      <c r="F2324" s="6" t="s">
        <v>40</v>
      </c>
      <c r="G2324">
        <v>3</v>
      </c>
      <c r="H2324">
        <v>27</v>
      </c>
      <c r="I2324" s="6" t="s">
        <v>36</v>
      </c>
      <c r="J2324" s="6" t="s">
        <v>37</v>
      </c>
      <c r="K2324">
        <v>5</v>
      </c>
      <c r="M2324" s="1" t="b">
        <f>Employee__2[[#This Row],[Experience]]&gt;1</f>
        <v>1</v>
      </c>
      <c r="N2324" s="1" t="str">
        <f>IF(Employee__2[[#This Row],[City]]="Pune","Yes","No")</f>
        <v>No</v>
      </c>
      <c r="O2324" s="1" t="str">
        <f>IF(AND(Employee__2[[#This Row],[Education]]="Bachelors",Employee__2[[#This Row],[City]]="Pune"),"Yes","No")</f>
        <v>No</v>
      </c>
      <c r="P2324" s="1" t="str">
        <f>IF(OR(Employee__2[[#This Row],[Age]]&gt;=30,Employee__2[[#This Row],[Gender]]="Male"),"Mached","Not mached")</f>
        <v>Mached</v>
      </c>
    </row>
    <row r="2325" spans="4:16" x14ac:dyDescent="0.25">
      <c r="D2325" s="6" t="s">
        <v>41</v>
      </c>
      <c r="E2325">
        <v>2017</v>
      </c>
      <c r="F2325" s="6" t="s">
        <v>40</v>
      </c>
      <c r="G2325">
        <v>2</v>
      </c>
      <c r="H2325">
        <v>26</v>
      </c>
      <c r="I2325" s="6" t="s">
        <v>36</v>
      </c>
      <c r="J2325" s="6" t="s">
        <v>37</v>
      </c>
      <c r="K2325">
        <v>4</v>
      </c>
      <c r="M2325" s="1" t="b">
        <f>Employee__2[[#This Row],[Experience]]&gt;1</f>
        <v>1</v>
      </c>
      <c r="N2325" s="1" t="str">
        <f>IF(Employee__2[[#This Row],[City]]="Pune","Yes","No")</f>
        <v>No</v>
      </c>
      <c r="O2325" s="1" t="str">
        <f>IF(AND(Employee__2[[#This Row],[Education]]="Bachelors",Employee__2[[#This Row],[City]]="Pune"),"Yes","No")</f>
        <v>No</v>
      </c>
      <c r="P2325" s="1" t="str">
        <f>IF(OR(Employee__2[[#This Row],[Age]]&gt;=30,Employee__2[[#This Row],[Gender]]="Male"),"Mached","Not mached")</f>
        <v>Mached</v>
      </c>
    </row>
    <row r="2326" spans="4:16" x14ac:dyDescent="0.25">
      <c r="D2326" s="6" t="s">
        <v>34</v>
      </c>
      <c r="E2326">
        <v>2018</v>
      </c>
      <c r="F2326" s="6" t="s">
        <v>35</v>
      </c>
      <c r="G2326">
        <v>3</v>
      </c>
      <c r="H2326">
        <v>28</v>
      </c>
      <c r="I2326" s="6" t="s">
        <v>36</v>
      </c>
      <c r="J2326" s="6" t="s">
        <v>37</v>
      </c>
      <c r="K2326">
        <v>1</v>
      </c>
      <c r="M2326" s="1" t="b">
        <f>Employee__2[[#This Row],[Experience]]&gt;1</f>
        <v>0</v>
      </c>
      <c r="N2326" s="1" t="str">
        <f>IF(Employee__2[[#This Row],[City]]="Pune","Yes","No")</f>
        <v>No</v>
      </c>
      <c r="O2326" s="1" t="str">
        <f>IF(AND(Employee__2[[#This Row],[Education]]="Bachelors",Employee__2[[#This Row],[City]]="Pune"),"Yes","No")</f>
        <v>No</v>
      </c>
      <c r="P2326" s="1" t="str">
        <f>IF(OR(Employee__2[[#This Row],[Age]]&gt;=30,Employee__2[[#This Row],[Gender]]="Male"),"Mached","Not mached")</f>
        <v>Mached</v>
      </c>
    </row>
    <row r="2327" spans="4:16" x14ac:dyDescent="0.25">
      <c r="D2327" s="6" t="s">
        <v>34</v>
      </c>
      <c r="E2327">
        <v>2015</v>
      </c>
      <c r="F2327" s="6" t="s">
        <v>40</v>
      </c>
      <c r="G2327">
        <v>3</v>
      </c>
      <c r="H2327">
        <v>28</v>
      </c>
      <c r="I2327" s="6" t="s">
        <v>39</v>
      </c>
      <c r="J2327" s="6" t="s">
        <v>37</v>
      </c>
      <c r="K2327">
        <v>2</v>
      </c>
      <c r="M2327" s="1" t="b">
        <f>Employee__2[[#This Row],[Experience]]&gt;1</f>
        <v>1</v>
      </c>
      <c r="N2327" s="1" t="str">
        <f>IF(Employee__2[[#This Row],[City]]="Pune","Yes","No")</f>
        <v>No</v>
      </c>
      <c r="O2327" s="1" t="str">
        <f>IF(AND(Employee__2[[#This Row],[Education]]="Bachelors",Employee__2[[#This Row],[City]]="Pune"),"Yes","No")</f>
        <v>No</v>
      </c>
      <c r="P2327" s="1" t="str">
        <f>IF(OR(Employee__2[[#This Row],[Age]]&gt;=30,Employee__2[[#This Row],[Gender]]="Male"),"Mached","Not mached")</f>
        <v>Not mached</v>
      </c>
    </row>
    <row r="2328" spans="4:16" x14ac:dyDescent="0.25">
      <c r="D2328" s="6" t="s">
        <v>34</v>
      </c>
      <c r="E2328">
        <v>2013</v>
      </c>
      <c r="F2328" s="6" t="s">
        <v>35</v>
      </c>
      <c r="G2328">
        <v>3</v>
      </c>
      <c r="H2328">
        <v>27</v>
      </c>
      <c r="I2328" s="6" t="s">
        <v>36</v>
      </c>
      <c r="J2328" s="6" t="s">
        <v>37</v>
      </c>
      <c r="K2328">
        <v>5</v>
      </c>
      <c r="M2328" s="1" t="b">
        <f>Employee__2[[#This Row],[Experience]]&gt;1</f>
        <v>1</v>
      </c>
      <c r="N2328" s="1" t="str">
        <f>IF(Employee__2[[#This Row],[City]]="Pune","Yes","No")</f>
        <v>No</v>
      </c>
      <c r="O2328" s="1" t="str">
        <f>IF(AND(Employee__2[[#This Row],[Education]]="Bachelors",Employee__2[[#This Row],[City]]="Pune"),"Yes","No")</f>
        <v>No</v>
      </c>
      <c r="P2328" s="1" t="str">
        <f>IF(OR(Employee__2[[#This Row],[Age]]&gt;=30,Employee__2[[#This Row],[Gender]]="Male"),"Mached","Not mached")</f>
        <v>Mached</v>
      </c>
    </row>
    <row r="2329" spans="4:16" x14ac:dyDescent="0.25">
      <c r="D2329" s="6" t="s">
        <v>34</v>
      </c>
      <c r="E2329">
        <v>2013</v>
      </c>
      <c r="F2329" s="6" t="s">
        <v>38</v>
      </c>
      <c r="G2329">
        <v>1</v>
      </c>
      <c r="H2329">
        <v>26</v>
      </c>
      <c r="I2329" s="6" t="s">
        <v>39</v>
      </c>
      <c r="J2329" s="6" t="s">
        <v>37</v>
      </c>
      <c r="K2329">
        <v>4</v>
      </c>
      <c r="M2329" s="1" t="b">
        <f>Employee__2[[#This Row],[Experience]]&gt;1</f>
        <v>1</v>
      </c>
      <c r="N2329" s="1" t="str">
        <f>IF(Employee__2[[#This Row],[City]]="Pune","Yes","No")</f>
        <v>Yes</v>
      </c>
      <c r="O2329" s="1" t="str">
        <f>IF(AND(Employee__2[[#This Row],[Education]]="Bachelors",Employee__2[[#This Row],[City]]="Pune"),"Yes","No")</f>
        <v>Yes</v>
      </c>
      <c r="P2329" s="1" t="str">
        <f>IF(OR(Employee__2[[#This Row],[Age]]&gt;=30,Employee__2[[#This Row],[Gender]]="Male"),"Mached","Not mached")</f>
        <v>Not mached</v>
      </c>
    </row>
    <row r="2330" spans="4:16" x14ac:dyDescent="0.25">
      <c r="D2330" s="6" t="s">
        <v>41</v>
      </c>
      <c r="E2330">
        <v>2017</v>
      </c>
      <c r="F2330" s="6" t="s">
        <v>40</v>
      </c>
      <c r="G2330">
        <v>2</v>
      </c>
      <c r="H2330">
        <v>30</v>
      </c>
      <c r="I2330" s="6" t="s">
        <v>36</v>
      </c>
      <c r="J2330" s="6" t="s">
        <v>42</v>
      </c>
      <c r="K2330">
        <v>2</v>
      </c>
      <c r="M2330" s="1" t="b">
        <f>Employee__2[[#This Row],[Experience]]&gt;1</f>
        <v>1</v>
      </c>
      <c r="N2330" s="1" t="str">
        <f>IF(Employee__2[[#This Row],[City]]="Pune","Yes","No")</f>
        <v>No</v>
      </c>
      <c r="O2330" s="1" t="str">
        <f>IF(AND(Employee__2[[#This Row],[Education]]="Bachelors",Employee__2[[#This Row],[City]]="Pune"),"Yes","No")</f>
        <v>No</v>
      </c>
      <c r="P2330" s="1" t="str">
        <f>IF(OR(Employee__2[[#This Row],[Age]]&gt;=30,Employee__2[[#This Row],[Gender]]="Male"),"Mached","Not mached")</f>
        <v>Mached</v>
      </c>
    </row>
    <row r="2331" spans="4:16" x14ac:dyDescent="0.25">
      <c r="D2331" s="6" t="s">
        <v>34</v>
      </c>
      <c r="E2331">
        <v>2015</v>
      </c>
      <c r="F2331" s="6" t="s">
        <v>35</v>
      </c>
      <c r="G2331">
        <v>3</v>
      </c>
      <c r="H2331">
        <v>28</v>
      </c>
      <c r="I2331" s="6" t="s">
        <v>39</v>
      </c>
      <c r="J2331" s="6" t="s">
        <v>37</v>
      </c>
      <c r="K2331">
        <v>1</v>
      </c>
      <c r="M2331" s="1" t="b">
        <f>Employee__2[[#This Row],[Experience]]&gt;1</f>
        <v>0</v>
      </c>
      <c r="N2331" s="1" t="str">
        <f>IF(Employee__2[[#This Row],[City]]="Pune","Yes","No")</f>
        <v>No</v>
      </c>
      <c r="O2331" s="1" t="str">
        <f>IF(AND(Employee__2[[#This Row],[Education]]="Bachelors",Employee__2[[#This Row],[City]]="Pune"),"Yes","No")</f>
        <v>No</v>
      </c>
      <c r="P2331" s="1" t="str">
        <f>IF(OR(Employee__2[[#This Row],[Age]]&gt;=30,Employee__2[[#This Row],[Gender]]="Male"),"Mached","Not mached")</f>
        <v>Not mached</v>
      </c>
    </row>
    <row r="2332" spans="4:16" x14ac:dyDescent="0.25">
      <c r="D2332" s="6" t="s">
        <v>34</v>
      </c>
      <c r="E2332">
        <v>2013</v>
      </c>
      <c r="F2332" s="6" t="s">
        <v>35</v>
      </c>
      <c r="G2332">
        <v>3</v>
      </c>
      <c r="H2332">
        <v>27</v>
      </c>
      <c r="I2332" s="6" t="s">
        <v>36</v>
      </c>
      <c r="J2332" s="6" t="s">
        <v>42</v>
      </c>
      <c r="K2332">
        <v>5</v>
      </c>
      <c r="M2332" s="1" t="b">
        <f>Employee__2[[#This Row],[Experience]]&gt;1</f>
        <v>1</v>
      </c>
      <c r="N2332" s="1" t="str">
        <f>IF(Employee__2[[#This Row],[City]]="Pune","Yes","No")</f>
        <v>No</v>
      </c>
      <c r="O2332" s="1" t="str">
        <f>IF(AND(Employee__2[[#This Row],[Education]]="Bachelors",Employee__2[[#This Row],[City]]="Pune"),"Yes","No")</f>
        <v>No</v>
      </c>
      <c r="P2332" s="1" t="str">
        <f>IF(OR(Employee__2[[#This Row],[Age]]&gt;=30,Employee__2[[#This Row],[Gender]]="Male"),"Mached","Not mached")</f>
        <v>Mached</v>
      </c>
    </row>
    <row r="2333" spans="4:16" x14ac:dyDescent="0.25">
      <c r="D2333" s="6" t="s">
        <v>34</v>
      </c>
      <c r="E2333">
        <v>2012</v>
      </c>
      <c r="F2333" s="6" t="s">
        <v>35</v>
      </c>
      <c r="G2333">
        <v>3</v>
      </c>
      <c r="H2333">
        <v>26</v>
      </c>
      <c r="I2333" s="6" t="s">
        <v>36</v>
      </c>
      <c r="J2333" s="6" t="s">
        <v>37</v>
      </c>
      <c r="K2333">
        <v>4</v>
      </c>
      <c r="M2333" s="1" t="b">
        <f>Employee__2[[#This Row],[Experience]]&gt;1</f>
        <v>1</v>
      </c>
      <c r="N2333" s="1" t="str">
        <f>IF(Employee__2[[#This Row],[City]]="Pune","Yes","No")</f>
        <v>No</v>
      </c>
      <c r="O2333" s="1" t="str">
        <f>IF(AND(Employee__2[[#This Row],[Education]]="Bachelors",Employee__2[[#This Row],[City]]="Pune"),"Yes","No")</f>
        <v>No</v>
      </c>
      <c r="P2333" s="1" t="str">
        <f>IF(OR(Employee__2[[#This Row],[Age]]&gt;=30,Employee__2[[#This Row],[Gender]]="Male"),"Mached","Not mached")</f>
        <v>Mached</v>
      </c>
    </row>
    <row r="2334" spans="4:16" x14ac:dyDescent="0.25">
      <c r="D2334" s="6" t="s">
        <v>34</v>
      </c>
      <c r="E2334">
        <v>2018</v>
      </c>
      <c r="F2334" s="6" t="s">
        <v>35</v>
      </c>
      <c r="G2334">
        <v>3</v>
      </c>
      <c r="H2334">
        <v>28</v>
      </c>
      <c r="I2334" s="6" t="s">
        <v>36</v>
      </c>
      <c r="J2334" s="6" t="s">
        <v>37</v>
      </c>
      <c r="K2334">
        <v>2</v>
      </c>
      <c r="M2334" s="1" t="b">
        <f>Employee__2[[#This Row],[Experience]]&gt;1</f>
        <v>1</v>
      </c>
      <c r="N2334" s="1" t="str">
        <f>IF(Employee__2[[#This Row],[City]]="Pune","Yes","No")</f>
        <v>No</v>
      </c>
      <c r="O2334" s="1" t="str">
        <f>IF(AND(Employee__2[[#This Row],[Education]]="Bachelors",Employee__2[[#This Row],[City]]="Pune"),"Yes","No")</f>
        <v>No</v>
      </c>
      <c r="P2334" s="1" t="str">
        <f>IF(OR(Employee__2[[#This Row],[Age]]&gt;=30,Employee__2[[#This Row],[Gender]]="Male"),"Mached","Not mached")</f>
        <v>Mached</v>
      </c>
    </row>
    <row r="2335" spans="4:16" x14ac:dyDescent="0.25">
      <c r="D2335" s="6" t="s">
        <v>41</v>
      </c>
      <c r="E2335">
        <v>2017</v>
      </c>
      <c r="F2335" s="6" t="s">
        <v>40</v>
      </c>
      <c r="G2335">
        <v>2</v>
      </c>
      <c r="H2335">
        <v>28</v>
      </c>
      <c r="I2335" s="6" t="s">
        <v>36</v>
      </c>
      <c r="J2335" s="6" t="s">
        <v>37</v>
      </c>
      <c r="K2335">
        <v>2</v>
      </c>
      <c r="M2335" s="1" t="b">
        <f>Employee__2[[#This Row],[Experience]]&gt;1</f>
        <v>1</v>
      </c>
      <c r="N2335" s="1" t="str">
        <f>IF(Employee__2[[#This Row],[City]]="Pune","Yes","No")</f>
        <v>No</v>
      </c>
      <c r="O2335" s="1" t="str">
        <f>IF(AND(Employee__2[[#This Row],[Education]]="Bachelors",Employee__2[[#This Row],[City]]="Pune"),"Yes","No")</f>
        <v>No</v>
      </c>
      <c r="P2335" s="1" t="str">
        <f>IF(OR(Employee__2[[#This Row],[Age]]&gt;=30,Employee__2[[#This Row],[Gender]]="Male"),"Mached","Not mached")</f>
        <v>Mached</v>
      </c>
    </row>
    <row r="2336" spans="4:16" x14ac:dyDescent="0.25">
      <c r="D2336" s="6" t="s">
        <v>34</v>
      </c>
      <c r="E2336">
        <v>2015</v>
      </c>
      <c r="F2336" s="6" t="s">
        <v>35</v>
      </c>
      <c r="G2336">
        <v>3</v>
      </c>
      <c r="H2336">
        <v>29</v>
      </c>
      <c r="I2336" s="6" t="s">
        <v>36</v>
      </c>
      <c r="J2336" s="6" t="s">
        <v>37</v>
      </c>
      <c r="K2336">
        <v>2</v>
      </c>
      <c r="M2336" s="1" t="b">
        <f>Employee__2[[#This Row],[Experience]]&gt;1</f>
        <v>1</v>
      </c>
      <c r="N2336" s="1" t="str">
        <f>IF(Employee__2[[#This Row],[City]]="Pune","Yes","No")</f>
        <v>No</v>
      </c>
      <c r="O2336" s="1" t="str">
        <f>IF(AND(Employee__2[[#This Row],[Education]]="Bachelors",Employee__2[[#This Row],[City]]="Pune"),"Yes","No")</f>
        <v>No</v>
      </c>
      <c r="P2336" s="1" t="str">
        <f>IF(OR(Employee__2[[#This Row],[Age]]&gt;=30,Employee__2[[#This Row],[Gender]]="Male"),"Mached","Not mached")</f>
        <v>Mached</v>
      </c>
    </row>
    <row r="2337" spans="4:16" x14ac:dyDescent="0.25">
      <c r="D2337" s="6" t="s">
        <v>34</v>
      </c>
      <c r="E2337">
        <v>2012</v>
      </c>
      <c r="F2337" s="6" t="s">
        <v>40</v>
      </c>
      <c r="G2337">
        <v>3</v>
      </c>
      <c r="H2337">
        <v>30</v>
      </c>
      <c r="I2337" s="6" t="s">
        <v>36</v>
      </c>
      <c r="J2337" s="6" t="s">
        <v>37</v>
      </c>
      <c r="K2337">
        <v>1</v>
      </c>
      <c r="M2337" s="1" t="b">
        <f>Employee__2[[#This Row],[Experience]]&gt;1</f>
        <v>0</v>
      </c>
      <c r="N2337" s="1" t="str">
        <f>IF(Employee__2[[#This Row],[City]]="Pune","Yes","No")</f>
        <v>No</v>
      </c>
      <c r="O2337" s="1" t="str">
        <f>IF(AND(Employee__2[[#This Row],[Education]]="Bachelors",Employee__2[[#This Row],[City]]="Pune"),"Yes","No")</f>
        <v>No</v>
      </c>
      <c r="P2337" s="1" t="str">
        <f>IF(OR(Employee__2[[#This Row],[Age]]&gt;=30,Employee__2[[#This Row],[Gender]]="Male"),"Mached","Not mached")</f>
        <v>Mached</v>
      </c>
    </row>
    <row r="2338" spans="4:16" x14ac:dyDescent="0.25">
      <c r="D2338" s="6" t="s">
        <v>41</v>
      </c>
      <c r="E2338">
        <v>2016</v>
      </c>
      <c r="F2338" s="6" t="s">
        <v>38</v>
      </c>
      <c r="G2338">
        <v>3</v>
      </c>
      <c r="H2338">
        <v>30</v>
      </c>
      <c r="I2338" s="6" t="s">
        <v>36</v>
      </c>
      <c r="J2338" s="6" t="s">
        <v>37</v>
      </c>
      <c r="K2338">
        <v>1</v>
      </c>
      <c r="M2338" s="1" t="b">
        <f>Employee__2[[#This Row],[Experience]]&gt;1</f>
        <v>0</v>
      </c>
      <c r="N2338" s="1" t="str">
        <f>IF(Employee__2[[#This Row],[City]]="Pune","Yes","No")</f>
        <v>Yes</v>
      </c>
      <c r="O2338" s="1" t="str">
        <f>IF(AND(Employee__2[[#This Row],[Education]]="Bachelors",Employee__2[[#This Row],[City]]="Pune"),"Yes","No")</f>
        <v>No</v>
      </c>
      <c r="P2338" s="1" t="str">
        <f>IF(OR(Employee__2[[#This Row],[Age]]&gt;=30,Employee__2[[#This Row],[Gender]]="Male"),"Mached","Not mached")</f>
        <v>Mached</v>
      </c>
    </row>
    <row r="2339" spans="4:16" x14ac:dyDescent="0.25">
      <c r="D2339" s="6" t="s">
        <v>34</v>
      </c>
      <c r="E2339">
        <v>2014</v>
      </c>
      <c r="F2339" s="6" t="s">
        <v>38</v>
      </c>
      <c r="G2339">
        <v>3</v>
      </c>
      <c r="H2339">
        <v>30</v>
      </c>
      <c r="I2339" s="6" t="s">
        <v>36</v>
      </c>
      <c r="J2339" s="6" t="s">
        <v>37</v>
      </c>
      <c r="K2339">
        <v>1</v>
      </c>
      <c r="M2339" s="1" t="b">
        <f>Employee__2[[#This Row],[Experience]]&gt;1</f>
        <v>0</v>
      </c>
      <c r="N2339" s="1" t="str">
        <f>IF(Employee__2[[#This Row],[City]]="Pune","Yes","No")</f>
        <v>Yes</v>
      </c>
      <c r="O2339" s="1" t="str">
        <f>IF(AND(Employee__2[[#This Row],[Education]]="Bachelors",Employee__2[[#This Row],[City]]="Pune"),"Yes","No")</f>
        <v>Yes</v>
      </c>
      <c r="P2339" s="1" t="str">
        <f>IF(OR(Employee__2[[#This Row],[Age]]&gt;=30,Employee__2[[#This Row],[Gender]]="Male"),"Mached","Not mached")</f>
        <v>Mached</v>
      </c>
    </row>
    <row r="2340" spans="4:16" x14ac:dyDescent="0.25">
      <c r="D2340" s="6" t="s">
        <v>34</v>
      </c>
      <c r="E2340">
        <v>2018</v>
      </c>
      <c r="F2340" s="6" t="s">
        <v>35</v>
      </c>
      <c r="G2340">
        <v>3</v>
      </c>
      <c r="H2340">
        <v>26</v>
      </c>
      <c r="I2340" s="6" t="s">
        <v>36</v>
      </c>
      <c r="J2340" s="6" t="s">
        <v>37</v>
      </c>
      <c r="K2340">
        <v>4</v>
      </c>
      <c r="M2340" s="1" t="b">
        <f>Employee__2[[#This Row],[Experience]]&gt;1</f>
        <v>1</v>
      </c>
      <c r="N2340" s="1" t="str">
        <f>IF(Employee__2[[#This Row],[City]]="Pune","Yes","No")</f>
        <v>No</v>
      </c>
      <c r="O2340" s="1" t="str">
        <f>IF(AND(Employee__2[[#This Row],[Education]]="Bachelors",Employee__2[[#This Row],[City]]="Pune"),"Yes","No")</f>
        <v>No</v>
      </c>
      <c r="P2340" s="1" t="str">
        <f>IF(OR(Employee__2[[#This Row],[Age]]&gt;=30,Employee__2[[#This Row],[Gender]]="Male"),"Mached","Not mached")</f>
        <v>Mached</v>
      </c>
    </row>
    <row r="2341" spans="4:16" x14ac:dyDescent="0.25">
      <c r="D2341" s="6" t="s">
        <v>41</v>
      </c>
      <c r="E2341">
        <v>2017</v>
      </c>
      <c r="F2341" s="6" t="s">
        <v>35</v>
      </c>
      <c r="G2341">
        <v>3</v>
      </c>
      <c r="H2341">
        <v>26</v>
      </c>
      <c r="I2341" s="6" t="s">
        <v>36</v>
      </c>
      <c r="J2341" s="6" t="s">
        <v>37</v>
      </c>
      <c r="K2341">
        <v>4</v>
      </c>
      <c r="M2341" s="1" t="b">
        <f>Employee__2[[#This Row],[Experience]]&gt;1</f>
        <v>1</v>
      </c>
      <c r="N2341" s="1" t="str">
        <f>IF(Employee__2[[#This Row],[City]]="Pune","Yes","No")</f>
        <v>No</v>
      </c>
      <c r="O2341" s="1" t="str">
        <f>IF(AND(Employee__2[[#This Row],[Education]]="Bachelors",Employee__2[[#This Row],[City]]="Pune"),"Yes","No")</f>
        <v>No</v>
      </c>
      <c r="P2341" s="1" t="str">
        <f>IF(OR(Employee__2[[#This Row],[Age]]&gt;=30,Employee__2[[#This Row],[Gender]]="Male"),"Mached","Not mached")</f>
        <v>Mached</v>
      </c>
    </row>
    <row r="2342" spans="4:16" x14ac:dyDescent="0.25">
      <c r="D2342" s="6" t="s">
        <v>34</v>
      </c>
      <c r="E2342">
        <v>2012</v>
      </c>
      <c r="F2342" s="6" t="s">
        <v>40</v>
      </c>
      <c r="G2342">
        <v>3</v>
      </c>
      <c r="H2342">
        <v>27</v>
      </c>
      <c r="I2342" s="6" t="s">
        <v>39</v>
      </c>
      <c r="J2342" s="6" t="s">
        <v>37</v>
      </c>
      <c r="K2342">
        <v>5</v>
      </c>
      <c r="M2342" s="1" t="b">
        <f>Employee__2[[#This Row],[Experience]]&gt;1</f>
        <v>1</v>
      </c>
      <c r="N2342" s="1" t="str">
        <f>IF(Employee__2[[#This Row],[City]]="Pune","Yes","No")</f>
        <v>No</v>
      </c>
      <c r="O2342" s="1" t="str">
        <f>IF(AND(Employee__2[[#This Row],[Education]]="Bachelors",Employee__2[[#This Row],[City]]="Pune"),"Yes","No")</f>
        <v>No</v>
      </c>
      <c r="P2342" s="1" t="str">
        <f>IF(OR(Employee__2[[#This Row],[Age]]&gt;=30,Employee__2[[#This Row],[Gender]]="Male"),"Mached","Not mached")</f>
        <v>Not mached</v>
      </c>
    </row>
    <row r="2343" spans="4:16" x14ac:dyDescent="0.25">
      <c r="D2343" s="6" t="s">
        <v>34</v>
      </c>
      <c r="E2343">
        <v>2018</v>
      </c>
      <c r="F2343" s="6" t="s">
        <v>35</v>
      </c>
      <c r="G2343">
        <v>3</v>
      </c>
      <c r="H2343">
        <v>26</v>
      </c>
      <c r="I2343" s="6" t="s">
        <v>39</v>
      </c>
      <c r="J2343" s="6" t="s">
        <v>42</v>
      </c>
      <c r="K2343">
        <v>4</v>
      </c>
      <c r="M2343" s="1" t="b">
        <f>Employee__2[[#This Row],[Experience]]&gt;1</f>
        <v>1</v>
      </c>
      <c r="N2343" s="1" t="str">
        <f>IF(Employee__2[[#This Row],[City]]="Pune","Yes","No")</f>
        <v>No</v>
      </c>
      <c r="O2343" s="1" t="str">
        <f>IF(AND(Employee__2[[#This Row],[Education]]="Bachelors",Employee__2[[#This Row],[City]]="Pune"),"Yes","No")</f>
        <v>No</v>
      </c>
      <c r="P2343" s="1" t="str">
        <f>IF(OR(Employee__2[[#This Row],[Age]]&gt;=30,Employee__2[[#This Row],[Gender]]="Male"),"Mached","Not mached")</f>
        <v>Not mached</v>
      </c>
    </row>
    <row r="2344" spans="4:16" x14ac:dyDescent="0.25">
      <c r="D2344" s="6" t="s">
        <v>43</v>
      </c>
      <c r="E2344">
        <v>2014</v>
      </c>
      <c r="F2344" s="6" t="s">
        <v>35</v>
      </c>
      <c r="G2344">
        <v>3</v>
      </c>
      <c r="H2344">
        <v>27</v>
      </c>
      <c r="I2344" s="6" t="s">
        <v>36</v>
      </c>
      <c r="J2344" s="6" t="s">
        <v>37</v>
      </c>
      <c r="K2344">
        <v>5</v>
      </c>
      <c r="M2344" s="1" t="b">
        <f>Employee__2[[#This Row],[Experience]]&gt;1</f>
        <v>1</v>
      </c>
      <c r="N2344" s="1" t="str">
        <f>IF(Employee__2[[#This Row],[City]]="Pune","Yes","No")</f>
        <v>No</v>
      </c>
      <c r="O2344" s="1" t="str">
        <f>IF(AND(Employee__2[[#This Row],[Education]]="Bachelors",Employee__2[[#This Row],[City]]="Pune"),"Yes","No")</f>
        <v>No</v>
      </c>
      <c r="P2344" s="1" t="str">
        <f>IF(OR(Employee__2[[#This Row],[Age]]&gt;=30,Employee__2[[#This Row],[Gender]]="Male"),"Mached","Not mached")</f>
        <v>Mached</v>
      </c>
    </row>
    <row r="2345" spans="4:16" x14ac:dyDescent="0.25">
      <c r="D2345" s="6" t="s">
        <v>41</v>
      </c>
      <c r="E2345">
        <v>2017</v>
      </c>
      <c r="F2345" s="6" t="s">
        <v>40</v>
      </c>
      <c r="G2345">
        <v>2</v>
      </c>
      <c r="H2345">
        <v>26</v>
      </c>
      <c r="I2345" s="6" t="s">
        <v>36</v>
      </c>
      <c r="J2345" s="6" t="s">
        <v>42</v>
      </c>
      <c r="K2345">
        <v>4</v>
      </c>
      <c r="M2345" s="1" t="b">
        <f>Employee__2[[#This Row],[Experience]]&gt;1</f>
        <v>1</v>
      </c>
      <c r="N2345" s="1" t="str">
        <f>IF(Employee__2[[#This Row],[City]]="Pune","Yes","No")</f>
        <v>No</v>
      </c>
      <c r="O2345" s="1" t="str">
        <f>IF(AND(Employee__2[[#This Row],[Education]]="Bachelors",Employee__2[[#This Row],[City]]="Pune"),"Yes","No")</f>
        <v>No</v>
      </c>
      <c r="P2345" s="1" t="str">
        <f>IF(OR(Employee__2[[#This Row],[Age]]&gt;=30,Employee__2[[#This Row],[Gender]]="Male"),"Mached","Not mached")</f>
        <v>Mached</v>
      </c>
    </row>
    <row r="2346" spans="4:16" x14ac:dyDescent="0.25">
      <c r="D2346" s="6" t="s">
        <v>34</v>
      </c>
      <c r="E2346">
        <v>2013</v>
      </c>
      <c r="F2346" s="6" t="s">
        <v>35</v>
      </c>
      <c r="G2346">
        <v>3</v>
      </c>
      <c r="H2346">
        <v>30</v>
      </c>
      <c r="I2346" s="6" t="s">
        <v>39</v>
      </c>
      <c r="J2346" s="6" t="s">
        <v>37</v>
      </c>
      <c r="K2346">
        <v>1</v>
      </c>
      <c r="M2346" s="1" t="b">
        <f>Employee__2[[#This Row],[Experience]]&gt;1</f>
        <v>0</v>
      </c>
      <c r="N2346" s="1" t="str">
        <f>IF(Employee__2[[#This Row],[City]]="Pune","Yes","No")</f>
        <v>No</v>
      </c>
      <c r="O2346" s="1" t="str">
        <f>IF(AND(Employee__2[[#This Row],[Education]]="Bachelors",Employee__2[[#This Row],[City]]="Pune"),"Yes","No")</f>
        <v>No</v>
      </c>
      <c r="P2346" s="1" t="str">
        <f>IF(OR(Employee__2[[#This Row],[Age]]&gt;=30,Employee__2[[#This Row],[Gender]]="Male"),"Mached","Not mached")</f>
        <v>Mached</v>
      </c>
    </row>
    <row r="2347" spans="4:16" x14ac:dyDescent="0.25">
      <c r="D2347" s="6" t="s">
        <v>34</v>
      </c>
      <c r="E2347">
        <v>2012</v>
      </c>
      <c r="F2347" s="6" t="s">
        <v>35</v>
      </c>
      <c r="G2347">
        <v>3</v>
      </c>
      <c r="H2347">
        <v>30</v>
      </c>
      <c r="I2347" s="6" t="s">
        <v>39</v>
      </c>
      <c r="J2347" s="6" t="s">
        <v>37</v>
      </c>
      <c r="K2347">
        <v>2</v>
      </c>
      <c r="M2347" s="1" t="b">
        <f>Employee__2[[#This Row],[Experience]]&gt;1</f>
        <v>1</v>
      </c>
      <c r="N2347" s="1" t="str">
        <f>IF(Employee__2[[#This Row],[City]]="Pune","Yes","No")</f>
        <v>No</v>
      </c>
      <c r="O2347" s="1" t="str">
        <f>IF(AND(Employee__2[[#This Row],[Education]]="Bachelors",Employee__2[[#This Row],[City]]="Pune"),"Yes","No")</f>
        <v>No</v>
      </c>
      <c r="P2347" s="1" t="str">
        <f>IF(OR(Employee__2[[#This Row],[Age]]&gt;=30,Employee__2[[#This Row],[Gender]]="Male"),"Mached","Not mached")</f>
        <v>Mached</v>
      </c>
    </row>
    <row r="2348" spans="4:16" x14ac:dyDescent="0.25">
      <c r="D2348" s="6" t="s">
        <v>41</v>
      </c>
      <c r="E2348">
        <v>2018</v>
      </c>
      <c r="F2348" s="6" t="s">
        <v>40</v>
      </c>
      <c r="G2348">
        <v>3</v>
      </c>
      <c r="H2348">
        <v>26</v>
      </c>
      <c r="I2348" s="6" t="s">
        <v>36</v>
      </c>
      <c r="J2348" s="6" t="s">
        <v>42</v>
      </c>
      <c r="K2348">
        <v>4</v>
      </c>
      <c r="M2348" s="1" t="b">
        <f>Employee__2[[#This Row],[Experience]]&gt;1</f>
        <v>1</v>
      </c>
      <c r="N2348" s="1" t="str">
        <f>IF(Employee__2[[#This Row],[City]]="Pune","Yes","No")</f>
        <v>No</v>
      </c>
      <c r="O2348" s="1" t="str">
        <f>IF(AND(Employee__2[[#This Row],[Education]]="Bachelors",Employee__2[[#This Row],[City]]="Pune"),"Yes","No")</f>
        <v>No</v>
      </c>
      <c r="P2348" s="1" t="str">
        <f>IF(OR(Employee__2[[#This Row],[Age]]&gt;=30,Employee__2[[#This Row],[Gender]]="Male"),"Mached","Not mached")</f>
        <v>Mached</v>
      </c>
    </row>
    <row r="2349" spans="4:16" x14ac:dyDescent="0.25">
      <c r="D2349" s="6" t="s">
        <v>34</v>
      </c>
      <c r="E2349">
        <v>2013</v>
      </c>
      <c r="F2349" s="6" t="s">
        <v>35</v>
      </c>
      <c r="G2349">
        <v>1</v>
      </c>
      <c r="H2349">
        <v>28</v>
      </c>
      <c r="I2349" s="6" t="s">
        <v>39</v>
      </c>
      <c r="J2349" s="6" t="s">
        <v>37</v>
      </c>
      <c r="K2349">
        <v>1</v>
      </c>
      <c r="M2349" s="1" t="b">
        <f>Employee__2[[#This Row],[Experience]]&gt;1</f>
        <v>0</v>
      </c>
      <c r="N2349" s="1" t="str">
        <f>IF(Employee__2[[#This Row],[City]]="Pune","Yes","No")</f>
        <v>No</v>
      </c>
      <c r="O2349" s="1" t="str">
        <f>IF(AND(Employee__2[[#This Row],[Education]]="Bachelors",Employee__2[[#This Row],[City]]="Pune"),"Yes","No")</f>
        <v>No</v>
      </c>
      <c r="P2349" s="1" t="str">
        <f>IF(OR(Employee__2[[#This Row],[Age]]&gt;=30,Employee__2[[#This Row],[Gender]]="Male"),"Mached","Not mached")</f>
        <v>Not mached</v>
      </c>
    </row>
    <row r="2350" spans="4:16" x14ac:dyDescent="0.25">
      <c r="D2350" s="6" t="s">
        <v>34</v>
      </c>
      <c r="E2350">
        <v>2017</v>
      </c>
      <c r="F2350" s="6" t="s">
        <v>35</v>
      </c>
      <c r="G2350">
        <v>3</v>
      </c>
      <c r="H2350">
        <v>30</v>
      </c>
      <c r="I2350" s="6" t="s">
        <v>36</v>
      </c>
      <c r="J2350" s="6" t="s">
        <v>37</v>
      </c>
      <c r="K2350">
        <v>1</v>
      </c>
      <c r="M2350" s="1" t="b">
        <f>Employee__2[[#This Row],[Experience]]&gt;1</f>
        <v>0</v>
      </c>
      <c r="N2350" s="1" t="str">
        <f>IF(Employee__2[[#This Row],[City]]="Pune","Yes","No")</f>
        <v>No</v>
      </c>
      <c r="O2350" s="1" t="str">
        <f>IF(AND(Employee__2[[#This Row],[Education]]="Bachelors",Employee__2[[#This Row],[City]]="Pune"),"Yes","No")</f>
        <v>No</v>
      </c>
      <c r="P2350" s="1" t="str">
        <f>IF(OR(Employee__2[[#This Row],[Age]]&gt;=30,Employee__2[[#This Row],[Gender]]="Male"),"Mached","Not mached")</f>
        <v>Mached</v>
      </c>
    </row>
    <row r="2351" spans="4:16" x14ac:dyDescent="0.25">
      <c r="D2351" s="6" t="s">
        <v>41</v>
      </c>
      <c r="E2351">
        <v>2017</v>
      </c>
      <c r="F2351" s="6" t="s">
        <v>38</v>
      </c>
      <c r="G2351">
        <v>2</v>
      </c>
      <c r="H2351">
        <v>30</v>
      </c>
      <c r="I2351" s="6" t="s">
        <v>39</v>
      </c>
      <c r="J2351" s="6" t="s">
        <v>37</v>
      </c>
      <c r="K2351">
        <v>2</v>
      </c>
      <c r="M2351" s="1" t="b">
        <f>Employee__2[[#This Row],[Experience]]&gt;1</f>
        <v>1</v>
      </c>
      <c r="N2351" s="1" t="str">
        <f>IF(Employee__2[[#This Row],[City]]="Pune","Yes","No")</f>
        <v>Yes</v>
      </c>
      <c r="O2351" s="1" t="str">
        <f>IF(AND(Employee__2[[#This Row],[Education]]="Bachelors",Employee__2[[#This Row],[City]]="Pune"),"Yes","No")</f>
        <v>No</v>
      </c>
      <c r="P2351" s="1" t="str">
        <f>IF(OR(Employee__2[[#This Row],[Age]]&gt;=30,Employee__2[[#This Row],[Gender]]="Male"),"Mached","Not mached")</f>
        <v>Mached</v>
      </c>
    </row>
    <row r="2352" spans="4:16" x14ac:dyDescent="0.25">
      <c r="D2352" s="6" t="s">
        <v>43</v>
      </c>
      <c r="E2352">
        <v>2016</v>
      </c>
      <c r="F2352" s="6" t="s">
        <v>35</v>
      </c>
      <c r="G2352">
        <v>3</v>
      </c>
      <c r="H2352">
        <v>27</v>
      </c>
      <c r="I2352" s="6" t="s">
        <v>36</v>
      </c>
      <c r="J2352" s="6" t="s">
        <v>37</v>
      </c>
      <c r="K2352">
        <v>5</v>
      </c>
      <c r="M2352" s="1" t="b">
        <f>Employee__2[[#This Row],[Experience]]&gt;1</f>
        <v>1</v>
      </c>
      <c r="N2352" s="1" t="str">
        <f>IF(Employee__2[[#This Row],[City]]="Pune","Yes","No")</f>
        <v>No</v>
      </c>
      <c r="O2352" s="1" t="str">
        <f>IF(AND(Employee__2[[#This Row],[Education]]="Bachelors",Employee__2[[#This Row],[City]]="Pune"),"Yes","No")</f>
        <v>No</v>
      </c>
      <c r="P2352" s="1" t="str">
        <f>IF(OR(Employee__2[[#This Row],[Age]]&gt;=30,Employee__2[[#This Row],[Gender]]="Male"),"Mached","Not mached")</f>
        <v>Mached</v>
      </c>
    </row>
    <row r="2353" spans="4:16" x14ac:dyDescent="0.25">
      <c r="D2353" s="6" t="s">
        <v>34</v>
      </c>
      <c r="E2353">
        <v>2016</v>
      </c>
      <c r="F2353" s="6" t="s">
        <v>40</v>
      </c>
      <c r="G2353">
        <v>3</v>
      </c>
      <c r="H2353">
        <v>28</v>
      </c>
      <c r="I2353" s="6" t="s">
        <v>39</v>
      </c>
      <c r="J2353" s="6" t="s">
        <v>37</v>
      </c>
      <c r="K2353">
        <v>2</v>
      </c>
      <c r="M2353" s="1" t="b">
        <f>Employee__2[[#This Row],[Experience]]&gt;1</f>
        <v>1</v>
      </c>
      <c r="N2353" s="1" t="str">
        <f>IF(Employee__2[[#This Row],[City]]="Pune","Yes","No")</f>
        <v>No</v>
      </c>
      <c r="O2353" s="1" t="str">
        <f>IF(AND(Employee__2[[#This Row],[Education]]="Bachelors",Employee__2[[#This Row],[City]]="Pune"),"Yes","No")</f>
        <v>No</v>
      </c>
      <c r="P2353" s="1" t="str">
        <f>IF(OR(Employee__2[[#This Row],[Age]]&gt;=30,Employee__2[[#This Row],[Gender]]="Male"),"Mached","Not mached")</f>
        <v>Not mached</v>
      </c>
    </row>
    <row r="2354" spans="4:16" x14ac:dyDescent="0.25">
      <c r="D2354" s="6" t="s">
        <v>34</v>
      </c>
      <c r="E2354">
        <v>2015</v>
      </c>
      <c r="F2354" s="6" t="s">
        <v>38</v>
      </c>
      <c r="G2354">
        <v>2</v>
      </c>
      <c r="H2354">
        <v>29</v>
      </c>
      <c r="I2354" s="6" t="s">
        <v>39</v>
      </c>
      <c r="J2354" s="6" t="s">
        <v>37</v>
      </c>
      <c r="K2354">
        <v>1</v>
      </c>
      <c r="M2354" s="1" t="b">
        <f>Employee__2[[#This Row],[Experience]]&gt;1</f>
        <v>0</v>
      </c>
      <c r="N2354" s="1" t="str">
        <f>IF(Employee__2[[#This Row],[City]]="Pune","Yes","No")</f>
        <v>Yes</v>
      </c>
      <c r="O2354" s="1" t="str">
        <f>IF(AND(Employee__2[[#This Row],[Education]]="Bachelors",Employee__2[[#This Row],[City]]="Pune"),"Yes","No")</f>
        <v>Yes</v>
      </c>
      <c r="P2354" s="1" t="str">
        <f>IF(OR(Employee__2[[#This Row],[Age]]&gt;=30,Employee__2[[#This Row],[Gender]]="Male"),"Mached","Not mached")</f>
        <v>Not mached</v>
      </c>
    </row>
    <row r="2355" spans="4:16" x14ac:dyDescent="0.25">
      <c r="D2355" s="6" t="s">
        <v>34</v>
      </c>
      <c r="E2355">
        <v>2013</v>
      </c>
      <c r="F2355" s="6" t="s">
        <v>35</v>
      </c>
      <c r="G2355">
        <v>3</v>
      </c>
      <c r="H2355">
        <v>27</v>
      </c>
      <c r="I2355" s="6" t="s">
        <v>39</v>
      </c>
      <c r="J2355" s="6" t="s">
        <v>37</v>
      </c>
      <c r="K2355">
        <v>5</v>
      </c>
      <c r="M2355" s="1" t="b">
        <f>Employee__2[[#This Row],[Experience]]&gt;1</f>
        <v>1</v>
      </c>
      <c r="N2355" s="1" t="str">
        <f>IF(Employee__2[[#This Row],[City]]="Pune","Yes","No")</f>
        <v>No</v>
      </c>
      <c r="O2355" s="1" t="str">
        <f>IF(AND(Employee__2[[#This Row],[Education]]="Bachelors",Employee__2[[#This Row],[City]]="Pune"),"Yes","No")</f>
        <v>No</v>
      </c>
      <c r="P2355" s="1" t="str">
        <f>IF(OR(Employee__2[[#This Row],[Age]]&gt;=30,Employee__2[[#This Row],[Gender]]="Male"),"Mached","Not mached")</f>
        <v>Not mached</v>
      </c>
    </row>
    <row r="2356" spans="4:16" x14ac:dyDescent="0.25">
      <c r="D2356" s="6" t="s">
        <v>41</v>
      </c>
      <c r="E2356">
        <v>2014</v>
      </c>
      <c r="F2356" s="6" t="s">
        <v>38</v>
      </c>
      <c r="G2356">
        <v>3</v>
      </c>
      <c r="H2356">
        <v>27</v>
      </c>
      <c r="I2356" s="6" t="s">
        <v>36</v>
      </c>
      <c r="J2356" s="6" t="s">
        <v>37</v>
      </c>
      <c r="K2356">
        <v>5</v>
      </c>
      <c r="M2356" s="1" t="b">
        <f>Employee__2[[#This Row],[Experience]]&gt;1</f>
        <v>1</v>
      </c>
      <c r="N2356" s="1" t="str">
        <f>IF(Employee__2[[#This Row],[City]]="Pune","Yes","No")</f>
        <v>Yes</v>
      </c>
      <c r="O2356" s="1" t="str">
        <f>IF(AND(Employee__2[[#This Row],[Education]]="Bachelors",Employee__2[[#This Row],[City]]="Pune"),"Yes","No")</f>
        <v>No</v>
      </c>
      <c r="P2356" s="1" t="str">
        <f>IF(OR(Employee__2[[#This Row],[Age]]&gt;=30,Employee__2[[#This Row],[Gender]]="Male"),"Mached","Not mached")</f>
        <v>Mached</v>
      </c>
    </row>
    <row r="2357" spans="4:16" x14ac:dyDescent="0.25">
      <c r="D2357" s="6" t="s">
        <v>41</v>
      </c>
      <c r="E2357">
        <v>2017</v>
      </c>
      <c r="F2357" s="6" t="s">
        <v>40</v>
      </c>
      <c r="G2357">
        <v>2</v>
      </c>
      <c r="H2357">
        <v>26</v>
      </c>
      <c r="I2357" s="6" t="s">
        <v>39</v>
      </c>
      <c r="J2357" s="6" t="s">
        <v>42</v>
      </c>
      <c r="K2357">
        <v>4</v>
      </c>
      <c r="M2357" s="1" t="b">
        <f>Employee__2[[#This Row],[Experience]]&gt;1</f>
        <v>1</v>
      </c>
      <c r="N2357" s="1" t="str">
        <f>IF(Employee__2[[#This Row],[City]]="Pune","Yes","No")</f>
        <v>No</v>
      </c>
      <c r="O2357" s="1" t="str">
        <f>IF(AND(Employee__2[[#This Row],[Education]]="Bachelors",Employee__2[[#This Row],[City]]="Pune"),"Yes","No")</f>
        <v>No</v>
      </c>
      <c r="P2357" s="1" t="str">
        <f>IF(OR(Employee__2[[#This Row],[Age]]&gt;=30,Employee__2[[#This Row],[Gender]]="Male"),"Mached","Not mached")</f>
        <v>Not mached</v>
      </c>
    </row>
    <row r="2358" spans="4:16" x14ac:dyDescent="0.25">
      <c r="D2358" s="6" t="s">
        <v>41</v>
      </c>
      <c r="E2358">
        <v>2017</v>
      </c>
      <c r="F2358" s="6" t="s">
        <v>40</v>
      </c>
      <c r="G2358">
        <v>2</v>
      </c>
      <c r="H2358">
        <v>30</v>
      </c>
      <c r="I2358" s="6" t="s">
        <v>39</v>
      </c>
      <c r="J2358" s="6" t="s">
        <v>37</v>
      </c>
      <c r="K2358">
        <v>1</v>
      </c>
      <c r="M2358" s="1" t="b">
        <f>Employee__2[[#This Row],[Experience]]&gt;1</f>
        <v>0</v>
      </c>
      <c r="N2358" s="1" t="str">
        <f>IF(Employee__2[[#This Row],[City]]="Pune","Yes","No")</f>
        <v>No</v>
      </c>
      <c r="O2358" s="1" t="str">
        <f>IF(AND(Employee__2[[#This Row],[Education]]="Bachelors",Employee__2[[#This Row],[City]]="Pune"),"Yes","No")</f>
        <v>No</v>
      </c>
      <c r="P2358" s="1" t="str">
        <f>IF(OR(Employee__2[[#This Row],[Age]]&gt;=30,Employee__2[[#This Row],[Gender]]="Male"),"Mached","Not mached")</f>
        <v>Mached</v>
      </c>
    </row>
    <row r="2359" spans="4:16" x14ac:dyDescent="0.25">
      <c r="D2359" s="6" t="s">
        <v>41</v>
      </c>
      <c r="E2359">
        <v>2018</v>
      </c>
      <c r="F2359" s="6" t="s">
        <v>40</v>
      </c>
      <c r="G2359">
        <v>3</v>
      </c>
      <c r="H2359">
        <v>27</v>
      </c>
      <c r="I2359" s="6" t="s">
        <v>39</v>
      </c>
      <c r="J2359" s="6" t="s">
        <v>37</v>
      </c>
      <c r="K2359">
        <v>5</v>
      </c>
      <c r="M2359" s="1" t="b">
        <f>Employee__2[[#This Row],[Experience]]&gt;1</f>
        <v>1</v>
      </c>
      <c r="N2359" s="1" t="str">
        <f>IF(Employee__2[[#This Row],[City]]="Pune","Yes","No")</f>
        <v>No</v>
      </c>
      <c r="O2359" s="1" t="str">
        <f>IF(AND(Employee__2[[#This Row],[Education]]="Bachelors",Employee__2[[#This Row],[City]]="Pune"),"Yes","No")</f>
        <v>No</v>
      </c>
      <c r="P2359" s="1" t="str">
        <f>IF(OR(Employee__2[[#This Row],[Age]]&gt;=30,Employee__2[[#This Row],[Gender]]="Male"),"Mached","Not mached")</f>
        <v>Not mached</v>
      </c>
    </row>
    <row r="2360" spans="4:16" x14ac:dyDescent="0.25">
      <c r="D2360" s="6" t="s">
        <v>34</v>
      </c>
      <c r="E2360">
        <v>2017</v>
      </c>
      <c r="F2360" s="6" t="s">
        <v>38</v>
      </c>
      <c r="G2360">
        <v>2</v>
      </c>
      <c r="H2360">
        <v>29</v>
      </c>
      <c r="I2360" s="6" t="s">
        <v>36</v>
      </c>
      <c r="J2360" s="6" t="s">
        <v>37</v>
      </c>
      <c r="K2360">
        <v>1</v>
      </c>
      <c r="M2360" s="1" t="b">
        <f>Employee__2[[#This Row],[Experience]]&gt;1</f>
        <v>0</v>
      </c>
      <c r="N2360" s="1" t="str">
        <f>IF(Employee__2[[#This Row],[City]]="Pune","Yes","No")</f>
        <v>Yes</v>
      </c>
      <c r="O2360" s="1" t="str">
        <f>IF(AND(Employee__2[[#This Row],[Education]]="Bachelors",Employee__2[[#This Row],[City]]="Pune"),"Yes","No")</f>
        <v>Yes</v>
      </c>
      <c r="P2360" s="1" t="str">
        <f>IF(OR(Employee__2[[#This Row],[Age]]&gt;=30,Employee__2[[#This Row],[Gender]]="Male"),"Mached","Not mached")</f>
        <v>Mached</v>
      </c>
    </row>
    <row r="2361" spans="4:16" x14ac:dyDescent="0.25">
      <c r="D2361" s="6" t="s">
        <v>41</v>
      </c>
      <c r="E2361">
        <v>2014</v>
      </c>
      <c r="F2361" s="6" t="s">
        <v>40</v>
      </c>
      <c r="G2361">
        <v>1</v>
      </c>
      <c r="H2361">
        <v>29</v>
      </c>
      <c r="I2361" s="6" t="s">
        <v>36</v>
      </c>
      <c r="J2361" s="6" t="s">
        <v>37</v>
      </c>
      <c r="K2361">
        <v>1</v>
      </c>
      <c r="M2361" s="1" t="b">
        <f>Employee__2[[#This Row],[Experience]]&gt;1</f>
        <v>0</v>
      </c>
      <c r="N2361" s="1" t="str">
        <f>IF(Employee__2[[#This Row],[City]]="Pune","Yes","No")</f>
        <v>No</v>
      </c>
      <c r="O2361" s="1" t="str">
        <f>IF(AND(Employee__2[[#This Row],[Education]]="Bachelors",Employee__2[[#This Row],[City]]="Pune"),"Yes","No")</f>
        <v>No</v>
      </c>
      <c r="P2361" s="1" t="str">
        <f>IF(OR(Employee__2[[#This Row],[Age]]&gt;=30,Employee__2[[#This Row],[Gender]]="Male"),"Mached","Not mached")</f>
        <v>Mached</v>
      </c>
    </row>
    <row r="2362" spans="4:16" x14ac:dyDescent="0.25">
      <c r="D2362" s="6" t="s">
        <v>34</v>
      </c>
      <c r="E2362">
        <v>2015</v>
      </c>
      <c r="F2362" s="6" t="s">
        <v>38</v>
      </c>
      <c r="G2362">
        <v>2</v>
      </c>
      <c r="H2362">
        <v>30</v>
      </c>
      <c r="I2362" s="6" t="s">
        <v>39</v>
      </c>
      <c r="J2362" s="6" t="s">
        <v>37</v>
      </c>
      <c r="K2362">
        <v>2</v>
      </c>
      <c r="M2362" s="1" t="b">
        <f>Employee__2[[#This Row],[Experience]]&gt;1</f>
        <v>1</v>
      </c>
      <c r="N2362" s="1" t="str">
        <f>IF(Employee__2[[#This Row],[City]]="Pune","Yes","No")</f>
        <v>Yes</v>
      </c>
      <c r="O2362" s="1" t="str">
        <f>IF(AND(Employee__2[[#This Row],[Education]]="Bachelors",Employee__2[[#This Row],[City]]="Pune"),"Yes","No")</f>
        <v>Yes</v>
      </c>
      <c r="P2362" s="1" t="str">
        <f>IF(OR(Employee__2[[#This Row],[Age]]&gt;=30,Employee__2[[#This Row],[Gender]]="Male"),"Mached","Not mached")</f>
        <v>Mached</v>
      </c>
    </row>
    <row r="2363" spans="4:16" x14ac:dyDescent="0.25">
      <c r="D2363" s="6" t="s">
        <v>34</v>
      </c>
      <c r="E2363">
        <v>2014</v>
      </c>
      <c r="F2363" s="6" t="s">
        <v>35</v>
      </c>
      <c r="G2363">
        <v>3</v>
      </c>
      <c r="H2363">
        <v>30</v>
      </c>
      <c r="I2363" s="6" t="s">
        <v>36</v>
      </c>
      <c r="J2363" s="6" t="s">
        <v>37</v>
      </c>
      <c r="K2363">
        <v>2</v>
      </c>
      <c r="M2363" s="1" t="b">
        <f>Employee__2[[#This Row],[Experience]]&gt;1</f>
        <v>1</v>
      </c>
      <c r="N2363" s="1" t="str">
        <f>IF(Employee__2[[#This Row],[City]]="Pune","Yes","No")</f>
        <v>No</v>
      </c>
      <c r="O2363" s="1" t="str">
        <f>IF(AND(Employee__2[[#This Row],[Education]]="Bachelors",Employee__2[[#This Row],[City]]="Pune"),"Yes","No")</f>
        <v>No</v>
      </c>
      <c r="P2363" s="1" t="str">
        <f>IF(OR(Employee__2[[#This Row],[Age]]&gt;=30,Employee__2[[#This Row],[Gender]]="Male"),"Mached","Not mached")</f>
        <v>Mached</v>
      </c>
    </row>
    <row r="2364" spans="4:16" x14ac:dyDescent="0.25">
      <c r="D2364" s="6" t="s">
        <v>41</v>
      </c>
      <c r="E2364">
        <v>2018</v>
      </c>
      <c r="F2364" s="6" t="s">
        <v>40</v>
      </c>
      <c r="G2364">
        <v>1</v>
      </c>
      <c r="H2364">
        <v>30</v>
      </c>
      <c r="I2364" s="6" t="s">
        <v>39</v>
      </c>
      <c r="J2364" s="6" t="s">
        <v>37</v>
      </c>
      <c r="K2364">
        <v>2</v>
      </c>
      <c r="M2364" s="1" t="b">
        <f>Employee__2[[#This Row],[Experience]]&gt;1</f>
        <v>1</v>
      </c>
      <c r="N2364" s="1" t="str">
        <f>IF(Employee__2[[#This Row],[City]]="Pune","Yes","No")</f>
        <v>No</v>
      </c>
      <c r="O2364" s="1" t="str">
        <f>IF(AND(Employee__2[[#This Row],[Education]]="Bachelors",Employee__2[[#This Row],[City]]="Pune"),"Yes","No")</f>
        <v>No</v>
      </c>
      <c r="P2364" s="1" t="str">
        <f>IF(OR(Employee__2[[#This Row],[Age]]&gt;=30,Employee__2[[#This Row],[Gender]]="Male"),"Mached","Not mached")</f>
        <v>Mached</v>
      </c>
    </row>
    <row r="2365" spans="4:16" x14ac:dyDescent="0.25">
      <c r="D2365" s="6" t="s">
        <v>34</v>
      </c>
      <c r="E2365">
        <v>2017</v>
      </c>
      <c r="F2365" s="6" t="s">
        <v>35</v>
      </c>
      <c r="G2365">
        <v>3</v>
      </c>
      <c r="H2365">
        <v>29</v>
      </c>
      <c r="I2365" s="6" t="s">
        <v>36</v>
      </c>
      <c r="J2365" s="6" t="s">
        <v>37</v>
      </c>
      <c r="K2365">
        <v>1</v>
      </c>
      <c r="M2365" s="1" t="b">
        <f>Employee__2[[#This Row],[Experience]]&gt;1</f>
        <v>0</v>
      </c>
      <c r="N2365" s="1" t="str">
        <f>IF(Employee__2[[#This Row],[City]]="Pune","Yes","No")</f>
        <v>No</v>
      </c>
      <c r="O2365" s="1" t="str">
        <f>IF(AND(Employee__2[[#This Row],[Education]]="Bachelors",Employee__2[[#This Row],[City]]="Pune"),"Yes","No")</f>
        <v>No</v>
      </c>
      <c r="P2365" s="1" t="str">
        <f>IF(OR(Employee__2[[#This Row],[Age]]&gt;=30,Employee__2[[#This Row],[Gender]]="Male"),"Mached","Not mached")</f>
        <v>Mached</v>
      </c>
    </row>
    <row r="2366" spans="4:16" x14ac:dyDescent="0.25">
      <c r="D2366" s="6" t="s">
        <v>34</v>
      </c>
      <c r="E2366">
        <v>2016</v>
      </c>
      <c r="F2366" s="6" t="s">
        <v>38</v>
      </c>
      <c r="G2366">
        <v>3</v>
      </c>
      <c r="H2366">
        <v>28</v>
      </c>
      <c r="I2366" s="6" t="s">
        <v>36</v>
      </c>
      <c r="J2366" s="6" t="s">
        <v>37</v>
      </c>
      <c r="K2366">
        <v>2</v>
      </c>
      <c r="M2366" s="1" t="b">
        <f>Employee__2[[#This Row],[Experience]]&gt;1</f>
        <v>1</v>
      </c>
      <c r="N2366" s="1" t="str">
        <f>IF(Employee__2[[#This Row],[City]]="Pune","Yes","No")</f>
        <v>Yes</v>
      </c>
      <c r="O2366" s="1" t="str">
        <f>IF(AND(Employee__2[[#This Row],[Education]]="Bachelors",Employee__2[[#This Row],[City]]="Pune"),"Yes","No")</f>
        <v>Yes</v>
      </c>
      <c r="P2366" s="1" t="str">
        <f>IF(OR(Employee__2[[#This Row],[Age]]&gt;=30,Employee__2[[#This Row],[Gender]]="Male"),"Mached","Not mached")</f>
        <v>Mached</v>
      </c>
    </row>
    <row r="2367" spans="4:16" x14ac:dyDescent="0.25">
      <c r="D2367" s="6" t="s">
        <v>34</v>
      </c>
      <c r="E2367">
        <v>2018</v>
      </c>
      <c r="F2367" s="6" t="s">
        <v>35</v>
      </c>
      <c r="G2367">
        <v>3</v>
      </c>
      <c r="H2367">
        <v>26</v>
      </c>
      <c r="I2367" s="6" t="s">
        <v>39</v>
      </c>
      <c r="J2367" s="6" t="s">
        <v>37</v>
      </c>
      <c r="K2367">
        <v>4</v>
      </c>
      <c r="M2367" s="1" t="b">
        <f>Employee__2[[#This Row],[Experience]]&gt;1</f>
        <v>1</v>
      </c>
      <c r="N2367" s="1" t="str">
        <f>IF(Employee__2[[#This Row],[City]]="Pune","Yes","No")</f>
        <v>No</v>
      </c>
      <c r="O2367" s="1" t="str">
        <f>IF(AND(Employee__2[[#This Row],[Education]]="Bachelors",Employee__2[[#This Row],[City]]="Pune"),"Yes","No")</f>
        <v>No</v>
      </c>
      <c r="P2367" s="1" t="str">
        <f>IF(OR(Employee__2[[#This Row],[Age]]&gt;=30,Employee__2[[#This Row],[Gender]]="Male"),"Mached","Not mached")</f>
        <v>Not mached</v>
      </c>
    </row>
    <row r="2368" spans="4:16" x14ac:dyDescent="0.25">
      <c r="D2368" s="6" t="s">
        <v>34</v>
      </c>
      <c r="E2368">
        <v>2014</v>
      </c>
      <c r="F2368" s="6" t="s">
        <v>35</v>
      </c>
      <c r="G2368">
        <v>1</v>
      </c>
      <c r="H2368">
        <v>28</v>
      </c>
      <c r="I2368" s="6" t="s">
        <v>39</v>
      </c>
      <c r="J2368" s="6" t="s">
        <v>37</v>
      </c>
      <c r="K2368">
        <v>2</v>
      </c>
      <c r="M2368" s="1" t="b">
        <f>Employee__2[[#This Row],[Experience]]&gt;1</f>
        <v>1</v>
      </c>
      <c r="N2368" s="1" t="str">
        <f>IF(Employee__2[[#This Row],[City]]="Pune","Yes","No")</f>
        <v>No</v>
      </c>
      <c r="O2368" s="1" t="str">
        <f>IF(AND(Employee__2[[#This Row],[Education]]="Bachelors",Employee__2[[#This Row],[City]]="Pune"),"Yes","No")</f>
        <v>No</v>
      </c>
      <c r="P2368" s="1" t="str">
        <f>IF(OR(Employee__2[[#This Row],[Age]]&gt;=30,Employee__2[[#This Row],[Gender]]="Male"),"Mached","Not mached")</f>
        <v>Not mached</v>
      </c>
    </row>
    <row r="2369" spans="4:16" x14ac:dyDescent="0.25">
      <c r="D2369" s="6" t="s">
        <v>41</v>
      </c>
      <c r="E2369">
        <v>2017</v>
      </c>
      <c r="F2369" s="6" t="s">
        <v>40</v>
      </c>
      <c r="G2369">
        <v>2</v>
      </c>
      <c r="H2369">
        <v>29</v>
      </c>
      <c r="I2369" s="6" t="s">
        <v>39</v>
      </c>
      <c r="J2369" s="6" t="s">
        <v>37</v>
      </c>
      <c r="K2369">
        <v>2</v>
      </c>
      <c r="M2369" s="1" t="b">
        <f>Employee__2[[#This Row],[Experience]]&gt;1</f>
        <v>1</v>
      </c>
      <c r="N2369" s="1" t="str">
        <f>IF(Employee__2[[#This Row],[City]]="Pune","Yes","No")</f>
        <v>No</v>
      </c>
      <c r="O2369" s="1" t="str">
        <f>IF(AND(Employee__2[[#This Row],[Education]]="Bachelors",Employee__2[[#This Row],[City]]="Pune"),"Yes","No")</f>
        <v>No</v>
      </c>
      <c r="P2369" s="1" t="str">
        <f>IF(OR(Employee__2[[#This Row],[Age]]&gt;=30,Employee__2[[#This Row],[Gender]]="Male"),"Mached","Not mached")</f>
        <v>Not mached</v>
      </c>
    </row>
    <row r="2370" spans="4:16" x14ac:dyDescent="0.25">
      <c r="D2370" s="6" t="s">
        <v>41</v>
      </c>
      <c r="E2370">
        <v>2013</v>
      </c>
      <c r="F2370" s="6" t="s">
        <v>40</v>
      </c>
      <c r="G2370">
        <v>3</v>
      </c>
      <c r="H2370">
        <v>26</v>
      </c>
      <c r="I2370" s="6" t="s">
        <v>36</v>
      </c>
      <c r="J2370" s="6" t="s">
        <v>37</v>
      </c>
      <c r="K2370">
        <v>4</v>
      </c>
      <c r="M2370" s="1" t="b">
        <f>Employee__2[[#This Row],[Experience]]&gt;1</f>
        <v>1</v>
      </c>
      <c r="N2370" s="1" t="str">
        <f>IF(Employee__2[[#This Row],[City]]="Pune","Yes","No")</f>
        <v>No</v>
      </c>
      <c r="O2370" s="1" t="str">
        <f>IF(AND(Employee__2[[#This Row],[Education]]="Bachelors",Employee__2[[#This Row],[City]]="Pune"),"Yes","No")</f>
        <v>No</v>
      </c>
      <c r="P2370" s="1" t="str">
        <f>IF(OR(Employee__2[[#This Row],[Age]]&gt;=30,Employee__2[[#This Row],[Gender]]="Male"),"Mached","Not mached")</f>
        <v>Mached</v>
      </c>
    </row>
    <row r="2371" spans="4:16" x14ac:dyDescent="0.25">
      <c r="D2371" s="6" t="s">
        <v>34</v>
      </c>
      <c r="E2371">
        <v>2017</v>
      </c>
      <c r="F2371" s="6" t="s">
        <v>40</v>
      </c>
      <c r="G2371">
        <v>2</v>
      </c>
      <c r="H2371">
        <v>28</v>
      </c>
      <c r="I2371" s="6" t="s">
        <v>39</v>
      </c>
      <c r="J2371" s="6" t="s">
        <v>37</v>
      </c>
      <c r="K2371">
        <v>1</v>
      </c>
      <c r="M2371" s="1" t="b">
        <f>Employee__2[[#This Row],[Experience]]&gt;1</f>
        <v>0</v>
      </c>
      <c r="N2371" s="1" t="str">
        <f>IF(Employee__2[[#This Row],[City]]="Pune","Yes","No")</f>
        <v>No</v>
      </c>
      <c r="O2371" s="1" t="str">
        <f>IF(AND(Employee__2[[#This Row],[Education]]="Bachelors",Employee__2[[#This Row],[City]]="Pune"),"Yes","No")</f>
        <v>No</v>
      </c>
      <c r="P2371" s="1" t="str">
        <f>IF(OR(Employee__2[[#This Row],[Age]]&gt;=30,Employee__2[[#This Row],[Gender]]="Male"),"Mached","Not mached")</f>
        <v>Not mached</v>
      </c>
    </row>
    <row r="2372" spans="4:16" x14ac:dyDescent="0.25">
      <c r="D2372" s="6" t="s">
        <v>34</v>
      </c>
      <c r="E2372">
        <v>2016</v>
      </c>
      <c r="F2372" s="6" t="s">
        <v>35</v>
      </c>
      <c r="G2372">
        <v>3</v>
      </c>
      <c r="H2372">
        <v>30</v>
      </c>
      <c r="I2372" s="6" t="s">
        <v>39</v>
      </c>
      <c r="J2372" s="6" t="s">
        <v>37</v>
      </c>
      <c r="K2372">
        <v>1</v>
      </c>
      <c r="M2372" s="1" t="b">
        <f>Employee__2[[#This Row],[Experience]]&gt;1</f>
        <v>0</v>
      </c>
      <c r="N2372" s="1" t="str">
        <f>IF(Employee__2[[#This Row],[City]]="Pune","Yes","No")</f>
        <v>No</v>
      </c>
      <c r="O2372" s="1" t="str">
        <f>IF(AND(Employee__2[[#This Row],[Education]]="Bachelors",Employee__2[[#This Row],[City]]="Pune"),"Yes","No")</f>
        <v>No</v>
      </c>
      <c r="P2372" s="1" t="str">
        <f>IF(OR(Employee__2[[#This Row],[Age]]&gt;=30,Employee__2[[#This Row],[Gender]]="Male"),"Mached","Not mached")</f>
        <v>Mached</v>
      </c>
    </row>
    <row r="2373" spans="4:16" x14ac:dyDescent="0.25">
      <c r="D2373" s="6" t="s">
        <v>43</v>
      </c>
      <c r="E2373">
        <v>2015</v>
      </c>
      <c r="F2373" s="6" t="s">
        <v>38</v>
      </c>
      <c r="G2373">
        <v>3</v>
      </c>
      <c r="H2373">
        <v>27</v>
      </c>
      <c r="I2373" s="6" t="s">
        <v>36</v>
      </c>
      <c r="J2373" s="6" t="s">
        <v>37</v>
      </c>
      <c r="K2373">
        <v>5</v>
      </c>
      <c r="M2373" s="1" t="b">
        <f>Employee__2[[#This Row],[Experience]]&gt;1</f>
        <v>1</v>
      </c>
      <c r="N2373" s="1" t="str">
        <f>IF(Employee__2[[#This Row],[City]]="Pune","Yes","No")</f>
        <v>Yes</v>
      </c>
      <c r="O2373" s="1" t="str">
        <f>IF(AND(Employee__2[[#This Row],[Education]]="Bachelors",Employee__2[[#This Row],[City]]="Pune"),"Yes","No")</f>
        <v>No</v>
      </c>
      <c r="P2373" s="1" t="str">
        <f>IF(OR(Employee__2[[#This Row],[Age]]&gt;=30,Employee__2[[#This Row],[Gender]]="Male"),"Mached","Not mached")</f>
        <v>Mached</v>
      </c>
    </row>
    <row r="2374" spans="4:16" x14ac:dyDescent="0.25">
      <c r="D2374" s="6" t="s">
        <v>34</v>
      </c>
      <c r="E2374">
        <v>2016</v>
      </c>
      <c r="F2374" s="6" t="s">
        <v>35</v>
      </c>
      <c r="G2374">
        <v>3</v>
      </c>
      <c r="H2374">
        <v>29</v>
      </c>
      <c r="I2374" s="6" t="s">
        <v>36</v>
      </c>
      <c r="J2374" s="6" t="s">
        <v>37</v>
      </c>
      <c r="K2374">
        <v>2</v>
      </c>
      <c r="M2374" s="1" t="b">
        <f>Employee__2[[#This Row],[Experience]]&gt;1</f>
        <v>1</v>
      </c>
      <c r="N2374" s="1" t="str">
        <f>IF(Employee__2[[#This Row],[City]]="Pune","Yes","No")</f>
        <v>No</v>
      </c>
      <c r="O2374" s="1" t="str">
        <f>IF(AND(Employee__2[[#This Row],[Education]]="Bachelors",Employee__2[[#This Row],[City]]="Pune"),"Yes","No")</f>
        <v>No</v>
      </c>
      <c r="P2374" s="1" t="str">
        <f>IF(OR(Employee__2[[#This Row],[Age]]&gt;=30,Employee__2[[#This Row],[Gender]]="Male"),"Mached","Not mached")</f>
        <v>Mached</v>
      </c>
    </row>
    <row r="2375" spans="4:16" x14ac:dyDescent="0.25">
      <c r="D2375" s="6" t="s">
        <v>34</v>
      </c>
      <c r="E2375">
        <v>2014</v>
      </c>
      <c r="F2375" s="6" t="s">
        <v>38</v>
      </c>
      <c r="G2375">
        <v>2</v>
      </c>
      <c r="H2375">
        <v>28</v>
      </c>
      <c r="I2375" s="6" t="s">
        <v>39</v>
      </c>
      <c r="J2375" s="6" t="s">
        <v>37</v>
      </c>
      <c r="K2375">
        <v>2</v>
      </c>
      <c r="M2375" s="1" t="b">
        <f>Employee__2[[#This Row],[Experience]]&gt;1</f>
        <v>1</v>
      </c>
      <c r="N2375" s="1" t="str">
        <f>IF(Employee__2[[#This Row],[City]]="Pune","Yes","No")</f>
        <v>Yes</v>
      </c>
      <c r="O2375" s="1" t="str">
        <f>IF(AND(Employee__2[[#This Row],[Education]]="Bachelors",Employee__2[[#This Row],[City]]="Pune"),"Yes","No")</f>
        <v>Yes</v>
      </c>
      <c r="P2375" s="1" t="str">
        <f>IF(OR(Employee__2[[#This Row],[Age]]&gt;=30,Employee__2[[#This Row],[Gender]]="Male"),"Mached","Not mached")</f>
        <v>Not mached</v>
      </c>
    </row>
    <row r="2376" spans="4:16" x14ac:dyDescent="0.25">
      <c r="D2376" s="6" t="s">
        <v>34</v>
      </c>
      <c r="E2376">
        <v>2016</v>
      </c>
      <c r="F2376" s="6" t="s">
        <v>35</v>
      </c>
      <c r="G2376">
        <v>3</v>
      </c>
      <c r="H2376">
        <v>26</v>
      </c>
      <c r="I2376" s="6" t="s">
        <v>36</v>
      </c>
      <c r="J2376" s="6" t="s">
        <v>37</v>
      </c>
      <c r="K2376">
        <v>4</v>
      </c>
      <c r="M2376" s="1" t="b">
        <f>Employee__2[[#This Row],[Experience]]&gt;1</f>
        <v>1</v>
      </c>
      <c r="N2376" s="1" t="str">
        <f>IF(Employee__2[[#This Row],[City]]="Pune","Yes","No")</f>
        <v>No</v>
      </c>
      <c r="O2376" s="1" t="str">
        <f>IF(AND(Employee__2[[#This Row],[Education]]="Bachelors",Employee__2[[#This Row],[City]]="Pune"),"Yes","No")</f>
        <v>No</v>
      </c>
      <c r="P2376" s="1" t="str">
        <f>IF(OR(Employee__2[[#This Row],[Age]]&gt;=30,Employee__2[[#This Row],[Gender]]="Male"),"Mached","Not mached")</f>
        <v>Mached</v>
      </c>
    </row>
    <row r="2377" spans="4:16" x14ac:dyDescent="0.25">
      <c r="D2377" s="6" t="s">
        <v>41</v>
      </c>
      <c r="E2377">
        <v>2017</v>
      </c>
      <c r="F2377" s="6" t="s">
        <v>40</v>
      </c>
      <c r="G2377">
        <v>2</v>
      </c>
      <c r="H2377">
        <v>30</v>
      </c>
      <c r="I2377" s="6" t="s">
        <v>39</v>
      </c>
      <c r="J2377" s="6" t="s">
        <v>42</v>
      </c>
      <c r="K2377">
        <v>2</v>
      </c>
      <c r="M2377" s="1" t="b">
        <f>Employee__2[[#This Row],[Experience]]&gt;1</f>
        <v>1</v>
      </c>
      <c r="N2377" s="1" t="str">
        <f>IF(Employee__2[[#This Row],[City]]="Pune","Yes","No")</f>
        <v>No</v>
      </c>
      <c r="O2377" s="1" t="str">
        <f>IF(AND(Employee__2[[#This Row],[Education]]="Bachelors",Employee__2[[#This Row],[City]]="Pune"),"Yes","No")</f>
        <v>No</v>
      </c>
      <c r="P2377" s="1" t="str">
        <f>IF(OR(Employee__2[[#This Row],[Age]]&gt;=30,Employee__2[[#This Row],[Gender]]="Male"),"Mached","Not mached")</f>
        <v>Mached</v>
      </c>
    </row>
    <row r="2378" spans="4:16" x14ac:dyDescent="0.25">
      <c r="D2378" s="6" t="s">
        <v>43</v>
      </c>
      <c r="E2378">
        <v>2013</v>
      </c>
      <c r="F2378" s="6" t="s">
        <v>40</v>
      </c>
      <c r="G2378">
        <v>3</v>
      </c>
      <c r="H2378">
        <v>30</v>
      </c>
      <c r="I2378" s="6" t="s">
        <v>39</v>
      </c>
      <c r="J2378" s="6" t="s">
        <v>37</v>
      </c>
      <c r="K2378">
        <v>2</v>
      </c>
      <c r="M2378" s="1" t="b">
        <f>Employee__2[[#This Row],[Experience]]&gt;1</f>
        <v>1</v>
      </c>
      <c r="N2378" s="1" t="str">
        <f>IF(Employee__2[[#This Row],[City]]="Pune","Yes","No")</f>
        <v>No</v>
      </c>
      <c r="O2378" s="1" t="str">
        <f>IF(AND(Employee__2[[#This Row],[Education]]="Bachelors",Employee__2[[#This Row],[City]]="Pune"),"Yes","No")</f>
        <v>No</v>
      </c>
      <c r="P2378" s="1" t="str">
        <f>IF(OR(Employee__2[[#This Row],[Age]]&gt;=30,Employee__2[[#This Row],[Gender]]="Male"),"Mached","Not mached")</f>
        <v>Mached</v>
      </c>
    </row>
    <row r="2379" spans="4:16" x14ac:dyDescent="0.25">
      <c r="D2379" s="6" t="s">
        <v>34</v>
      </c>
      <c r="E2379">
        <v>2015</v>
      </c>
      <c r="F2379" s="6" t="s">
        <v>35</v>
      </c>
      <c r="G2379">
        <v>3</v>
      </c>
      <c r="H2379">
        <v>29</v>
      </c>
      <c r="I2379" s="6" t="s">
        <v>36</v>
      </c>
      <c r="J2379" s="6" t="s">
        <v>37</v>
      </c>
      <c r="K2379">
        <v>2</v>
      </c>
      <c r="M2379" s="1" t="b">
        <f>Employee__2[[#This Row],[Experience]]&gt;1</f>
        <v>1</v>
      </c>
      <c r="N2379" s="1" t="str">
        <f>IF(Employee__2[[#This Row],[City]]="Pune","Yes","No")</f>
        <v>No</v>
      </c>
      <c r="O2379" s="1" t="str">
        <f>IF(AND(Employee__2[[#This Row],[Education]]="Bachelors",Employee__2[[#This Row],[City]]="Pune"),"Yes","No")</f>
        <v>No</v>
      </c>
      <c r="P2379" s="1" t="str">
        <f>IF(OR(Employee__2[[#This Row],[Age]]&gt;=30,Employee__2[[#This Row],[Gender]]="Male"),"Mached","Not mached")</f>
        <v>Mached</v>
      </c>
    </row>
    <row r="2380" spans="4:16" x14ac:dyDescent="0.25">
      <c r="D2380" s="6" t="s">
        <v>34</v>
      </c>
      <c r="E2380">
        <v>2017</v>
      </c>
      <c r="F2380" s="6" t="s">
        <v>35</v>
      </c>
      <c r="G2380">
        <v>3</v>
      </c>
      <c r="H2380">
        <v>28</v>
      </c>
      <c r="I2380" s="6" t="s">
        <v>36</v>
      </c>
      <c r="J2380" s="6" t="s">
        <v>37</v>
      </c>
      <c r="K2380">
        <v>2</v>
      </c>
      <c r="M2380" s="1" t="b">
        <f>Employee__2[[#This Row],[Experience]]&gt;1</f>
        <v>1</v>
      </c>
      <c r="N2380" s="1" t="str">
        <f>IF(Employee__2[[#This Row],[City]]="Pune","Yes","No")</f>
        <v>No</v>
      </c>
      <c r="O2380" s="1" t="str">
        <f>IF(AND(Employee__2[[#This Row],[Education]]="Bachelors",Employee__2[[#This Row],[City]]="Pune"),"Yes","No")</f>
        <v>No</v>
      </c>
      <c r="P2380" s="1" t="str">
        <f>IF(OR(Employee__2[[#This Row],[Age]]&gt;=30,Employee__2[[#This Row],[Gender]]="Male"),"Mached","Not mached")</f>
        <v>Mached</v>
      </c>
    </row>
    <row r="2381" spans="4:16" x14ac:dyDescent="0.25">
      <c r="D2381" s="6" t="s">
        <v>34</v>
      </c>
      <c r="E2381">
        <v>2015</v>
      </c>
      <c r="F2381" s="6" t="s">
        <v>35</v>
      </c>
      <c r="G2381">
        <v>3</v>
      </c>
      <c r="H2381">
        <v>29</v>
      </c>
      <c r="I2381" s="6" t="s">
        <v>36</v>
      </c>
      <c r="J2381" s="6" t="s">
        <v>37</v>
      </c>
      <c r="K2381">
        <v>2</v>
      </c>
      <c r="M2381" s="1" t="b">
        <f>Employee__2[[#This Row],[Experience]]&gt;1</f>
        <v>1</v>
      </c>
      <c r="N2381" s="1" t="str">
        <f>IF(Employee__2[[#This Row],[City]]="Pune","Yes","No")</f>
        <v>No</v>
      </c>
      <c r="O2381" s="1" t="str">
        <f>IF(AND(Employee__2[[#This Row],[Education]]="Bachelors",Employee__2[[#This Row],[City]]="Pune"),"Yes","No")</f>
        <v>No</v>
      </c>
      <c r="P2381" s="1" t="str">
        <f>IF(OR(Employee__2[[#This Row],[Age]]&gt;=30,Employee__2[[#This Row],[Gender]]="Male"),"Mached","Not mached")</f>
        <v>Mached</v>
      </c>
    </row>
    <row r="2382" spans="4:16" x14ac:dyDescent="0.25">
      <c r="D2382" s="6" t="s">
        <v>34</v>
      </c>
      <c r="E2382">
        <v>2015</v>
      </c>
      <c r="F2382" s="6" t="s">
        <v>38</v>
      </c>
      <c r="G2382">
        <v>1</v>
      </c>
      <c r="H2382">
        <v>26</v>
      </c>
      <c r="I2382" s="6" t="s">
        <v>39</v>
      </c>
      <c r="J2382" s="6" t="s">
        <v>37</v>
      </c>
      <c r="K2382">
        <v>4</v>
      </c>
      <c r="M2382" s="1" t="b">
        <f>Employee__2[[#This Row],[Experience]]&gt;1</f>
        <v>1</v>
      </c>
      <c r="N2382" s="1" t="str">
        <f>IF(Employee__2[[#This Row],[City]]="Pune","Yes","No")</f>
        <v>Yes</v>
      </c>
      <c r="O2382" s="1" t="str">
        <f>IF(AND(Employee__2[[#This Row],[Education]]="Bachelors",Employee__2[[#This Row],[City]]="Pune"),"Yes","No")</f>
        <v>Yes</v>
      </c>
      <c r="P2382" s="1" t="str">
        <f>IF(OR(Employee__2[[#This Row],[Age]]&gt;=30,Employee__2[[#This Row],[Gender]]="Male"),"Mached","Not mached")</f>
        <v>Not mached</v>
      </c>
    </row>
    <row r="2383" spans="4:16" x14ac:dyDescent="0.25">
      <c r="D2383" s="6" t="s">
        <v>34</v>
      </c>
      <c r="E2383">
        <v>2013</v>
      </c>
      <c r="F2383" s="6" t="s">
        <v>35</v>
      </c>
      <c r="G2383">
        <v>3</v>
      </c>
      <c r="H2383">
        <v>28</v>
      </c>
      <c r="I2383" s="6" t="s">
        <v>36</v>
      </c>
      <c r="J2383" s="6" t="s">
        <v>37</v>
      </c>
      <c r="K2383">
        <v>1</v>
      </c>
      <c r="M2383" s="1" t="b">
        <f>Employee__2[[#This Row],[Experience]]&gt;1</f>
        <v>0</v>
      </c>
      <c r="N2383" s="1" t="str">
        <f>IF(Employee__2[[#This Row],[City]]="Pune","Yes","No")</f>
        <v>No</v>
      </c>
      <c r="O2383" s="1" t="str">
        <f>IF(AND(Employee__2[[#This Row],[Education]]="Bachelors",Employee__2[[#This Row],[City]]="Pune"),"Yes","No")</f>
        <v>No</v>
      </c>
      <c r="P2383" s="1" t="str">
        <f>IF(OR(Employee__2[[#This Row],[Age]]&gt;=30,Employee__2[[#This Row],[Gender]]="Male"),"Mached","Not mached")</f>
        <v>Mached</v>
      </c>
    </row>
    <row r="2384" spans="4:16" x14ac:dyDescent="0.25">
      <c r="D2384" s="6" t="s">
        <v>34</v>
      </c>
      <c r="E2384">
        <v>2015</v>
      </c>
      <c r="F2384" s="6" t="s">
        <v>38</v>
      </c>
      <c r="G2384">
        <v>2</v>
      </c>
      <c r="H2384">
        <v>29</v>
      </c>
      <c r="I2384" s="6" t="s">
        <v>39</v>
      </c>
      <c r="J2384" s="6" t="s">
        <v>37</v>
      </c>
      <c r="K2384">
        <v>2</v>
      </c>
      <c r="M2384" s="1" t="b">
        <f>Employee__2[[#This Row],[Experience]]&gt;1</f>
        <v>1</v>
      </c>
      <c r="N2384" s="1" t="str">
        <f>IF(Employee__2[[#This Row],[City]]="Pune","Yes","No")</f>
        <v>Yes</v>
      </c>
      <c r="O2384" s="1" t="str">
        <f>IF(AND(Employee__2[[#This Row],[Education]]="Bachelors",Employee__2[[#This Row],[City]]="Pune"),"Yes","No")</f>
        <v>Yes</v>
      </c>
      <c r="P2384" s="1" t="str">
        <f>IF(OR(Employee__2[[#This Row],[Age]]&gt;=30,Employee__2[[#This Row],[Gender]]="Male"),"Mached","Not mached")</f>
        <v>Not mached</v>
      </c>
    </row>
    <row r="2385" spans="4:16" x14ac:dyDescent="0.25">
      <c r="D2385" s="6" t="s">
        <v>34</v>
      </c>
      <c r="E2385">
        <v>2013</v>
      </c>
      <c r="F2385" s="6" t="s">
        <v>35</v>
      </c>
      <c r="G2385">
        <v>3</v>
      </c>
      <c r="H2385">
        <v>26</v>
      </c>
      <c r="I2385" s="6" t="s">
        <v>36</v>
      </c>
      <c r="J2385" s="6" t="s">
        <v>42</v>
      </c>
      <c r="K2385">
        <v>4</v>
      </c>
      <c r="M2385" s="1" t="b">
        <f>Employee__2[[#This Row],[Experience]]&gt;1</f>
        <v>1</v>
      </c>
      <c r="N2385" s="1" t="str">
        <f>IF(Employee__2[[#This Row],[City]]="Pune","Yes","No")</f>
        <v>No</v>
      </c>
      <c r="O2385" s="1" t="str">
        <f>IF(AND(Employee__2[[#This Row],[Education]]="Bachelors",Employee__2[[#This Row],[City]]="Pune"),"Yes","No")</f>
        <v>No</v>
      </c>
      <c r="P2385" s="1" t="str">
        <f>IF(OR(Employee__2[[#This Row],[Age]]&gt;=30,Employee__2[[#This Row],[Gender]]="Male"),"Mached","Not mached")</f>
        <v>Mached</v>
      </c>
    </row>
    <row r="2386" spans="4:16" x14ac:dyDescent="0.25">
      <c r="D2386" s="6" t="s">
        <v>41</v>
      </c>
      <c r="E2386">
        <v>2014</v>
      </c>
      <c r="F2386" s="6" t="s">
        <v>38</v>
      </c>
      <c r="G2386">
        <v>3</v>
      </c>
      <c r="H2386">
        <v>30</v>
      </c>
      <c r="I2386" s="6" t="s">
        <v>36</v>
      </c>
      <c r="J2386" s="6" t="s">
        <v>37</v>
      </c>
      <c r="K2386">
        <v>2</v>
      </c>
      <c r="M2386" s="1" t="b">
        <f>Employee__2[[#This Row],[Experience]]&gt;1</f>
        <v>1</v>
      </c>
      <c r="N2386" s="1" t="str">
        <f>IF(Employee__2[[#This Row],[City]]="Pune","Yes","No")</f>
        <v>Yes</v>
      </c>
      <c r="O2386" s="1" t="str">
        <f>IF(AND(Employee__2[[#This Row],[Education]]="Bachelors",Employee__2[[#This Row],[City]]="Pune"),"Yes","No")</f>
        <v>No</v>
      </c>
      <c r="P2386" s="1" t="str">
        <f>IF(OR(Employee__2[[#This Row],[Age]]&gt;=30,Employee__2[[#This Row],[Gender]]="Male"),"Mached","Not mached")</f>
        <v>Mached</v>
      </c>
    </row>
    <row r="2387" spans="4:16" x14ac:dyDescent="0.25">
      <c r="D2387" s="6" t="s">
        <v>41</v>
      </c>
      <c r="E2387">
        <v>2017</v>
      </c>
      <c r="F2387" s="6" t="s">
        <v>38</v>
      </c>
      <c r="G2387">
        <v>2</v>
      </c>
      <c r="H2387">
        <v>30</v>
      </c>
      <c r="I2387" s="6" t="s">
        <v>36</v>
      </c>
      <c r="J2387" s="6" t="s">
        <v>42</v>
      </c>
      <c r="K2387">
        <v>2</v>
      </c>
      <c r="M2387" s="1" t="b">
        <f>Employee__2[[#This Row],[Experience]]&gt;1</f>
        <v>1</v>
      </c>
      <c r="N2387" s="1" t="str">
        <f>IF(Employee__2[[#This Row],[City]]="Pune","Yes","No")</f>
        <v>Yes</v>
      </c>
      <c r="O2387" s="1" t="str">
        <f>IF(AND(Employee__2[[#This Row],[Education]]="Bachelors",Employee__2[[#This Row],[City]]="Pune"),"Yes","No")</f>
        <v>No</v>
      </c>
      <c r="P2387" s="1" t="str">
        <f>IF(OR(Employee__2[[#This Row],[Age]]&gt;=30,Employee__2[[#This Row],[Gender]]="Male"),"Mached","Not mached")</f>
        <v>Mached</v>
      </c>
    </row>
    <row r="2388" spans="4:16" x14ac:dyDescent="0.25">
      <c r="D2388" s="6" t="s">
        <v>34</v>
      </c>
      <c r="E2388">
        <v>2017</v>
      </c>
      <c r="F2388" s="6" t="s">
        <v>38</v>
      </c>
      <c r="G2388">
        <v>3</v>
      </c>
      <c r="H2388">
        <v>27</v>
      </c>
      <c r="I2388" s="6" t="s">
        <v>36</v>
      </c>
      <c r="J2388" s="6" t="s">
        <v>37</v>
      </c>
      <c r="K2388">
        <v>5</v>
      </c>
      <c r="M2388" s="1" t="b">
        <f>Employee__2[[#This Row],[Experience]]&gt;1</f>
        <v>1</v>
      </c>
      <c r="N2388" s="1" t="str">
        <f>IF(Employee__2[[#This Row],[City]]="Pune","Yes","No")</f>
        <v>Yes</v>
      </c>
      <c r="O2388" s="1" t="str">
        <f>IF(AND(Employee__2[[#This Row],[Education]]="Bachelors",Employee__2[[#This Row],[City]]="Pune"),"Yes","No")</f>
        <v>Yes</v>
      </c>
      <c r="P2388" s="1" t="str">
        <f>IF(OR(Employee__2[[#This Row],[Age]]&gt;=30,Employee__2[[#This Row],[Gender]]="Male"),"Mached","Not mached")</f>
        <v>Mached</v>
      </c>
    </row>
    <row r="2389" spans="4:16" x14ac:dyDescent="0.25">
      <c r="D2389" s="6" t="s">
        <v>34</v>
      </c>
      <c r="E2389">
        <v>2014</v>
      </c>
      <c r="F2389" s="6" t="s">
        <v>40</v>
      </c>
      <c r="G2389">
        <v>3</v>
      </c>
      <c r="H2389">
        <v>28</v>
      </c>
      <c r="I2389" s="6" t="s">
        <v>39</v>
      </c>
      <c r="J2389" s="6" t="s">
        <v>42</v>
      </c>
      <c r="K2389">
        <v>2</v>
      </c>
      <c r="M2389" s="1" t="b">
        <f>Employee__2[[#This Row],[Experience]]&gt;1</f>
        <v>1</v>
      </c>
      <c r="N2389" s="1" t="str">
        <f>IF(Employee__2[[#This Row],[City]]="Pune","Yes","No")</f>
        <v>No</v>
      </c>
      <c r="O2389" s="1" t="str">
        <f>IF(AND(Employee__2[[#This Row],[Education]]="Bachelors",Employee__2[[#This Row],[City]]="Pune"),"Yes","No")</f>
        <v>No</v>
      </c>
      <c r="P2389" s="1" t="str">
        <f>IF(OR(Employee__2[[#This Row],[Age]]&gt;=30,Employee__2[[#This Row],[Gender]]="Male"),"Mached","Not mached")</f>
        <v>Not mached</v>
      </c>
    </row>
    <row r="2390" spans="4:16" x14ac:dyDescent="0.25">
      <c r="D2390" s="6" t="s">
        <v>34</v>
      </c>
      <c r="E2390">
        <v>2014</v>
      </c>
      <c r="F2390" s="6" t="s">
        <v>40</v>
      </c>
      <c r="G2390">
        <v>3</v>
      </c>
      <c r="H2390">
        <v>27</v>
      </c>
      <c r="I2390" s="6" t="s">
        <v>39</v>
      </c>
      <c r="J2390" s="6" t="s">
        <v>37</v>
      </c>
      <c r="K2390">
        <v>5</v>
      </c>
      <c r="M2390" s="1" t="b">
        <f>Employee__2[[#This Row],[Experience]]&gt;1</f>
        <v>1</v>
      </c>
      <c r="N2390" s="1" t="str">
        <f>IF(Employee__2[[#This Row],[City]]="Pune","Yes","No")</f>
        <v>No</v>
      </c>
      <c r="O2390" s="1" t="str">
        <f>IF(AND(Employee__2[[#This Row],[Education]]="Bachelors",Employee__2[[#This Row],[City]]="Pune"),"Yes","No")</f>
        <v>No</v>
      </c>
      <c r="P2390" s="1" t="str">
        <f>IF(OR(Employee__2[[#This Row],[Age]]&gt;=30,Employee__2[[#This Row],[Gender]]="Male"),"Mached","Not mached")</f>
        <v>Not mached</v>
      </c>
    </row>
    <row r="2391" spans="4:16" x14ac:dyDescent="0.25">
      <c r="D2391" s="6" t="s">
        <v>34</v>
      </c>
      <c r="E2391">
        <v>2015</v>
      </c>
      <c r="F2391" s="6" t="s">
        <v>38</v>
      </c>
      <c r="G2391">
        <v>2</v>
      </c>
      <c r="H2391">
        <v>29</v>
      </c>
      <c r="I2391" s="6" t="s">
        <v>39</v>
      </c>
      <c r="J2391" s="6" t="s">
        <v>42</v>
      </c>
      <c r="K2391">
        <v>1</v>
      </c>
      <c r="M2391" s="1" t="b">
        <f>Employee__2[[#This Row],[Experience]]&gt;1</f>
        <v>0</v>
      </c>
      <c r="N2391" s="1" t="str">
        <f>IF(Employee__2[[#This Row],[City]]="Pune","Yes","No")</f>
        <v>Yes</v>
      </c>
      <c r="O2391" s="1" t="str">
        <f>IF(AND(Employee__2[[#This Row],[Education]]="Bachelors",Employee__2[[#This Row],[City]]="Pune"),"Yes","No")</f>
        <v>Yes</v>
      </c>
      <c r="P2391" s="1" t="str">
        <f>IF(OR(Employee__2[[#This Row],[Age]]&gt;=30,Employee__2[[#This Row],[Gender]]="Male"),"Mached","Not mached")</f>
        <v>Not mached</v>
      </c>
    </row>
    <row r="2392" spans="4:16" x14ac:dyDescent="0.25">
      <c r="D2392" s="6" t="s">
        <v>34</v>
      </c>
      <c r="E2392">
        <v>2013</v>
      </c>
      <c r="F2392" s="6" t="s">
        <v>38</v>
      </c>
      <c r="G2392">
        <v>3</v>
      </c>
      <c r="H2392">
        <v>26</v>
      </c>
      <c r="I2392" s="6" t="s">
        <v>36</v>
      </c>
      <c r="J2392" s="6" t="s">
        <v>37</v>
      </c>
      <c r="K2392">
        <v>4</v>
      </c>
      <c r="M2392" s="1" t="b">
        <f>Employee__2[[#This Row],[Experience]]&gt;1</f>
        <v>1</v>
      </c>
      <c r="N2392" s="1" t="str">
        <f>IF(Employee__2[[#This Row],[City]]="Pune","Yes","No")</f>
        <v>Yes</v>
      </c>
      <c r="O2392" s="1" t="str">
        <f>IF(AND(Employee__2[[#This Row],[Education]]="Bachelors",Employee__2[[#This Row],[City]]="Pune"),"Yes","No")</f>
        <v>Yes</v>
      </c>
      <c r="P2392" s="1" t="str">
        <f>IF(OR(Employee__2[[#This Row],[Age]]&gt;=30,Employee__2[[#This Row],[Gender]]="Male"),"Mached","Not mached")</f>
        <v>Mached</v>
      </c>
    </row>
    <row r="2393" spans="4:16" x14ac:dyDescent="0.25">
      <c r="D2393" s="6" t="s">
        <v>34</v>
      </c>
      <c r="E2393">
        <v>2014</v>
      </c>
      <c r="F2393" s="6" t="s">
        <v>40</v>
      </c>
      <c r="G2393">
        <v>3</v>
      </c>
      <c r="H2393">
        <v>30</v>
      </c>
      <c r="I2393" s="6" t="s">
        <v>36</v>
      </c>
      <c r="J2393" s="6" t="s">
        <v>37</v>
      </c>
      <c r="K2393">
        <v>1</v>
      </c>
      <c r="M2393" s="1" t="b">
        <f>Employee__2[[#This Row],[Experience]]&gt;1</f>
        <v>0</v>
      </c>
      <c r="N2393" s="1" t="str">
        <f>IF(Employee__2[[#This Row],[City]]="Pune","Yes","No")</f>
        <v>No</v>
      </c>
      <c r="O2393" s="1" t="str">
        <f>IF(AND(Employee__2[[#This Row],[Education]]="Bachelors",Employee__2[[#This Row],[City]]="Pune"),"Yes","No")</f>
        <v>No</v>
      </c>
      <c r="P2393" s="1" t="str">
        <f>IF(OR(Employee__2[[#This Row],[Age]]&gt;=30,Employee__2[[#This Row],[Gender]]="Male"),"Mached","Not mached")</f>
        <v>Mached</v>
      </c>
    </row>
    <row r="2394" spans="4:16" x14ac:dyDescent="0.25">
      <c r="D2394" s="6" t="s">
        <v>34</v>
      </c>
      <c r="E2394">
        <v>2013</v>
      </c>
      <c r="F2394" s="6" t="s">
        <v>38</v>
      </c>
      <c r="G2394">
        <v>2</v>
      </c>
      <c r="H2394">
        <v>26</v>
      </c>
      <c r="I2394" s="6" t="s">
        <v>36</v>
      </c>
      <c r="J2394" s="6" t="s">
        <v>37</v>
      </c>
      <c r="K2394">
        <v>4</v>
      </c>
      <c r="M2394" s="1" t="b">
        <f>Employee__2[[#This Row],[Experience]]&gt;1</f>
        <v>1</v>
      </c>
      <c r="N2394" s="1" t="str">
        <f>IF(Employee__2[[#This Row],[City]]="Pune","Yes","No")</f>
        <v>Yes</v>
      </c>
      <c r="O2394" s="1" t="str">
        <f>IF(AND(Employee__2[[#This Row],[Education]]="Bachelors",Employee__2[[#This Row],[City]]="Pune"),"Yes","No")</f>
        <v>Yes</v>
      </c>
      <c r="P2394" s="1" t="str">
        <f>IF(OR(Employee__2[[#This Row],[Age]]&gt;=30,Employee__2[[#This Row],[Gender]]="Male"),"Mached","Not mached")</f>
        <v>Mached</v>
      </c>
    </row>
    <row r="2395" spans="4:16" x14ac:dyDescent="0.25">
      <c r="D2395" s="6" t="s">
        <v>34</v>
      </c>
      <c r="E2395">
        <v>2016</v>
      </c>
      <c r="F2395" s="6" t="s">
        <v>35</v>
      </c>
      <c r="G2395">
        <v>3</v>
      </c>
      <c r="H2395">
        <v>26</v>
      </c>
      <c r="I2395" s="6" t="s">
        <v>36</v>
      </c>
      <c r="J2395" s="6" t="s">
        <v>37</v>
      </c>
      <c r="K2395">
        <v>4</v>
      </c>
      <c r="M2395" s="1" t="b">
        <f>Employee__2[[#This Row],[Experience]]&gt;1</f>
        <v>1</v>
      </c>
      <c r="N2395" s="1" t="str">
        <f>IF(Employee__2[[#This Row],[City]]="Pune","Yes","No")</f>
        <v>No</v>
      </c>
      <c r="O2395" s="1" t="str">
        <f>IF(AND(Employee__2[[#This Row],[Education]]="Bachelors",Employee__2[[#This Row],[City]]="Pune"),"Yes","No")</f>
        <v>No</v>
      </c>
      <c r="P2395" s="1" t="str">
        <f>IF(OR(Employee__2[[#This Row],[Age]]&gt;=30,Employee__2[[#This Row],[Gender]]="Male"),"Mached","Not mached")</f>
        <v>Mached</v>
      </c>
    </row>
    <row r="2396" spans="4:16" x14ac:dyDescent="0.25">
      <c r="D2396" s="6" t="s">
        <v>41</v>
      </c>
      <c r="E2396">
        <v>2017</v>
      </c>
      <c r="F2396" s="6" t="s">
        <v>40</v>
      </c>
      <c r="G2396">
        <v>2</v>
      </c>
      <c r="H2396">
        <v>28</v>
      </c>
      <c r="I2396" s="6" t="s">
        <v>39</v>
      </c>
      <c r="J2396" s="6" t="s">
        <v>37</v>
      </c>
      <c r="K2396">
        <v>2</v>
      </c>
      <c r="M2396" s="1" t="b">
        <f>Employee__2[[#This Row],[Experience]]&gt;1</f>
        <v>1</v>
      </c>
      <c r="N2396" s="1" t="str">
        <f>IF(Employee__2[[#This Row],[City]]="Pune","Yes","No")</f>
        <v>No</v>
      </c>
      <c r="O2396" s="1" t="str">
        <f>IF(AND(Employee__2[[#This Row],[Education]]="Bachelors",Employee__2[[#This Row],[City]]="Pune"),"Yes","No")</f>
        <v>No</v>
      </c>
      <c r="P2396" s="1" t="str">
        <f>IF(OR(Employee__2[[#This Row],[Age]]&gt;=30,Employee__2[[#This Row],[Gender]]="Male"),"Mached","Not mached")</f>
        <v>Not mached</v>
      </c>
    </row>
    <row r="2397" spans="4:16" x14ac:dyDescent="0.25">
      <c r="D2397" s="6" t="s">
        <v>41</v>
      </c>
      <c r="E2397">
        <v>2017</v>
      </c>
      <c r="F2397" s="6" t="s">
        <v>40</v>
      </c>
      <c r="G2397">
        <v>2</v>
      </c>
      <c r="H2397">
        <v>27</v>
      </c>
      <c r="I2397" s="6" t="s">
        <v>36</v>
      </c>
      <c r="J2397" s="6" t="s">
        <v>37</v>
      </c>
      <c r="K2397">
        <v>5</v>
      </c>
      <c r="M2397" s="1" t="b">
        <f>Employee__2[[#This Row],[Experience]]&gt;1</f>
        <v>1</v>
      </c>
      <c r="N2397" s="1" t="str">
        <f>IF(Employee__2[[#This Row],[City]]="Pune","Yes","No")</f>
        <v>No</v>
      </c>
      <c r="O2397" s="1" t="str">
        <f>IF(AND(Employee__2[[#This Row],[Education]]="Bachelors",Employee__2[[#This Row],[City]]="Pune"),"Yes","No")</f>
        <v>No</v>
      </c>
      <c r="P2397" s="1" t="str">
        <f>IF(OR(Employee__2[[#This Row],[Age]]&gt;=30,Employee__2[[#This Row],[Gender]]="Male"),"Mached","Not mached")</f>
        <v>Mached</v>
      </c>
    </row>
    <row r="2398" spans="4:16" x14ac:dyDescent="0.25">
      <c r="D2398" s="6" t="s">
        <v>34</v>
      </c>
      <c r="E2398">
        <v>2017</v>
      </c>
      <c r="F2398" s="6" t="s">
        <v>38</v>
      </c>
      <c r="G2398">
        <v>2</v>
      </c>
      <c r="H2398">
        <v>29</v>
      </c>
      <c r="I2398" s="6" t="s">
        <v>39</v>
      </c>
      <c r="J2398" s="6" t="s">
        <v>37</v>
      </c>
      <c r="K2398">
        <v>1</v>
      </c>
      <c r="M2398" s="1" t="b">
        <f>Employee__2[[#This Row],[Experience]]&gt;1</f>
        <v>0</v>
      </c>
      <c r="N2398" s="1" t="str">
        <f>IF(Employee__2[[#This Row],[City]]="Pune","Yes","No")</f>
        <v>Yes</v>
      </c>
      <c r="O2398" s="1" t="str">
        <f>IF(AND(Employee__2[[#This Row],[Education]]="Bachelors",Employee__2[[#This Row],[City]]="Pune"),"Yes","No")</f>
        <v>Yes</v>
      </c>
      <c r="P2398" s="1" t="str">
        <f>IF(OR(Employee__2[[#This Row],[Age]]&gt;=30,Employee__2[[#This Row],[Gender]]="Male"),"Mached","Not mached")</f>
        <v>Not mached</v>
      </c>
    </row>
    <row r="2399" spans="4:16" x14ac:dyDescent="0.25">
      <c r="D2399" s="6" t="s">
        <v>41</v>
      </c>
      <c r="E2399">
        <v>2017</v>
      </c>
      <c r="F2399" s="6" t="s">
        <v>40</v>
      </c>
      <c r="G2399">
        <v>2</v>
      </c>
      <c r="H2399">
        <v>28</v>
      </c>
      <c r="I2399" s="6" t="s">
        <v>39</v>
      </c>
      <c r="J2399" s="6" t="s">
        <v>37</v>
      </c>
      <c r="K2399">
        <v>1</v>
      </c>
      <c r="M2399" s="1" t="b">
        <f>Employee__2[[#This Row],[Experience]]&gt;1</f>
        <v>0</v>
      </c>
      <c r="N2399" s="1" t="str">
        <f>IF(Employee__2[[#This Row],[City]]="Pune","Yes","No")</f>
        <v>No</v>
      </c>
      <c r="O2399" s="1" t="str">
        <f>IF(AND(Employee__2[[#This Row],[Education]]="Bachelors",Employee__2[[#This Row],[City]]="Pune"),"Yes","No")</f>
        <v>No</v>
      </c>
      <c r="P2399" s="1" t="str">
        <f>IF(OR(Employee__2[[#This Row],[Age]]&gt;=30,Employee__2[[#This Row],[Gender]]="Male"),"Mached","Not mached")</f>
        <v>Not mached</v>
      </c>
    </row>
    <row r="2400" spans="4:16" x14ac:dyDescent="0.25">
      <c r="D2400" s="6" t="s">
        <v>34</v>
      </c>
      <c r="E2400">
        <v>2017</v>
      </c>
      <c r="F2400" s="6" t="s">
        <v>40</v>
      </c>
      <c r="G2400">
        <v>2</v>
      </c>
      <c r="H2400">
        <v>26</v>
      </c>
      <c r="I2400" s="6" t="s">
        <v>36</v>
      </c>
      <c r="J2400" s="6" t="s">
        <v>37</v>
      </c>
      <c r="K2400">
        <v>4</v>
      </c>
      <c r="M2400" s="1" t="b">
        <f>Employee__2[[#This Row],[Experience]]&gt;1</f>
        <v>1</v>
      </c>
      <c r="N2400" s="1" t="str">
        <f>IF(Employee__2[[#This Row],[City]]="Pune","Yes","No")</f>
        <v>No</v>
      </c>
      <c r="O2400" s="1" t="str">
        <f>IF(AND(Employee__2[[#This Row],[Education]]="Bachelors",Employee__2[[#This Row],[City]]="Pune"),"Yes","No")</f>
        <v>No</v>
      </c>
      <c r="P2400" s="1" t="str">
        <f>IF(OR(Employee__2[[#This Row],[Age]]&gt;=30,Employee__2[[#This Row],[Gender]]="Male"),"Mached","Not mached")</f>
        <v>Mached</v>
      </c>
    </row>
    <row r="2401" spans="4:16" x14ac:dyDescent="0.25">
      <c r="D2401" s="6" t="s">
        <v>34</v>
      </c>
      <c r="E2401">
        <v>2014</v>
      </c>
      <c r="F2401" s="6" t="s">
        <v>35</v>
      </c>
      <c r="G2401">
        <v>3</v>
      </c>
      <c r="H2401">
        <v>29</v>
      </c>
      <c r="I2401" s="6" t="s">
        <v>39</v>
      </c>
      <c r="J2401" s="6" t="s">
        <v>37</v>
      </c>
      <c r="K2401">
        <v>1</v>
      </c>
      <c r="M2401" s="1" t="b">
        <f>Employee__2[[#This Row],[Experience]]&gt;1</f>
        <v>0</v>
      </c>
      <c r="N2401" s="1" t="str">
        <f>IF(Employee__2[[#This Row],[City]]="Pune","Yes","No")</f>
        <v>No</v>
      </c>
      <c r="O2401" s="1" t="str">
        <f>IF(AND(Employee__2[[#This Row],[Education]]="Bachelors",Employee__2[[#This Row],[City]]="Pune"),"Yes","No")</f>
        <v>No</v>
      </c>
      <c r="P2401" s="1" t="str">
        <f>IF(OR(Employee__2[[#This Row],[Age]]&gt;=30,Employee__2[[#This Row],[Gender]]="Male"),"Mached","Not mached")</f>
        <v>Not mached</v>
      </c>
    </row>
    <row r="2402" spans="4:16" x14ac:dyDescent="0.25">
      <c r="D2402" s="6" t="s">
        <v>34</v>
      </c>
      <c r="E2402">
        <v>2012</v>
      </c>
      <c r="F2402" s="6" t="s">
        <v>35</v>
      </c>
      <c r="G2402">
        <v>3</v>
      </c>
      <c r="H2402">
        <v>28</v>
      </c>
      <c r="I2402" s="6" t="s">
        <v>36</v>
      </c>
      <c r="J2402" s="6" t="s">
        <v>37</v>
      </c>
      <c r="K2402">
        <v>1</v>
      </c>
      <c r="M2402" s="1" t="b">
        <f>Employee__2[[#This Row],[Experience]]&gt;1</f>
        <v>0</v>
      </c>
      <c r="N2402" s="1" t="str">
        <f>IF(Employee__2[[#This Row],[City]]="Pune","Yes","No")</f>
        <v>No</v>
      </c>
      <c r="O2402" s="1" t="str">
        <f>IF(AND(Employee__2[[#This Row],[Education]]="Bachelors",Employee__2[[#This Row],[City]]="Pune"),"Yes","No")</f>
        <v>No</v>
      </c>
      <c r="P2402" s="1" t="str">
        <f>IF(OR(Employee__2[[#This Row],[Age]]&gt;=30,Employee__2[[#This Row],[Gender]]="Male"),"Mached","Not mached")</f>
        <v>Mached</v>
      </c>
    </row>
    <row r="2403" spans="4:16" x14ac:dyDescent="0.25">
      <c r="D2403" s="6" t="s">
        <v>34</v>
      </c>
      <c r="E2403">
        <v>2016</v>
      </c>
      <c r="F2403" s="6" t="s">
        <v>35</v>
      </c>
      <c r="G2403">
        <v>3</v>
      </c>
      <c r="H2403">
        <v>27</v>
      </c>
      <c r="I2403" s="6" t="s">
        <v>36</v>
      </c>
      <c r="J2403" s="6" t="s">
        <v>37</v>
      </c>
      <c r="K2403">
        <v>5</v>
      </c>
      <c r="M2403" s="1" t="b">
        <f>Employee__2[[#This Row],[Experience]]&gt;1</f>
        <v>1</v>
      </c>
      <c r="N2403" s="1" t="str">
        <f>IF(Employee__2[[#This Row],[City]]="Pune","Yes","No")</f>
        <v>No</v>
      </c>
      <c r="O2403" s="1" t="str">
        <f>IF(AND(Employee__2[[#This Row],[Education]]="Bachelors",Employee__2[[#This Row],[City]]="Pune"),"Yes","No")</f>
        <v>No</v>
      </c>
      <c r="P2403" s="1" t="str">
        <f>IF(OR(Employee__2[[#This Row],[Age]]&gt;=30,Employee__2[[#This Row],[Gender]]="Male"),"Mached","Not mached")</f>
        <v>Mached</v>
      </c>
    </row>
    <row r="2404" spans="4:16" x14ac:dyDescent="0.25">
      <c r="D2404" s="6" t="s">
        <v>34</v>
      </c>
      <c r="E2404">
        <v>2012</v>
      </c>
      <c r="F2404" s="6" t="s">
        <v>35</v>
      </c>
      <c r="G2404">
        <v>3</v>
      </c>
      <c r="H2404">
        <v>28</v>
      </c>
      <c r="I2404" s="6" t="s">
        <v>39</v>
      </c>
      <c r="J2404" s="6" t="s">
        <v>37</v>
      </c>
      <c r="K2404">
        <v>1</v>
      </c>
      <c r="M2404" s="1" t="b">
        <f>Employee__2[[#This Row],[Experience]]&gt;1</f>
        <v>0</v>
      </c>
      <c r="N2404" s="1" t="str">
        <f>IF(Employee__2[[#This Row],[City]]="Pune","Yes","No")</f>
        <v>No</v>
      </c>
      <c r="O2404" s="1" t="str">
        <f>IF(AND(Employee__2[[#This Row],[Education]]="Bachelors",Employee__2[[#This Row],[City]]="Pune"),"Yes","No")</f>
        <v>No</v>
      </c>
      <c r="P2404" s="1" t="str">
        <f>IF(OR(Employee__2[[#This Row],[Age]]&gt;=30,Employee__2[[#This Row],[Gender]]="Male"),"Mached","Not mached")</f>
        <v>Not mached</v>
      </c>
    </row>
    <row r="2405" spans="4:16" x14ac:dyDescent="0.25">
      <c r="D2405" s="6" t="s">
        <v>41</v>
      </c>
      <c r="E2405">
        <v>2015</v>
      </c>
      <c r="F2405" s="6" t="s">
        <v>38</v>
      </c>
      <c r="G2405">
        <v>2</v>
      </c>
      <c r="H2405">
        <v>30</v>
      </c>
      <c r="I2405" s="6" t="s">
        <v>39</v>
      </c>
      <c r="J2405" s="6" t="s">
        <v>37</v>
      </c>
      <c r="K2405">
        <v>2</v>
      </c>
      <c r="M2405" s="1" t="b">
        <f>Employee__2[[#This Row],[Experience]]&gt;1</f>
        <v>1</v>
      </c>
      <c r="N2405" s="1" t="str">
        <f>IF(Employee__2[[#This Row],[City]]="Pune","Yes","No")</f>
        <v>Yes</v>
      </c>
      <c r="O2405" s="1" t="str">
        <f>IF(AND(Employee__2[[#This Row],[Education]]="Bachelors",Employee__2[[#This Row],[City]]="Pune"),"Yes","No")</f>
        <v>No</v>
      </c>
      <c r="P2405" s="1" t="str">
        <f>IF(OR(Employee__2[[#This Row],[Age]]&gt;=30,Employee__2[[#This Row],[Gender]]="Male"),"Mached","Not mached")</f>
        <v>Mached</v>
      </c>
    </row>
    <row r="2406" spans="4:16" x14ac:dyDescent="0.25">
      <c r="D2406" s="6" t="s">
        <v>41</v>
      </c>
      <c r="E2406">
        <v>2017</v>
      </c>
      <c r="F2406" s="6" t="s">
        <v>40</v>
      </c>
      <c r="G2406">
        <v>2</v>
      </c>
      <c r="H2406">
        <v>28</v>
      </c>
      <c r="I2406" s="6" t="s">
        <v>36</v>
      </c>
      <c r="J2406" s="6" t="s">
        <v>37</v>
      </c>
      <c r="K2406">
        <v>2</v>
      </c>
      <c r="M2406" s="1" t="b">
        <f>Employee__2[[#This Row],[Experience]]&gt;1</f>
        <v>1</v>
      </c>
      <c r="N2406" s="1" t="str">
        <f>IF(Employee__2[[#This Row],[City]]="Pune","Yes","No")</f>
        <v>No</v>
      </c>
      <c r="O2406" s="1" t="str">
        <f>IF(AND(Employee__2[[#This Row],[Education]]="Bachelors",Employee__2[[#This Row],[City]]="Pune"),"Yes","No")</f>
        <v>No</v>
      </c>
      <c r="P2406" s="1" t="str">
        <f>IF(OR(Employee__2[[#This Row],[Age]]&gt;=30,Employee__2[[#This Row],[Gender]]="Male"),"Mached","Not mached")</f>
        <v>Mached</v>
      </c>
    </row>
    <row r="2407" spans="4:16" x14ac:dyDescent="0.25">
      <c r="D2407" s="6" t="s">
        <v>41</v>
      </c>
      <c r="E2407">
        <v>2015</v>
      </c>
      <c r="F2407" s="6" t="s">
        <v>38</v>
      </c>
      <c r="G2407">
        <v>2</v>
      </c>
      <c r="H2407">
        <v>29</v>
      </c>
      <c r="I2407" s="6" t="s">
        <v>39</v>
      </c>
      <c r="J2407" s="6" t="s">
        <v>37</v>
      </c>
      <c r="K2407">
        <v>1</v>
      </c>
      <c r="M2407" s="1" t="b">
        <f>Employee__2[[#This Row],[Experience]]&gt;1</f>
        <v>0</v>
      </c>
      <c r="N2407" s="1" t="str">
        <f>IF(Employee__2[[#This Row],[City]]="Pune","Yes","No")</f>
        <v>Yes</v>
      </c>
      <c r="O2407" s="1" t="str">
        <f>IF(AND(Employee__2[[#This Row],[Education]]="Bachelors",Employee__2[[#This Row],[City]]="Pune"),"Yes","No")</f>
        <v>No</v>
      </c>
      <c r="P2407" s="1" t="str">
        <f>IF(OR(Employee__2[[#This Row],[Age]]&gt;=30,Employee__2[[#This Row],[Gender]]="Male"),"Mached","Not mached")</f>
        <v>Not mached</v>
      </c>
    </row>
    <row r="2408" spans="4:16" x14ac:dyDescent="0.25">
      <c r="D2408" s="6" t="s">
        <v>41</v>
      </c>
      <c r="E2408">
        <v>2015</v>
      </c>
      <c r="F2408" s="6" t="s">
        <v>35</v>
      </c>
      <c r="G2408">
        <v>3</v>
      </c>
      <c r="H2408">
        <v>26</v>
      </c>
      <c r="I2408" s="6" t="s">
        <v>36</v>
      </c>
      <c r="J2408" s="6" t="s">
        <v>37</v>
      </c>
      <c r="K2408">
        <v>4</v>
      </c>
      <c r="M2408" s="1" t="b">
        <f>Employee__2[[#This Row],[Experience]]&gt;1</f>
        <v>1</v>
      </c>
      <c r="N2408" s="1" t="str">
        <f>IF(Employee__2[[#This Row],[City]]="Pune","Yes","No")</f>
        <v>No</v>
      </c>
      <c r="O2408" s="1" t="str">
        <f>IF(AND(Employee__2[[#This Row],[Education]]="Bachelors",Employee__2[[#This Row],[City]]="Pune"),"Yes","No")</f>
        <v>No</v>
      </c>
      <c r="P2408" s="1" t="str">
        <f>IF(OR(Employee__2[[#This Row],[Age]]&gt;=30,Employee__2[[#This Row],[Gender]]="Male"),"Mached","Not mached")</f>
        <v>Mached</v>
      </c>
    </row>
    <row r="2409" spans="4:16" x14ac:dyDescent="0.25">
      <c r="D2409" s="6" t="s">
        <v>34</v>
      </c>
      <c r="E2409">
        <v>2013</v>
      </c>
      <c r="F2409" s="6" t="s">
        <v>35</v>
      </c>
      <c r="G2409">
        <v>3</v>
      </c>
      <c r="H2409">
        <v>26</v>
      </c>
      <c r="I2409" s="6" t="s">
        <v>36</v>
      </c>
      <c r="J2409" s="6" t="s">
        <v>37</v>
      </c>
      <c r="K2409">
        <v>4</v>
      </c>
      <c r="M2409" s="1" t="b">
        <f>Employee__2[[#This Row],[Experience]]&gt;1</f>
        <v>1</v>
      </c>
      <c r="N2409" s="1" t="str">
        <f>IF(Employee__2[[#This Row],[City]]="Pune","Yes","No")</f>
        <v>No</v>
      </c>
      <c r="O2409" s="1" t="str">
        <f>IF(AND(Employee__2[[#This Row],[Education]]="Bachelors",Employee__2[[#This Row],[City]]="Pune"),"Yes","No")</f>
        <v>No</v>
      </c>
      <c r="P2409" s="1" t="str">
        <f>IF(OR(Employee__2[[#This Row],[Age]]&gt;=30,Employee__2[[#This Row],[Gender]]="Male"),"Mached","Not mached")</f>
        <v>Mached</v>
      </c>
    </row>
    <row r="2410" spans="4:16" x14ac:dyDescent="0.25">
      <c r="D2410" s="6" t="s">
        <v>34</v>
      </c>
      <c r="E2410">
        <v>2017</v>
      </c>
      <c r="F2410" s="6" t="s">
        <v>35</v>
      </c>
      <c r="G2410">
        <v>3</v>
      </c>
      <c r="H2410">
        <v>29</v>
      </c>
      <c r="I2410" s="6" t="s">
        <v>39</v>
      </c>
      <c r="J2410" s="6" t="s">
        <v>37</v>
      </c>
      <c r="K2410">
        <v>1</v>
      </c>
      <c r="M2410" s="1" t="b">
        <f>Employee__2[[#This Row],[Experience]]&gt;1</f>
        <v>0</v>
      </c>
      <c r="N2410" s="1" t="str">
        <f>IF(Employee__2[[#This Row],[City]]="Pune","Yes","No")</f>
        <v>No</v>
      </c>
      <c r="O2410" s="1" t="str">
        <f>IF(AND(Employee__2[[#This Row],[Education]]="Bachelors",Employee__2[[#This Row],[City]]="Pune"),"Yes","No")</f>
        <v>No</v>
      </c>
      <c r="P2410" s="1" t="str">
        <f>IF(OR(Employee__2[[#This Row],[Age]]&gt;=30,Employee__2[[#This Row],[Gender]]="Male"),"Mached","Not mached")</f>
        <v>Not mached</v>
      </c>
    </row>
    <row r="2411" spans="4:16" x14ac:dyDescent="0.25">
      <c r="D2411" s="6" t="s">
        <v>34</v>
      </c>
      <c r="E2411">
        <v>2017</v>
      </c>
      <c r="F2411" s="6" t="s">
        <v>35</v>
      </c>
      <c r="G2411">
        <v>3</v>
      </c>
      <c r="H2411">
        <v>27</v>
      </c>
      <c r="I2411" s="6" t="s">
        <v>36</v>
      </c>
      <c r="J2411" s="6" t="s">
        <v>42</v>
      </c>
      <c r="K2411">
        <v>5</v>
      </c>
      <c r="M2411" s="1" t="b">
        <f>Employee__2[[#This Row],[Experience]]&gt;1</f>
        <v>1</v>
      </c>
      <c r="N2411" s="1" t="str">
        <f>IF(Employee__2[[#This Row],[City]]="Pune","Yes","No")</f>
        <v>No</v>
      </c>
      <c r="O2411" s="1" t="str">
        <f>IF(AND(Employee__2[[#This Row],[Education]]="Bachelors",Employee__2[[#This Row],[City]]="Pune"),"Yes","No")</f>
        <v>No</v>
      </c>
      <c r="P2411" s="1" t="str">
        <f>IF(OR(Employee__2[[#This Row],[Age]]&gt;=30,Employee__2[[#This Row],[Gender]]="Male"),"Mached","Not mached")</f>
        <v>Mached</v>
      </c>
    </row>
    <row r="2412" spans="4:16" x14ac:dyDescent="0.25">
      <c r="D2412" s="6" t="s">
        <v>34</v>
      </c>
      <c r="E2412">
        <v>2014</v>
      </c>
      <c r="F2412" s="6" t="s">
        <v>40</v>
      </c>
      <c r="G2412">
        <v>3</v>
      </c>
      <c r="H2412">
        <v>29</v>
      </c>
      <c r="I2412" s="6" t="s">
        <v>39</v>
      </c>
      <c r="J2412" s="6" t="s">
        <v>37</v>
      </c>
      <c r="K2412">
        <v>2</v>
      </c>
      <c r="M2412" s="1" t="b">
        <f>Employee__2[[#This Row],[Experience]]&gt;1</f>
        <v>1</v>
      </c>
      <c r="N2412" s="1" t="str">
        <f>IF(Employee__2[[#This Row],[City]]="Pune","Yes","No")</f>
        <v>No</v>
      </c>
      <c r="O2412" s="1" t="str">
        <f>IF(AND(Employee__2[[#This Row],[Education]]="Bachelors",Employee__2[[#This Row],[City]]="Pune"),"Yes","No")</f>
        <v>No</v>
      </c>
      <c r="P2412" s="1" t="str">
        <f>IF(OR(Employee__2[[#This Row],[Age]]&gt;=30,Employee__2[[#This Row],[Gender]]="Male"),"Mached","Not mached")</f>
        <v>Not mached</v>
      </c>
    </row>
    <row r="2413" spans="4:16" x14ac:dyDescent="0.25">
      <c r="D2413" s="6" t="s">
        <v>34</v>
      </c>
      <c r="E2413">
        <v>2017</v>
      </c>
      <c r="F2413" s="6" t="s">
        <v>40</v>
      </c>
      <c r="G2413">
        <v>3</v>
      </c>
      <c r="H2413">
        <v>27</v>
      </c>
      <c r="I2413" s="6" t="s">
        <v>39</v>
      </c>
      <c r="J2413" s="6" t="s">
        <v>37</v>
      </c>
      <c r="K2413">
        <v>5</v>
      </c>
      <c r="M2413" s="1" t="b">
        <f>Employee__2[[#This Row],[Experience]]&gt;1</f>
        <v>1</v>
      </c>
      <c r="N2413" s="1" t="str">
        <f>IF(Employee__2[[#This Row],[City]]="Pune","Yes","No")</f>
        <v>No</v>
      </c>
      <c r="O2413" s="1" t="str">
        <f>IF(AND(Employee__2[[#This Row],[Education]]="Bachelors",Employee__2[[#This Row],[City]]="Pune"),"Yes","No")</f>
        <v>No</v>
      </c>
      <c r="P2413" s="1" t="str">
        <f>IF(OR(Employee__2[[#This Row],[Age]]&gt;=30,Employee__2[[#This Row],[Gender]]="Male"),"Mached","Not mached")</f>
        <v>Not mached</v>
      </c>
    </row>
    <row r="2414" spans="4:16" x14ac:dyDescent="0.25">
      <c r="D2414" s="6" t="s">
        <v>41</v>
      </c>
      <c r="E2414">
        <v>2017</v>
      </c>
      <c r="F2414" s="6" t="s">
        <v>38</v>
      </c>
      <c r="G2414">
        <v>2</v>
      </c>
      <c r="H2414">
        <v>28</v>
      </c>
      <c r="I2414" s="6" t="s">
        <v>39</v>
      </c>
      <c r="J2414" s="6" t="s">
        <v>37</v>
      </c>
      <c r="K2414">
        <v>2</v>
      </c>
      <c r="M2414" s="1" t="b">
        <f>Employee__2[[#This Row],[Experience]]&gt;1</f>
        <v>1</v>
      </c>
      <c r="N2414" s="1" t="str">
        <f>IF(Employee__2[[#This Row],[City]]="Pune","Yes","No")</f>
        <v>Yes</v>
      </c>
      <c r="O2414" s="1" t="str">
        <f>IF(AND(Employee__2[[#This Row],[Education]]="Bachelors",Employee__2[[#This Row],[City]]="Pune"),"Yes","No")</f>
        <v>No</v>
      </c>
      <c r="P2414" s="1" t="str">
        <f>IF(OR(Employee__2[[#This Row],[Age]]&gt;=30,Employee__2[[#This Row],[Gender]]="Male"),"Mached","Not mached")</f>
        <v>Not mached</v>
      </c>
    </row>
    <row r="2415" spans="4:16" x14ac:dyDescent="0.25">
      <c r="D2415" s="6" t="s">
        <v>41</v>
      </c>
      <c r="E2415">
        <v>2013</v>
      </c>
      <c r="F2415" s="6" t="s">
        <v>40</v>
      </c>
      <c r="G2415">
        <v>3</v>
      </c>
      <c r="H2415">
        <v>27</v>
      </c>
      <c r="I2415" s="6" t="s">
        <v>39</v>
      </c>
      <c r="J2415" s="6" t="s">
        <v>37</v>
      </c>
      <c r="K2415">
        <v>5</v>
      </c>
      <c r="M2415" s="1" t="b">
        <f>Employee__2[[#This Row],[Experience]]&gt;1</f>
        <v>1</v>
      </c>
      <c r="N2415" s="1" t="str">
        <f>IF(Employee__2[[#This Row],[City]]="Pune","Yes","No")</f>
        <v>No</v>
      </c>
      <c r="O2415" s="1" t="str">
        <f>IF(AND(Employee__2[[#This Row],[Education]]="Bachelors",Employee__2[[#This Row],[City]]="Pune"),"Yes","No")</f>
        <v>No</v>
      </c>
      <c r="P2415" s="1" t="str">
        <f>IF(OR(Employee__2[[#This Row],[Age]]&gt;=30,Employee__2[[#This Row],[Gender]]="Male"),"Mached","Not mached")</f>
        <v>Not mached</v>
      </c>
    </row>
    <row r="2416" spans="4:16" x14ac:dyDescent="0.25">
      <c r="D2416" s="6" t="s">
        <v>41</v>
      </c>
      <c r="E2416">
        <v>2017</v>
      </c>
      <c r="F2416" s="6" t="s">
        <v>40</v>
      </c>
      <c r="G2416">
        <v>3</v>
      </c>
      <c r="H2416">
        <v>27</v>
      </c>
      <c r="I2416" s="6" t="s">
        <v>36</v>
      </c>
      <c r="J2416" s="6" t="s">
        <v>42</v>
      </c>
      <c r="K2416">
        <v>5</v>
      </c>
      <c r="M2416" s="1" t="b">
        <f>Employee__2[[#This Row],[Experience]]&gt;1</f>
        <v>1</v>
      </c>
      <c r="N2416" s="1" t="str">
        <f>IF(Employee__2[[#This Row],[City]]="Pune","Yes","No")</f>
        <v>No</v>
      </c>
      <c r="O2416" s="1" t="str">
        <f>IF(AND(Employee__2[[#This Row],[Education]]="Bachelors",Employee__2[[#This Row],[City]]="Pune"),"Yes","No")</f>
        <v>No</v>
      </c>
      <c r="P2416" s="1" t="str">
        <f>IF(OR(Employee__2[[#This Row],[Age]]&gt;=30,Employee__2[[#This Row],[Gender]]="Male"),"Mached","Not mached")</f>
        <v>Mached</v>
      </c>
    </row>
    <row r="2417" spans="4:16" x14ac:dyDescent="0.25">
      <c r="D2417" s="6" t="s">
        <v>34</v>
      </c>
      <c r="E2417">
        <v>2013</v>
      </c>
      <c r="F2417" s="6" t="s">
        <v>35</v>
      </c>
      <c r="G2417">
        <v>3</v>
      </c>
      <c r="H2417">
        <v>30</v>
      </c>
      <c r="I2417" s="6" t="s">
        <v>36</v>
      </c>
      <c r="J2417" s="6" t="s">
        <v>37</v>
      </c>
      <c r="K2417">
        <v>2</v>
      </c>
      <c r="M2417" s="1" t="b">
        <f>Employee__2[[#This Row],[Experience]]&gt;1</f>
        <v>1</v>
      </c>
      <c r="N2417" s="1" t="str">
        <f>IF(Employee__2[[#This Row],[City]]="Pune","Yes","No")</f>
        <v>No</v>
      </c>
      <c r="O2417" s="1" t="str">
        <f>IF(AND(Employee__2[[#This Row],[Education]]="Bachelors",Employee__2[[#This Row],[City]]="Pune"),"Yes","No")</f>
        <v>No</v>
      </c>
      <c r="P2417" s="1" t="str">
        <f>IF(OR(Employee__2[[#This Row],[Age]]&gt;=30,Employee__2[[#This Row],[Gender]]="Male"),"Mached","Not mached")</f>
        <v>Mached</v>
      </c>
    </row>
    <row r="2418" spans="4:16" x14ac:dyDescent="0.25">
      <c r="D2418" s="6" t="s">
        <v>34</v>
      </c>
      <c r="E2418">
        <v>2015</v>
      </c>
      <c r="F2418" s="6" t="s">
        <v>38</v>
      </c>
      <c r="G2418">
        <v>2</v>
      </c>
      <c r="H2418">
        <v>27</v>
      </c>
      <c r="I2418" s="6" t="s">
        <v>39</v>
      </c>
      <c r="J2418" s="6" t="s">
        <v>42</v>
      </c>
      <c r="K2418">
        <v>5</v>
      </c>
      <c r="M2418" s="1" t="b">
        <f>Employee__2[[#This Row],[Experience]]&gt;1</f>
        <v>1</v>
      </c>
      <c r="N2418" s="1" t="str">
        <f>IF(Employee__2[[#This Row],[City]]="Pune","Yes","No")</f>
        <v>Yes</v>
      </c>
      <c r="O2418" s="1" t="str">
        <f>IF(AND(Employee__2[[#This Row],[Education]]="Bachelors",Employee__2[[#This Row],[City]]="Pune"),"Yes","No")</f>
        <v>Yes</v>
      </c>
      <c r="P2418" s="1" t="str">
        <f>IF(OR(Employee__2[[#This Row],[Age]]&gt;=30,Employee__2[[#This Row],[Gender]]="Male"),"Mached","Not mached")</f>
        <v>Not mached</v>
      </c>
    </row>
    <row r="2419" spans="4:16" x14ac:dyDescent="0.25">
      <c r="D2419" s="6" t="s">
        <v>34</v>
      </c>
      <c r="E2419">
        <v>2014</v>
      </c>
      <c r="F2419" s="6" t="s">
        <v>35</v>
      </c>
      <c r="G2419">
        <v>3</v>
      </c>
      <c r="H2419">
        <v>26</v>
      </c>
      <c r="I2419" s="6" t="s">
        <v>36</v>
      </c>
      <c r="J2419" s="6" t="s">
        <v>37</v>
      </c>
      <c r="K2419">
        <v>4</v>
      </c>
      <c r="M2419" s="1" t="b">
        <f>Employee__2[[#This Row],[Experience]]&gt;1</f>
        <v>1</v>
      </c>
      <c r="N2419" s="1" t="str">
        <f>IF(Employee__2[[#This Row],[City]]="Pune","Yes","No")</f>
        <v>No</v>
      </c>
      <c r="O2419" s="1" t="str">
        <f>IF(AND(Employee__2[[#This Row],[Education]]="Bachelors",Employee__2[[#This Row],[City]]="Pune"),"Yes","No")</f>
        <v>No</v>
      </c>
      <c r="P2419" s="1" t="str">
        <f>IF(OR(Employee__2[[#This Row],[Age]]&gt;=30,Employee__2[[#This Row],[Gender]]="Male"),"Mached","Not mached")</f>
        <v>Mached</v>
      </c>
    </row>
    <row r="2420" spans="4:16" x14ac:dyDescent="0.25">
      <c r="D2420" s="6" t="s">
        <v>34</v>
      </c>
      <c r="E2420">
        <v>2015</v>
      </c>
      <c r="F2420" s="6" t="s">
        <v>35</v>
      </c>
      <c r="G2420">
        <v>2</v>
      </c>
      <c r="H2420">
        <v>27</v>
      </c>
      <c r="I2420" s="6" t="s">
        <v>39</v>
      </c>
      <c r="J2420" s="6" t="s">
        <v>37</v>
      </c>
      <c r="K2420">
        <v>5</v>
      </c>
      <c r="M2420" s="1" t="b">
        <f>Employee__2[[#This Row],[Experience]]&gt;1</f>
        <v>1</v>
      </c>
      <c r="N2420" s="1" t="str">
        <f>IF(Employee__2[[#This Row],[City]]="Pune","Yes","No")</f>
        <v>No</v>
      </c>
      <c r="O2420" s="1" t="str">
        <f>IF(AND(Employee__2[[#This Row],[Education]]="Bachelors",Employee__2[[#This Row],[City]]="Pune"),"Yes","No")</f>
        <v>No</v>
      </c>
      <c r="P2420" s="1" t="str">
        <f>IF(OR(Employee__2[[#This Row],[Age]]&gt;=30,Employee__2[[#This Row],[Gender]]="Male"),"Mached","Not mached")</f>
        <v>Not mached</v>
      </c>
    </row>
    <row r="2421" spans="4:16" x14ac:dyDescent="0.25">
      <c r="D2421" s="6" t="s">
        <v>34</v>
      </c>
      <c r="E2421">
        <v>2015</v>
      </c>
      <c r="F2421" s="6" t="s">
        <v>35</v>
      </c>
      <c r="G2421">
        <v>3</v>
      </c>
      <c r="H2421">
        <v>30</v>
      </c>
      <c r="I2421" s="6" t="s">
        <v>36</v>
      </c>
      <c r="J2421" s="6" t="s">
        <v>37</v>
      </c>
      <c r="K2421">
        <v>2</v>
      </c>
      <c r="M2421" s="1" t="b">
        <f>Employee__2[[#This Row],[Experience]]&gt;1</f>
        <v>1</v>
      </c>
      <c r="N2421" s="1" t="str">
        <f>IF(Employee__2[[#This Row],[City]]="Pune","Yes","No")</f>
        <v>No</v>
      </c>
      <c r="O2421" s="1" t="str">
        <f>IF(AND(Employee__2[[#This Row],[Education]]="Bachelors",Employee__2[[#This Row],[City]]="Pune"),"Yes","No")</f>
        <v>No</v>
      </c>
      <c r="P2421" s="1" t="str">
        <f>IF(OR(Employee__2[[#This Row],[Age]]&gt;=30,Employee__2[[#This Row],[Gender]]="Male"),"Mached","Not mached")</f>
        <v>Mached</v>
      </c>
    </row>
    <row r="2422" spans="4:16" x14ac:dyDescent="0.25">
      <c r="D2422" s="6" t="s">
        <v>41</v>
      </c>
      <c r="E2422">
        <v>2017</v>
      </c>
      <c r="F2422" s="6" t="s">
        <v>35</v>
      </c>
      <c r="G2422">
        <v>2</v>
      </c>
      <c r="H2422">
        <v>27</v>
      </c>
      <c r="I2422" s="6" t="s">
        <v>36</v>
      </c>
      <c r="J2422" s="6" t="s">
        <v>37</v>
      </c>
      <c r="K2422">
        <v>5</v>
      </c>
      <c r="M2422" s="1" t="b">
        <f>Employee__2[[#This Row],[Experience]]&gt;1</f>
        <v>1</v>
      </c>
      <c r="N2422" s="1" t="str">
        <f>IF(Employee__2[[#This Row],[City]]="Pune","Yes","No")</f>
        <v>No</v>
      </c>
      <c r="O2422" s="1" t="str">
        <f>IF(AND(Employee__2[[#This Row],[Education]]="Bachelors",Employee__2[[#This Row],[City]]="Pune"),"Yes","No")</f>
        <v>No</v>
      </c>
      <c r="P2422" s="1" t="str">
        <f>IF(OR(Employee__2[[#This Row],[Age]]&gt;=30,Employee__2[[#This Row],[Gender]]="Male"),"Mached","Not mached")</f>
        <v>Mached</v>
      </c>
    </row>
    <row r="2423" spans="4:16" x14ac:dyDescent="0.25">
      <c r="D2423" s="6" t="s">
        <v>34</v>
      </c>
      <c r="E2423">
        <v>2017</v>
      </c>
      <c r="F2423" s="6" t="s">
        <v>35</v>
      </c>
      <c r="G2423">
        <v>3</v>
      </c>
      <c r="H2423">
        <v>30</v>
      </c>
      <c r="I2423" s="6" t="s">
        <v>36</v>
      </c>
      <c r="J2423" s="6" t="s">
        <v>37</v>
      </c>
      <c r="K2423">
        <v>2</v>
      </c>
      <c r="M2423" s="1" t="b">
        <f>Employee__2[[#This Row],[Experience]]&gt;1</f>
        <v>1</v>
      </c>
      <c r="N2423" s="1" t="str">
        <f>IF(Employee__2[[#This Row],[City]]="Pune","Yes","No")</f>
        <v>No</v>
      </c>
      <c r="O2423" s="1" t="str">
        <f>IF(AND(Employee__2[[#This Row],[Education]]="Bachelors",Employee__2[[#This Row],[City]]="Pune"),"Yes","No")</f>
        <v>No</v>
      </c>
      <c r="P2423" s="1" t="str">
        <f>IF(OR(Employee__2[[#This Row],[Age]]&gt;=30,Employee__2[[#This Row],[Gender]]="Male"),"Mached","Not mached")</f>
        <v>Mached</v>
      </c>
    </row>
    <row r="2424" spans="4:16" x14ac:dyDescent="0.25">
      <c r="D2424" s="6" t="s">
        <v>34</v>
      </c>
      <c r="E2424">
        <v>2016</v>
      </c>
      <c r="F2424" s="6" t="s">
        <v>38</v>
      </c>
      <c r="G2424">
        <v>2</v>
      </c>
      <c r="H2424">
        <v>30</v>
      </c>
      <c r="I2424" s="6" t="s">
        <v>39</v>
      </c>
      <c r="J2424" s="6" t="s">
        <v>37</v>
      </c>
      <c r="K2424">
        <v>2</v>
      </c>
      <c r="M2424" s="1" t="b">
        <f>Employee__2[[#This Row],[Experience]]&gt;1</f>
        <v>1</v>
      </c>
      <c r="N2424" s="1" t="str">
        <f>IF(Employee__2[[#This Row],[City]]="Pune","Yes","No")</f>
        <v>Yes</v>
      </c>
      <c r="O2424" s="1" t="str">
        <f>IF(AND(Employee__2[[#This Row],[Education]]="Bachelors",Employee__2[[#This Row],[City]]="Pune"),"Yes","No")</f>
        <v>Yes</v>
      </c>
      <c r="P2424" s="1" t="str">
        <f>IF(OR(Employee__2[[#This Row],[Age]]&gt;=30,Employee__2[[#This Row],[Gender]]="Male"),"Mached","Not mached")</f>
        <v>Mached</v>
      </c>
    </row>
    <row r="2425" spans="4:16" x14ac:dyDescent="0.25">
      <c r="D2425" s="6" t="s">
        <v>41</v>
      </c>
      <c r="E2425">
        <v>2016</v>
      </c>
      <c r="F2425" s="6" t="s">
        <v>38</v>
      </c>
      <c r="G2425">
        <v>1</v>
      </c>
      <c r="H2425">
        <v>27</v>
      </c>
      <c r="I2425" s="6" t="s">
        <v>39</v>
      </c>
      <c r="J2425" s="6" t="s">
        <v>37</v>
      </c>
      <c r="K2425">
        <v>5</v>
      </c>
      <c r="M2425" s="1" t="b">
        <f>Employee__2[[#This Row],[Experience]]&gt;1</f>
        <v>1</v>
      </c>
      <c r="N2425" s="1" t="str">
        <f>IF(Employee__2[[#This Row],[City]]="Pune","Yes","No")</f>
        <v>Yes</v>
      </c>
      <c r="O2425" s="1" t="str">
        <f>IF(AND(Employee__2[[#This Row],[Education]]="Bachelors",Employee__2[[#This Row],[City]]="Pune"),"Yes","No")</f>
        <v>No</v>
      </c>
      <c r="P2425" s="1" t="str">
        <f>IF(OR(Employee__2[[#This Row],[Age]]&gt;=30,Employee__2[[#This Row],[Gender]]="Male"),"Mached","Not mached")</f>
        <v>Not mached</v>
      </c>
    </row>
    <row r="2426" spans="4:16" x14ac:dyDescent="0.25">
      <c r="D2426" s="6" t="s">
        <v>34</v>
      </c>
      <c r="E2426">
        <v>2012</v>
      </c>
      <c r="F2426" s="6" t="s">
        <v>35</v>
      </c>
      <c r="G2426">
        <v>3</v>
      </c>
      <c r="H2426">
        <v>26</v>
      </c>
      <c r="I2426" s="6" t="s">
        <v>36</v>
      </c>
      <c r="J2426" s="6" t="s">
        <v>37</v>
      </c>
      <c r="K2426">
        <v>4</v>
      </c>
      <c r="M2426" s="1" t="b">
        <f>Employee__2[[#This Row],[Experience]]&gt;1</f>
        <v>1</v>
      </c>
      <c r="N2426" s="1" t="str">
        <f>IF(Employee__2[[#This Row],[City]]="Pune","Yes","No")</f>
        <v>No</v>
      </c>
      <c r="O2426" s="1" t="str">
        <f>IF(AND(Employee__2[[#This Row],[Education]]="Bachelors",Employee__2[[#This Row],[City]]="Pune"),"Yes","No")</f>
        <v>No</v>
      </c>
      <c r="P2426" s="1" t="str">
        <f>IF(OR(Employee__2[[#This Row],[Age]]&gt;=30,Employee__2[[#This Row],[Gender]]="Male"),"Mached","Not mached")</f>
        <v>Mached</v>
      </c>
    </row>
    <row r="2427" spans="4:16" x14ac:dyDescent="0.25">
      <c r="D2427" s="6" t="s">
        <v>34</v>
      </c>
      <c r="E2427">
        <v>2014</v>
      </c>
      <c r="F2427" s="6" t="s">
        <v>35</v>
      </c>
      <c r="G2427">
        <v>3</v>
      </c>
      <c r="H2427">
        <v>27</v>
      </c>
      <c r="I2427" s="6" t="s">
        <v>36</v>
      </c>
      <c r="J2427" s="6" t="s">
        <v>37</v>
      </c>
      <c r="K2427">
        <v>5</v>
      </c>
      <c r="M2427" s="1" t="b">
        <f>Employee__2[[#This Row],[Experience]]&gt;1</f>
        <v>1</v>
      </c>
      <c r="N2427" s="1" t="str">
        <f>IF(Employee__2[[#This Row],[City]]="Pune","Yes","No")</f>
        <v>No</v>
      </c>
      <c r="O2427" s="1" t="str">
        <f>IF(AND(Employee__2[[#This Row],[Education]]="Bachelors",Employee__2[[#This Row],[City]]="Pune"),"Yes","No")</f>
        <v>No</v>
      </c>
      <c r="P2427" s="1" t="str">
        <f>IF(OR(Employee__2[[#This Row],[Age]]&gt;=30,Employee__2[[#This Row],[Gender]]="Male"),"Mached","Not mached")</f>
        <v>Mached</v>
      </c>
    </row>
    <row r="2428" spans="4:16" x14ac:dyDescent="0.25">
      <c r="D2428" s="6" t="s">
        <v>34</v>
      </c>
      <c r="E2428">
        <v>2015</v>
      </c>
      <c r="F2428" s="6" t="s">
        <v>38</v>
      </c>
      <c r="G2428">
        <v>3</v>
      </c>
      <c r="H2428">
        <v>29</v>
      </c>
      <c r="I2428" s="6" t="s">
        <v>39</v>
      </c>
      <c r="J2428" s="6" t="s">
        <v>37</v>
      </c>
      <c r="K2428">
        <v>2</v>
      </c>
      <c r="M2428" s="1" t="b">
        <f>Employee__2[[#This Row],[Experience]]&gt;1</f>
        <v>1</v>
      </c>
      <c r="N2428" s="1" t="str">
        <f>IF(Employee__2[[#This Row],[City]]="Pune","Yes","No")</f>
        <v>Yes</v>
      </c>
      <c r="O2428" s="1" t="str">
        <f>IF(AND(Employee__2[[#This Row],[Education]]="Bachelors",Employee__2[[#This Row],[City]]="Pune"),"Yes","No")</f>
        <v>Yes</v>
      </c>
      <c r="P2428" s="1" t="str">
        <f>IF(OR(Employee__2[[#This Row],[Age]]&gt;=30,Employee__2[[#This Row],[Gender]]="Male"),"Mached","Not mached")</f>
        <v>Not mached</v>
      </c>
    </row>
    <row r="2429" spans="4:16" x14ac:dyDescent="0.25">
      <c r="D2429" s="6" t="s">
        <v>34</v>
      </c>
      <c r="E2429">
        <v>2013</v>
      </c>
      <c r="F2429" s="6" t="s">
        <v>40</v>
      </c>
      <c r="G2429">
        <v>3</v>
      </c>
      <c r="H2429">
        <v>26</v>
      </c>
      <c r="I2429" s="6" t="s">
        <v>36</v>
      </c>
      <c r="J2429" s="6" t="s">
        <v>37</v>
      </c>
      <c r="K2429">
        <v>4</v>
      </c>
      <c r="M2429" s="1" t="b">
        <f>Employee__2[[#This Row],[Experience]]&gt;1</f>
        <v>1</v>
      </c>
      <c r="N2429" s="1" t="str">
        <f>IF(Employee__2[[#This Row],[City]]="Pune","Yes","No")</f>
        <v>No</v>
      </c>
      <c r="O2429" s="1" t="str">
        <f>IF(AND(Employee__2[[#This Row],[Education]]="Bachelors",Employee__2[[#This Row],[City]]="Pune"),"Yes","No")</f>
        <v>No</v>
      </c>
      <c r="P2429" s="1" t="str">
        <f>IF(OR(Employee__2[[#This Row],[Age]]&gt;=30,Employee__2[[#This Row],[Gender]]="Male"),"Mached","Not mached")</f>
        <v>Mached</v>
      </c>
    </row>
    <row r="2430" spans="4:16" x14ac:dyDescent="0.25">
      <c r="D2430" s="6" t="s">
        <v>34</v>
      </c>
      <c r="E2430">
        <v>2015</v>
      </c>
      <c r="F2430" s="6" t="s">
        <v>38</v>
      </c>
      <c r="G2430">
        <v>2</v>
      </c>
      <c r="H2430">
        <v>29</v>
      </c>
      <c r="I2430" s="6" t="s">
        <v>39</v>
      </c>
      <c r="J2430" s="6" t="s">
        <v>37</v>
      </c>
      <c r="K2430">
        <v>2</v>
      </c>
      <c r="M2430" s="1" t="b">
        <f>Employee__2[[#This Row],[Experience]]&gt;1</f>
        <v>1</v>
      </c>
      <c r="N2430" s="1" t="str">
        <f>IF(Employee__2[[#This Row],[City]]="Pune","Yes","No")</f>
        <v>Yes</v>
      </c>
      <c r="O2430" s="1" t="str">
        <f>IF(AND(Employee__2[[#This Row],[Education]]="Bachelors",Employee__2[[#This Row],[City]]="Pune"),"Yes","No")</f>
        <v>Yes</v>
      </c>
      <c r="P2430" s="1" t="str">
        <f>IF(OR(Employee__2[[#This Row],[Age]]&gt;=30,Employee__2[[#This Row],[Gender]]="Male"),"Mached","Not mached")</f>
        <v>Not mached</v>
      </c>
    </row>
    <row r="2431" spans="4:16" x14ac:dyDescent="0.25">
      <c r="D2431" s="6" t="s">
        <v>34</v>
      </c>
      <c r="E2431">
        <v>2013</v>
      </c>
      <c r="F2431" s="6" t="s">
        <v>38</v>
      </c>
      <c r="G2431">
        <v>3</v>
      </c>
      <c r="H2431">
        <v>28</v>
      </c>
      <c r="I2431" s="6" t="s">
        <v>36</v>
      </c>
      <c r="J2431" s="6" t="s">
        <v>37</v>
      </c>
      <c r="K2431">
        <v>2</v>
      </c>
      <c r="M2431" s="1" t="b">
        <f>Employee__2[[#This Row],[Experience]]&gt;1</f>
        <v>1</v>
      </c>
      <c r="N2431" s="1" t="str">
        <f>IF(Employee__2[[#This Row],[City]]="Pune","Yes","No")</f>
        <v>Yes</v>
      </c>
      <c r="O2431" s="1" t="str">
        <f>IF(AND(Employee__2[[#This Row],[Education]]="Bachelors",Employee__2[[#This Row],[City]]="Pune"),"Yes","No")</f>
        <v>Yes</v>
      </c>
      <c r="P2431" s="1" t="str">
        <f>IF(OR(Employee__2[[#This Row],[Age]]&gt;=30,Employee__2[[#This Row],[Gender]]="Male"),"Mached","Not mached")</f>
        <v>Mached</v>
      </c>
    </row>
    <row r="2432" spans="4:16" x14ac:dyDescent="0.25">
      <c r="D2432" s="6" t="s">
        <v>34</v>
      </c>
      <c r="E2432">
        <v>2013</v>
      </c>
      <c r="F2432" s="6" t="s">
        <v>38</v>
      </c>
      <c r="G2432">
        <v>2</v>
      </c>
      <c r="H2432">
        <v>27</v>
      </c>
      <c r="I2432" s="6" t="s">
        <v>36</v>
      </c>
      <c r="J2432" s="6" t="s">
        <v>37</v>
      </c>
      <c r="K2432">
        <v>5</v>
      </c>
      <c r="M2432" s="1" t="b">
        <f>Employee__2[[#This Row],[Experience]]&gt;1</f>
        <v>1</v>
      </c>
      <c r="N2432" s="1" t="str">
        <f>IF(Employee__2[[#This Row],[City]]="Pune","Yes","No")</f>
        <v>Yes</v>
      </c>
      <c r="O2432" s="1" t="str">
        <f>IF(AND(Employee__2[[#This Row],[Education]]="Bachelors",Employee__2[[#This Row],[City]]="Pune"),"Yes","No")</f>
        <v>Yes</v>
      </c>
      <c r="P2432" s="1" t="str">
        <f>IF(OR(Employee__2[[#This Row],[Age]]&gt;=30,Employee__2[[#This Row],[Gender]]="Male"),"Mached","Not mached")</f>
        <v>Mached</v>
      </c>
    </row>
    <row r="2433" spans="4:16" x14ac:dyDescent="0.25">
      <c r="D2433" s="6" t="s">
        <v>41</v>
      </c>
      <c r="E2433">
        <v>2014</v>
      </c>
      <c r="F2433" s="6" t="s">
        <v>40</v>
      </c>
      <c r="G2433">
        <v>3</v>
      </c>
      <c r="H2433">
        <v>28</v>
      </c>
      <c r="I2433" s="6" t="s">
        <v>36</v>
      </c>
      <c r="J2433" s="6" t="s">
        <v>37</v>
      </c>
      <c r="K2433">
        <v>1</v>
      </c>
      <c r="M2433" s="1" t="b">
        <f>Employee__2[[#This Row],[Experience]]&gt;1</f>
        <v>0</v>
      </c>
      <c r="N2433" s="1" t="str">
        <f>IF(Employee__2[[#This Row],[City]]="Pune","Yes","No")</f>
        <v>No</v>
      </c>
      <c r="O2433" s="1" t="str">
        <f>IF(AND(Employee__2[[#This Row],[Education]]="Bachelors",Employee__2[[#This Row],[City]]="Pune"),"Yes","No")</f>
        <v>No</v>
      </c>
      <c r="P2433" s="1" t="str">
        <f>IF(OR(Employee__2[[#This Row],[Age]]&gt;=30,Employee__2[[#This Row],[Gender]]="Male"),"Mached","Not mached")</f>
        <v>Mached</v>
      </c>
    </row>
    <row r="2434" spans="4:16" x14ac:dyDescent="0.25">
      <c r="D2434" s="6" t="s">
        <v>34</v>
      </c>
      <c r="E2434">
        <v>2016</v>
      </c>
      <c r="F2434" s="6" t="s">
        <v>40</v>
      </c>
      <c r="G2434">
        <v>3</v>
      </c>
      <c r="H2434">
        <v>27</v>
      </c>
      <c r="I2434" s="6" t="s">
        <v>39</v>
      </c>
      <c r="J2434" s="6" t="s">
        <v>37</v>
      </c>
      <c r="K2434">
        <v>5</v>
      </c>
      <c r="M2434" s="1" t="b">
        <f>Employee__2[[#This Row],[Experience]]&gt;1</f>
        <v>1</v>
      </c>
      <c r="N2434" s="1" t="str">
        <f>IF(Employee__2[[#This Row],[City]]="Pune","Yes","No")</f>
        <v>No</v>
      </c>
      <c r="O2434" s="1" t="str">
        <f>IF(AND(Employee__2[[#This Row],[Education]]="Bachelors",Employee__2[[#This Row],[City]]="Pune"),"Yes","No")</f>
        <v>No</v>
      </c>
      <c r="P2434" s="1" t="str">
        <f>IF(OR(Employee__2[[#This Row],[Age]]&gt;=30,Employee__2[[#This Row],[Gender]]="Male"),"Mached","Not mached")</f>
        <v>Not mached</v>
      </c>
    </row>
    <row r="2435" spans="4:16" x14ac:dyDescent="0.25">
      <c r="D2435" s="6" t="s">
        <v>34</v>
      </c>
      <c r="E2435">
        <v>2016</v>
      </c>
      <c r="F2435" s="6" t="s">
        <v>40</v>
      </c>
      <c r="G2435">
        <v>3</v>
      </c>
      <c r="H2435">
        <v>29</v>
      </c>
      <c r="I2435" s="6" t="s">
        <v>39</v>
      </c>
      <c r="J2435" s="6" t="s">
        <v>42</v>
      </c>
      <c r="K2435">
        <v>2</v>
      </c>
      <c r="M2435" s="1" t="b">
        <f>Employee__2[[#This Row],[Experience]]&gt;1</f>
        <v>1</v>
      </c>
      <c r="N2435" s="1" t="str">
        <f>IF(Employee__2[[#This Row],[City]]="Pune","Yes","No")</f>
        <v>No</v>
      </c>
      <c r="O2435" s="1" t="str">
        <f>IF(AND(Employee__2[[#This Row],[Education]]="Bachelors",Employee__2[[#This Row],[City]]="Pune"),"Yes","No")</f>
        <v>No</v>
      </c>
      <c r="P2435" s="1" t="str">
        <f>IF(OR(Employee__2[[#This Row],[Age]]&gt;=30,Employee__2[[#This Row],[Gender]]="Male"),"Mached","Not mached")</f>
        <v>Not mached</v>
      </c>
    </row>
    <row r="2436" spans="4:16" x14ac:dyDescent="0.25">
      <c r="D2436" s="6" t="s">
        <v>41</v>
      </c>
      <c r="E2436">
        <v>2018</v>
      </c>
      <c r="F2436" s="6" t="s">
        <v>40</v>
      </c>
      <c r="G2436">
        <v>1</v>
      </c>
      <c r="H2436">
        <v>26</v>
      </c>
      <c r="I2436" s="6" t="s">
        <v>39</v>
      </c>
      <c r="J2436" s="6" t="s">
        <v>37</v>
      </c>
      <c r="K2436">
        <v>4</v>
      </c>
      <c r="M2436" s="1" t="b">
        <f>Employee__2[[#This Row],[Experience]]&gt;1</f>
        <v>1</v>
      </c>
      <c r="N2436" s="1" t="str">
        <f>IF(Employee__2[[#This Row],[City]]="Pune","Yes","No")</f>
        <v>No</v>
      </c>
      <c r="O2436" s="1" t="str">
        <f>IF(AND(Employee__2[[#This Row],[Education]]="Bachelors",Employee__2[[#This Row],[City]]="Pune"),"Yes","No")</f>
        <v>No</v>
      </c>
      <c r="P2436" s="1" t="str">
        <f>IF(OR(Employee__2[[#This Row],[Age]]&gt;=30,Employee__2[[#This Row],[Gender]]="Male"),"Mached","Not mached")</f>
        <v>Not mached</v>
      </c>
    </row>
    <row r="2437" spans="4:16" x14ac:dyDescent="0.25">
      <c r="D2437" s="6" t="s">
        <v>34</v>
      </c>
      <c r="E2437">
        <v>2015</v>
      </c>
      <c r="F2437" s="6" t="s">
        <v>35</v>
      </c>
      <c r="G2437">
        <v>3</v>
      </c>
      <c r="H2437">
        <v>27</v>
      </c>
      <c r="I2437" s="6" t="s">
        <v>39</v>
      </c>
      <c r="J2437" s="6" t="s">
        <v>37</v>
      </c>
      <c r="K2437">
        <v>5</v>
      </c>
      <c r="M2437" s="1" t="b">
        <f>Employee__2[[#This Row],[Experience]]&gt;1</f>
        <v>1</v>
      </c>
      <c r="N2437" s="1" t="str">
        <f>IF(Employee__2[[#This Row],[City]]="Pune","Yes","No")</f>
        <v>No</v>
      </c>
      <c r="O2437" s="1" t="str">
        <f>IF(AND(Employee__2[[#This Row],[Education]]="Bachelors",Employee__2[[#This Row],[City]]="Pune"),"Yes","No")</f>
        <v>No</v>
      </c>
      <c r="P2437" s="1" t="str">
        <f>IF(OR(Employee__2[[#This Row],[Age]]&gt;=30,Employee__2[[#This Row],[Gender]]="Male"),"Mached","Not mached")</f>
        <v>Not mached</v>
      </c>
    </row>
    <row r="2438" spans="4:16" x14ac:dyDescent="0.25">
      <c r="D2438" s="6" t="s">
        <v>34</v>
      </c>
      <c r="E2438">
        <v>2013</v>
      </c>
      <c r="F2438" s="6" t="s">
        <v>38</v>
      </c>
      <c r="G2438">
        <v>2</v>
      </c>
      <c r="H2438">
        <v>27</v>
      </c>
      <c r="I2438" s="6" t="s">
        <v>39</v>
      </c>
      <c r="J2438" s="6" t="s">
        <v>37</v>
      </c>
      <c r="K2438">
        <v>5</v>
      </c>
      <c r="M2438" s="1" t="b">
        <f>Employee__2[[#This Row],[Experience]]&gt;1</f>
        <v>1</v>
      </c>
      <c r="N2438" s="1" t="str">
        <f>IF(Employee__2[[#This Row],[City]]="Pune","Yes","No")</f>
        <v>Yes</v>
      </c>
      <c r="O2438" s="1" t="str">
        <f>IF(AND(Employee__2[[#This Row],[Education]]="Bachelors",Employee__2[[#This Row],[City]]="Pune"),"Yes","No")</f>
        <v>Yes</v>
      </c>
      <c r="P2438" s="1" t="str">
        <f>IF(OR(Employee__2[[#This Row],[Age]]&gt;=30,Employee__2[[#This Row],[Gender]]="Male"),"Mached","Not mached")</f>
        <v>Not mached</v>
      </c>
    </row>
    <row r="2439" spans="4:16" x14ac:dyDescent="0.25">
      <c r="D2439" s="6" t="s">
        <v>34</v>
      </c>
      <c r="E2439">
        <v>2014</v>
      </c>
      <c r="F2439" s="6" t="s">
        <v>40</v>
      </c>
      <c r="G2439">
        <v>3</v>
      </c>
      <c r="H2439">
        <v>28</v>
      </c>
      <c r="I2439" s="6" t="s">
        <v>39</v>
      </c>
      <c r="J2439" s="6" t="s">
        <v>37</v>
      </c>
      <c r="K2439">
        <v>2</v>
      </c>
      <c r="M2439" s="1" t="b">
        <f>Employee__2[[#This Row],[Experience]]&gt;1</f>
        <v>1</v>
      </c>
      <c r="N2439" s="1" t="str">
        <f>IF(Employee__2[[#This Row],[City]]="Pune","Yes","No")</f>
        <v>No</v>
      </c>
      <c r="O2439" s="1" t="str">
        <f>IF(AND(Employee__2[[#This Row],[Education]]="Bachelors",Employee__2[[#This Row],[City]]="Pune"),"Yes","No")</f>
        <v>No</v>
      </c>
      <c r="P2439" s="1" t="str">
        <f>IF(OR(Employee__2[[#This Row],[Age]]&gt;=30,Employee__2[[#This Row],[Gender]]="Male"),"Mached","Not mached")</f>
        <v>Not mached</v>
      </c>
    </row>
    <row r="2440" spans="4:16" x14ac:dyDescent="0.25">
      <c r="D2440" s="6" t="s">
        <v>34</v>
      </c>
      <c r="E2440">
        <v>2014</v>
      </c>
      <c r="F2440" s="6" t="s">
        <v>35</v>
      </c>
      <c r="G2440">
        <v>3</v>
      </c>
      <c r="H2440">
        <v>27</v>
      </c>
      <c r="I2440" s="6" t="s">
        <v>36</v>
      </c>
      <c r="J2440" s="6" t="s">
        <v>37</v>
      </c>
      <c r="K2440">
        <v>5</v>
      </c>
      <c r="M2440" s="1" t="b">
        <f>Employee__2[[#This Row],[Experience]]&gt;1</f>
        <v>1</v>
      </c>
      <c r="N2440" s="1" t="str">
        <f>IF(Employee__2[[#This Row],[City]]="Pune","Yes","No")</f>
        <v>No</v>
      </c>
      <c r="O2440" s="1" t="str">
        <f>IF(AND(Employee__2[[#This Row],[Education]]="Bachelors",Employee__2[[#This Row],[City]]="Pune"),"Yes","No")</f>
        <v>No</v>
      </c>
      <c r="P2440" s="1" t="str">
        <f>IF(OR(Employee__2[[#This Row],[Age]]&gt;=30,Employee__2[[#This Row],[Gender]]="Male"),"Mached","Not mached")</f>
        <v>Mached</v>
      </c>
    </row>
    <row r="2441" spans="4:16" x14ac:dyDescent="0.25">
      <c r="D2441" s="6" t="s">
        <v>34</v>
      </c>
      <c r="E2441">
        <v>2016</v>
      </c>
      <c r="F2441" s="6" t="s">
        <v>35</v>
      </c>
      <c r="G2441">
        <v>3</v>
      </c>
      <c r="H2441">
        <v>29</v>
      </c>
      <c r="I2441" s="6" t="s">
        <v>39</v>
      </c>
      <c r="J2441" s="6" t="s">
        <v>37</v>
      </c>
      <c r="K2441">
        <v>1</v>
      </c>
      <c r="M2441" s="1" t="b">
        <f>Employee__2[[#This Row],[Experience]]&gt;1</f>
        <v>0</v>
      </c>
      <c r="N2441" s="1" t="str">
        <f>IF(Employee__2[[#This Row],[City]]="Pune","Yes","No")</f>
        <v>No</v>
      </c>
      <c r="O2441" s="1" t="str">
        <f>IF(AND(Employee__2[[#This Row],[Education]]="Bachelors",Employee__2[[#This Row],[City]]="Pune"),"Yes","No")</f>
        <v>No</v>
      </c>
      <c r="P2441" s="1" t="str">
        <f>IF(OR(Employee__2[[#This Row],[Age]]&gt;=30,Employee__2[[#This Row],[Gender]]="Male"),"Mached","Not mached")</f>
        <v>Not mached</v>
      </c>
    </row>
    <row r="2442" spans="4:16" x14ac:dyDescent="0.25">
      <c r="D2442" s="6" t="s">
        <v>34</v>
      </c>
      <c r="E2442">
        <v>2012</v>
      </c>
      <c r="F2442" s="6" t="s">
        <v>35</v>
      </c>
      <c r="G2442">
        <v>3</v>
      </c>
      <c r="H2442">
        <v>29</v>
      </c>
      <c r="I2442" s="6" t="s">
        <v>39</v>
      </c>
      <c r="J2442" s="6" t="s">
        <v>37</v>
      </c>
      <c r="K2442">
        <v>1</v>
      </c>
      <c r="M2442" s="1" t="b">
        <f>Employee__2[[#This Row],[Experience]]&gt;1</f>
        <v>0</v>
      </c>
      <c r="N2442" s="1" t="str">
        <f>IF(Employee__2[[#This Row],[City]]="Pune","Yes","No")</f>
        <v>No</v>
      </c>
      <c r="O2442" s="1" t="str">
        <f>IF(AND(Employee__2[[#This Row],[Education]]="Bachelors",Employee__2[[#This Row],[City]]="Pune"),"Yes","No")</f>
        <v>No</v>
      </c>
      <c r="P2442" s="1" t="str">
        <f>IF(OR(Employee__2[[#This Row],[Age]]&gt;=30,Employee__2[[#This Row],[Gender]]="Male"),"Mached","Not mached")</f>
        <v>Not mached</v>
      </c>
    </row>
    <row r="2443" spans="4:16" x14ac:dyDescent="0.25">
      <c r="D2443" s="6" t="s">
        <v>34</v>
      </c>
      <c r="E2443">
        <v>2018</v>
      </c>
      <c r="F2443" s="6" t="s">
        <v>35</v>
      </c>
      <c r="G2443">
        <v>3</v>
      </c>
      <c r="H2443">
        <v>29</v>
      </c>
      <c r="I2443" s="6" t="s">
        <v>36</v>
      </c>
      <c r="J2443" s="6" t="s">
        <v>42</v>
      </c>
      <c r="K2443">
        <v>2</v>
      </c>
      <c r="M2443" s="1" t="b">
        <f>Employee__2[[#This Row],[Experience]]&gt;1</f>
        <v>1</v>
      </c>
      <c r="N2443" s="1" t="str">
        <f>IF(Employee__2[[#This Row],[City]]="Pune","Yes","No")</f>
        <v>No</v>
      </c>
      <c r="O2443" s="1" t="str">
        <f>IF(AND(Employee__2[[#This Row],[Education]]="Bachelors",Employee__2[[#This Row],[City]]="Pune"),"Yes","No")</f>
        <v>No</v>
      </c>
      <c r="P2443" s="1" t="str">
        <f>IF(OR(Employee__2[[#This Row],[Age]]&gt;=30,Employee__2[[#This Row],[Gender]]="Male"),"Mached","Not mached")</f>
        <v>Mached</v>
      </c>
    </row>
    <row r="2444" spans="4:16" x14ac:dyDescent="0.25">
      <c r="D2444" s="6" t="s">
        <v>34</v>
      </c>
      <c r="E2444">
        <v>2012</v>
      </c>
      <c r="F2444" s="6" t="s">
        <v>38</v>
      </c>
      <c r="G2444">
        <v>3</v>
      </c>
      <c r="H2444">
        <v>30</v>
      </c>
      <c r="I2444" s="6" t="s">
        <v>36</v>
      </c>
      <c r="J2444" s="6" t="s">
        <v>37</v>
      </c>
      <c r="K2444">
        <v>1</v>
      </c>
      <c r="M2444" s="1" t="b">
        <f>Employee__2[[#This Row],[Experience]]&gt;1</f>
        <v>0</v>
      </c>
      <c r="N2444" s="1" t="str">
        <f>IF(Employee__2[[#This Row],[City]]="Pune","Yes","No")</f>
        <v>Yes</v>
      </c>
      <c r="O2444" s="1" t="str">
        <f>IF(AND(Employee__2[[#This Row],[Education]]="Bachelors",Employee__2[[#This Row],[City]]="Pune"),"Yes","No")</f>
        <v>Yes</v>
      </c>
      <c r="P2444" s="1" t="str">
        <f>IF(OR(Employee__2[[#This Row],[Age]]&gt;=30,Employee__2[[#This Row],[Gender]]="Male"),"Mached","Not mached")</f>
        <v>Mached</v>
      </c>
    </row>
    <row r="2445" spans="4:16" x14ac:dyDescent="0.25">
      <c r="D2445" s="6" t="s">
        <v>34</v>
      </c>
      <c r="E2445">
        <v>2013</v>
      </c>
      <c r="F2445" s="6" t="s">
        <v>35</v>
      </c>
      <c r="G2445">
        <v>3</v>
      </c>
      <c r="H2445">
        <v>30</v>
      </c>
      <c r="I2445" s="6" t="s">
        <v>36</v>
      </c>
      <c r="J2445" s="6" t="s">
        <v>42</v>
      </c>
      <c r="K2445">
        <v>1</v>
      </c>
      <c r="M2445" s="1" t="b">
        <f>Employee__2[[#This Row],[Experience]]&gt;1</f>
        <v>0</v>
      </c>
      <c r="N2445" s="1" t="str">
        <f>IF(Employee__2[[#This Row],[City]]="Pune","Yes","No")</f>
        <v>No</v>
      </c>
      <c r="O2445" s="1" t="str">
        <f>IF(AND(Employee__2[[#This Row],[Education]]="Bachelors",Employee__2[[#This Row],[City]]="Pune"),"Yes","No")</f>
        <v>No</v>
      </c>
      <c r="P2445" s="1" t="str">
        <f>IF(OR(Employee__2[[#This Row],[Age]]&gt;=30,Employee__2[[#This Row],[Gender]]="Male"),"Mached","Not mached")</f>
        <v>Mached</v>
      </c>
    </row>
    <row r="2446" spans="4:16" x14ac:dyDescent="0.25">
      <c r="D2446" s="6" t="s">
        <v>34</v>
      </c>
      <c r="E2446">
        <v>2014</v>
      </c>
      <c r="F2446" s="6" t="s">
        <v>35</v>
      </c>
      <c r="G2446">
        <v>3</v>
      </c>
      <c r="H2446">
        <v>27</v>
      </c>
      <c r="I2446" s="6" t="s">
        <v>36</v>
      </c>
      <c r="J2446" s="6" t="s">
        <v>37</v>
      </c>
      <c r="K2446">
        <v>5</v>
      </c>
      <c r="M2446" s="1" t="b">
        <f>Employee__2[[#This Row],[Experience]]&gt;1</f>
        <v>1</v>
      </c>
      <c r="N2446" s="1" t="str">
        <f>IF(Employee__2[[#This Row],[City]]="Pune","Yes","No")</f>
        <v>No</v>
      </c>
      <c r="O2446" s="1" t="str">
        <f>IF(AND(Employee__2[[#This Row],[Education]]="Bachelors",Employee__2[[#This Row],[City]]="Pune"),"Yes","No")</f>
        <v>No</v>
      </c>
      <c r="P2446" s="1" t="str">
        <f>IF(OR(Employee__2[[#This Row],[Age]]&gt;=30,Employee__2[[#This Row],[Gender]]="Male"),"Mached","Not mached")</f>
        <v>Mached</v>
      </c>
    </row>
    <row r="2447" spans="4:16" x14ac:dyDescent="0.25">
      <c r="D2447" s="6" t="s">
        <v>34</v>
      </c>
      <c r="E2447">
        <v>2015</v>
      </c>
      <c r="F2447" s="6" t="s">
        <v>40</v>
      </c>
      <c r="G2447">
        <v>3</v>
      </c>
      <c r="H2447">
        <v>29</v>
      </c>
      <c r="I2447" s="6" t="s">
        <v>39</v>
      </c>
      <c r="J2447" s="6" t="s">
        <v>42</v>
      </c>
      <c r="K2447">
        <v>1</v>
      </c>
      <c r="M2447" s="1" t="b">
        <f>Employee__2[[#This Row],[Experience]]&gt;1</f>
        <v>0</v>
      </c>
      <c r="N2447" s="1" t="str">
        <f>IF(Employee__2[[#This Row],[City]]="Pune","Yes","No")</f>
        <v>No</v>
      </c>
      <c r="O2447" s="1" t="str">
        <f>IF(AND(Employee__2[[#This Row],[Education]]="Bachelors",Employee__2[[#This Row],[City]]="Pune"),"Yes","No")</f>
        <v>No</v>
      </c>
      <c r="P2447" s="1" t="str">
        <f>IF(OR(Employee__2[[#This Row],[Age]]&gt;=30,Employee__2[[#This Row],[Gender]]="Male"),"Mached","Not mached")</f>
        <v>Not mached</v>
      </c>
    </row>
    <row r="2448" spans="4:16" x14ac:dyDescent="0.25">
      <c r="D2448" s="6" t="s">
        <v>34</v>
      </c>
      <c r="E2448">
        <v>2014</v>
      </c>
      <c r="F2448" s="6" t="s">
        <v>35</v>
      </c>
      <c r="G2448">
        <v>3</v>
      </c>
      <c r="H2448">
        <v>30</v>
      </c>
      <c r="I2448" s="6" t="s">
        <v>39</v>
      </c>
      <c r="J2448" s="6" t="s">
        <v>37</v>
      </c>
      <c r="K2448">
        <v>1</v>
      </c>
      <c r="M2448" s="1" t="b">
        <f>Employee__2[[#This Row],[Experience]]&gt;1</f>
        <v>0</v>
      </c>
      <c r="N2448" s="1" t="str">
        <f>IF(Employee__2[[#This Row],[City]]="Pune","Yes","No")</f>
        <v>No</v>
      </c>
      <c r="O2448" s="1" t="str">
        <f>IF(AND(Employee__2[[#This Row],[Education]]="Bachelors",Employee__2[[#This Row],[City]]="Pune"),"Yes","No")</f>
        <v>No</v>
      </c>
      <c r="P2448" s="1" t="str">
        <f>IF(OR(Employee__2[[#This Row],[Age]]&gt;=30,Employee__2[[#This Row],[Gender]]="Male"),"Mached","Not mached")</f>
        <v>Mached</v>
      </c>
    </row>
    <row r="2449" spans="4:16" x14ac:dyDescent="0.25">
      <c r="D2449" s="6" t="s">
        <v>34</v>
      </c>
      <c r="E2449">
        <v>2014</v>
      </c>
      <c r="F2449" s="6" t="s">
        <v>38</v>
      </c>
      <c r="G2449">
        <v>1</v>
      </c>
      <c r="H2449">
        <v>28</v>
      </c>
      <c r="I2449" s="6" t="s">
        <v>36</v>
      </c>
      <c r="J2449" s="6" t="s">
        <v>37</v>
      </c>
      <c r="K2449">
        <v>2</v>
      </c>
      <c r="M2449" s="1" t="b">
        <f>Employee__2[[#This Row],[Experience]]&gt;1</f>
        <v>1</v>
      </c>
      <c r="N2449" s="1" t="str">
        <f>IF(Employee__2[[#This Row],[City]]="Pune","Yes","No")</f>
        <v>Yes</v>
      </c>
      <c r="O2449" s="1" t="str">
        <f>IF(AND(Employee__2[[#This Row],[Education]]="Bachelors",Employee__2[[#This Row],[City]]="Pune"),"Yes","No")</f>
        <v>Yes</v>
      </c>
      <c r="P2449" s="1" t="str">
        <f>IF(OR(Employee__2[[#This Row],[Age]]&gt;=30,Employee__2[[#This Row],[Gender]]="Male"),"Mached","Not mached")</f>
        <v>Mached</v>
      </c>
    </row>
    <row r="2450" spans="4:16" x14ac:dyDescent="0.25">
      <c r="D2450" s="6" t="s">
        <v>34</v>
      </c>
      <c r="E2450">
        <v>2015</v>
      </c>
      <c r="F2450" s="6" t="s">
        <v>38</v>
      </c>
      <c r="G2450">
        <v>3</v>
      </c>
      <c r="H2450">
        <v>27</v>
      </c>
      <c r="I2450" s="6" t="s">
        <v>39</v>
      </c>
      <c r="J2450" s="6" t="s">
        <v>37</v>
      </c>
      <c r="K2450">
        <v>5</v>
      </c>
      <c r="M2450" s="1" t="b">
        <f>Employee__2[[#This Row],[Experience]]&gt;1</f>
        <v>1</v>
      </c>
      <c r="N2450" s="1" t="str">
        <f>IF(Employee__2[[#This Row],[City]]="Pune","Yes","No")</f>
        <v>Yes</v>
      </c>
      <c r="O2450" s="1" t="str">
        <f>IF(AND(Employee__2[[#This Row],[Education]]="Bachelors",Employee__2[[#This Row],[City]]="Pune"),"Yes","No")</f>
        <v>Yes</v>
      </c>
      <c r="P2450" s="1" t="str">
        <f>IF(OR(Employee__2[[#This Row],[Age]]&gt;=30,Employee__2[[#This Row],[Gender]]="Male"),"Mached","Not mached")</f>
        <v>Not mached</v>
      </c>
    </row>
    <row r="2451" spans="4:16" x14ac:dyDescent="0.25">
      <c r="D2451" s="6" t="s">
        <v>34</v>
      </c>
      <c r="E2451">
        <v>2016</v>
      </c>
      <c r="F2451" s="6" t="s">
        <v>35</v>
      </c>
      <c r="G2451">
        <v>3</v>
      </c>
      <c r="H2451">
        <v>30</v>
      </c>
      <c r="I2451" s="6" t="s">
        <v>36</v>
      </c>
      <c r="J2451" s="6" t="s">
        <v>37</v>
      </c>
      <c r="K2451">
        <v>1</v>
      </c>
      <c r="M2451" s="1" t="b">
        <f>Employee__2[[#This Row],[Experience]]&gt;1</f>
        <v>0</v>
      </c>
      <c r="N2451" s="1" t="str">
        <f>IF(Employee__2[[#This Row],[City]]="Pune","Yes","No")</f>
        <v>No</v>
      </c>
      <c r="O2451" s="1" t="str">
        <f>IF(AND(Employee__2[[#This Row],[Education]]="Bachelors",Employee__2[[#This Row],[City]]="Pune"),"Yes","No")</f>
        <v>No</v>
      </c>
      <c r="P2451" s="1" t="str">
        <f>IF(OR(Employee__2[[#This Row],[Age]]&gt;=30,Employee__2[[#This Row],[Gender]]="Male"),"Mached","Not mached")</f>
        <v>Mached</v>
      </c>
    </row>
    <row r="2452" spans="4:16" x14ac:dyDescent="0.25">
      <c r="D2452" s="6" t="s">
        <v>34</v>
      </c>
      <c r="E2452">
        <v>2016</v>
      </c>
      <c r="F2452" s="6" t="s">
        <v>38</v>
      </c>
      <c r="G2452">
        <v>3</v>
      </c>
      <c r="H2452">
        <v>26</v>
      </c>
      <c r="I2452" s="6" t="s">
        <v>39</v>
      </c>
      <c r="J2452" s="6" t="s">
        <v>37</v>
      </c>
      <c r="K2452">
        <v>4</v>
      </c>
      <c r="M2452" s="1" t="b">
        <f>Employee__2[[#This Row],[Experience]]&gt;1</f>
        <v>1</v>
      </c>
      <c r="N2452" s="1" t="str">
        <f>IF(Employee__2[[#This Row],[City]]="Pune","Yes","No")</f>
        <v>Yes</v>
      </c>
      <c r="O2452" s="1" t="str">
        <f>IF(AND(Employee__2[[#This Row],[Education]]="Bachelors",Employee__2[[#This Row],[City]]="Pune"),"Yes","No")</f>
        <v>Yes</v>
      </c>
      <c r="P2452" s="1" t="str">
        <f>IF(OR(Employee__2[[#This Row],[Age]]&gt;=30,Employee__2[[#This Row],[Gender]]="Male"),"Mached","Not mached")</f>
        <v>Not mached</v>
      </c>
    </row>
    <row r="2453" spans="4:16" x14ac:dyDescent="0.25">
      <c r="D2453" s="6" t="s">
        <v>34</v>
      </c>
      <c r="E2453">
        <v>2018</v>
      </c>
      <c r="F2453" s="6" t="s">
        <v>40</v>
      </c>
      <c r="G2453">
        <v>3</v>
      </c>
      <c r="H2453">
        <v>27</v>
      </c>
      <c r="I2453" s="6" t="s">
        <v>39</v>
      </c>
      <c r="J2453" s="6" t="s">
        <v>42</v>
      </c>
      <c r="K2453">
        <v>5</v>
      </c>
      <c r="M2453" s="1" t="b">
        <f>Employee__2[[#This Row],[Experience]]&gt;1</f>
        <v>1</v>
      </c>
      <c r="N2453" s="1" t="str">
        <f>IF(Employee__2[[#This Row],[City]]="Pune","Yes","No")</f>
        <v>No</v>
      </c>
      <c r="O2453" s="1" t="str">
        <f>IF(AND(Employee__2[[#This Row],[Education]]="Bachelors",Employee__2[[#This Row],[City]]="Pune"),"Yes","No")</f>
        <v>No</v>
      </c>
      <c r="P2453" s="1" t="str">
        <f>IF(OR(Employee__2[[#This Row],[Age]]&gt;=30,Employee__2[[#This Row],[Gender]]="Male"),"Mached","Not mached")</f>
        <v>Not mached</v>
      </c>
    </row>
    <row r="2454" spans="4:16" x14ac:dyDescent="0.25">
      <c r="D2454" s="6" t="s">
        <v>34</v>
      </c>
      <c r="E2454">
        <v>2015</v>
      </c>
      <c r="F2454" s="6" t="s">
        <v>35</v>
      </c>
      <c r="G2454">
        <v>3</v>
      </c>
      <c r="H2454">
        <v>26</v>
      </c>
      <c r="I2454" s="6" t="s">
        <v>36</v>
      </c>
      <c r="J2454" s="6" t="s">
        <v>37</v>
      </c>
      <c r="K2454">
        <v>4</v>
      </c>
      <c r="M2454" s="1" t="b">
        <f>Employee__2[[#This Row],[Experience]]&gt;1</f>
        <v>1</v>
      </c>
      <c r="N2454" s="1" t="str">
        <f>IF(Employee__2[[#This Row],[City]]="Pune","Yes","No")</f>
        <v>No</v>
      </c>
      <c r="O2454" s="1" t="str">
        <f>IF(AND(Employee__2[[#This Row],[Education]]="Bachelors",Employee__2[[#This Row],[City]]="Pune"),"Yes","No")</f>
        <v>No</v>
      </c>
      <c r="P2454" s="1" t="str">
        <f>IF(OR(Employee__2[[#This Row],[Age]]&gt;=30,Employee__2[[#This Row],[Gender]]="Male"),"Mached","Not mached")</f>
        <v>Mached</v>
      </c>
    </row>
    <row r="2455" spans="4:16" x14ac:dyDescent="0.25">
      <c r="D2455" s="6" t="s">
        <v>41</v>
      </c>
      <c r="E2455">
        <v>2017</v>
      </c>
      <c r="F2455" s="6" t="s">
        <v>40</v>
      </c>
      <c r="G2455">
        <v>2</v>
      </c>
      <c r="H2455">
        <v>27</v>
      </c>
      <c r="I2455" s="6" t="s">
        <v>36</v>
      </c>
      <c r="J2455" s="6" t="s">
        <v>37</v>
      </c>
      <c r="K2455">
        <v>5</v>
      </c>
      <c r="M2455" s="1" t="b">
        <f>Employee__2[[#This Row],[Experience]]&gt;1</f>
        <v>1</v>
      </c>
      <c r="N2455" s="1" t="str">
        <f>IF(Employee__2[[#This Row],[City]]="Pune","Yes","No")</f>
        <v>No</v>
      </c>
      <c r="O2455" s="1" t="str">
        <f>IF(AND(Employee__2[[#This Row],[Education]]="Bachelors",Employee__2[[#This Row],[City]]="Pune"),"Yes","No")</f>
        <v>No</v>
      </c>
      <c r="P2455" s="1" t="str">
        <f>IF(OR(Employee__2[[#This Row],[Age]]&gt;=30,Employee__2[[#This Row],[Gender]]="Male"),"Mached","Not mached")</f>
        <v>Mached</v>
      </c>
    </row>
    <row r="2456" spans="4:16" x14ac:dyDescent="0.25">
      <c r="D2456" s="6" t="s">
        <v>34</v>
      </c>
      <c r="E2456">
        <v>2015</v>
      </c>
      <c r="F2456" s="6" t="s">
        <v>35</v>
      </c>
      <c r="G2456">
        <v>3</v>
      </c>
      <c r="H2456">
        <v>26</v>
      </c>
      <c r="I2456" s="6" t="s">
        <v>36</v>
      </c>
      <c r="J2456" s="6" t="s">
        <v>37</v>
      </c>
      <c r="K2456">
        <v>4</v>
      </c>
      <c r="M2456" s="1" t="b">
        <f>Employee__2[[#This Row],[Experience]]&gt;1</f>
        <v>1</v>
      </c>
      <c r="N2456" s="1" t="str">
        <f>IF(Employee__2[[#This Row],[City]]="Pune","Yes","No")</f>
        <v>No</v>
      </c>
      <c r="O2456" s="1" t="str">
        <f>IF(AND(Employee__2[[#This Row],[Education]]="Bachelors",Employee__2[[#This Row],[City]]="Pune"),"Yes","No")</f>
        <v>No</v>
      </c>
      <c r="P2456" s="1" t="str">
        <f>IF(OR(Employee__2[[#This Row],[Age]]&gt;=30,Employee__2[[#This Row],[Gender]]="Male"),"Mached","Not mached")</f>
        <v>Mached</v>
      </c>
    </row>
    <row r="2457" spans="4:16" x14ac:dyDescent="0.25">
      <c r="D2457" s="6" t="s">
        <v>34</v>
      </c>
      <c r="E2457">
        <v>2017</v>
      </c>
      <c r="F2457" s="6" t="s">
        <v>38</v>
      </c>
      <c r="G2457">
        <v>3</v>
      </c>
      <c r="H2457">
        <v>26</v>
      </c>
      <c r="I2457" s="6" t="s">
        <v>39</v>
      </c>
      <c r="J2457" s="6" t="s">
        <v>37</v>
      </c>
      <c r="K2457">
        <v>4</v>
      </c>
      <c r="M2457" s="1" t="b">
        <f>Employee__2[[#This Row],[Experience]]&gt;1</f>
        <v>1</v>
      </c>
      <c r="N2457" s="1" t="str">
        <f>IF(Employee__2[[#This Row],[City]]="Pune","Yes","No")</f>
        <v>Yes</v>
      </c>
      <c r="O2457" s="1" t="str">
        <f>IF(AND(Employee__2[[#This Row],[Education]]="Bachelors",Employee__2[[#This Row],[City]]="Pune"),"Yes","No")</f>
        <v>Yes</v>
      </c>
      <c r="P2457" s="1" t="str">
        <f>IF(OR(Employee__2[[#This Row],[Age]]&gt;=30,Employee__2[[#This Row],[Gender]]="Male"),"Mached","Not mached")</f>
        <v>Not mached</v>
      </c>
    </row>
    <row r="2458" spans="4:16" x14ac:dyDescent="0.25">
      <c r="D2458" s="6" t="s">
        <v>34</v>
      </c>
      <c r="E2458">
        <v>2012</v>
      </c>
      <c r="F2458" s="6" t="s">
        <v>38</v>
      </c>
      <c r="G2458">
        <v>1</v>
      </c>
      <c r="H2458">
        <v>27</v>
      </c>
      <c r="I2458" s="6" t="s">
        <v>36</v>
      </c>
      <c r="J2458" s="6" t="s">
        <v>37</v>
      </c>
      <c r="K2458">
        <v>5</v>
      </c>
      <c r="M2458" s="1" t="b">
        <f>Employee__2[[#This Row],[Experience]]&gt;1</f>
        <v>1</v>
      </c>
      <c r="N2458" s="1" t="str">
        <f>IF(Employee__2[[#This Row],[City]]="Pune","Yes","No")</f>
        <v>Yes</v>
      </c>
      <c r="O2458" s="1" t="str">
        <f>IF(AND(Employee__2[[#This Row],[Education]]="Bachelors",Employee__2[[#This Row],[City]]="Pune"),"Yes","No")</f>
        <v>Yes</v>
      </c>
      <c r="P2458" s="1" t="str">
        <f>IF(OR(Employee__2[[#This Row],[Age]]&gt;=30,Employee__2[[#This Row],[Gender]]="Male"),"Mached","Not mached")</f>
        <v>Mached</v>
      </c>
    </row>
    <row r="2459" spans="4:16" x14ac:dyDescent="0.25">
      <c r="D2459" s="6" t="s">
        <v>34</v>
      </c>
      <c r="E2459">
        <v>2016</v>
      </c>
      <c r="F2459" s="6" t="s">
        <v>35</v>
      </c>
      <c r="G2459">
        <v>3</v>
      </c>
      <c r="H2459">
        <v>26</v>
      </c>
      <c r="I2459" s="6" t="s">
        <v>36</v>
      </c>
      <c r="J2459" s="6" t="s">
        <v>37</v>
      </c>
      <c r="K2459">
        <v>4</v>
      </c>
      <c r="M2459" s="1" t="b">
        <f>Employee__2[[#This Row],[Experience]]&gt;1</f>
        <v>1</v>
      </c>
      <c r="N2459" s="1" t="str">
        <f>IF(Employee__2[[#This Row],[City]]="Pune","Yes","No")</f>
        <v>No</v>
      </c>
      <c r="O2459" s="1" t="str">
        <f>IF(AND(Employee__2[[#This Row],[Education]]="Bachelors",Employee__2[[#This Row],[City]]="Pune"),"Yes","No")</f>
        <v>No</v>
      </c>
      <c r="P2459" s="1" t="str">
        <f>IF(OR(Employee__2[[#This Row],[Age]]&gt;=30,Employee__2[[#This Row],[Gender]]="Male"),"Mached","Not mached")</f>
        <v>Mached</v>
      </c>
    </row>
    <row r="2460" spans="4:16" x14ac:dyDescent="0.25">
      <c r="D2460" s="6" t="s">
        <v>43</v>
      </c>
      <c r="E2460">
        <v>2017</v>
      </c>
      <c r="F2460" s="6" t="s">
        <v>35</v>
      </c>
      <c r="G2460">
        <v>3</v>
      </c>
      <c r="H2460">
        <v>28</v>
      </c>
      <c r="I2460" s="6" t="s">
        <v>39</v>
      </c>
      <c r="J2460" s="6" t="s">
        <v>37</v>
      </c>
      <c r="K2460">
        <v>1</v>
      </c>
      <c r="M2460" s="1" t="b">
        <f>Employee__2[[#This Row],[Experience]]&gt;1</f>
        <v>0</v>
      </c>
      <c r="N2460" s="1" t="str">
        <f>IF(Employee__2[[#This Row],[City]]="Pune","Yes","No")</f>
        <v>No</v>
      </c>
      <c r="O2460" s="1" t="str">
        <f>IF(AND(Employee__2[[#This Row],[Education]]="Bachelors",Employee__2[[#This Row],[City]]="Pune"),"Yes","No")</f>
        <v>No</v>
      </c>
      <c r="P2460" s="1" t="str">
        <f>IF(OR(Employee__2[[#This Row],[Age]]&gt;=30,Employee__2[[#This Row],[Gender]]="Male"),"Mached","Not mached")</f>
        <v>Not mached</v>
      </c>
    </row>
    <row r="2461" spans="4:16" x14ac:dyDescent="0.25">
      <c r="D2461" s="6" t="s">
        <v>34</v>
      </c>
      <c r="E2461">
        <v>2015</v>
      </c>
      <c r="F2461" s="6" t="s">
        <v>38</v>
      </c>
      <c r="G2461">
        <v>3</v>
      </c>
      <c r="H2461">
        <v>29</v>
      </c>
      <c r="I2461" s="6" t="s">
        <v>39</v>
      </c>
      <c r="J2461" s="6" t="s">
        <v>37</v>
      </c>
      <c r="K2461">
        <v>1</v>
      </c>
      <c r="M2461" s="1" t="b">
        <f>Employee__2[[#This Row],[Experience]]&gt;1</f>
        <v>0</v>
      </c>
      <c r="N2461" s="1" t="str">
        <f>IF(Employee__2[[#This Row],[City]]="Pune","Yes","No")</f>
        <v>Yes</v>
      </c>
      <c r="O2461" s="1" t="str">
        <f>IF(AND(Employee__2[[#This Row],[Education]]="Bachelors",Employee__2[[#This Row],[City]]="Pune"),"Yes","No")</f>
        <v>Yes</v>
      </c>
      <c r="P2461" s="1" t="str">
        <f>IF(OR(Employee__2[[#This Row],[Age]]&gt;=30,Employee__2[[#This Row],[Gender]]="Male"),"Mached","Not mached")</f>
        <v>Not mached</v>
      </c>
    </row>
    <row r="2462" spans="4:16" x14ac:dyDescent="0.25">
      <c r="D2462" s="6" t="s">
        <v>41</v>
      </c>
      <c r="E2462">
        <v>2014</v>
      </c>
      <c r="F2462" s="6" t="s">
        <v>40</v>
      </c>
      <c r="G2462">
        <v>3</v>
      </c>
      <c r="H2462">
        <v>30</v>
      </c>
      <c r="I2462" s="6" t="s">
        <v>36</v>
      </c>
      <c r="J2462" s="6" t="s">
        <v>42</v>
      </c>
      <c r="K2462">
        <v>2</v>
      </c>
      <c r="M2462" s="1" t="b">
        <f>Employee__2[[#This Row],[Experience]]&gt;1</f>
        <v>1</v>
      </c>
      <c r="N2462" s="1" t="str">
        <f>IF(Employee__2[[#This Row],[City]]="Pune","Yes","No")</f>
        <v>No</v>
      </c>
      <c r="O2462" s="1" t="str">
        <f>IF(AND(Employee__2[[#This Row],[Education]]="Bachelors",Employee__2[[#This Row],[City]]="Pune"),"Yes","No")</f>
        <v>No</v>
      </c>
      <c r="P2462" s="1" t="str">
        <f>IF(OR(Employee__2[[#This Row],[Age]]&gt;=30,Employee__2[[#This Row],[Gender]]="Male"),"Mached","Not mached")</f>
        <v>Mached</v>
      </c>
    </row>
    <row r="2463" spans="4:16" x14ac:dyDescent="0.25">
      <c r="D2463" s="6" t="s">
        <v>34</v>
      </c>
      <c r="E2463">
        <v>2013</v>
      </c>
      <c r="F2463" s="6" t="s">
        <v>38</v>
      </c>
      <c r="G2463">
        <v>3</v>
      </c>
      <c r="H2463">
        <v>26</v>
      </c>
      <c r="I2463" s="6" t="s">
        <v>36</v>
      </c>
      <c r="J2463" s="6" t="s">
        <v>37</v>
      </c>
      <c r="K2463">
        <v>4</v>
      </c>
      <c r="M2463" s="1" t="b">
        <f>Employee__2[[#This Row],[Experience]]&gt;1</f>
        <v>1</v>
      </c>
      <c r="N2463" s="1" t="str">
        <f>IF(Employee__2[[#This Row],[City]]="Pune","Yes","No")</f>
        <v>Yes</v>
      </c>
      <c r="O2463" s="1" t="str">
        <f>IF(AND(Employee__2[[#This Row],[Education]]="Bachelors",Employee__2[[#This Row],[City]]="Pune"),"Yes","No")</f>
        <v>Yes</v>
      </c>
      <c r="P2463" s="1" t="str">
        <f>IF(OR(Employee__2[[#This Row],[Age]]&gt;=30,Employee__2[[#This Row],[Gender]]="Male"),"Mached","Not mached")</f>
        <v>Mached</v>
      </c>
    </row>
    <row r="2464" spans="4:16" x14ac:dyDescent="0.25">
      <c r="D2464" s="6" t="s">
        <v>34</v>
      </c>
      <c r="E2464">
        <v>2012</v>
      </c>
      <c r="F2464" s="6" t="s">
        <v>35</v>
      </c>
      <c r="G2464">
        <v>3</v>
      </c>
      <c r="H2464">
        <v>27</v>
      </c>
      <c r="I2464" s="6" t="s">
        <v>36</v>
      </c>
      <c r="J2464" s="6" t="s">
        <v>37</v>
      </c>
      <c r="K2464">
        <v>5</v>
      </c>
      <c r="M2464" s="1" t="b">
        <f>Employee__2[[#This Row],[Experience]]&gt;1</f>
        <v>1</v>
      </c>
      <c r="N2464" s="1" t="str">
        <f>IF(Employee__2[[#This Row],[City]]="Pune","Yes","No")</f>
        <v>No</v>
      </c>
      <c r="O2464" s="1" t="str">
        <f>IF(AND(Employee__2[[#This Row],[Education]]="Bachelors",Employee__2[[#This Row],[City]]="Pune"),"Yes","No")</f>
        <v>No</v>
      </c>
      <c r="P2464" s="1" t="str">
        <f>IF(OR(Employee__2[[#This Row],[Age]]&gt;=30,Employee__2[[#This Row],[Gender]]="Male"),"Mached","Not mached")</f>
        <v>Mached</v>
      </c>
    </row>
    <row r="2465" spans="4:16" x14ac:dyDescent="0.25">
      <c r="D2465" s="6" t="s">
        <v>34</v>
      </c>
      <c r="E2465">
        <v>2015</v>
      </c>
      <c r="F2465" s="6" t="s">
        <v>38</v>
      </c>
      <c r="G2465">
        <v>3</v>
      </c>
      <c r="H2465">
        <v>28</v>
      </c>
      <c r="I2465" s="6" t="s">
        <v>36</v>
      </c>
      <c r="J2465" s="6" t="s">
        <v>37</v>
      </c>
      <c r="K2465">
        <v>1</v>
      </c>
      <c r="M2465" s="1" t="b">
        <f>Employee__2[[#This Row],[Experience]]&gt;1</f>
        <v>0</v>
      </c>
      <c r="N2465" s="1" t="str">
        <f>IF(Employee__2[[#This Row],[City]]="Pune","Yes","No")</f>
        <v>Yes</v>
      </c>
      <c r="O2465" s="1" t="str">
        <f>IF(AND(Employee__2[[#This Row],[Education]]="Bachelors",Employee__2[[#This Row],[City]]="Pune"),"Yes","No")</f>
        <v>Yes</v>
      </c>
      <c r="P2465" s="1" t="str">
        <f>IF(OR(Employee__2[[#This Row],[Age]]&gt;=30,Employee__2[[#This Row],[Gender]]="Male"),"Mached","Not mached")</f>
        <v>Mached</v>
      </c>
    </row>
    <row r="2466" spans="4:16" x14ac:dyDescent="0.25">
      <c r="D2466" s="6" t="s">
        <v>34</v>
      </c>
      <c r="E2466">
        <v>2013</v>
      </c>
      <c r="F2466" s="6" t="s">
        <v>35</v>
      </c>
      <c r="G2466">
        <v>3</v>
      </c>
      <c r="H2466">
        <v>26</v>
      </c>
      <c r="I2466" s="6" t="s">
        <v>36</v>
      </c>
      <c r="J2466" s="6" t="s">
        <v>37</v>
      </c>
      <c r="K2466">
        <v>4</v>
      </c>
      <c r="M2466" s="1" t="b">
        <f>Employee__2[[#This Row],[Experience]]&gt;1</f>
        <v>1</v>
      </c>
      <c r="N2466" s="1" t="str">
        <f>IF(Employee__2[[#This Row],[City]]="Pune","Yes","No")</f>
        <v>No</v>
      </c>
      <c r="O2466" s="1" t="str">
        <f>IF(AND(Employee__2[[#This Row],[Education]]="Bachelors",Employee__2[[#This Row],[City]]="Pune"),"Yes","No")</f>
        <v>No</v>
      </c>
      <c r="P2466" s="1" t="str">
        <f>IF(OR(Employee__2[[#This Row],[Age]]&gt;=30,Employee__2[[#This Row],[Gender]]="Male"),"Mached","Not mached")</f>
        <v>Mached</v>
      </c>
    </row>
    <row r="2467" spans="4:16" x14ac:dyDescent="0.25">
      <c r="D2467" s="6" t="s">
        <v>34</v>
      </c>
      <c r="E2467">
        <v>2013</v>
      </c>
      <c r="F2467" s="6" t="s">
        <v>40</v>
      </c>
      <c r="G2467">
        <v>3</v>
      </c>
      <c r="H2467">
        <v>26</v>
      </c>
      <c r="I2467" s="6" t="s">
        <v>36</v>
      </c>
      <c r="J2467" s="6" t="s">
        <v>37</v>
      </c>
      <c r="K2467">
        <v>4</v>
      </c>
      <c r="M2467" s="1" t="b">
        <f>Employee__2[[#This Row],[Experience]]&gt;1</f>
        <v>1</v>
      </c>
      <c r="N2467" s="1" t="str">
        <f>IF(Employee__2[[#This Row],[City]]="Pune","Yes","No")</f>
        <v>No</v>
      </c>
      <c r="O2467" s="1" t="str">
        <f>IF(AND(Employee__2[[#This Row],[Education]]="Bachelors",Employee__2[[#This Row],[City]]="Pune"),"Yes","No")</f>
        <v>No</v>
      </c>
      <c r="P2467" s="1" t="str">
        <f>IF(OR(Employee__2[[#This Row],[Age]]&gt;=30,Employee__2[[#This Row],[Gender]]="Male"),"Mached","Not mached")</f>
        <v>Mached</v>
      </c>
    </row>
    <row r="2468" spans="4:16" x14ac:dyDescent="0.25">
      <c r="D2468" s="6" t="s">
        <v>41</v>
      </c>
      <c r="E2468">
        <v>2012</v>
      </c>
      <c r="F2468" s="6" t="s">
        <v>40</v>
      </c>
      <c r="G2468">
        <v>3</v>
      </c>
      <c r="H2468">
        <v>30</v>
      </c>
      <c r="I2468" s="6" t="s">
        <v>36</v>
      </c>
      <c r="J2468" s="6" t="s">
        <v>37</v>
      </c>
      <c r="K2468">
        <v>2</v>
      </c>
      <c r="M2468" s="1" t="b">
        <f>Employee__2[[#This Row],[Experience]]&gt;1</f>
        <v>1</v>
      </c>
      <c r="N2468" s="1" t="str">
        <f>IF(Employee__2[[#This Row],[City]]="Pune","Yes","No")</f>
        <v>No</v>
      </c>
      <c r="O2468" s="1" t="str">
        <f>IF(AND(Employee__2[[#This Row],[Education]]="Bachelors",Employee__2[[#This Row],[City]]="Pune"),"Yes","No")</f>
        <v>No</v>
      </c>
      <c r="P2468" s="1" t="str">
        <f>IF(OR(Employee__2[[#This Row],[Age]]&gt;=30,Employee__2[[#This Row],[Gender]]="Male"),"Mached","Not mached")</f>
        <v>Mached</v>
      </c>
    </row>
    <row r="2469" spans="4:16" x14ac:dyDescent="0.25">
      <c r="D2469" s="6" t="s">
        <v>43</v>
      </c>
      <c r="E2469">
        <v>2013</v>
      </c>
      <c r="F2469" s="6" t="s">
        <v>40</v>
      </c>
      <c r="G2469">
        <v>3</v>
      </c>
      <c r="H2469">
        <v>27</v>
      </c>
      <c r="I2469" s="6" t="s">
        <v>36</v>
      </c>
      <c r="J2469" s="6" t="s">
        <v>37</v>
      </c>
      <c r="K2469">
        <v>5</v>
      </c>
      <c r="M2469" s="1" t="b">
        <f>Employee__2[[#This Row],[Experience]]&gt;1</f>
        <v>1</v>
      </c>
      <c r="N2469" s="1" t="str">
        <f>IF(Employee__2[[#This Row],[City]]="Pune","Yes","No")</f>
        <v>No</v>
      </c>
      <c r="O2469" s="1" t="str">
        <f>IF(AND(Employee__2[[#This Row],[Education]]="Bachelors",Employee__2[[#This Row],[City]]="Pune"),"Yes","No")</f>
        <v>No</v>
      </c>
      <c r="P2469" s="1" t="str">
        <f>IF(OR(Employee__2[[#This Row],[Age]]&gt;=30,Employee__2[[#This Row],[Gender]]="Male"),"Mached","Not mached")</f>
        <v>Mached</v>
      </c>
    </row>
    <row r="2470" spans="4:16" x14ac:dyDescent="0.25">
      <c r="D2470" s="6" t="s">
        <v>34</v>
      </c>
      <c r="E2470">
        <v>2012</v>
      </c>
      <c r="F2470" s="6" t="s">
        <v>35</v>
      </c>
      <c r="G2470">
        <v>3</v>
      </c>
      <c r="H2470">
        <v>27</v>
      </c>
      <c r="I2470" s="6" t="s">
        <v>36</v>
      </c>
      <c r="J2470" s="6" t="s">
        <v>37</v>
      </c>
      <c r="K2470">
        <v>5</v>
      </c>
      <c r="M2470" s="1" t="b">
        <f>Employee__2[[#This Row],[Experience]]&gt;1</f>
        <v>1</v>
      </c>
      <c r="N2470" s="1" t="str">
        <f>IF(Employee__2[[#This Row],[City]]="Pune","Yes","No")</f>
        <v>No</v>
      </c>
      <c r="O2470" s="1" t="str">
        <f>IF(AND(Employee__2[[#This Row],[Education]]="Bachelors",Employee__2[[#This Row],[City]]="Pune"),"Yes","No")</f>
        <v>No</v>
      </c>
      <c r="P2470" s="1" t="str">
        <f>IF(OR(Employee__2[[#This Row],[Age]]&gt;=30,Employee__2[[#This Row],[Gender]]="Male"),"Mached","Not mached")</f>
        <v>Mached</v>
      </c>
    </row>
    <row r="2471" spans="4:16" x14ac:dyDescent="0.25">
      <c r="D2471" s="6" t="s">
        <v>34</v>
      </c>
      <c r="E2471">
        <v>2018</v>
      </c>
      <c r="F2471" s="6" t="s">
        <v>35</v>
      </c>
      <c r="G2471">
        <v>3</v>
      </c>
      <c r="H2471">
        <v>30</v>
      </c>
      <c r="I2471" s="6" t="s">
        <v>36</v>
      </c>
      <c r="J2471" s="6" t="s">
        <v>42</v>
      </c>
      <c r="K2471">
        <v>1</v>
      </c>
      <c r="M2471" s="1" t="b">
        <f>Employee__2[[#This Row],[Experience]]&gt;1</f>
        <v>0</v>
      </c>
      <c r="N2471" s="1" t="str">
        <f>IF(Employee__2[[#This Row],[City]]="Pune","Yes","No")</f>
        <v>No</v>
      </c>
      <c r="O2471" s="1" t="str">
        <f>IF(AND(Employee__2[[#This Row],[Education]]="Bachelors",Employee__2[[#This Row],[City]]="Pune"),"Yes","No")</f>
        <v>No</v>
      </c>
      <c r="P2471" s="1" t="str">
        <f>IF(OR(Employee__2[[#This Row],[Age]]&gt;=30,Employee__2[[#This Row],[Gender]]="Male"),"Mached","Not mached")</f>
        <v>Mached</v>
      </c>
    </row>
    <row r="2472" spans="4:16" x14ac:dyDescent="0.25">
      <c r="D2472" s="6" t="s">
        <v>34</v>
      </c>
      <c r="E2472">
        <v>2012</v>
      </c>
      <c r="F2472" s="6" t="s">
        <v>35</v>
      </c>
      <c r="G2472">
        <v>3</v>
      </c>
      <c r="H2472">
        <v>26</v>
      </c>
      <c r="I2472" s="6" t="s">
        <v>39</v>
      </c>
      <c r="J2472" s="6" t="s">
        <v>37</v>
      </c>
      <c r="K2472">
        <v>4</v>
      </c>
      <c r="M2472" s="1" t="b">
        <f>Employee__2[[#This Row],[Experience]]&gt;1</f>
        <v>1</v>
      </c>
      <c r="N2472" s="1" t="str">
        <f>IF(Employee__2[[#This Row],[City]]="Pune","Yes","No")</f>
        <v>No</v>
      </c>
      <c r="O2472" s="1" t="str">
        <f>IF(AND(Employee__2[[#This Row],[Education]]="Bachelors",Employee__2[[#This Row],[City]]="Pune"),"Yes","No")</f>
        <v>No</v>
      </c>
      <c r="P2472" s="1" t="str">
        <f>IF(OR(Employee__2[[#This Row],[Age]]&gt;=30,Employee__2[[#This Row],[Gender]]="Male"),"Mached","Not mached")</f>
        <v>Not mached</v>
      </c>
    </row>
    <row r="2473" spans="4:16" x14ac:dyDescent="0.25">
      <c r="D2473" s="6" t="s">
        <v>41</v>
      </c>
      <c r="E2473">
        <v>2017</v>
      </c>
      <c r="F2473" s="6" t="s">
        <v>40</v>
      </c>
      <c r="G2473">
        <v>3</v>
      </c>
      <c r="H2473">
        <v>29</v>
      </c>
      <c r="I2473" s="6" t="s">
        <v>39</v>
      </c>
      <c r="J2473" s="6" t="s">
        <v>37</v>
      </c>
      <c r="K2473">
        <v>2</v>
      </c>
      <c r="M2473" s="1" t="b">
        <f>Employee__2[[#This Row],[Experience]]&gt;1</f>
        <v>1</v>
      </c>
      <c r="N2473" s="1" t="str">
        <f>IF(Employee__2[[#This Row],[City]]="Pune","Yes","No")</f>
        <v>No</v>
      </c>
      <c r="O2473" s="1" t="str">
        <f>IF(AND(Employee__2[[#This Row],[Education]]="Bachelors",Employee__2[[#This Row],[City]]="Pune"),"Yes","No")</f>
        <v>No</v>
      </c>
      <c r="P2473" s="1" t="str">
        <f>IF(OR(Employee__2[[#This Row],[Age]]&gt;=30,Employee__2[[#This Row],[Gender]]="Male"),"Mached","Not mached")</f>
        <v>Not mached</v>
      </c>
    </row>
    <row r="2474" spans="4:16" x14ac:dyDescent="0.25">
      <c r="D2474" s="6" t="s">
        <v>34</v>
      </c>
      <c r="E2474">
        <v>2014</v>
      </c>
      <c r="F2474" s="6" t="s">
        <v>35</v>
      </c>
      <c r="G2474">
        <v>3</v>
      </c>
      <c r="H2474">
        <v>29</v>
      </c>
      <c r="I2474" s="6" t="s">
        <v>36</v>
      </c>
      <c r="J2474" s="6" t="s">
        <v>37</v>
      </c>
      <c r="K2474">
        <v>2</v>
      </c>
      <c r="M2474" s="1" t="b">
        <f>Employee__2[[#This Row],[Experience]]&gt;1</f>
        <v>1</v>
      </c>
      <c r="N2474" s="1" t="str">
        <f>IF(Employee__2[[#This Row],[City]]="Pune","Yes","No")</f>
        <v>No</v>
      </c>
      <c r="O2474" s="1" t="str">
        <f>IF(AND(Employee__2[[#This Row],[Education]]="Bachelors",Employee__2[[#This Row],[City]]="Pune"),"Yes","No")</f>
        <v>No</v>
      </c>
      <c r="P2474" s="1" t="str">
        <f>IF(OR(Employee__2[[#This Row],[Age]]&gt;=30,Employee__2[[#This Row],[Gender]]="Male"),"Mached","Not mached")</f>
        <v>Mached</v>
      </c>
    </row>
    <row r="2475" spans="4:16" x14ac:dyDescent="0.25">
      <c r="D2475" s="6" t="s">
        <v>34</v>
      </c>
      <c r="E2475">
        <v>2017</v>
      </c>
      <c r="F2475" s="6" t="s">
        <v>40</v>
      </c>
      <c r="G2475">
        <v>3</v>
      </c>
      <c r="H2475">
        <v>28</v>
      </c>
      <c r="I2475" s="6" t="s">
        <v>36</v>
      </c>
      <c r="J2475" s="6" t="s">
        <v>37</v>
      </c>
      <c r="K2475">
        <v>1</v>
      </c>
      <c r="M2475" s="1" t="b">
        <f>Employee__2[[#This Row],[Experience]]&gt;1</f>
        <v>0</v>
      </c>
      <c r="N2475" s="1" t="str">
        <f>IF(Employee__2[[#This Row],[City]]="Pune","Yes","No")</f>
        <v>No</v>
      </c>
      <c r="O2475" s="1" t="str">
        <f>IF(AND(Employee__2[[#This Row],[Education]]="Bachelors",Employee__2[[#This Row],[City]]="Pune"),"Yes","No")</f>
        <v>No</v>
      </c>
      <c r="P2475" s="1" t="str">
        <f>IF(OR(Employee__2[[#This Row],[Age]]&gt;=30,Employee__2[[#This Row],[Gender]]="Male"),"Mached","Not mached")</f>
        <v>Mached</v>
      </c>
    </row>
    <row r="2476" spans="4:16" x14ac:dyDescent="0.25">
      <c r="D2476" s="6" t="s">
        <v>34</v>
      </c>
      <c r="E2476">
        <v>2015</v>
      </c>
      <c r="F2476" s="6" t="s">
        <v>38</v>
      </c>
      <c r="G2476">
        <v>2</v>
      </c>
      <c r="H2476">
        <v>26</v>
      </c>
      <c r="I2476" s="6" t="s">
        <v>39</v>
      </c>
      <c r="J2476" s="6" t="s">
        <v>37</v>
      </c>
      <c r="K2476">
        <v>4</v>
      </c>
      <c r="M2476" s="1" t="b">
        <f>Employee__2[[#This Row],[Experience]]&gt;1</f>
        <v>1</v>
      </c>
      <c r="N2476" s="1" t="str">
        <f>IF(Employee__2[[#This Row],[City]]="Pune","Yes","No")</f>
        <v>Yes</v>
      </c>
      <c r="O2476" s="1" t="str">
        <f>IF(AND(Employee__2[[#This Row],[Education]]="Bachelors",Employee__2[[#This Row],[City]]="Pune"),"Yes","No")</f>
        <v>Yes</v>
      </c>
      <c r="P2476" s="1" t="str">
        <f>IF(OR(Employee__2[[#This Row],[Age]]&gt;=30,Employee__2[[#This Row],[Gender]]="Male"),"Mached","Not mached")</f>
        <v>Not mached</v>
      </c>
    </row>
    <row r="2477" spans="4:16" x14ac:dyDescent="0.25">
      <c r="D2477" s="6" t="s">
        <v>34</v>
      </c>
      <c r="E2477">
        <v>2018</v>
      </c>
      <c r="F2477" s="6" t="s">
        <v>35</v>
      </c>
      <c r="G2477">
        <v>3</v>
      </c>
      <c r="H2477">
        <v>27</v>
      </c>
      <c r="I2477" s="6" t="s">
        <v>39</v>
      </c>
      <c r="J2477" s="6" t="s">
        <v>37</v>
      </c>
      <c r="K2477">
        <v>5</v>
      </c>
      <c r="M2477" s="1" t="b">
        <f>Employee__2[[#This Row],[Experience]]&gt;1</f>
        <v>1</v>
      </c>
      <c r="N2477" s="1" t="str">
        <f>IF(Employee__2[[#This Row],[City]]="Pune","Yes","No")</f>
        <v>No</v>
      </c>
      <c r="O2477" s="1" t="str">
        <f>IF(AND(Employee__2[[#This Row],[Education]]="Bachelors",Employee__2[[#This Row],[City]]="Pune"),"Yes","No")</f>
        <v>No</v>
      </c>
      <c r="P2477" s="1" t="str">
        <f>IF(OR(Employee__2[[#This Row],[Age]]&gt;=30,Employee__2[[#This Row],[Gender]]="Male"),"Mached","Not mached")</f>
        <v>Not mached</v>
      </c>
    </row>
    <row r="2478" spans="4:16" x14ac:dyDescent="0.25">
      <c r="D2478" s="6" t="s">
        <v>34</v>
      </c>
      <c r="E2478">
        <v>2014</v>
      </c>
      <c r="F2478" s="6" t="s">
        <v>35</v>
      </c>
      <c r="G2478">
        <v>1</v>
      </c>
      <c r="H2478">
        <v>28</v>
      </c>
      <c r="I2478" s="6" t="s">
        <v>36</v>
      </c>
      <c r="J2478" s="6" t="s">
        <v>37</v>
      </c>
      <c r="K2478">
        <v>1</v>
      </c>
      <c r="M2478" s="1" t="b">
        <f>Employee__2[[#This Row],[Experience]]&gt;1</f>
        <v>0</v>
      </c>
      <c r="N2478" s="1" t="str">
        <f>IF(Employee__2[[#This Row],[City]]="Pune","Yes","No")</f>
        <v>No</v>
      </c>
      <c r="O2478" s="1" t="str">
        <f>IF(AND(Employee__2[[#This Row],[Education]]="Bachelors",Employee__2[[#This Row],[City]]="Pune"),"Yes","No")</f>
        <v>No</v>
      </c>
      <c r="P2478" s="1" t="str">
        <f>IF(OR(Employee__2[[#This Row],[Age]]&gt;=30,Employee__2[[#This Row],[Gender]]="Male"),"Mached","Not mached")</f>
        <v>Mached</v>
      </c>
    </row>
    <row r="2479" spans="4:16" x14ac:dyDescent="0.25">
      <c r="D2479" s="6" t="s">
        <v>34</v>
      </c>
      <c r="E2479">
        <v>2016</v>
      </c>
      <c r="F2479" s="6" t="s">
        <v>35</v>
      </c>
      <c r="G2479">
        <v>3</v>
      </c>
      <c r="H2479">
        <v>28</v>
      </c>
      <c r="I2479" s="6" t="s">
        <v>36</v>
      </c>
      <c r="J2479" s="6" t="s">
        <v>37</v>
      </c>
      <c r="K2479">
        <v>1</v>
      </c>
      <c r="M2479" s="1" t="b">
        <f>Employee__2[[#This Row],[Experience]]&gt;1</f>
        <v>0</v>
      </c>
      <c r="N2479" s="1" t="str">
        <f>IF(Employee__2[[#This Row],[City]]="Pune","Yes","No")</f>
        <v>No</v>
      </c>
      <c r="O2479" s="1" t="str">
        <f>IF(AND(Employee__2[[#This Row],[Education]]="Bachelors",Employee__2[[#This Row],[City]]="Pune"),"Yes","No")</f>
        <v>No</v>
      </c>
      <c r="P2479" s="1" t="str">
        <f>IF(OR(Employee__2[[#This Row],[Age]]&gt;=30,Employee__2[[#This Row],[Gender]]="Male"),"Mached","Not mached")</f>
        <v>Mached</v>
      </c>
    </row>
    <row r="2480" spans="4:16" x14ac:dyDescent="0.25">
      <c r="D2480" s="6" t="s">
        <v>34</v>
      </c>
      <c r="E2480">
        <v>2014</v>
      </c>
      <c r="F2480" s="6" t="s">
        <v>38</v>
      </c>
      <c r="G2480">
        <v>3</v>
      </c>
      <c r="H2480">
        <v>26</v>
      </c>
      <c r="I2480" s="6" t="s">
        <v>36</v>
      </c>
      <c r="J2480" s="6" t="s">
        <v>37</v>
      </c>
      <c r="K2480">
        <v>4</v>
      </c>
      <c r="M2480" s="1" t="b">
        <f>Employee__2[[#This Row],[Experience]]&gt;1</f>
        <v>1</v>
      </c>
      <c r="N2480" s="1" t="str">
        <f>IF(Employee__2[[#This Row],[City]]="Pune","Yes","No")</f>
        <v>Yes</v>
      </c>
      <c r="O2480" s="1" t="str">
        <f>IF(AND(Employee__2[[#This Row],[Education]]="Bachelors",Employee__2[[#This Row],[City]]="Pune"),"Yes","No")</f>
        <v>Yes</v>
      </c>
      <c r="P2480" s="1" t="str">
        <f>IF(OR(Employee__2[[#This Row],[Age]]&gt;=30,Employee__2[[#This Row],[Gender]]="Male"),"Mached","Not mached")</f>
        <v>Mached</v>
      </c>
    </row>
    <row r="2481" spans="4:16" x14ac:dyDescent="0.25">
      <c r="D2481" s="6" t="s">
        <v>34</v>
      </c>
      <c r="E2481">
        <v>2012</v>
      </c>
      <c r="F2481" s="6" t="s">
        <v>38</v>
      </c>
      <c r="G2481">
        <v>3</v>
      </c>
      <c r="H2481">
        <v>26</v>
      </c>
      <c r="I2481" s="6" t="s">
        <v>36</v>
      </c>
      <c r="J2481" s="6" t="s">
        <v>37</v>
      </c>
      <c r="K2481">
        <v>4</v>
      </c>
      <c r="M2481" s="1" t="b">
        <f>Employee__2[[#This Row],[Experience]]&gt;1</f>
        <v>1</v>
      </c>
      <c r="N2481" s="1" t="str">
        <f>IF(Employee__2[[#This Row],[City]]="Pune","Yes","No")</f>
        <v>Yes</v>
      </c>
      <c r="O2481" s="1" t="str">
        <f>IF(AND(Employee__2[[#This Row],[Education]]="Bachelors",Employee__2[[#This Row],[City]]="Pune"),"Yes","No")</f>
        <v>Yes</v>
      </c>
      <c r="P2481" s="1" t="str">
        <f>IF(OR(Employee__2[[#This Row],[Age]]&gt;=30,Employee__2[[#This Row],[Gender]]="Male"),"Mached","Not mached")</f>
        <v>Mached</v>
      </c>
    </row>
    <row r="2482" spans="4:16" x14ac:dyDescent="0.25">
      <c r="D2482" s="6" t="s">
        <v>34</v>
      </c>
      <c r="E2482">
        <v>2015</v>
      </c>
      <c r="F2482" s="6" t="s">
        <v>35</v>
      </c>
      <c r="G2482">
        <v>3</v>
      </c>
      <c r="H2482">
        <v>28</v>
      </c>
      <c r="I2482" s="6" t="s">
        <v>36</v>
      </c>
      <c r="J2482" s="6" t="s">
        <v>37</v>
      </c>
      <c r="K2482">
        <v>2</v>
      </c>
      <c r="M2482" s="1" t="b">
        <f>Employee__2[[#This Row],[Experience]]&gt;1</f>
        <v>1</v>
      </c>
      <c r="N2482" s="1" t="str">
        <f>IF(Employee__2[[#This Row],[City]]="Pune","Yes","No")</f>
        <v>No</v>
      </c>
      <c r="O2482" s="1" t="str">
        <f>IF(AND(Employee__2[[#This Row],[Education]]="Bachelors",Employee__2[[#This Row],[City]]="Pune"),"Yes","No")</f>
        <v>No</v>
      </c>
      <c r="P2482" s="1" t="str">
        <f>IF(OR(Employee__2[[#This Row],[Age]]&gt;=30,Employee__2[[#This Row],[Gender]]="Male"),"Mached","Not mached")</f>
        <v>Mached</v>
      </c>
    </row>
    <row r="2483" spans="4:16" x14ac:dyDescent="0.25">
      <c r="D2483" s="6" t="s">
        <v>34</v>
      </c>
      <c r="E2483">
        <v>2014</v>
      </c>
      <c r="F2483" s="6" t="s">
        <v>35</v>
      </c>
      <c r="G2483">
        <v>3</v>
      </c>
      <c r="H2483">
        <v>28</v>
      </c>
      <c r="I2483" s="6" t="s">
        <v>36</v>
      </c>
      <c r="J2483" s="6" t="s">
        <v>37</v>
      </c>
      <c r="K2483">
        <v>1</v>
      </c>
      <c r="M2483" s="1" t="b">
        <f>Employee__2[[#This Row],[Experience]]&gt;1</f>
        <v>0</v>
      </c>
      <c r="N2483" s="1" t="str">
        <f>IF(Employee__2[[#This Row],[City]]="Pune","Yes","No")</f>
        <v>No</v>
      </c>
      <c r="O2483" s="1" t="str">
        <f>IF(AND(Employee__2[[#This Row],[Education]]="Bachelors",Employee__2[[#This Row],[City]]="Pune"),"Yes","No")</f>
        <v>No</v>
      </c>
      <c r="P2483" s="1" t="str">
        <f>IF(OR(Employee__2[[#This Row],[Age]]&gt;=30,Employee__2[[#This Row],[Gender]]="Male"),"Mached","Not mached")</f>
        <v>Mached</v>
      </c>
    </row>
    <row r="2484" spans="4:16" x14ac:dyDescent="0.25">
      <c r="D2484" s="6" t="s">
        <v>34</v>
      </c>
      <c r="E2484">
        <v>2016</v>
      </c>
      <c r="F2484" s="6" t="s">
        <v>35</v>
      </c>
      <c r="G2484">
        <v>3</v>
      </c>
      <c r="H2484">
        <v>27</v>
      </c>
      <c r="I2484" s="6" t="s">
        <v>36</v>
      </c>
      <c r="J2484" s="6" t="s">
        <v>37</v>
      </c>
      <c r="K2484">
        <v>5</v>
      </c>
      <c r="M2484" s="1" t="b">
        <f>Employee__2[[#This Row],[Experience]]&gt;1</f>
        <v>1</v>
      </c>
      <c r="N2484" s="1" t="str">
        <f>IF(Employee__2[[#This Row],[City]]="Pune","Yes","No")</f>
        <v>No</v>
      </c>
      <c r="O2484" s="1" t="str">
        <f>IF(AND(Employee__2[[#This Row],[Education]]="Bachelors",Employee__2[[#This Row],[City]]="Pune"),"Yes","No")</f>
        <v>No</v>
      </c>
      <c r="P2484" s="1" t="str">
        <f>IF(OR(Employee__2[[#This Row],[Age]]&gt;=30,Employee__2[[#This Row],[Gender]]="Male"),"Mached","Not mached")</f>
        <v>Mached</v>
      </c>
    </row>
    <row r="2485" spans="4:16" x14ac:dyDescent="0.25">
      <c r="D2485" s="6" t="s">
        <v>43</v>
      </c>
      <c r="E2485">
        <v>2012</v>
      </c>
      <c r="F2485" s="6" t="s">
        <v>40</v>
      </c>
      <c r="G2485">
        <v>1</v>
      </c>
      <c r="H2485">
        <v>29</v>
      </c>
      <c r="I2485" s="6" t="s">
        <v>39</v>
      </c>
      <c r="J2485" s="6" t="s">
        <v>37</v>
      </c>
      <c r="K2485">
        <v>2</v>
      </c>
      <c r="M2485" s="1" t="b">
        <f>Employee__2[[#This Row],[Experience]]&gt;1</f>
        <v>1</v>
      </c>
      <c r="N2485" s="1" t="str">
        <f>IF(Employee__2[[#This Row],[City]]="Pune","Yes","No")</f>
        <v>No</v>
      </c>
      <c r="O2485" s="1" t="str">
        <f>IF(AND(Employee__2[[#This Row],[Education]]="Bachelors",Employee__2[[#This Row],[City]]="Pune"),"Yes","No")</f>
        <v>No</v>
      </c>
      <c r="P2485" s="1" t="str">
        <f>IF(OR(Employee__2[[#This Row],[Age]]&gt;=30,Employee__2[[#This Row],[Gender]]="Male"),"Mached","Not mached")</f>
        <v>Not mached</v>
      </c>
    </row>
    <row r="2486" spans="4:16" x14ac:dyDescent="0.25">
      <c r="D2486" s="6" t="s">
        <v>34</v>
      </c>
      <c r="E2486">
        <v>2013</v>
      </c>
      <c r="F2486" s="6" t="s">
        <v>35</v>
      </c>
      <c r="G2486">
        <v>3</v>
      </c>
      <c r="H2486">
        <v>30</v>
      </c>
      <c r="I2486" s="6" t="s">
        <v>39</v>
      </c>
      <c r="J2486" s="6" t="s">
        <v>37</v>
      </c>
      <c r="K2486">
        <v>2</v>
      </c>
      <c r="M2486" s="1" t="b">
        <f>Employee__2[[#This Row],[Experience]]&gt;1</f>
        <v>1</v>
      </c>
      <c r="N2486" s="1" t="str">
        <f>IF(Employee__2[[#This Row],[City]]="Pune","Yes","No")</f>
        <v>No</v>
      </c>
      <c r="O2486" s="1" t="str">
        <f>IF(AND(Employee__2[[#This Row],[Education]]="Bachelors",Employee__2[[#This Row],[City]]="Pune"),"Yes","No")</f>
        <v>No</v>
      </c>
      <c r="P2486" s="1" t="str">
        <f>IF(OR(Employee__2[[#This Row],[Age]]&gt;=30,Employee__2[[#This Row],[Gender]]="Male"),"Mached","Not mached")</f>
        <v>Mached</v>
      </c>
    </row>
    <row r="2487" spans="4:16" x14ac:dyDescent="0.25">
      <c r="D2487" s="6" t="s">
        <v>34</v>
      </c>
      <c r="E2487">
        <v>2016</v>
      </c>
      <c r="F2487" s="6" t="s">
        <v>35</v>
      </c>
      <c r="G2487">
        <v>3</v>
      </c>
      <c r="H2487">
        <v>26</v>
      </c>
      <c r="I2487" s="6" t="s">
        <v>36</v>
      </c>
      <c r="J2487" s="6" t="s">
        <v>37</v>
      </c>
      <c r="K2487">
        <v>4</v>
      </c>
      <c r="M2487" s="1" t="b">
        <f>Employee__2[[#This Row],[Experience]]&gt;1</f>
        <v>1</v>
      </c>
      <c r="N2487" s="1" t="str">
        <f>IF(Employee__2[[#This Row],[City]]="Pune","Yes","No")</f>
        <v>No</v>
      </c>
      <c r="O2487" s="1" t="str">
        <f>IF(AND(Employee__2[[#This Row],[Education]]="Bachelors",Employee__2[[#This Row],[City]]="Pune"),"Yes","No")</f>
        <v>No</v>
      </c>
      <c r="P2487" s="1" t="str">
        <f>IF(OR(Employee__2[[#This Row],[Age]]&gt;=30,Employee__2[[#This Row],[Gender]]="Male"),"Mached","Not mached")</f>
        <v>Mached</v>
      </c>
    </row>
    <row r="2488" spans="4:16" x14ac:dyDescent="0.25">
      <c r="D2488" s="6" t="s">
        <v>34</v>
      </c>
      <c r="E2488">
        <v>2014</v>
      </c>
      <c r="F2488" s="6" t="s">
        <v>38</v>
      </c>
      <c r="G2488">
        <v>3</v>
      </c>
      <c r="H2488">
        <v>28</v>
      </c>
      <c r="I2488" s="6" t="s">
        <v>36</v>
      </c>
      <c r="J2488" s="6" t="s">
        <v>37</v>
      </c>
      <c r="K2488">
        <v>1</v>
      </c>
      <c r="M2488" s="1" t="b">
        <f>Employee__2[[#This Row],[Experience]]&gt;1</f>
        <v>0</v>
      </c>
      <c r="N2488" s="1" t="str">
        <f>IF(Employee__2[[#This Row],[City]]="Pune","Yes","No")</f>
        <v>Yes</v>
      </c>
      <c r="O2488" s="1" t="str">
        <f>IF(AND(Employee__2[[#This Row],[Education]]="Bachelors",Employee__2[[#This Row],[City]]="Pune"),"Yes","No")</f>
        <v>Yes</v>
      </c>
      <c r="P2488" s="1" t="str">
        <f>IF(OR(Employee__2[[#This Row],[Age]]&gt;=30,Employee__2[[#This Row],[Gender]]="Male"),"Mached","Not mached")</f>
        <v>Mached</v>
      </c>
    </row>
    <row r="2489" spans="4:16" x14ac:dyDescent="0.25">
      <c r="D2489" s="6" t="s">
        <v>41</v>
      </c>
      <c r="E2489">
        <v>2013</v>
      </c>
      <c r="F2489" s="6" t="s">
        <v>40</v>
      </c>
      <c r="G2489">
        <v>2</v>
      </c>
      <c r="H2489">
        <v>26</v>
      </c>
      <c r="I2489" s="6" t="s">
        <v>36</v>
      </c>
      <c r="J2489" s="6" t="s">
        <v>37</v>
      </c>
      <c r="K2489">
        <v>4</v>
      </c>
      <c r="M2489" s="1" t="b">
        <f>Employee__2[[#This Row],[Experience]]&gt;1</f>
        <v>1</v>
      </c>
      <c r="N2489" s="1" t="str">
        <f>IF(Employee__2[[#This Row],[City]]="Pune","Yes","No")</f>
        <v>No</v>
      </c>
      <c r="O2489" s="1" t="str">
        <f>IF(AND(Employee__2[[#This Row],[Education]]="Bachelors",Employee__2[[#This Row],[City]]="Pune"),"Yes","No")</f>
        <v>No</v>
      </c>
      <c r="P2489" s="1" t="str">
        <f>IF(OR(Employee__2[[#This Row],[Age]]&gt;=30,Employee__2[[#This Row],[Gender]]="Male"),"Mached","Not mached")</f>
        <v>Mached</v>
      </c>
    </row>
    <row r="2490" spans="4:16" x14ac:dyDescent="0.25">
      <c r="D2490" s="6" t="s">
        <v>34</v>
      </c>
      <c r="E2490">
        <v>2017</v>
      </c>
      <c r="F2490" s="6" t="s">
        <v>35</v>
      </c>
      <c r="G2490">
        <v>3</v>
      </c>
      <c r="H2490">
        <v>27</v>
      </c>
      <c r="I2490" s="6" t="s">
        <v>36</v>
      </c>
      <c r="J2490" s="6" t="s">
        <v>37</v>
      </c>
      <c r="K2490">
        <v>5</v>
      </c>
      <c r="M2490" s="1" t="b">
        <f>Employee__2[[#This Row],[Experience]]&gt;1</f>
        <v>1</v>
      </c>
      <c r="N2490" s="1" t="str">
        <f>IF(Employee__2[[#This Row],[City]]="Pune","Yes","No")</f>
        <v>No</v>
      </c>
      <c r="O2490" s="1" t="str">
        <f>IF(AND(Employee__2[[#This Row],[Education]]="Bachelors",Employee__2[[#This Row],[City]]="Pune"),"Yes","No")</f>
        <v>No</v>
      </c>
      <c r="P2490" s="1" t="str">
        <f>IF(OR(Employee__2[[#This Row],[Age]]&gt;=30,Employee__2[[#This Row],[Gender]]="Male"),"Mached","Not mached")</f>
        <v>Mached</v>
      </c>
    </row>
    <row r="2491" spans="4:16" x14ac:dyDescent="0.25">
      <c r="D2491" s="6" t="s">
        <v>34</v>
      </c>
      <c r="E2491">
        <v>2013</v>
      </c>
      <c r="F2491" s="6" t="s">
        <v>38</v>
      </c>
      <c r="G2491">
        <v>3</v>
      </c>
      <c r="H2491">
        <v>27</v>
      </c>
      <c r="I2491" s="6" t="s">
        <v>39</v>
      </c>
      <c r="J2491" s="6" t="s">
        <v>37</v>
      </c>
      <c r="K2491">
        <v>5</v>
      </c>
      <c r="M2491" s="1" t="b">
        <f>Employee__2[[#This Row],[Experience]]&gt;1</f>
        <v>1</v>
      </c>
      <c r="N2491" s="1" t="str">
        <f>IF(Employee__2[[#This Row],[City]]="Pune","Yes","No")</f>
        <v>Yes</v>
      </c>
      <c r="O2491" s="1" t="str">
        <f>IF(AND(Employee__2[[#This Row],[Education]]="Bachelors",Employee__2[[#This Row],[City]]="Pune"),"Yes","No")</f>
        <v>Yes</v>
      </c>
      <c r="P2491" s="1" t="str">
        <f>IF(OR(Employee__2[[#This Row],[Age]]&gt;=30,Employee__2[[#This Row],[Gender]]="Male"),"Mached","Not mached")</f>
        <v>Not mached</v>
      </c>
    </row>
    <row r="2492" spans="4:16" x14ac:dyDescent="0.25">
      <c r="D2492" s="6" t="s">
        <v>43</v>
      </c>
      <c r="E2492">
        <v>2015</v>
      </c>
      <c r="F2492" s="6" t="s">
        <v>40</v>
      </c>
      <c r="G2492">
        <v>3</v>
      </c>
      <c r="H2492">
        <v>28</v>
      </c>
      <c r="I2492" s="6" t="s">
        <v>36</v>
      </c>
      <c r="J2492" s="6" t="s">
        <v>37</v>
      </c>
      <c r="K2492">
        <v>2</v>
      </c>
      <c r="M2492" s="1" t="b">
        <f>Employee__2[[#This Row],[Experience]]&gt;1</f>
        <v>1</v>
      </c>
      <c r="N2492" s="1" t="str">
        <f>IF(Employee__2[[#This Row],[City]]="Pune","Yes","No")</f>
        <v>No</v>
      </c>
      <c r="O2492" s="1" t="str">
        <f>IF(AND(Employee__2[[#This Row],[Education]]="Bachelors",Employee__2[[#This Row],[City]]="Pune"),"Yes","No")</f>
        <v>No</v>
      </c>
      <c r="P2492" s="1" t="str">
        <f>IF(OR(Employee__2[[#This Row],[Age]]&gt;=30,Employee__2[[#This Row],[Gender]]="Male"),"Mached","Not mached")</f>
        <v>Mached</v>
      </c>
    </row>
    <row r="2493" spans="4:16" x14ac:dyDescent="0.25">
      <c r="D2493" s="6" t="s">
        <v>41</v>
      </c>
      <c r="E2493">
        <v>2017</v>
      </c>
      <c r="F2493" s="6" t="s">
        <v>38</v>
      </c>
      <c r="G2493">
        <v>2</v>
      </c>
      <c r="H2493">
        <v>28</v>
      </c>
      <c r="I2493" s="6" t="s">
        <v>36</v>
      </c>
      <c r="J2493" s="6" t="s">
        <v>37</v>
      </c>
      <c r="K2493">
        <v>2</v>
      </c>
      <c r="M2493" s="1" t="b">
        <f>Employee__2[[#This Row],[Experience]]&gt;1</f>
        <v>1</v>
      </c>
      <c r="N2493" s="1" t="str">
        <f>IF(Employee__2[[#This Row],[City]]="Pune","Yes","No")</f>
        <v>Yes</v>
      </c>
      <c r="O2493" s="1" t="str">
        <f>IF(AND(Employee__2[[#This Row],[Education]]="Bachelors",Employee__2[[#This Row],[City]]="Pune"),"Yes","No")</f>
        <v>No</v>
      </c>
      <c r="P2493" s="1" t="str">
        <f>IF(OR(Employee__2[[#This Row],[Age]]&gt;=30,Employee__2[[#This Row],[Gender]]="Male"),"Mached","Not mached")</f>
        <v>Mached</v>
      </c>
    </row>
    <row r="2494" spans="4:16" x14ac:dyDescent="0.25">
      <c r="D2494" s="6" t="s">
        <v>34</v>
      </c>
      <c r="E2494">
        <v>2014</v>
      </c>
      <c r="F2494" s="6" t="s">
        <v>38</v>
      </c>
      <c r="G2494">
        <v>3</v>
      </c>
      <c r="H2494">
        <v>28</v>
      </c>
      <c r="I2494" s="6" t="s">
        <v>36</v>
      </c>
      <c r="J2494" s="6" t="s">
        <v>37</v>
      </c>
      <c r="K2494">
        <v>4</v>
      </c>
      <c r="M2494" s="1" t="b">
        <f>Employee__2[[#This Row],[Experience]]&gt;1</f>
        <v>1</v>
      </c>
      <c r="N2494" s="1" t="str">
        <f>IF(Employee__2[[#This Row],[City]]="Pune","Yes","No")</f>
        <v>Yes</v>
      </c>
      <c r="O2494" s="1" t="str">
        <f>IF(AND(Employee__2[[#This Row],[Education]]="Bachelors",Employee__2[[#This Row],[City]]="Pune"),"Yes","No")</f>
        <v>Yes</v>
      </c>
      <c r="P2494" s="1" t="str">
        <f>IF(OR(Employee__2[[#This Row],[Age]]&gt;=30,Employee__2[[#This Row],[Gender]]="Male"),"Mached","Not mached")</f>
        <v>Mached</v>
      </c>
    </row>
    <row r="2495" spans="4:16" x14ac:dyDescent="0.25">
      <c r="D2495" s="6" t="s">
        <v>34</v>
      </c>
      <c r="E2495">
        <v>2016</v>
      </c>
      <c r="F2495" s="6" t="s">
        <v>35</v>
      </c>
      <c r="G2495">
        <v>3</v>
      </c>
      <c r="H2495">
        <v>29</v>
      </c>
      <c r="I2495" s="6" t="s">
        <v>39</v>
      </c>
      <c r="J2495" s="6" t="s">
        <v>37</v>
      </c>
      <c r="K2495">
        <v>1</v>
      </c>
      <c r="M2495" s="1" t="b">
        <f>Employee__2[[#This Row],[Experience]]&gt;1</f>
        <v>0</v>
      </c>
      <c r="N2495" s="1" t="str">
        <f>IF(Employee__2[[#This Row],[City]]="Pune","Yes","No")</f>
        <v>No</v>
      </c>
      <c r="O2495" s="1" t="str">
        <f>IF(AND(Employee__2[[#This Row],[Education]]="Bachelors",Employee__2[[#This Row],[City]]="Pune"),"Yes","No")</f>
        <v>No</v>
      </c>
      <c r="P2495" s="1" t="str">
        <f>IF(OR(Employee__2[[#This Row],[Age]]&gt;=30,Employee__2[[#This Row],[Gender]]="Male"),"Mached","Not mached")</f>
        <v>Not mached</v>
      </c>
    </row>
    <row r="2496" spans="4:16" x14ac:dyDescent="0.25">
      <c r="D2496" s="6" t="s">
        <v>34</v>
      </c>
      <c r="E2496">
        <v>2017</v>
      </c>
      <c r="F2496" s="6" t="s">
        <v>35</v>
      </c>
      <c r="G2496">
        <v>3</v>
      </c>
      <c r="H2496">
        <v>26</v>
      </c>
      <c r="I2496" s="6" t="s">
        <v>39</v>
      </c>
      <c r="J2496" s="6" t="s">
        <v>37</v>
      </c>
      <c r="K2496">
        <v>4</v>
      </c>
      <c r="M2496" s="1" t="b">
        <f>Employee__2[[#This Row],[Experience]]&gt;1</f>
        <v>1</v>
      </c>
      <c r="N2496" s="1" t="str">
        <f>IF(Employee__2[[#This Row],[City]]="Pune","Yes","No")</f>
        <v>No</v>
      </c>
      <c r="O2496" s="1" t="str">
        <f>IF(AND(Employee__2[[#This Row],[Education]]="Bachelors",Employee__2[[#This Row],[City]]="Pune"),"Yes","No")</f>
        <v>No</v>
      </c>
      <c r="P2496" s="1" t="str">
        <f>IF(OR(Employee__2[[#This Row],[Age]]&gt;=30,Employee__2[[#This Row],[Gender]]="Male"),"Mached","Not mached")</f>
        <v>Not mached</v>
      </c>
    </row>
    <row r="2497" spans="4:16" x14ac:dyDescent="0.25">
      <c r="D2497" s="6" t="s">
        <v>34</v>
      </c>
      <c r="E2497">
        <v>2015</v>
      </c>
      <c r="F2497" s="6" t="s">
        <v>35</v>
      </c>
      <c r="G2497">
        <v>3</v>
      </c>
      <c r="H2497">
        <v>30</v>
      </c>
      <c r="I2497" s="6" t="s">
        <v>36</v>
      </c>
      <c r="J2497" s="6" t="s">
        <v>37</v>
      </c>
      <c r="K2497">
        <v>0</v>
      </c>
      <c r="M2497" s="1" t="b">
        <f>Employee__2[[#This Row],[Experience]]&gt;1</f>
        <v>0</v>
      </c>
      <c r="N2497" s="1" t="str">
        <f>IF(Employee__2[[#This Row],[City]]="Pune","Yes","No")</f>
        <v>No</v>
      </c>
      <c r="O2497" s="1" t="str">
        <f>IF(AND(Employee__2[[#This Row],[Education]]="Bachelors",Employee__2[[#This Row],[City]]="Pune"),"Yes","No")</f>
        <v>No</v>
      </c>
      <c r="P2497" s="1" t="str">
        <f>IF(OR(Employee__2[[#This Row],[Age]]&gt;=30,Employee__2[[#This Row],[Gender]]="Male"),"Mached","Not mached")</f>
        <v>Mached</v>
      </c>
    </row>
    <row r="2498" spans="4:16" x14ac:dyDescent="0.25">
      <c r="D2498" s="6" t="s">
        <v>41</v>
      </c>
      <c r="E2498">
        <v>2012</v>
      </c>
      <c r="F2498" s="6" t="s">
        <v>40</v>
      </c>
      <c r="G2498">
        <v>3</v>
      </c>
      <c r="H2498">
        <v>30</v>
      </c>
      <c r="I2498" s="6" t="s">
        <v>36</v>
      </c>
      <c r="J2498" s="6" t="s">
        <v>37</v>
      </c>
      <c r="K2498">
        <v>2</v>
      </c>
      <c r="M2498" s="1" t="b">
        <f>Employee__2[[#This Row],[Experience]]&gt;1</f>
        <v>1</v>
      </c>
      <c r="N2498" s="1" t="str">
        <f>IF(Employee__2[[#This Row],[City]]="Pune","Yes","No")</f>
        <v>No</v>
      </c>
      <c r="O2498" s="1" t="str">
        <f>IF(AND(Employee__2[[#This Row],[Education]]="Bachelors",Employee__2[[#This Row],[City]]="Pune"),"Yes","No")</f>
        <v>No</v>
      </c>
      <c r="P2498" s="1" t="str">
        <f>IF(OR(Employee__2[[#This Row],[Age]]&gt;=30,Employee__2[[#This Row],[Gender]]="Male"),"Mached","Not mached")</f>
        <v>Mached</v>
      </c>
    </row>
    <row r="2499" spans="4:16" x14ac:dyDescent="0.25">
      <c r="D2499" s="6" t="s">
        <v>34</v>
      </c>
      <c r="E2499">
        <v>2012</v>
      </c>
      <c r="F2499" s="6" t="s">
        <v>35</v>
      </c>
      <c r="G2499">
        <v>1</v>
      </c>
      <c r="H2499">
        <v>30</v>
      </c>
      <c r="I2499" s="6" t="s">
        <v>39</v>
      </c>
      <c r="J2499" s="6" t="s">
        <v>37</v>
      </c>
      <c r="K2499">
        <v>0</v>
      </c>
      <c r="M2499" s="1" t="b">
        <f>Employee__2[[#This Row],[Experience]]&gt;1</f>
        <v>0</v>
      </c>
      <c r="N2499" s="1" t="str">
        <f>IF(Employee__2[[#This Row],[City]]="Pune","Yes","No")</f>
        <v>No</v>
      </c>
      <c r="O2499" s="1" t="str">
        <f>IF(AND(Employee__2[[#This Row],[Education]]="Bachelors",Employee__2[[#This Row],[City]]="Pune"),"Yes","No")</f>
        <v>No</v>
      </c>
      <c r="P2499" s="1" t="str">
        <f>IF(OR(Employee__2[[#This Row],[Age]]&gt;=30,Employee__2[[#This Row],[Gender]]="Male"),"Mached","Not mached")</f>
        <v>Mached</v>
      </c>
    </row>
    <row r="2500" spans="4:16" x14ac:dyDescent="0.25">
      <c r="D2500" s="6" t="s">
        <v>34</v>
      </c>
      <c r="E2500">
        <v>2014</v>
      </c>
      <c r="F2500" s="6" t="s">
        <v>40</v>
      </c>
      <c r="G2500">
        <v>3</v>
      </c>
      <c r="H2500">
        <v>27</v>
      </c>
      <c r="I2500" s="6" t="s">
        <v>39</v>
      </c>
      <c r="J2500" s="6" t="s">
        <v>37</v>
      </c>
      <c r="K2500">
        <v>5</v>
      </c>
      <c r="M2500" s="1" t="b">
        <f>Employee__2[[#This Row],[Experience]]&gt;1</f>
        <v>1</v>
      </c>
      <c r="N2500" s="1" t="str">
        <f>IF(Employee__2[[#This Row],[City]]="Pune","Yes","No")</f>
        <v>No</v>
      </c>
      <c r="O2500" s="1" t="str">
        <f>IF(AND(Employee__2[[#This Row],[Education]]="Bachelors",Employee__2[[#This Row],[City]]="Pune"),"Yes","No")</f>
        <v>No</v>
      </c>
      <c r="P2500" s="1" t="str">
        <f>IF(OR(Employee__2[[#This Row],[Age]]&gt;=30,Employee__2[[#This Row],[Gender]]="Male"),"Mached","Not mached")</f>
        <v>Not mached</v>
      </c>
    </row>
    <row r="2501" spans="4:16" x14ac:dyDescent="0.25">
      <c r="D2501" s="6" t="s">
        <v>34</v>
      </c>
      <c r="E2501">
        <v>2017</v>
      </c>
      <c r="F2501" s="6" t="s">
        <v>40</v>
      </c>
      <c r="G2501">
        <v>2</v>
      </c>
      <c r="H2501">
        <v>28</v>
      </c>
      <c r="I2501" s="6" t="s">
        <v>39</v>
      </c>
      <c r="J2501" s="6" t="s">
        <v>37</v>
      </c>
      <c r="K2501">
        <v>0</v>
      </c>
      <c r="M2501" s="1" t="b">
        <f>Employee__2[[#This Row],[Experience]]&gt;1</f>
        <v>0</v>
      </c>
      <c r="N2501" s="1" t="str">
        <f>IF(Employee__2[[#This Row],[City]]="Pune","Yes","No")</f>
        <v>No</v>
      </c>
      <c r="O2501" s="1" t="str">
        <f>IF(AND(Employee__2[[#This Row],[Education]]="Bachelors",Employee__2[[#This Row],[City]]="Pune"),"Yes","No")</f>
        <v>No</v>
      </c>
      <c r="P2501" s="1" t="str">
        <f>IF(OR(Employee__2[[#This Row],[Age]]&gt;=30,Employee__2[[#This Row],[Gender]]="Male"),"Mached","Not mached")</f>
        <v>Not mached</v>
      </c>
    </row>
    <row r="2502" spans="4:16" x14ac:dyDescent="0.25">
      <c r="D2502" s="6" t="s">
        <v>34</v>
      </c>
      <c r="E2502">
        <v>2012</v>
      </c>
      <c r="F2502" s="6" t="s">
        <v>38</v>
      </c>
      <c r="G2502">
        <v>3</v>
      </c>
      <c r="H2502">
        <v>26</v>
      </c>
      <c r="I2502" s="6" t="s">
        <v>36</v>
      </c>
      <c r="J2502" s="6" t="s">
        <v>37</v>
      </c>
      <c r="K2502">
        <v>4</v>
      </c>
      <c r="M2502" s="1" t="b">
        <f>Employee__2[[#This Row],[Experience]]&gt;1</f>
        <v>1</v>
      </c>
      <c r="N2502" s="1" t="str">
        <f>IF(Employee__2[[#This Row],[City]]="Pune","Yes","No")</f>
        <v>Yes</v>
      </c>
      <c r="O2502" s="1" t="str">
        <f>IF(AND(Employee__2[[#This Row],[Education]]="Bachelors",Employee__2[[#This Row],[City]]="Pune"),"Yes","No")</f>
        <v>Yes</v>
      </c>
      <c r="P2502" s="1" t="str">
        <f>IF(OR(Employee__2[[#This Row],[Age]]&gt;=30,Employee__2[[#This Row],[Gender]]="Male"),"Mached","Not mached")</f>
        <v>Mached</v>
      </c>
    </row>
    <row r="2503" spans="4:16" x14ac:dyDescent="0.25">
      <c r="D2503" s="6" t="s">
        <v>34</v>
      </c>
      <c r="E2503">
        <v>2015</v>
      </c>
      <c r="F2503" s="6" t="s">
        <v>38</v>
      </c>
      <c r="G2503">
        <v>3</v>
      </c>
      <c r="H2503">
        <v>29</v>
      </c>
      <c r="I2503" s="6" t="s">
        <v>39</v>
      </c>
      <c r="J2503" s="6" t="s">
        <v>37</v>
      </c>
      <c r="K2503">
        <v>3</v>
      </c>
      <c r="M2503" s="1" t="b">
        <f>Employee__2[[#This Row],[Experience]]&gt;1</f>
        <v>1</v>
      </c>
      <c r="N2503" s="1" t="str">
        <f>IF(Employee__2[[#This Row],[City]]="Pune","Yes","No")</f>
        <v>Yes</v>
      </c>
      <c r="O2503" s="1" t="str">
        <f>IF(AND(Employee__2[[#This Row],[Education]]="Bachelors",Employee__2[[#This Row],[City]]="Pune"),"Yes","No")</f>
        <v>Yes</v>
      </c>
      <c r="P2503" s="1" t="str">
        <f>IF(OR(Employee__2[[#This Row],[Age]]&gt;=30,Employee__2[[#This Row],[Gender]]="Male"),"Mached","Not mached")</f>
        <v>Not mached</v>
      </c>
    </row>
    <row r="2504" spans="4:16" x14ac:dyDescent="0.25">
      <c r="D2504" s="6" t="s">
        <v>41</v>
      </c>
      <c r="E2504">
        <v>2017</v>
      </c>
      <c r="F2504" s="6" t="s">
        <v>38</v>
      </c>
      <c r="G2504">
        <v>2</v>
      </c>
      <c r="H2504">
        <v>30</v>
      </c>
      <c r="I2504" s="6" t="s">
        <v>36</v>
      </c>
      <c r="J2504" s="6" t="s">
        <v>37</v>
      </c>
      <c r="K2504">
        <v>0</v>
      </c>
      <c r="M2504" s="1" t="b">
        <f>Employee__2[[#This Row],[Experience]]&gt;1</f>
        <v>0</v>
      </c>
      <c r="N2504" s="1" t="str">
        <f>IF(Employee__2[[#This Row],[City]]="Pune","Yes","No")</f>
        <v>Yes</v>
      </c>
      <c r="O2504" s="1" t="str">
        <f>IF(AND(Employee__2[[#This Row],[Education]]="Bachelors",Employee__2[[#This Row],[City]]="Pune"),"Yes","No")</f>
        <v>No</v>
      </c>
      <c r="P2504" s="1" t="str">
        <f>IF(OR(Employee__2[[#This Row],[Age]]&gt;=30,Employee__2[[#This Row],[Gender]]="Male"),"Mached","Not mached")</f>
        <v>Mached</v>
      </c>
    </row>
    <row r="2505" spans="4:16" x14ac:dyDescent="0.25">
      <c r="D2505" s="6" t="s">
        <v>34</v>
      </c>
      <c r="E2505">
        <v>2013</v>
      </c>
      <c r="F2505" s="6" t="s">
        <v>40</v>
      </c>
      <c r="G2505">
        <v>3</v>
      </c>
      <c r="H2505">
        <v>26</v>
      </c>
      <c r="I2505" s="6" t="s">
        <v>36</v>
      </c>
      <c r="J2505" s="6" t="s">
        <v>37</v>
      </c>
      <c r="K2505">
        <v>4</v>
      </c>
      <c r="M2505" s="1" t="b">
        <f>Employee__2[[#This Row],[Experience]]&gt;1</f>
        <v>1</v>
      </c>
      <c r="N2505" s="1" t="str">
        <f>IF(Employee__2[[#This Row],[City]]="Pune","Yes","No")</f>
        <v>No</v>
      </c>
      <c r="O2505" s="1" t="str">
        <f>IF(AND(Employee__2[[#This Row],[Education]]="Bachelors",Employee__2[[#This Row],[City]]="Pune"),"Yes","No")</f>
        <v>No</v>
      </c>
      <c r="P2505" s="1" t="str">
        <f>IF(OR(Employee__2[[#This Row],[Age]]&gt;=30,Employee__2[[#This Row],[Gender]]="Male"),"Mached","Not mached")</f>
        <v>Mached</v>
      </c>
    </row>
    <row r="2506" spans="4:16" x14ac:dyDescent="0.25">
      <c r="D2506" s="6" t="s">
        <v>41</v>
      </c>
      <c r="E2506">
        <v>2014</v>
      </c>
      <c r="F2506" s="6" t="s">
        <v>38</v>
      </c>
      <c r="G2506">
        <v>3</v>
      </c>
      <c r="H2506">
        <v>30</v>
      </c>
      <c r="I2506" s="6" t="s">
        <v>36</v>
      </c>
      <c r="J2506" s="6" t="s">
        <v>37</v>
      </c>
      <c r="K2506">
        <v>0</v>
      </c>
      <c r="M2506" s="1" t="b">
        <f>Employee__2[[#This Row],[Experience]]&gt;1</f>
        <v>0</v>
      </c>
      <c r="N2506" s="1" t="str">
        <f>IF(Employee__2[[#This Row],[City]]="Pune","Yes","No")</f>
        <v>Yes</v>
      </c>
      <c r="O2506" s="1" t="str">
        <f>IF(AND(Employee__2[[#This Row],[Education]]="Bachelors",Employee__2[[#This Row],[City]]="Pune"),"Yes","No")</f>
        <v>No</v>
      </c>
      <c r="P2506" s="1" t="str">
        <f>IF(OR(Employee__2[[#This Row],[Age]]&gt;=30,Employee__2[[#This Row],[Gender]]="Male"),"Mached","Not mached")</f>
        <v>Mached</v>
      </c>
    </row>
    <row r="2507" spans="4:16" x14ac:dyDescent="0.25">
      <c r="D2507" s="6" t="s">
        <v>34</v>
      </c>
      <c r="E2507">
        <v>2013</v>
      </c>
      <c r="F2507" s="6" t="s">
        <v>38</v>
      </c>
      <c r="G2507">
        <v>3</v>
      </c>
      <c r="H2507">
        <v>29</v>
      </c>
      <c r="I2507" s="6" t="s">
        <v>36</v>
      </c>
      <c r="J2507" s="6" t="s">
        <v>42</v>
      </c>
      <c r="K2507">
        <v>2</v>
      </c>
      <c r="M2507" s="1" t="b">
        <f>Employee__2[[#This Row],[Experience]]&gt;1</f>
        <v>1</v>
      </c>
      <c r="N2507" s="1" t="str">
        <f>IF(Employee__2[[#This Row],[City]]="Pune","Yes","No")</f>
        <v>Yes</v>
      </c>
      <c r="O2507" s="1" t="str">
        <f>IF(AND(Employee__2[[#This Row],[Education]]="Bachelors",Employee__2[[#This Row],[City]]="Pune"),"Yes","No")</f>
        <v>Yes</v>
      </c>
      <c r="P2507" s="1" t="str">
        <f>IF(OR(Employee__2[[#This Row],[Age]]&gt;=30,Employee__2[[#This Row],[Gender]]="Male"),"Mached","Not mached")</f>
        <v>Mached</v>
      </c>
    </row>
    <row r="2508" spans="4:16" x14ac:dyDescent="0.25">
      <c r="D2508" s="6" t="s">
        <v>34</v>
      </c>
      <c r="E2508">
        <v>2017</v>
      </c>
      <c r="F2508" s="6" t="s">
        <v>35</v>
      </c>
      <c r="G2508">
        <v>3</v>
      </c>
      <c r="H2508">
        <v>28</v>
      </c>
      <c r="I2508" s="6" t="s">
        <v>36</v>
      </c>
      <c r="J2508" s="6" t="s">
        <v>37</v>
      </c>
      <c r="K2508">
        <v>3</v>
      </c>
      <c r="M2508" s="1" t="b">
        <f>Employee__2[[#This Row],[Experience]]&gt;1</f>
        <v>1</v>
      </c>
      <c r="N2508" s="1" t="str">
        <f>IF(Employee__2[[#This Row],[City]]="Pune","Yes","No")</f>
        <v>No</v>
      </c>
      <c r="O2508" s="1" t="str">
        <f>IF(AND(Employee__2[[#This Row],[Education]]="Bachelors",Employee__2[[#This Row],[City]]="Pune"),"Yes","No")</f>
        <v>No</v>
      </c>
      <c r="P2508" s="1" t="str">
        <f>IF(OR(Employee__2[[#This Row],[Age]]&gt;=30,Employee__2[[#This Row],[Gender]]="Male"),"Mached","Not mached")</f>
        <v>Mached</v>
      </c>
    </row>
    <row r="2509" spans="4:16" x14ac:dyDescent="0.25">
      <c r="D2509" s="6" t="s">
        <v>41</v>
      </c>
      <c r="E2509">
        <v>2018</v>
      </c>
      <c r="F2509" s="6" t="s">
        <v>40</v>
      </c>
      <c r="G2509">
        <v>3</v>
      </c>
      <c r="H2509">
        <v>27</v>
      </c>
      <c r="I2509" s="6" t="s">
        <v>36</v>
      </c>
      <c r="J2509" s="6" t="s">
        <v>42</v>
      </c>
      <c r="K2509">
        <v>5</v>
      </c>
      <c r="M2509" s="1" t="b">
        <f>Employee__2[[#This Row],[Experience]]&gt;1</f>
        <v>1</v>
      </c>
      <c r="N2509" s="1" t="str">
        <f>IF(Employee__2[[#This Row],[City]]="Pune","Yes","No")</f>
        <v>No</v>
      </c>
      <c r="O2509" s="1" t="str">
        <f>IF(AND(Employee__2[[#This Row],[Education]]="Bachelors",Employee__2[[#This Row],[City]]="Pune"),"Yes","No")</f>
        <v>No</v>
      </c>
      <c r="P2509" s="1" t="str">
        <f>IF(OR(Employee__2[[#This Row],[Age]]&gt;=30,Employee__2[[#This Row],[Gender]]="Male"),"Mached","Not mached")</f>
        <v>Mached</v>
      </c>
    </row>
    <row r="2510" spans="4:16" x14ac:dyDescent="0.25">
      <c r="D2510" s="6" t="s">
        <v>41</v>
      </c>
      <c r="E2510">
        <v>2017</v>
      </c>
      <c r="F2510" s="6" t="s">
        <v>40</v>
      </c>
      <c r="G2510">
        <v>2</v>
      </c>
      <c r="H2510">
        <v>26</v>
      </c>
      <c r="I2510" s="6" t="s">
        <v>39</v>
      </c>
      <c r="J2510" s="6" t="s">
        <v>42</v>
      </c>
      <c r="K2510">
        <v>4</v>
      </c>
      <c r="M2510" s="1" t="b">
        <f>Employee__2[[#This Row],[Experience]]&gt;1</f>
        <v>1</v>
      </c>
      <c r="N2510" s="1" t="str">
        <f>IF(Employee__2[[#This Row],[City]]="Pune","Yes","No")</f>
        <v>No</v>
      </c>
      <c r="O2510" s="1" t="str">
        <f>IF(AND(Employee__2[[#This Row],[Education]]="Bachelors",Employee__2[[#This Row],[City]]="Pune"),"Yes","No")</f>
        <v>No</v>
      </c>
      <c r="P2510" s="1" t="str">
        <f>IF(OR(Employee__2[[#This Row],[Age]]&gt;=30,Employee__2[[#This Row],[Gender]]="Male"),"Mached","Not mached")</f>
        <v>Not mached</v>
      </c>
    </row>
    <row r="2511" spans="4:16" x14ac:dyDescent="0.25">
      <c r="D2511" s="6" t="s">
        <v>34</v>
      </c>
      <c r="E2511">
        <v>2012</v>
      </c>
      <c r="F2511" s="6" t="s">
        <v>35</v>
      </c>
      <c r="G2511">
        <v>3</v>
      </c>
      <c r="H2511">
        <v>30</v>
      </c>
      <c r="I2511" s="6" t="s">
        <v>39</v>
      </c>
      <c r="J2511" s="6" t="s">
        <v>37</v>
      </c>
      <c r="K2511">
        <v>0</v>
      </c>
      <c r="M2511" s="1" t="b">
        <f>Employee__2[[#This Row],[Experience]]&gt;1</f>
        <v>0</v>
      </c>
      <c r="N2511" s="1" t="str">
        <f>IF(Employee__2[[#This Row],[City]]="Pune","Yes","No")</f>
        <v>No</v>
      </c>
      <c r="O2511" s="1" t="str">
        <f>IF(AND(Employee__2[[#This Row],[Education]]="Bachelors",Employee__2[[#This Row],[City]]="Pune"),"Yes","No")</f>
        <v>No</v>
      </c>
      <c r="P2511" s="1" t="str">
        <f>IF(OR(Employee__2[[#This Row],[Age]]&gt;=30,Employee__2[[#This Row],[Gender]]="Male"),"Mached","Not mached")</f>
        <v>Mached</v>
      </c>
    </row>
    <row r="2512" spans="4:16" x14ac:dyDescent="0.25">
      <c r="D2512" s="6" t="s">
        <v>34</v>
      </c>
      <c r="E2512">
        <v>2012</v>
      </c>
      <c r="F2512" s="6" t="s">
        <v>35</v>
      </c>
      <c r="G2512">
        <v>3</v>
      </c>
      <c r="H2512">
        <v>29</v>
      </c>
      <c r="I2512" s="6" t="s">
        <v>39</v>
      </c>
      <c r="J2512" s="6" t="s">
        <v>37</v>
      </c>
      <c r="K2512">
        <v>4</v>
      </c>
      <c r="M2512" s="1" t="b">
        <f>Employee__2[[#This Row],[Experience]]&gt;1</f>
        <v>1</v>
      </c>
      <c r="N2512" s="1" t="str">
        <f>IF(Employee__2[[#This Row],[City]]="Pune","Yes","No")</f>
        <v>No</v>
      </c>
      <c r="O2512" s="1" t="str">
        <f>IF(AND(Employee__2[[#This Row],[Education]]="Bachelors",Employee__2[[#This Row],[City]]="Pune"),"Yes","No")</f>
        <v>No</v>
      </c>
      <c r="P2512" s="1" t="str">
        <f>IF(OR(Employee__2[[#This Row],[Age]]&gt;=30,Employee__2[[#This Row],[Gender]]="Male"),"Mached","Not mached")</f>
        <v>Not mached</v>
      </c>
    </row>
    <row r="2513" spans="4:16" x14ac:dyDescent="0.25">
      <c r="D2513" s="6" t="s">
        <v>34</v>
      </c>
      <c r="E2513">
        <v>2014</v>
      </c>
      <c r="F2513" s="6" t="s">
        <v>35</v>
      </c>
      <c r="G2513">
        <v>3</v>
      </c>
      <c r="H2513">
        <v>29</v>
      </c>
      <c r="I2513" s="6" t="s">
        <v>36</v>
      </c>
      <c r="J2513" s="6" t="s">
        <v>37</v>
      </c>
      <c r="K2513">
        <v>1</v>
      </c>
      <c r="M2513" s="1" t="b">
        <f>Employee__2[[#This Row],[Experience]]&gt;1</f>
        <v>0</v>
      </c>
      <c r="N2513" s="1" t="str">
        <f>IF(Employee__2[[#This Row],[City]]="Pune","Yes","No")</f>
        <v>No</v>
      </c>
      <c r="O2513" s="1" t="str">
        <f>IF(AND(Employee__2[[#This Row],[Education]]="Bachelors",Employee__2[[#This Row],[City]]="Pune"),"Yes","No")</f>
        <v>No</v>
      </c>
      <c r="P2513" s="1" t="str">
        <f>IF(OR(Employee__2[[#This Row],[Age]]&gt;=30,Employee__2[[#This Row],[Gender]]="Male"),"Mached","Not mached")</f>
        <v>Mached</v>
      </c>
    </row>
    <row r="2514" spans="4:16" x14ac:dyDescent="0.25">
      <c r="D2514" s="6" t="s">
        <v>34</v>
      </c>
      <c r="E2514">
        <v>2016</v>
      </c>
      <c r="F2514" s="6" t="s">
        <v>35</v>
      </c>
      <c r="G2514">
        <v>3</v>
      </c>
      <c r="H2514">
        <v>27</v>
      </c>
      <c r="I2514" s="6" t="s">
        <v>36</v>
      </c>
      <c r="J2514" s="6" t="s">
        <v>37</v>
      </c>
      <c r="K2514">
        <v>5</v>
      </c>
      <c r="M2514" s="1" t="b">
        <f>Employee__2[[#This Row],[Experience]]&gt;1</f>
        <v>1</v>
      </c>
      <c r="N2514" s="1" t="str">
        <f>IF(Employee__2[[#This Row],[City]]="Pune","Yes","No")</f>
        <v>No</v>
      </c>
      <c r="O2514" s="1" t="str">
        <f>IF(AND(Employee__2[[#This Row],[Education]]="Bachelors",Employee__2[[#This Row],[City]]="Pune"),"Yes","No")</f>
        <v>No</v>
      </c>
      <c r="P2514" s="1" t="str">
        <f>IF(OR(Employee__2[[#This Row],[Age]]&gt;=30,Employee__2[[#This Row],[Gender]]="Male"),"Mached","Not mached")</f>
        <v>Mached</v>
      </c>
    </row>
    <row r="2515" spans="4:16" x14ac:dyDescent="0.25">
      <c r="D2515" s="6" t="s">
        <v>34</v>
      </c>
      <c r="E2515">
        <v>2015</v>
      </c>
      <c r="F2515" s="6" t="s">
        <v>35</v>
      </c>
      <c r="G2515">
        <v>3</v>
      </c>
      <c r="H2515">
        <v>28</v>
      </c>
      <c r="I2515" s="6" t="s">
        <v>36</v>
      </c>
      <c r="J2515" s="6" t="s">
        <v>42</v>
      </c>
      <c r="K2515">
        <v>4</v>
      </c>
      <c r="M2515" s="1" t="b">
        <f>Employee__2[[#This Row],[Experience]]&gt;1</f>
        <v>1</v>
      </c>
      <c r="N2515" s="1" t="str">
        <f>IF(Employee__2[[#This Row],[City]]="Pune","Yes","No")</f>
        <v>No</v>
      </c>
      <c r="O2515" s="1" t="str">
        <f>IF(AND(Employee__2[[#This Row],[Education]]="Bachelors",Employee__2[[#This Row],[City]]="Pune"),"Yes","No")</f>
        <v>No</v>
      </c>
      <c r="P2515" s="1" t="str">
        <f>IF(OR(Employee__2[[#This Row],[Age]]&gt;=30,Employee__2[[#This Row],[Gender]]="Male"),"Mached","Not mached")</f>
        <v>Mached</v>
      </c>
    </row>
    <row r="2516" spans="4:16" x14ac:dyDescent="0.25">
      <c r="D2516" s="6" t="s">
        <v>34</v>
      </c>
      <c r="E2516">
        <v>2014</v>
      </c>
      <c r="F2516" s="6" t="s">
        <v>35</v>
      </c>
      <c r="G2516">
        <v>3</v>
      </c>
      <c r="H2516">
        <v>26</v>
      </c>
      <c r="I2516" s="6" t="s">
        <v>36</v>
      </c>
      <c r="J2516" s="6" t="s">
        <v>37</v>
      </c>
      <c r="K2516">
        <v>4</v>
      </c>
      <c r="M2516" s="1" t="b">
        <f>Employee__2[[#This Row],[Experience]]&gt;1</f>
        <v>1</v>
      </c>
      <c r="N2516" s="1" t="str">
        <f>IF(Employee__2[[#This Row],[City]]="Pune","Yes","No")</f>
        <v>No</v>
      </c>
      <c r="O2516" s="1" t="str">
        <f>IF(AND(Employee__2[[#This Row],[Education]]="Bachelors",Employee__2[[#This Row],[City]]="Pune"),"Yes","No")</f>
        <v>No</v>
      </c>
      <c r="P2516" s="1" t="str">
        <f>IF(OR(Employee__2[[#This Row],[Age]]&gt;=30,Employee__2[[#This Row],[Gender]]="Male"),"Mached","Not mached")</f>
        <v>Mached</v>
      </c>
    </row>
    <row r="2517" spans="4:16" x14ac:dyDescent="0.25">
      <c r="D2517" s="6" t="s">
        <v>34</v>
      </c>
      <c r="E2517">
        <v>2016</v>
      </c>
      <c r="F2517" s="6" t="s">
        <v>38</v>
      </c>
      <c r="G2517">
        <v>3</v>
      </c>
      <c r="H2517">
        <v>29</v>
      </c>
      <c r="I2517" s="6" t="s">
        <v>36</v>
      </c>
      <c r="J2517" s="6" t="s">
        <v>37</v>
      </c>
      <c r="K2517">
        <v>5</v>
      </c>
      <c r="M2517" s="1" t="b">
        <f>Employee__2[[#This Row],[Experience]]&gt;1</f>
        <v>1</v>
      </c>
      <c r="N2517" s="1" t="str">
        <f>IF(Employee__2[[#This Row],[City]]="Pune","Yes","No")</f>
        <v>Yes</v>
      </c>
      <c r="O2517" s="1" t="str">
        <f>IF(AND(Employee__2[[#This Row],[Education]]="Bachelors",Employee__2[[#This Row],[City]]="Pune"),"Yes","No")</f>
        <v>Yes</v>
      </c>
      <c r="P2517" s="1" t="str">
        <f>IF(OR(Employee__2[[#This Row],[Age]]&gt;=30,Employee__2[[#This Row],[Gender]]="Male"),"Mached","Not mached")</f>
        <v>Mached</v>
      </c>
    </row>
    <row r="2518" spans="4:16" x14ac:dyDescent="0.25">
      <c r="D2518" s="6" t="s">
        <v>34</v>
      </c>
      <c r="E2518">
        <v>2014</v>
      </c>
      <c r="F2518" s="6" t="s">
        <v>35</v>
      </c>
      <c r="G2518">
        <v>3</v>
      </c>
      <c r="H2518">
        <v>29</v>
      </c>
      <c r="I2518" s="6" t="s">
        <v>36</v>
      </c>
      <c r="J2518" s="6" t="s">
        <v>37</v>
      </c>
      <c r="K2518">
        <v>0</v>
      </c>
      <c r="M2518" s="1" t="b">
        <f>Employee__2[[#This Row],[Experience]]&gt;1</f>
        <v>0</v>
      </c>
      <c r="N2518" s="1" t="str">
        <f>IF(Employee__2[[#This Row],[City]]="Pune","Yes","No")</f>
        <v>No</v>
      </c>
      <c r="O2518" s="1" t="str">
        <f>IF(AND(Employee__2[[#This Row],[Education]]="Bachelors",Employee__2[[#This Row],[City]]="Pune"),"Yes","No")</f>
        <v>No</v>
      </c>
      <c r="P2518" s="1" t="str">
        <f>IF(OR(Employee__2[[#This Row],[Age]]&gt;=30,Employee__2[[#This Row],[Gender]]="Male"),"Mached","Not mached")</f>
        <v>Mached</v>
      </c>
    </row>
    <row r="2519" spans="4:16" x14ac:dyDescent="0.25">
      <c r="D2519" s="6" t="s">
        <v>41</v>
      </c>
      <c r="E2519">
        <v>2013</v>
      </c>
      <c r="F2519" s="6" t="s">
        <v>35</v>
      </c>
      <c r="G2519">
        <v>3</v>
      </c>
      <c r="H2519">
        <v>30</v>
      </c>
      <c r="I2519" s="6" t="s">
        <v>36</v>
      </c>
      <c r="J2519" s="6" t="s">
        <v>37</v>
      </c>
      <c r="K2519">
        <v>5</v>
      </c>
      <c r="M2519" s="1" t="b">
        <f>Employee__2[[#This Row],[Experience]]&gt;1</f>
        <v>1</v>
      </c>
      <c r="N2519" s="1" t="str">
        <f>IF(Employee__2[[#This Row],[City]]="Pune","Yes","No")</f>
        <v>No</v>
      </c>
      <c r="O2519" s="1" t="str">
        <f>IF(AND(Employee__2[[#This Row],[Education]]="Bachelors",Employee__2[[#This Row],[City]]="Pune"),"Yes","No")</f>
        <v>No</v>
      </c>
      <c r="P2519" s="1" t="str">
        <f>IF(OR(Employee__2[[#This Row],[Age]]&gt;=30,Employee__2[[#This Row],[Gender]]="Male"),"Mached","Not mached")</f>
        <v>Mached</v>
      </c>
    </row>
    <row r="2520" spans="4:16" x14ac:dyDescent="0.25">
      <c r="D2520" s="6" t="s">
        <v>34</v>
      </c>
      <c r="E2520">
        <v>2017</v>
      </c>
      <c r="F2520" s="6" t="s">
        <v>40</v>
      </c>
      <c r="G2520">
        <v>3</v>
      </c>
      <c r="H2520">
        <v>30</v>
      </c>
      <c r="I2520" s="6" t="s">
        <v>39</v>
      </c>
      <c r="J2520" s="6" t="s">
        <v>42</v>
      </c>
      <c r="K2520">
        <v>3</v>
      </c>
      <c r="M2520" s="1" t="b">
        <f>Employee__2[[#This Row],[Experience]]&gt;1</f>
        <v>1</v>
      </c>
      <c r="N2520" s="1" t="str">
        <f>IF(Employee__2[[#This Row],[City]]="Pune","Yes","No")</f>
        <v>No</v>
      </c>
      <c r="O2520" s="1" t="str">
        <f>IF(AND(Employee__2[[#This Row],[Education]]="Bachelors",Employee__2[[#This Row],[City]]="Pune"),"Yes","No")</f>
        <v>No</v>
      </c>
      <c r="P2520" s="1" t="str">
        <f>IF(OR(Employee__2[[#This Row],[Age]]&gt;=30,Employee__2[[#This Row],[Gender]]="Male"),"Mached","Not mached")</f>
        <v>Mached</v>
      </c>
    </row>
    <row r="2521" spans="4:16" x14ac:dyDescent="0.25">
      <c r="D2521" s="6" t="s">
        <v>34</v>
      </c>
      <c r="E2521">
        <v>2014</v>
      </c>
      <c r="F2521" s="6" t="s">
        <v>35</v>
      </c>
      <c r="G2521">
        <v>3</v>
      </c>
      <c r="H2521">
        <v>27</v>
      </c>
      <c r="I2521" s="6" t="s">
        <v>36</v>
      </c>
      <c r="J2521" s="6" t="s">
        <v>37</v>
      </c>
      <c r="K2521">
        <v>5</v>
      </c>
      <c r="M2521" s="1" t="b">
        <f>Employee__2[[#This Row],[Experience]]&gt;1</f>
        <v>1</v>
      </c>
      <c r="N2521" s="1" t="str">
        <f>IF(Employee__2[[#This Row],[City]]="Pune","Yes","No")</f>
        <v>No</v>
      </c>
      <c r="O2521" s="1" t="str">
        <f>IF(AND(Employee__2[[#This Row],[Education]]="Bachelors",Employee__2[[#This Row],[City]]="Pune"),"Yes","No")</f>
        <v>No</v>
      </c>
      <c r="P2521" s="1" t="str">
        <f>IF(OR(Employee__2[[#This Row],[Age]]&gt;=30,Employee__2[[#This Row],[Gender]]="Male"),"Mached","Not mached")</f>
        <v>Mached</v>
      </c>
    </row>
    <row r="2522" spans="4:16" x14ac:dyDescent="0.25">
      <c r="D2522" s="6" t="s">
        <v>43</v>
      </c>
      <c r="E2522">
        <v>2015</v>
      </c>
      <c r="F2522" s="6" t="s">
        <v>38</v>
      </c>
      <c r="G2522">
        <v>2</v>
      </c>
      <c r="H2522">
        <v>30</v>
      </c>
      <c r="I2522" s="6" t="s">
        <v>39</v>
      </c>
      <c r="J2522" s="6" t="s">
        <v>37</v>
      </c>
      <c r="K2522">
        <v>4</v>
      </c>
      <c r="M2522" s="1" t="b">
        <f>Employee__2[[#This Row],[Experience]]&gt;1</f>
        <v>1</v>
      </c>
      <c r="N2522" s="1" t="str">
        <f>IF(Employee__2[[#This Row],[City]]="Pune","Yes","No")</f>
        <v>Yes</v>
      </c>
      <c r="O2522" s="1" t="str">
        <f>IF(AND(Employee__2[[#This Row],[Education]]="Bachelors",Employee__2[[#This Row],[City]]="Pune"),"Yes","No")</f>
        <v>No</v>
      </c>
      <c r="P2522" s="1" t="str">
        <f>IF(OR(Employee__2[[#This Row],[Age]]&gt;=30,Employee__2[[#This Row],[Gender]]="Male"),"Mached","Not mached")</f>
        <v>Mached</v>
      </c>
    </row>
    <row r="2523" spans="4:16" x14ac:dyDescent="0.25">
      <c r="D2523" s="6" t="s">
        <v>41</v>
      </c>
      <c r="E2523">
        <v>2014</v>
      </c>
      <c r="F2523" s="6" t="s">
        <v>35</v>
      </c>
      <c r="G2523">
        <v>3</v>
      </c>
      <c r="H2523">
        <v>30</v>
      </c>
      <c r="I2523" s="6" t="s">
        <v>36</v>
      </c>
      <c r="J2523" s="6" t="s">
        <v>37</v>
      </c>
      <c r="K2523">
        <v>4</v>
      </c>
      <c r="M2523" s="1" t="b">
        <f>Employee__2[[#This Row],[Experience]]&gt;1</f>
        <v>1</v>
      </c>
      <c r="N2523" s="1" t="str">
        <f>IF(Employee__2[[#This Row],[City]]="Pune","Yes","No")</f>
        <v>No</v>
      </c>
      <c r="O2523" s="1" t="str">
        <f>IF(AND(Employee__2[[#This Row],[Education]]="Bachelors",Employee__2[[#This Row],[City]]="Pune"),"Yes","No")</f>
        <v>No</v>
      </c>
      <c r="P2523" s="1" t="str">
        <f>IF(OR(Employee__2[[#This Row],[Age]]&gt;=30,Employee__2[[#This Row],[Gender]]="Male"),"Mached","Not mached")</f>
        <v>Mached</v>
      </c>
    </row>
    <row r="2524" spans="4:16" x14ac:dyDescent="0.25">
      <c r="D2524" s="6" t="s">
        <v>41</v>
      </c>
      <c r="E2524">
        <v>2017</v>
      </c>
      <c r="F2524" s="6" t="s">
        <v>40</v>
      </c>
      <c r="G2524">
        <v>2</v>
      </c>
      <c r="H2524">
        <v>27</v>
      </c>
      <c r="I2524" s="6" t="s">
        <v>36</v>
      </c>
      <c r="J2524" s="6" t="s">
        <v>37</v>
      </c>
      <c r="K2524">
        <v>5</v>
      </c>
      <c r="M2524" s="1" t="b">
        <f>Employee__2[[#This Row],[Experience]]&gt;1</f>
        <v>1</v>
      </c>
      <c r="N2524" s="1" t="str">
        <f>IF(Employee__2[[#This Row],[City]]="Pune","Yes","No")</f>
        <v>No</v>
      </c>
      <c r="O2524" s="1" t="str">
        <f>IF(AND(Employee__2[[#This Row],[Education]]="Bachelors",Employee__2[[#This Row],[City]]="Pune"),"Yes","No")</f>
        <v>No</v>
      </c>
      <c r="P2524" s="1" t="str">
        <f>IF(OR(Employee__2[[#This Row],[Age]]&gt;=30,Employee__2[[#This Row],[Gender]]="Male"),"Mached","Not mached")</f>
        <v>Mached</v>
      </c>
    </row>
    <row r="2525" spans="4:16" x14ac:dyDescent="0.25">
      <c r="D2525" s="6" t="s">
        <v>34</v>
      </c>
      <c r="E2525">
        <v>2013</v>
      </c>
      <c r="F2525" s="6" t="s">
        <v>38</v>
      </c>
      <c r="G2525">
        <v>3</v>
      </c>
      <c r="H2525">
        <v>30</v>
      </c>
      <c r="I2525" s="6" t="s">
        <v>36</v>
      </c>
      <c r="J2525" s="6" t="s">
        <v>37</v>
      </c>
      <c r="K2525">
        <v>0</v>
      </c>
      <c r="M2525" s="1" t="b">
        <f>Employee__2[[#This Row],[Experience]]&gt;1</f>
        <v>0</v>
      </c>
      <c r="N2525" s="1" t="str">
        <f>IF(Employee__2[[#This Row],[City]]="Pune","Yes","No")</f>
        <v>Yes</v>
      </c>
      <c r="O2525" s="1" t="str">
        <f>IF(AND(Employee__2[[#This Row],[Education]]="Bachelors",Employee__2[[#This Row],[City]]="Pune"),"Yes","No")</f>
        <v>Yes</v>
      </c>
      <c r="P2525" s="1" t="str">
        <f>IF(OR(Employee__2[[#This Row],[Age]]&gt;=30,Employee__2[[#This Row],[Gender]]="Male"),"Mached","Not mached")</f>
        <v>Mached</v>
      </c>
    </row>
    <row r="2526" spans="4:16" x14ac:dyDescent="0.25">
      <c r="D2526" s="6" t="s">
        <v>41</v>
      </c>
      <c r="E2526">
        <v>2017</v>
      </c>
      <c r="F2526" s="6" t="s">
        <v>38</v>
      </c>
      <c r="G2526">
        <v>2</v>
      </c>
      <c r="H2526">
        <v>30</v>
      </c>
      <c r="I2526" s="6" t="s">
        <v>36</v>
      </c>
      <c r="J2526" s="6" t="s">
        <v>37</v>
      </c>
      <c r="K2526">
        <v>0</v>
      </c>
      <c r="M2526" s="1" t="b">
        <f>Employee__2[[#This Row],[Experience]]&gt;1</f>
        <v>0</v>
      </c>
      <c r="N2526" s="1" t="str">
        <f>IF(Employee__2[[#This Row],[City]]="Pune","Yes","No")</f>
        <v>Yes</v>
      </c>
      <c r="O2526" s="1" t="str">
        <f>IF(AND(Employee__2[[#This Row],[Education]]="Bachelors",Employee__2[[#This Row],[City]]="Pune"),"Yes","No")</f>
        <v>No</v>
      </c>
      <c r="P2526" s="1" t="str">
        <f>IF(OR(Employee__2[[#This Row],[Age]]&gt;=30,Employee__2[[#This Row],[Gender]]="Male"),"Mached","Not mached")</f>
        <v>Mached</v>
      </c>
    </row>
    <row r="2527" spans="4:16" x14ac:dyDescent="0.25">
      <c r="D2527" s="6" t="s">
        <v>41</v>
      </c>
      <c r="E2527">
        <v>2017</v>
      </c>
      <c r="F2527" s="6" t="s">
        <v>40</v>
      </c>
      <c r="G2527">
        <v>2</v>
      </c>
      <c r="H2527">
        <v>29</v>
      </c>
      <c r="I2527" s="6" t="s">
        <v>39</v>
      </c>
      <c r="J2527" s="6" t="s">
        <v>37</v>
      </c>
      <c r="K2527">
        <v>2</v>
      </c>
      <c r="M2527" s="1" t="b">
        <f>Employee__2[[#This Row],[Experience]]&gt;1</f>
        <v>1</v>
      </c>
      <c r="N2527" s="1" t="str">
        <f>IF(Employee__2[[#This Row],[City]]="Pune","Yes","No")</f>
        <v>No</v>
      </c>
      <c r="O2527" s="1" t="str">
        <f>IF(AND(Employee__2[[#This Row],[Education]]="Bachelors",Employee__2[[#This Row],[City]]="Pune"),"Yes","No")</f>
        <v>No</v>
      </c>
      <c r="P2527" s="1" t="str">
        <f>IF(OR(Employee__2[[#This Row],[Age]]&gt;=30,Employee__2[[#This Row],[Gender]]="Male"),"Mached","Not mached")</f>
        <v>Not mached</v>
      </c>
    </row>
    <row r="2528" spans="4:16" x14ac:dyDescent="0.25">
      <c r="D2528" s="6" t="s">
        <v>41</v>
      </c>
      <c r="E2528">
        <v>2017</v>
      </c>
      <c r="F2528" s="6" t="s">
        <v>40</v>
      </c>
      <c r="G2528">
        <v>2</v>
      </c>
      <c r="H2528">
        <v>29</v>
      </c>
      <c r="I2528" s="6" t="s">
        <v>36</v>
      </c>
      <c r="J2528" s="6" t="s">
        <v>37</v>
      </c>
      <c r="K2528">
        <v>2</v>
      </c>
      <c r="M2528" s="1" t="b">
        <f>Employee__2[[#This Row],[Experience]]&gt;1</f>
        <v>1</v>
      </c>
      <c r="N2528" s="1" t="str">
        <f>IF(Employee__2[[#This Row],[City]]="Pune","Yes","No")</f>
        <v>No</v>
      </c>
      <c r="O2528" s="1" t="str">
        <f>IF(AND(Employee__2[[#This Row],[Education]]="Bachelors",Employee__2[[#This Row],[City]]="Pune"),"Yes","No")</f>
        <v>No</v>
      </c>
      <c r="P2528" s="1" t="str">
        <f>IF(OR(Employee__2[[#This Row],[Age]]&gt;=30,Employee__2[[#This Row],[Gender]]="Male"),"Mached","Not mached")</f>
        <v>Mached</v>
      </c>
    </row>
    <row r="2529" spans="4:16" x14ac:dyDescent="0.25">
      <c r="D2529" s="6" t="s">
        <v>34</v>
      </c>
      <c r="E2529">
        <v>2014</v>
      </c>
      <c r="F2529" s="6" t="s">
        <v>35</v>
      </c>
      <c r="G2529">
        <v>1</v>
      </c>
      <c r="H2529">
        <v>27</v>
      </c>
      <c r="I2529" s="6" t="s">
        <v>36</v>
      </c>
      <c r="J2529" s="6" t="s">
        <v>37</v>
      </c>
      <c r="K2529">
        <v>5</v>
      </c>
      <c r="M2529" s="1" t="b">
        <f>Employee__2[[#This Row],[Experience]]&gt;1</f>
        <v>1</v>
      </c>
      <c r="N2529" s="1" t="str">
        <f>IF(Employee__2[[#This Row],[City]]="Pune","Yes","No")</f>
        <v>No</v>
      </c>
      <c r="O2529" s="1" t="str">
        <f>IF(AND(Employee__2[[#This Row],[Education]]="Bachelors",Employee__2[[#This Row],[City]]="Pune"),"Yes","No")</f>
        <v>No</v>
      </c>
      <c r="P2529" s="1" t="str">
        <f>IF(OR(Employee__2[[#This Row],[Age]]&gt;=30,Employee__2[[#This Row],[Gender]]="Male"),"Mached","Not mached")</f>
        <v>Mached</v>
      </c>
    </row>
    <row r="2530" spans="4:16" x14ac:dyDescent="0.25">
      <c r="D2530" s="6" t="s">
        <v>34</v>
      </c>
      <c r="E2530">
        <v>2012</v>
      </c>
      <c r="F2530" s="6" t="s">
        <v>35</v>
      </c>
      <c r="G2530">
        <v>3</v>
      </c>
      <c r="H2530">
        <v>27</v>
      </c>
      <c r="I2530" s="6" t="s">
        <v>39</v>
      </c>
      <c r="J2530" s="6" t="s">
        <v>37</v>
      </c>
      <c r="K2530">
        <v>5</v>
      </c>
      <c r="M2530" s="1" t="b">
        <f>Employee__2[[#This Row],[Experience]]&gt;1</f>
        <v>1</v>
      </c>
      <c r="N2530" s="1" t="str">
        <f>IF(Employee__2[[#This Row],[City]]="Pune","Yes","No")</f>
        <v>No</v>
      </c>
      <c r="O2530" s="1" t="str">
        <f>IF(AND(Employee__2[[#This Row],[Education]]="Bachelors",Employee__2[[#This Row],[City]]="Pune"),"Yes","No")</f>
        <v>No</v>
      </c>
      <c r="P2530" s="1" t="str">
        <f>IF(OR(Employee__2[[#This Row],[Age]]&gt;=30,Employee__2[[#This Row],[Gender]]="Male"),"Mached","Not mached")</f>
        <v>Not mached</v>
      </c>
    </row>
    <row r="2531" spans="4:16" x14ac:dyDescent="0.25">
      <c r="D2531" s="6" t="s">
        <v>34</v>
      </c>
      <c r="E2531">
        <v>2017</v>
      </c>
      <c r="F2531" s="6" t="s">
        <v>35</v>
      </c>
      <c r="G2531">
        <v>3</v>
      </c>
      <c r="H2531">
        <v>27</v>
      </c>
      <c r="I2531" s="6" t="s">
        <v>36</v>
      </c>
      <c r="J2531" s="6" t="s">
        <v>37</v>
      </c>
      <c r="K2531">
        <v>5</v>
      </c>
      <c r="M2531" s="1" t="b">
        <f>Employee__2[[#This Row],[Experience]]&gt;1</f>
        <v>1</v>
      </c>
      <c r="N2531" s="1" t="str">
        <f>IF(Employee__2[[#This Row],[City]]="Pune","Yes","No")</f>
        <v>No</v>
      </c>
      <c r="O2531" s="1" t="str">
        <f>IF(AND(Employee__2[[#This Row],[Education]]="Bachelors",Employee__2[[#This Row],[City]]="Pune"),"Yes","No")</f>
        <v>No</v>
      </c>
      <c r="P2531" s="1" t="str">
        <f>IF(OR(Employee__2[[#This Row],[Age]]&gt;=30,Employee__2[[#This Row],[Gender]]="Male"),"Mached","Not mached")</f>
        <v>Mached</v>
      </c>
    </row>
    <row r="2532" spans="4:16" x14ac:dyDescent="0.25">
      <c r="D2532" s="6" t="s">
        <v>41</v>
      </c>
      <c r="E2532">
        <v>2018</v>
      </c>
      <c r="F2532" s="6" t="s">
        <v>40</v>
      </c>
      <c r="G2532">
        <v>3</v>
      </c>
      <c r="H2532">
        <v>30</v>
      </c>
      <c r="I2532" s="6" t="s">
        <v>39</v>
      </c>
      <c r="J2532" s="6" t="s">
        <v>37</v>
      </c>
      <c r="K2532">
        <v>4</v>
      </c>
      <c r="M2532" s="1" t="b">
        <f>Employee__2[[#This Row],[Experience]]&gt;1</f>
        <v>1</v>
      </c>
      <c r="N2532" s="1" t="str">
        <f>IF(Employee__2[[#This Row],[City]]="Pune","Yes","No")</f>
        <v>No</v>
      </c>
      <c r="O2532" s="1" t="str">
        <f>IF(AND(Employee__2[[#This Row],[Education]]="Bachelors",Employee__2[[#This Row],[City]]="Pune"),"Yes","No")</f>
        <v>No</v>
      </c>
      <c r="P2532" s="1" t="str">
        <f>IF(OR(Employee__2[[#This Row],[Age]]&gt;=30,Employee__2[[#This Row],[Gender]]="Male"),"Mached","Not mached")</f>
        <v>Mached</v>
      </c>
    </row>
    <row r="2533" spans="4:16" x14ac:dyDescent="0.25">
      <c r="D2533" s="6" t="s">
        <v>34</v>
      </c>
      <c r="E2533">
        <v>2015</v>
      </c>
      <c r="F2533" s="6" t="s">
        <v>35</v>
      </c>
      <c r="G2533">
        <v>3</v>
      </c>
      <c r="H2533">
        <v>29</v>
      </c>
      <c r="I2533" s="6" t="s">
        <v>39</v>
      </c>
      <c r="J2533" s="6" t="s">
        <v>37</v>
      </c>
      <c r="K2533">
        <v>1</v>
      </c>
      <c r="M2533" s="1" t="b">
        <f>Employee__2[[#This Row],[Experience]]&gt;1</f>
        <v>0</v>
      </c>
      <c r="N2533" s="1" t="str">
        <f>IF(Employee__2[[#This Row],[City]]="Pune","Yes","No")</f>
        <v>No</v>
      </c>
      <c r="O2533" s="1" t="str">
        <f>IF(AND(Employee__2[[#This Row],[Education]]="Bachelors",Employee__2[[#This Row],[City]]="Pune"),"Yes","No")</f>
        <v>No</v>
      </c>
      <c r="P2533" s="1" t="str">
        <f>IF(OR(Employee__2[[#This Row],[Age]]&gt;=30,Employee__2[[#This Row],[Gender]]="Male"),"Mached","Not mached")</f>
        <v>Not mached</v>
      </c>
    </row>
    <row r="2534" spans="4:16" x14ac:dyDescent="0.25">
      <c r="D2534" s="6" t="s">
        <v>34</v>
      </c>
      <c r="E2534">
        <v>2014</v>
      </c>
      <c r="F2534" s="6" t="s">
        <v>38</v>
      </c>
      <c r="G2534">
        <v>3</v>
      </c>
      <c r="H2534">
        <v>26</v>
      </c>
      <c r="I2534" s="6" t="s">
        <v>39</v>
      </c>
      <c r="J2534" s="6" t="s">
        <v>37</v>
      </c>
      <c r="K2534">
        <v>4</v>
      </c>
      <c r="M2534" s="1" t="b">
        <f>Employee__2[[#This Row],[Experience]]&gt;1</f>
        <v>1</v>
      </c>
      <c r="N2534" s="1" t="str">
        <f>IF(Employee__2[[#This Row],[City]]="Pune","Yes","No")</f>
        <v>Yes</v>
      </c>
      <c r="O2534" s="1" t="str">
        <f>IF(AND(Employee__2[[#This Row],[Education]]="Bachelors",Employee__2[[#This Row],[City]]="Pune"),"Yes","No")</f>
        <v>Yes</v>
      </c>
      <c r="P2534" s="1" t="str">
        <f>IF(OR(Employee__2[[#This Row],[Age]]&gt;=30,Employee__2[[#This Row],[Gender]]="Male"),"Mached","Not mached")</f>
        <v>Not mached</v>
      </c>
    </row>
    <row r="2535" spans="4:16" x14ac:dyDescent="0.25">
      <c r="D2535" s="6" t="s">
        <v>41</v>
      </c>
      <c r="E2535">
        <v>2016</v>
      </c>
      <c r="F2535" s="6" t="s">
        <v>38</v>
      </c>
      <c r="G2535">
        <v>3</v>
      </c>
      <c r="H2535">
        <v>28</v>
      </c>
      <c r="I2535" s="6" t="s">
        <v>36</v>
      </c>
      <c r="J2535" s="6" t="s">
        <v>37</v>
      </c>
      <c r="K2535">
        <v>2</v>
      </c>
      <c r="M2535" s="1" t="b">
        <f>Employee__2[[#This Row],[Experience]]&gt;1</f>
        <v>1</v>
      </c>
      <c r="N2535" s="1" t="str">
        <f>IF(Employee__2[[#This Row],[City]]="Pune","Yes","No")</f>
        <v>Yes</v>
      </c>
      <c r="O2535" s="1" t="str">
        <f>IF(AND(Employee__2[[#This Row],[Education]]="Bachelors",Employee__2[[#This Row],[City]]="Pune"),"Yes","No")</f>
        <v>No</v>
      </c>
      <c r="P2535" s="1" t="str">
        <f>IF(OR(Employee__2[[#This Row],[Age]]&gt;=30,Employee__2[[#This Row],[Gender]]="Male"),"Mached","Not mached")</f>
        <v>Mached</v>
      </c>
    </row>
    <row r="2536" spans="4:16" x14ac:dyDescent="0.25">
      <c r="D2536" s="6" t="s">
        <v>34</v>
      </c>
      <c r="E2536">
        <v>2015</v>
      </c>
      <c r="F2536" s="6" t="s">
        <v>40</v>
      </c>
      <c r="G2536">
        <v>3</v>
      </c>
      <c r="H2536">
        <v>28</v>
      </c>
      <c r="I2536" s="6" t="s">
        <v>39</v>
      </c>
      <c r="J2536" s="6" t="s">
        <v>37</v>
      </c>
      <c r="K2536">
        <v>4</v>
      </c>
      <c r="M2536" s="1" t="b">
        <f>Employee__2[[#This Row],[Experience]]&gt;1</f>
        <v>1</v>
      </c>
      <c r="N2536" s="1" t="str">
        <f>IF(Employee__2[[#This Row],[City]]="Pune","Yes","No")</f>
        <v>No</v>
      </c>
      <c r="O2536" s="1" t="str">
        <f>IF(AND(Employee__2[[#This Row],[Education]]="Bachelors",Employee__2[[#This Row],[City]]="Pune"),"Yes","No")</f>
        <v>No</v>
      </c>
      <c r="P2536" s="1" t="str">
        <f>IF(OR(Employee__2[[#This Row],[Age]]&gt;=30,Employee__2[[#This Row],[Gender]]="Male"),"Mached","Not mached")</f>
        <v>Not mached</v>
      </c>
    </row>
    <row r="2537" spans="4:16" x14ac:dyDescent="0.25">
      <c r="D2537" s="6" t="s">
        <v>34</v>
      </c>
      <c r="E2537">
        <v>2015</v>
      </c>
      <c r="F2537" s="6" t="s">
        <v>35</v>
      </c>
      <c r="G2537">
        <v>3</v>
      </c>
      <c r="H2537">
        <v>30</v>
      </c>
      <c r="I2537" s="6" t="s">
        <v>36</v>
      </c>
      <c r="J2537" s="6" t="s">
        <v>37</v>
      </c>
      <c r="K2537">
        <v>0</v>
      </c>
      <c r="M2537" s="1" t="b">
        <f>Employee__2[[#This Row],[Experience]]&gt;1</f>
        <v>0</v>
      </c>
      <c r="N2537" s="1" t="str">
        <f>IF(Employee__2[[#This Row],[City]]="Pune","Yes","No")</f>
        <v>No</v>
      </c>
      <c r="O2537" s="1" t="str">
        <f>IF(AND(Employee__2[[#This Row],[Education]]="Bachelors",Employee__2[[#This Row],[City]]="Pune"),"Yes","No")</f>
        <v>No</v>
      </c>
      <c r="P2537" s="1" t="str">
        <f>IF(OR(Employee__2[[#This Row],[Age]]&gt;=30,Employee__2[[#This Row],[Gender]]="Male"),"Mached","Not mached")</f>
        <v>Mached</v>
      </c>
    </row>
    <row r="2538" spans="4:16" x14ac:dyDescent="0.25">
      <c r="D2538" s="6" t="s">
        <v>34</v>
      </c>
      <c r="E2538">
        <v>2014</v>
      </c>
      <c r="F2538" s="6" t="s">
        <v>35</v>
      </c>
      <c r="G2538">
        <v>3</v>
      </c>
      <c r="H2538">
        <v>28</v>
      </c>
      <c r="I2538" s="6" t="s">
        <v>39</v>
      </c>
      <c r="J2538" s="6" t="s">
        <v>37</v>
      </c>
      <c r="K2538">
        <v>3</v>
      </c>
      <c r="M2538" s="1" t="b">
        <f>Employee__2[[#This Row],[Experience]]&gt;1</f>
        <v>1</v>
      </c>
      <c r="N2538" s="1" t="str">
        <f>IF(Employee__2[[#This Row],[City]]="Pune","Yes","No")</f>
        <v>No</v>
      </c>
      <c r="O2538" s="1" t="str">
        <f>IF(AND(Employee__2[[#This Row],[Education]]="Bachelors",Employee__2[[#This Row],[City]]="Pune"),"Yes","No")</f>
        <v>No</v>
      </c>
      <c r="P2538" s="1" t="str">
        <f>IF(OR(Employee__2[[#This Row],[Age]]&gt;=30,Employee__2[[#This Row],[Gender]]="Male"),"Mached","Not mached")</f>
        <v>Not mached</v>
      </c>
    </row>
    <row r="2539" spans="4:16" x14ac:dyDescent="0.25">
      <c r="D2539" s="6" t="s">
        <v>34</v>
      </c>
      <c r="E2539">
        <v>2017</v>
      </c>
      <c r="F2539" s="6" t="s">
        <v>35</v>
      </c>
      <c r="G2539">
        <v>3</v>
      </c>
      <c r="H2539">
        <v>28</v>
      </c>
      <c r="I2539" s="6" t="s">
        <v>36</v>
      </c>
      <c r="J2539" s="6" t="s">
        <v>37</v>
      </c>
      <c r="K2539">
        <v>4</v>
      </c>
      <c r="M2539" s="1" t="b">
        <f>Employee__2[[#This Row],[Experience]]&gt;1</f>
        <v>1</v>
      </c>
      <c r="N2539" s="1" t="str">
        <f>IF(Employee__2[[#This Row],[City]]="Pune","Yes","No")</f>
        <v>No</v>
      </c>
      <c r="O2539" s="1" t="str">
        <f>IF(AND(Employee__2[[#This Row],[Education]]="Bachelors",Employee__2[[#This Row],[City]]="Pune"),"Yes","No")</f>
        <v>No</v>
      </c>
      <c r="P2539" s="1" t="str">
        <f>IF(OR(Employee__2[[#This Row],[Age]]&gt;=30,Employee__2[[#This Row],[Gender]]="Male"),"Mached","Not mached")</f>
        <v>Mached</v>
      </c>
    </row>
    <row r="2540" spans="4:16" x14ac:dyDescent="0.25">
      <c r="D2540" s="6" t="s">
        <v>34</v>
      </c>
      <c r="E2540">
        <v>2013</v>
      </c>
      <c r="F2540" s="6" t="s">
        <v>35</v>
      </c>
      <c r="G2540">
        <v>3</v>
      </c>
      <c r="H2540">
        <v>26</v>
      </c>
      <c r="I2540" s="6" t="s">
        <v>36</v>
      </c>
      <c r="J2540" s="6" t="s">
        <v>37</v>
      </c>
      <c r="K2540">
        <v>4</v>
      </c>
      <c r="M2540" s="1" t="b">
        <f>Employee__2[[#This Row],[Experience]]&gt;1</f>
        <v>1</v>
      </c>
      <c r="N2540" s="1" t="str">
        <f>IF(Employee__2[[#This Row],[City]]="Pune","Yes","No")</f>
        <v>No</v>
      </c>
      <c r="O2540" s="1" t="str">
        <f>IF(AND(Employee__2[[#This Row],[Education]]="Bachelors",Employee__2[[#This Row],[City]]="Pune"),"Yes","No")</f>
        <v>No</v>
      </c>
      <c r="P2540" s="1" t="str">
        <f>IF(OR(Employee__2[[#This Row],[Age]]&gt;=30,Employee__2[[#This Row],[Gender]]="Male"),"Mached","Not mached")</f>
        <v>Mached</v>
      </c>
    </row>
    <row r="2541" spans="4:16" x14ac:dyDescent="0.25">
      <c r="D2541" s="6" t="s">
        <v>34</v>
      </c>
      <c r="E2541">
        <v>2015</v>
      </c>
      <c r="F2541" s="6" t="s">
        <v>35</v>
      </c>
      <c r="G2541">
        <v>3</v>
      </c>
      <c r="H2541">
        <v>28</v>
      </c>
      <c r="I2541" s="6" t="s">
        <v>39</v>
      </c>
      <c r="J2541" s="6" t="s">
        <v>37</v>
      </c>
      <c r="K2541">
        <v>0</v>
      </c>
      <c r="M2541" s="1" t="b">
        <f>Employee__2[[#This Row],[Experience]]&gt;1</f>
        <v>0</v>
      </c>
      <c r="N2541" s="1" t="str">
        <f>IF(Employee__2[[#This Row],[City]]="Pune","Yes","No")</f>
        <v>No</v>
      </c>
      <c r="O2541" s="1" t="str">
        <f>IF(AND(Employee__2[[#This Row],[Education]]="Bachelors",Employee__2[[#This Row],[City]]="Pune"),"Yes","No")</f>
        <v>No</v>
      </c>
      <c r="P2541" s="1" t="str">
        <f>IF(OR(Employee__2[[#This Row],[Age]]&gt;=30,Employee__2[[#This Row],[Gender]]="Male"),"Mached","Not mached")</f>
        <v>Not mached</v>
      </c>
    </row>
    <row r="2542" spans="4:16" x14ac:dyDescent="0.25">
      <c r="D2542" s="6" t="s">
        <v>34</v>
      </c>
      <c r="E2542">
        <v>2015</v>
      </c>
      <c r="F2542" s="6" t="s">
        <v>38</v>
      </c>
      <c r="G2542">
        <v>2</v>
      </c>
      <c r="H2542">
        <v>28</v>
      </c>
      <c r="I2542" s="6" t="s">
        <v>39</v>
      </c>
      <c r="J2542" s="6" t="s">
        <v>37</v>
      </c>
      <c r="K2542">
        <v>2</v>
      </c>
      <c r="M2542" s="1" t="b">
        <f>Employee__2[[#This Row],[Experience]]&gt;1</f>
        <v>1</v>
      </c>
      <c r="N2542" s="1" t="str">
        <f>IF(Employee__2[[#This Row],[City]]="Pune","Yes","No")</f>
        <v>Yes</v>
      </c>
      <c r="O2542" s="1" t="str">
        <f>IF(AND(Employee__2[[#This Row],[Education]]="Bachelors",Employee__2[[#This Row],[City]]="Pune"),"Yes","No")</f>
        <v>Yes</v>
      </c>
      <c r="P2542" s="1" t="str">
        <f>IF(OR(Employee__2[[#This Row],[Age]]&gt;=30,Employee__2[[#This Row],[Gender]]="Male"),"Mached","Not mached")</f>
        <v>Not mached</v>
      </c>
    </row>
    <row r="2543" spans="4:16" x14ac:dyDescent="0.25">
      <c r="D2543" s="6" t="s">
        <v>41</v>
      </c>
      <c r="E2543">
        <v>2013</v>
      </c>
      <c r="F2543" s="6" t="s">
        <v>38</v>
      </c>
      <c r="G2543">
        <v>3</v>
      </c>
      <c r="H2543">
        <v>27</v>
      </c>
      <c r="I2543" s="6" t="s">
        <v>39</v>
      </c>
      <c r="J2543" s="6" t="s">
        <v>42</v>
      </c>
      <c r="K2543">
        <v>5</v>
      </c>
      <c r="M2543" s="1" t="b">
        <f>Employee__2[[#This Row],[Experience]]&gt;1</f>
        <v>1</v>
      </c>
      <c r="N2543" s="1" t="str">
        <f>IF(Employee__2[[#This Row],[City]]="Pune","Yes","No")</f>
        <v>Yes</v>
      </c>
      <c r="O2543" s="1" t="str">
        <f>IF(AND(Employee__2[[#This Row],[Education]]="Bachelors",Employee__2[[#This Row],[City]]="Pune"),"Yes","No")</f>
        <v>No</v>
      </c>
      <c r="P2543" s="1" t="str">
        <f>IF(OR(Employee__2[[#This Row],[Age]]&gt;=30,Employee__2[[#This Row],[Gender]]="Male"),"Mached","Not mached")</f>
        <v>Not mached</v>
      </c>
    </row>
    <row r="2544" spans="4:16" x14ac:dyDescent="0.25">
      <c r="D2544" s="6" t="s">
        <v>34</v>
      </c>
      <c r="E2544">
        <v>2016</v>
      </c>
      <c r="F2544" s="6" t="s">
        <v>35</v>
      </c>
      <c r="G2544">
        <v>3</v>
      </c>
      <c r="H2544">
        <v>27</v>
      </c>
      <c r="I2544" s="6" t="s">
        <v>36</v>
      </c>
      <c r="J2544" s="6" t="s">
        <v>37</v>
      </c>
      <c r="K2544">
        <v>5</v>
      </c>
      <c r="M2544" s="1" t="b">
        <f>Employee__2[[#This Row],[Experience]]&gt;1</f>
        <v>1</v>
      </c>
      <c r="N2544" s="1" t="str">
        <f>IF(Employee__2[[#This Row],[City]]="Pune","Yes","No")</f>
        <v>No</v>
      </c>
      <c r="O2544" s="1" t="str">
        <f>IF(AND(Employee__2[[#This Row],[Education]]="Bachelors",Employee__2[[#This Row],[City]]="Pune"),"Yes","No")</f>
        <v>No</v>
      </c>
      <c r="P2544" s="1" t="str">
        <f>IF(OR(Employee__2[[#This Row],[Age]]&gt;=30,Employee__2[[#This Row],[Gender]]="Male"),"Mached","Not mached")</f>
        <v>Mached</v>
      </c>
    </row>
    <row r="2545" spans="4:16" x14ac:dyDescent="0.25">
      <c r="D2545" s="6" t="s">
        <v>34</v>
      </c>
      <c r="E2545">
        <v>2012</v>
      </c>
      <c r="F2545" s="6" t="s">
        <v>38</v>
      </c>
      <c r="G2545">
        <v>3</v>
      </c>
      <c r="H2545">
        <v>29</v>
      </c>
      <c r="I2545" s="6" t="s">
        <v>36</v>
      </c>
      <c r="J2545" s="6" t="s">
        <v>37</v>
      </c>
      <c r="K2545">
        <v>1</v>
      </c>
      <c r="M2545" s="1" t="b">
        <f>Employee__2[[#This Row],[Experience]]&gt;1</f>
        <v>0</v>
      </c>
      <c r="N2545" s="1" t="str">
        <f>IF(Employee__2[[#This Row],[City]]="Pune","Yes","No")</f>
        <v>Yes</v>
      </c>
      <c r="O2545" s="1" t="str">
        <f>IF(AND(Employee__2[[#This Row],[Education]]="Bachelors",Employee__2[[#This Row],[City]]="Pune"),"Yes","No")</f>
        <v>Yes</v>
      </c>
      <c r="P2545" s="1" t="str">
        <f>IF(OR(Employee__2[[#This Row],[Age]]&gt;=30,Employee__2[[#This Row],[Gender]]="Male"),"Mached","Not mached")</f>
        <v>Mached</v>
      </c>
    </row>
    <row r="2546" spans="4:16" x14ac:dyDescent="0.25">
      <c r="D2546" s="6" t="s">
        <v>34</v>
      </c>
      <c r="E2546">
        <v>2015</v>
      </c>
      <c r="F2546" s="6" t="s">
        <v>38</v>
      </c>
      <c r="G2546">
        <v>2</v>
      </c>
      <c r="H2546">
        <v>28</v>
      </c>
      <c r="I2546" s="6" t="s">
        <v>39</v>
      </c>
      <c r="J2546" s="6" t="s">
        <v>37</v>
      </c>
      <c r="K2546">
        <v>0</v>
      </c>
      <c r="M2546" s="1" t="b">
        <f>Employee__2[[#This Row],[Experience]]&gt;1</f>
        <v>0</v>
      </c>
      <c r="N2546" s="1" t="str">
        <f>IF(Employee__2[[#This Row],[City]]="Pune","Yes","No")</f>
        <v>Yes</v>
      </c>
      <c r="O2546" s="1" t="str">
        <f>IF(AND(Employee__2[[#This Row],[Education]]="Bachelors",Employee__2[[#This Row],[City]]="Pune"),"Yes","No")</f>
        <v>Yes</v>
      </c>
      <c r="P2546" s="1" t="str">
        <f>IF(OR(Employee__2[[#This Row],[Age]]&gt;=30,Employee__2[[#This Row],[Gender]]="Male"),"Mached","Not mached")</f>
        <v>Not mached</v>
      </c>
    </row>
    <row r="2547" spans="4:16" x14ac:dyDescent="0.25">
      <c r="D2547" s="6" t="s">
        <v>34</v>
      </c>
      <c r="E2547">
        <v>2018</v>
      </c>
      <c r="F2547" s="6" t="s">
        <v>38</v>
      </c>
      <c r="G2547">
        <v>3</v>
      </c>
      <c r="H2547">
        <v>30</v>
      </c>
      <c r="I2547" s="6" t="s">
        <v>36</v>
      </c>
      <c r="J2547" s="6" t="s">
        <v>42</v>
      </c>
      <c r="K2547">
        <v>3</v>
      </c>
      <c r="M2547" s="1" t="b">
        <f>Employee__2[[#This Row],[Experience]]&gt;1</f>
        <v>1</v>
      </c>
      <c r="N2547" s="1" t="str">
        <f>IF(Employee__2[[#This Row],[City]]="Pune","Yes","No")</f>
        <v>Yes</v>
      </c>
      <c r="O2547" s="1" t="str">
        <f>IF(AND(Employee__2[[#This Row],[Education]]="Bachelors",Employee__2[[#This Row],[City]]="Pune"),"Yes","No")</f>
        <v>Yes</v>
      </c>
      <c r="P2547" s="1" t="str">
        <f>IF(OR(Employee__2[[#This Row],[Age]]&gt;=30,Employee__2[[#This Row],[Gender]]="Male"),"Mached","Not mached")</f>
        <v>Mached</v>
      </c>
    </row>
    <row r="2548" spans="4:16" x14ac:dyDescent="0.25">
      <c r="D2548" s="6" t="s">
        <v>34</v>
      </c>
      <c r="E2548">
        <v>2016</v>
      </c>
      <c r="F2548" s="6" t="s">
        <v>35</v>
      </c>
      <c r="G2548">
        <v>3</v>
      </c>
      <c r="H2548">
        <v>29</v>
      </c>
      <c r="I2548" s="6" t="s">
        <v>36</v>
      </c>
      <c r="J2548" s="6" t="s">
        <v>37</v>
      </c>
      <c r="K2548">
        <v>5</v>
      </c>
      <c r="M2548" s="1" t="b">
        <f>Employee__2[[#This Row],[Experience]]&gt;1</f>
        <v>1</v>
      </c>
      <c r="N2548" s="1" t="str">
        <f>IF(Employee__2[[#This Row],[City]]="Pune","Yes","No")</f>
        <v>No</v>
      </c>
      <c r="O2548" s="1" t="str">
        <f>IF(AND(Employee__2[[#This Row],[Education]]="Bachelors",Employee__2[[#This Row],[City]]="Pune"),"Yes","No")</f>
        <v>No</v>
      </c>
      <c r="P2548" s="1" t="str">
        <f>IF(OR(Employee__2[[#This Row],[Age]]&gt;=30,Employee__2[[#This Row],[Gender]]="Male"),"Mached","Not mached")</f>
        <v>Mached</v>
      </c>
    </row>
    <row r="2549" spans="4:16" x14ac:dyDescent="0.25">
      <c r="D2549" s="6" t="s">
        <v>41</v>
      </c>
      <c r="E2549">
        <v>2013</v>
      </c>
      <c r="F2549" s="6" t="s">
        <v>40</v>
      </c>
      <c r="G2549">
        <v>2</v>
      </c>
      <c r="H2549">
        <v>27</v>
      </c>
      <c r="I2549" s="6" t="s">
        <v>39</v>
      </c>
      <c r="J2549" s="6" t="s">
        <v>37</v>
      </c>
      <c r="K2549">
        <v>5</v>
      </c>
      <c r="M2549" s="1" t="b">
        <f>Employee__2[[#This Row],[Experience]]&gt;1</f>
        <v>1</v>
      </c>
      <c r="N2549" s="1" t="str">
        <f>IF(Employee__2[[#This Row],[City]]="Pune","Yes","No")</f>
        <v>No</v>
      </c>
      <c r="O2549" s="1" t="str">
        <f>IF(AND(Employee__2[[#This Row],[Education]]="Bachelors",Employee__2[[#This Row],[City]]="Pune"),"Yes","No")</f>
        <v>No</v>
      </c>
      <c r="P2549" s="1" t="str">
        <f>IF(OR(Employee__2[[#This Row],[Age]]&gt;=30,Employee__2[[#This Row],[Gender]]="Male"),"Mached","Not mached")</f>
        <v>Not mached</v>
      </c>
    </row>
    <row r="2550" spans="4:16" x14ac:dyDescent="0.25">
      <c r="D2550" s="6" t="s">
        <v>41</v>
      </c>
      <c r="E2550">
        <v>2017</v>
      </c>
      <c r="F2550" s="6" t="s">
        <v>40</v>
      </c>
      <c r="G2550">
        <v>2</v>
      </c>
      <c r="H2550">
        <v>30</v>
      </c>
      <c r="I2550" s="6" t="s">
        <v>36</v>
      </c>
      <c r="J2550" s="6" t="s">
        <v>37</v>
      </c>
      <c r="K2550">
        <v>2</v>
      </c>
      <c r="M2550" s="1" t="b">
        <f>Employee__2[[#This Row],[Experience]]&gt;1</f>
        <v>1</v>
      </c>
      <c r="N2550" s="1" t="str">
        <f>IF(Employee__2[[#This Row],[City]]="Pune","Yes","No")</f>
        <v>No</v>
      </c>
      <c r="O2550" s="1" t="str">
        <f>IF(AND(Employee__2[[#This Row],[Education]]="Bachelors",Employee__2[[#This Row],[City]]="Pune"),"Yes","No")</f>
        <v>No</v>
      </c>
      <c r="P2550" s="1" t="str">
        <f>IF(OR(Employee__2[[#This Row],[Age]]&gt;=30,Employee__2[[#This Row],[Gender]]="Male"),"Mached","Not mached")</f>
        <v>Mached</v>
      </c>
    </row>
    <row r="2551" spans="4:16" x14ac:dyDescent="0.25">
      <c r="D2551" s="6" t="s">
        <v>34</v>
      </c>
      <c r="E2551">
        <v>2012</v>
      </c>
      <c r="F2551" s="6" t="s">
        <v>40</v>
      </c>
      <c r="G2551">
        <v>3</v>
      </c>
      <c r="H2551">
        <v>26</v>
      </c>
      <c r="I2551" s="6" t="s">
        <v>36</v>
      </c>
      <c r="J2551" s="6" t="s">
        <v>37</v>
      </c>
      <c r="K2551">
        <v>4</v>
      </c>
      <c r="M2551" s="1" t="b">
        <f>Employee__2[[#This Row],[Experience]]&gt;1</f>
        <v>1</v>
      </c>
      <c r="N2551" s="1" t="str">
        <f>IF(Employee__2[[#This Row],[City]]="Pune","Yes","No")</f>
        <v>No</v>
      </c>
      <c r="O2551" s="1" t="str">
        <f>IF(AND(Employee__2[[#This Row],[Education]]="Bachelors",Employee__2[[#This Row],[City]]="Pune"),"Yes","No")</f>
        <v>No</v>
      </c>
      <c r="P2551" s="1" t="str">
        <f>IF(OR(Employee__2[[#This Row],[Age]]&gt;=30,Employee__2[[#This Row],[Gender]]="Male"),"Mached","Not mached")</f>
        <v>Mached</v>
      </c>
    </row>
    <row r="2552" spans="4:16" x14ac:dyDescent="0.25">
      <c r="D2552" s="6" t="s">
        <v>34</v>
      </c>
      <c r="E2552">
        <v>2016</v>
      </c>
      <c r="F2552" s="6" t="s">
        <v>35</v>
      </c>
      <c r="G2552">
        <v>3</v>
      </c>
      <c r="H2552">
        <v>30</v>
      </c>
      <c r="I2552" s="6" t="s">
        <v>36</v>
      </c>
      <c r="J2552" s="6" t="s">
        <v>37</v>
      </c>
      <c r="K2552">
        <v>2</v>
      </c>
      <c r="M2552" s="1" t="b">
        <f>Employee__2[[#This Row],[Experience]]&gt;1</f>
        <v>1</v>
      </c>
      <c r="N2552" s="1" t="str">
        <f>IF(Employee__2[[#This Row],[City]]="Pune","Yes","No")</f>
        <v>No</v>
      </c>
      <c r="O2552" s="1" t="str">
        <f>IF(AND(Employee__2[[#This Row],[Education]]="Bachelors",Employee__2[[#This Row],[City]]="Pune"),"Yes","No")</f>
        <v>No</v>
      </c>
      <c r="P2552" s="1" t="str">
        <f>IF(OR(Employee__2[[#This Row],[Age]]&gt;=30,Employee__2[[#This Row],[Gender]]="Male"),"Mached","Not mached")</f>
        <v>Mached</v>
      </c>
    </row>
    <row r="2553" spans="4:16" x14ac:dyDescent="0.25">
      <c r="D2553" s="6" t="s">
        <v>34</v>
      </c>
      <c r="E2553">
        <v>2017</v>
      </c>
      <c r="F2553" s="6" t="s">
        <v>40</v>
      </c>
      <c r="G2553">
        <v>2</v>
      </c>
      <c r="H2553">
        <v>29</v>
      </c>
      <c r="I2553" s="6" t="s">
        <v>36</v>
      </c>
      <c r="J2553" s="6" t="s">
        <v>37</v>
      </c>
      <c r="K2553">
        <v>3</v>
      </c>
      <c r="M2553" s="1" t="b">
        <f>Employee__2[[#This Row],[Experience]]&gt;1</f>
        <v>1</v>
      </c>
      <c r="N2553" s="1" t="str">
        <f>IF(Employee__2[[#This Row],[City]]="Pune","Yes","No")</f>
        <v>No</v>
      </c>
      <c r="O2553" s="1" t="str">
        <f>IF(AND(Employee__2[[#This Row],[Education]]="Bachelors",Employee__2[[#This Row],[City]]="Pune"),"Yes","No")</f>
        <v>No</v>
      </c>
      <c r="P2553" s="1" t="str">
        <f>IF(OR(Employee__2[[#This Row],[Age]]&gt;=30,Employee__2[[#This Row],[Gender]]="Male"),"Mached","Not mached")</f>
        <v>Mached</v>
      </c>
    </row>
    <row r="2554" spans="4:16" x14ac:dyDescent="0.25">
      <c r="D2554" s="6" t="s">
        <v>34</v>
      </c>
      <c r="E2554">
        <v>2017</v>
      </c>
      <c r="F2554" s="6" t="s">
        <v>38</v>
      </c>
      <c r="G2554">
        <v>2</v>
      </c>
      <c r="H2554">
        <v>28</v>
      </c>
      <c r="I2554" s="6" t="s">
        <v>36</v>
      </c>
      <c r="J2554" s="6" t="s">
        <v>37</v>
      </c>
      <c r="K2554">
        <v>3</v>
      </c>
      <c r="M2554" s="1" t="b">
        <f>Employee__2[[#This Row],[Experience]]&gt;1</f>
        <v>1</v>
      </c>
      <c r="N2554" s="1" t="str">
        <f>IF(Employee__2[[#This Row],[City]]="Pune","Yes","No")</f>
        <v>Yes</v>
      </c>
      <c r="O2554" s="1" t="str">
        <f>IF(AND(Employee__2[[#This Row],[Education]]="Bachelors",Employee__2[[#This Row],[City]]="Pune"),"Yes","No")</f>
        <v>Yes</v>
      </c>
      <c r="P2554" s="1" t="str">
        <f>IF(OR(Employee__2[[#This Row],[Age]]&gt;=30,Employee__2[[#This Row],[Gender]]="Male"),"Mached","Not mached")</f>
        <v>Mached</v>
      </c>
    </row>
    <row r="2555" spans="4:16" x14ac:dyDescent="0.25">
      <c r="D2555" s="6" t="s">
        <v>34</v>
      </c>
      <c r="E2555">
        <v>2013</v>
      </c>
      <c r="F2555" s="6" t="s">
        <v>35</v>
      </c>
      <c r="G2555">
        <v>3</v>
      </c>
      <c r="H2555">
        <v>27</v>
      </c>
      <c r="I2555" s="6" t="s">
        <v>36</v>
      </c>
      <c r="J2555" s="6" t="s">
        <v>37</v>
      </c>
      <c r="K2555">
        <v>5</v>
      </c>
      <c r="M2555" s="1" t="b">
        <f>Employee__2[[#This Row],[Experience]]&gt;1</f>
        <v>1</v>
      </c>
      <c r="N2555" s="1" t="str">
        <f>IF(Employee__2[[#This Row],[City]]="Pune","Yes","No")</f>
        <v>No</v>
      </c>
      <c r="O2555" s="1" t="str">
        <f>IF(AND(Employee__2[[#This Row],[Education]]="Bachelors",Employee__2[[#This Row],[City]]="Pune"),"Yes","No")</f>
        <v>No</v>
      </c>
      <c r="P2555" s="1" t="str">
        <f>IF(OR(Employee__2[[#This Row],[Age]]&gt;=30,Employee__2[[#This Row],[Gender]]="Male"),"Mached","Not mached")</f>
        <v>Mached</v>
      </c>
    </row>
    <row r="2556" spans="4:16" x14ac:dyDescent="0.25">
      <c r="D2556" s="6" t="s">
        <v>34</v>
      </c>
      <c r="E2556">
        <v>2013</v>
      </c>
      <c r="F2556" s="6" t="s">
        <v>35</v>
      </c>
      <c r="G2556">
        <v>3</v>
      </c>
      <c r="H2556">
        <v>29</v>
      </c>
      <c r="I2556" s="6" t="s">
        <v>36</v>
      </c>
      <c r="J2556" s="6" t="s">
        <v>42</v>
      </c>
      <c r="K2556">
        <v>4</v>
      </c>
      <c r="M2556" s="1" t="b">
        <f>Employee__2[[#This Row],[Experience]]&gt;1</f>
        <v>1</v>
      </c>
      <c r="N2556" s="1" t="str">
        <f>IF(Employee__2[[#This Row],[City]]="Pune","Yes","No")</f>
        <v>No</v>
      </c>
      <c r="O2556" s="1" t="str">
        <f>IF(AND(Employee__2[[#This Row],[Education]]="Bachelors",Employee__2[[#This Row],[City]]="Pune"),"Yes","No")</f>
        <v>No</v>
      </c>
      <c r="P2556" s="1" t="str">
        <f>IF(OR(Employee__2[[#This Row],[Age]]&gt;=30,Employee__2[[#This Row],[Gender]]="Male"),"Mached","Not mached")</f>
        <v>Mached</v>
      </c>
    </row>
    <row r="2557" spans="4:16" x14ac:dyDescent="0.25">
      <c r="D2557" s="6" t="s">
        <v>34</v>
      </c>
      <c r="E2557">
        <v>2013</v>
      </c>
      <c r="F2557" s="6" t="s">
        <v>35</v>
      </c>
      <c r="G2557">
        <v>3</v>
      </c>
      <c r="H2557">
        <v>30</v>
      </c>
      <c r="I2557" s="6" t="s">
        <v>36</v>
      </c>
      <c r="J2557" s="6" t="s">
        <v>37</v>
      </c>
      <c r="K2557">
        <v>5</v>
      </c>
      <c r="M2557" s="1" t="b">
        <f>Employee__2[[#This Row],[Experience]]&gt;1</f>
        <v>1</v>
      </c>
      <c r="N2557" s="1" t="str">
        <f>IF(Employee__2[[#This Row],[City]]="Pune","Yes","No")</f>
        <v>No</v>
      </c>
      <c r="O2557" s="1" t="str">
        <f>IF(AND(Employee__2[[#This Row],[Education]]="Bachelors",Employee__2[[#This Row],[City]]="Pune"),"Yes","No")</f>
        <v>No</v>
      </c>
      <c r="P2557" s="1" t="str">
        <f>IF(OR(Employee__2[[#This Row],[Age]]&gt;=30,Employee__2[[#This Row],[Gender]]="Male"),"Mached","Not mached")</f>
        <v>Mached</v>
      </c>
    </row>
    <row r="2558" spans="4:16" x14ac:dyDescent="0.25">
      <c r="D2558" s="6" t="s">
        <v>34</v>
      </c>
      <c r="E2558">
        <v>2015</v>
      </c>
      <c r="F2558" s="6" t="s">
        <v>35</v>
      </c>
      <c r="G2558">
        <v>3</v>
      </c>
      <c r="H2558">
        <v>26</v>
      </c>
      <c r="I2558" s="6" t="s">
        <v>36</v>
      </c>
      <c r="J2558" s="6" t="s">
        <v>37</v>
      </c>
      <c r="K2558">
        <v>4</v>
      </c>
      <c r="M2558" s="1" t="b">
        <f>Employee__2[[#This Row],[Experience]]&gt;1</f>
        <v>1</v>
      </c>
      <c r="N2558" s="1" t="str">
        <f>IF(Employee__2[[#This Row],[City]]="Pune","Yes","No")</f>
        <v>No</v>
      </c>
      <c r="O2558" s="1" t="str">
        <f>IF(AND(Employee__2[[#This Row],[Education]]="Bachelors",Employee__2[[#This Row],[City]]="Pune"),"Yes","No")</f>
        <v>No</v>
      </c>
      <c r="P2558" s="1" t="str">
        <f>IF(OR(Employee__2[[#This Row],[Age]]&gt;=30,Employee__2[[#This Row],[Gender]]="Male"),"Mached","Not mached")</f>
        <v>Mached</v>
      </c>
    </row>
    <row r="2559" spans="4:16" x14ac:dyDescent="0.25">
      <c r="D2559" s="6" t="s">
        <v>34</v>
      </c>
      <c r="E2559">
        <v>2015</v>
      </c>
      <c r="F2559" s="6" t="s">
        <v>38</v>
      </c>
      <c r="G2559">
        <v>2</v>
      </c>
      <c r="H2559">
        <v>26</v>
      </c>
      <c r="I2559" s="6" t="s">
        <v>39</v>
      </c>
      <c r="J2559" s="6" t="s">
        <v>37</v>
      </c>
      <c r="K2559">
        <v>4</v>
      </c>
      <c r="M2559" s="1" t="b">
        <f>Employee__2[[#This Row],[Experience]]&gt;1</f>
        <v>1</v>
      </c>
      <c r="N2559" s="1" t="str">
        <f>IF(Employee__2[[#This Row],[City]]="Pune","Yes","No")</f>
        <v>Yes</v>
      </c>
      <c r="O2559" s="1" t="str">
        <f>IF(AND(Employee__2[[#This Row],[Education]]="Bachelors",Employee__2[[#This Row],[City]]="Pune"),"Yes","No")</f>
        <v>Yes</v>
      </c>
      <c r="P2559" s="1" t="str">
        <f>IF(OR(Employee__2[[#This Row],[Age]]&gt;=30,Employee__2[[#This Row],[Gender]]="Male"),"Mached","Not mached")</f>
        <v>Not mached</v>
      </c>
    </row>
    <row r="2560" spans="4:16" x14ac:dyDescent="0.25">
      <c r="D2560" s="6" t="s">
        <v>34</v>
      </c>
      <c r="E2560">
        <v>2012</v>
      </c>
      <c r="F2560" s="6" t="s">
        <v>35</v>
      </c>
      <c r="G2560">
        <v>3</v>
      </c>
      <c r="H2560">
        <v>29</v>
      </c>
      <c r="I2560" s="6" t="s">
        <v>36</v>
      </c>
      <c r="J2560" s="6" t="s">
        <v>42</v>
      </c>
      <c r="K2560">
        <v>2</v>
      </c>
      <c r="M2560" s="1" t="b">
        <f>Employee__2[[#This Row],[Experience]]&gt;1</f>
        <v>1</v>
      </c>
      <c r="N2560" s="1" t="str">
        <f>IF(Employee__2[[#This Row],[City]]="Pune","Yes","No")</f>
        <v>No</v>
      </c>
      <c r="O2560" s="1" t="str">
        <f>IF(AND(Employee__2[[#This Row],[Education]]="Bachelors",Employee__2[[#This Row],[City]]="Pune"),"Yes","No")</f>
        <v>No</v>
      </c>
      <c r="P2560" s="1" t="str">
        <f>IF(OR(Employee__2[[#This Row],[Age]]&gt;=30,Employee__2[[#This Row],[Gender]]="Male"),"Mached","Not mached")</f>
        <v>Mached</v>
      </c>
    </row>
    <row r="2561" spans="4:16" x14ac:dyDescent="0.25">
      <c r="D2561" s="6" t="s">
        <v>41</v>
      </c>
      <c r="E2561">
        <v>2015</v>
      </c>
      <c r="F2561" s="6" t="s">
        <v>35</v>
      </c>
      <c r="G2561">
        <v>3</v>
      </c>
      <c r="H2561">
        <v>28</v>
      </c>
      <c r="I2561" s="6" t="s">
        <v>36</v>
      </c>
      <c r="J2561" s="6" t="s">
        <v>37</v>
      </c>
      <c r="K2561">
        <v>0</v>
      </c>
      <c r="M2561" s="1" t="b">
        <f>Employee__2[[#This Row],[Experience]]&gt;1</f>
        <v>0</v>
      </c>
      <c r="N2561" s="1" t="str">
        <f>IF(Employee__2[[#This Row],[City]]="Pune","Yes","No")</f>
        <v>No</v>
      </c>
      <c r="O2561" s="1" t="str">
        <f>IF(AND(Employee__2[[#This Row],[Education]]="Bachelors",Employee__2[[#This Row],[City]]="Pune"),"Yes","No")</f>
        <v>No</v>
      </c>
      <c r="P2561" s="1" t="str">
        <f>IF(OR(Employee__2[[#This Row],[Age]]&gt;=30,Employee__2[[#This Row],[Gender]]="Male"),"Mached","Not mached")</f>
        <v>Mached</v>
      </c>
    </row>
    <row r="2562" spans="4:16" x14ac:dyDescent="0.25">
      <c r="D2562" s="6" t="s">
        <v>34</v>
      </c>
      <c r="E2562">
        <v>2014</v>
      </c>
      <c r="F2562" s="6" t="s">
        <v>40</v>
      </c>
      <c r="G2562">
        <v>3</v>
      </c>
      <c r="H2562">
        <v>29</v>
      </c>
      <c r="I2562" s="6" t="s">
        <v>39</v>
      </c>
      <c r="J2562" s="6" t="s">
        <v>37</v>
      </c>
      <c r="K2562">
        <v>2</v>
      </c>
      <c r="M2562" s="1" t="b">
        <f>Employee__2[[#This Row],[Experience]]&gt;1</f>
        <v>1</v>
      </c>
      <c r="N2562" s="1" t="str">
        <f>IF(Employee__2[[#This Row],[City]]="Pune","Yes","No")</f>
        <v>No</v>
      </c>
      <c r="O2562" s="1" t="str">
        <f>IF(AND(Employee__2[[#This Row],[Education]]="Bachelors",Employee__2[[#This Row],[City]]="Pune"),"Yes","No")</f>
        <v>No</v>
      </c>
      <c r="P2562" s="1" t="str">
        <f>IF(OR(Employee__2[[#This Row],[Age]]&gt;=30,Employee__2[[#This Row],[Gender]]="Male"),"Mached","Not mached")</f>
        <v>Not mached</v>
      </c>
    </row>
    <row r="2563" spans="4:16" x14ac:dyDescent="0.25">
      <c r="D2563" s="6" t="s">
        <v>41</v>
      </c>
      <c r="E2563">
        <v>2015</v>
      </c>
      <c r="F2563" s="6" t="s">
        <v>38</v>
      </c>
      <c r="G2563">
        <v>3</v>
      </c>
      <c r="H2563">
        <v>29</v>
      </c>
      <c r="I2563" s="6" t="s">
        <v>39</v>
      </c>
      <c r="J2563" s="6" t="s">
        <v>37</v>
      </c>
      <c r="K2563">
        <v>4</v>
      </c>
      <c r="M2563" s="1" t="b">
        <f>Employee__2[[#This Row],[Experience]]&gt;1</f>
        <v>1</v>
      </c>
      <c r="N2563" s="1" t="str">
        <f>IF(Employee__2[[#This Row],[City]]="Pune","Yes","No")</f>
        <v>Yes</v>
      </c>
      <c r="O2563" s="1" t="str">
        <f>IF(AND(Employee__2[[#This Row],[Education]]="Bachelors",Employee__2[[#This Row],[City]]="Pune"),"Yes","No")</f>
        <v>No</v>
      </c>
      <c r="P2563" s="1" t="str">
        <f>IF(OR(Employee__2[[#This Row],[Age]]&gt;=30,Employee__2[[#This Row],[Gender]]="Male"),"Mached","Not mached")</f>
        <v>Not mached</v>
      </c>
    </row>
    <row r="2564" spans="4:16" x14ac:dyDescent="0.25">
      <c r="D2564" s="6" t="s">
        <v>34</v>
      </c>
      <c r="E2564">
        <v>2013</v>
      </c>
      <c r="F2564" s="6" t="s">
        <v>35</v>
      </c>
      <c r="G2564">
        <v>3</v>
      </c>
      <c r="H2564">
        <v>27</v>
      </c>
      <c r="I2564" s="6" t="s">
        <v>36</v>
      </c>
      <c r="J2564" s="6" t="s">
        <v>37</v>
      </c>
      <c r="K2564">
        <v>5</v>
      </c>
      <c r="M2564" s="1" t="b">
        <f>Employee__2[[#This Row],[Experience]]&gt;1</f>
        <v>1</v>
      </c>
      <c r="N2564" s="1" t="str">
        <f>IF(Employee__2[[#This Row],[City]]="Pune","Yes","No")</f>
        <v>No</v>
      </c>
      <c r="O2564" s="1" t="str">
        <f>IF(AND(Employee__2[[#This Row],[Education]]="Bachelors",Employee__2[[#This Row],[City]]="Pune"),"Yes","No")</f>
        <v>No</v>
      </c>
      <c r="P2564" s="1" t="str">
        <f>IF(OR(Employee__2[[#This Row],[Age]]&gt;=30,Employee__2[[#This Row],[Gender]]="Male"),"Mached","Not mached")</f>
        <v>Mached</v>
      </c>
    </row>
    <row r="2565" spans="4:16" x14ac:dyDescent="0.25">
      <c r="D2565" s="6" t="s">
        <v>34</v>
      </c>
      <c r="E2565">
        <v>2013</v>
      </c>
      <c r="F2565" s="6" t="s">
        <v>38</v>
      </c>
      <c r="G2565">
        <v>3</v>
      </c>
      <c r="H2565">
        <v>27</v>
      </c>
      <c r="I2565" s="6" t="s">
        <v>39</v>
      </c>
      <c r="J2565" s="6" t="s">
        <v>37</v>
      </c>
      <c r="K2565">
        <v>5</v>
      </c>
      <c r="M2565" s="1" t="b">
        <f>Employee__2[[#This Row],[Experience]]&gt;1</f>
        <v>1</v>
      </c>
      <c r="N2565" s="1" t="str">
        <f>IF(Employee__2[[#This Row],[City]]="Pune","Yes","No")</f>
        <v>Yes</v>
      </c>
      <c r="O2565" s="1" t="str">
        <f>IF(AND(Employee__2[[#This Row],[Education]]="Bachelors",Employee__2[[#This Row],[City]]="Pune"),"Yes","No")</f>
        <v>Yes</v>
      </c>
      <c r="P2565" s="1" t="str">
        <f>IF(OR(Employee__2[[#This Row],[Age]]&gt;=30,Employee__2[[#This Row],[Gender]]="Male"),"Mached","Not mached")</f>
        <v>Not mached</v>
      </c>
    </row>
    <row r="2566" spans="4:16" x14ac:dyDescent="0.25">
      <c r="D2566" s="6" t="s">
        <v>34</v>
      </c>
      <c r="E2566">
        <v>2017</v>
      </c>
      <c r="F2566" s="6" t="s">
        <v>35</v>
      </c>
      <c r="G2566">
        <v>3</v>
      </c>
      <c r="H2566">
        <v>30</v>
      </c>
      <c r="I2566" s="6" t="s">
        <v>36</v>
      </c>
      <c r="J2566" s="6" t="s">
        <v>37</v>
      </c>
      <c r="K2566">
        <v>1</v>
      </c>
      <c r="M2566" s="1" t="b">
        <f>Employee__2[[#This Row],[Experience]]&gt;1</f>
        <v>0</v>
      </c>
      <c r="N2566" s="1" t="str">
        <f>IF(Employee__2[[#This Row],[City]]="Pune","Yes","No")</f>
        <v>No</v>
      </c>
      <c r="O2566" s="1" t="str">
        <f>IF(AND(Employee__2[[#This Row],[Education]]="Bachelors",Employee__2[[#This Row],[City]]="Pune"),"Yes","No")</f>
        <v>No</v>
      </c>
      <c r="P2566" s="1" t="str">
        <f>IF(OR(Employee__2[[#This Row],[Age]]&gt;=30,Employee__2[[#This Row],[Gender]]="Male"),"Mached","Not mached")</f>
        <v>Mached</v>
      </c>
    </row>
    <row r="2567" spans="4:16" x14ac:dyDescent="0.25">
      <c r="D2567" s="6" t="s">
        <v>41</v>
      </c>
      <c r="E2567">
        <v>2014</v>
      </c>
      <c r="F2567" s="6" t="s">
        <v>38</v>
      </c>
      <c r="G2567">
        <v>3</v>
      </c>
      <c r="H2567">
        <v>30</v>
      </c>
      <c r="I2567" s="6" t="s">
        <v>36</v>
      </c>
      <c r="J2567" s="6" t="s">
        <v>37</v>
      </c>
      <c r="K2567">
        <v>2</v>
      </c>
      <c r="M2567" s="1" t="b">
        <f>Employee__2[[#This Row],[Experience]]&gt;1</f>
        <v>1</v>
      </c>
      <c r="N2567" s="1" t="str">
        <f>IF(Employee__2[[#This Row],[City]]="Pune","Yes","No")</f>
        <v>Yes</v>
      </c>
      <c r="O2567" s="1" t="str">
        <f>IF(AND(Employee__2[[#This Row],[Education]]="Bachelors",Employee__2[[#This Row],[City]]="Pune"),"Yes","No")</f>
        <v>No</v>
      </c>
      <c r="P2567" s="1" t="str">
        <f>IF(OR(Employee__2[[#This Row],[Age]]&gt;=30,Employee__2[[#This Row],[Gender]]="Male"),"Mached","Not mached")</f>
        <v>Mached</v>
      </c>
    </row>
    <row r="2568" spans="4:16" x14ac:dyDescent="0.25">
      <c r="D2568" s="6" t="s">
        <v>34</v>
      </c>
      <c r="E2568">
        <v>2015</v>
      </c>
      <c r="F2568" s="6" t="s">
        <v>40</v>
      </c>
      <c r="G2568">
        <v>3</v>
      </c>
      <c r="H2568">
        <v>28</v>
      </c>
      <c r="I2568" s="6" t="s">
        <v>39</v>
      </c>
      <c r="J2568" s="6" t="s">
        <v>37</v>
      </c>
      <c r="K2568">
        <v>4</v>
      </c>
      <c r="M2568" s="1" t="b">
        <f>Employee__2[[#This Row],[Experience]]&gt;1</f>
        <v>1</v>
      </c>
      <c r="N2568" s="1" t="str">
        <f>IF(Employee__2[[#This Row],[City]]="Pune","Yes","No")</f>
        <v>No</v>
      </c>
      <c r="O2568" s="1" t="str">
        <f>IF(AND(Employee__2[[#This Row],[Education]]="Bachelors",Employee__2[[#This Row],[City]]="Pune"),"Yes","No")</f>
        <v>No</v>
      </c>
      <c r="P2568" s="1" t="str">
        <f>IF(OR(Employee__2[[#This Row],[Age]]&gt;=30,Employee__2[[#This Row],[Gender]]="Male"),"Mached","Not mached")</f>
        <v>Not mached</v>
      </c>
    </row>
    <row r="2569" spans="4:16" x14ac:dyDescent="0.25">
      <c r="D2569" s="6" t="s">
        <v>34</v>
      </c>
      <c r="E2569">
        <v>2013</v>
      </c>
      <c r="F2569" s="6" t="s">
        <v>35</v>
      </c>
      <c r="G2569">
        <v>3</v>
      </c>
      <c r="H2569">
        <v>26</v>
      </c>
      <c r="I2569" s="6" t="s">
        <v>39</v>
      </c>
      <c r="J2569" s="6" t="s">
        <v>37</v>
      </c>
      <c r="K2569">
        <v>4</v>
      </c>
      <c r="M2569" s="1" t="b">
        <f>Employee__2[[#This Row],[Experience]]&gt;1</f>
        <v>1</v>
      </c>
      <c r="N2569" s="1" t="str">
        <f>IF(Employee__2[[#This Row],[City]]="Pune","Yes","No")</f>
        <v>No</v>
      </c>
      <c r="O2569" s="1" t="str">
        <f>IF(AND(Employee__2[[#This Row],[Education]]="Bachelors",Employee__2[[#This Row],[City]]="Pune"),"Yes","No")</f>
        <v>No</v>
      </c>
      <c r="P2569" s="1" t="str">
        <f>IF(OR(Employee__2[[#This Row],[Age]]&gt;=30,Employee__2[[#This Row],[Gender]]="Male"),"Mached","Not mached")</f>
        <v>Not mached</v>
      </c>
    </row>
    <row r="2570" spans="4:16" x14ac:dyDescent="0.25">
      <c r="D2570" s="6" t="s">
        <v>34</v>
      </c>
      <c r="E2570">
        <v>2014</v>
      </c>
      <c r="F2570" s="6" t="s">
        <v>35</v>
      </c>
      <c r="G2570">
        <v>3</v>
      </c>
      <c r="H2570">
        <v>28</v>
      </c>
      <c r="I2570" s="6" t="s">
        <v>36</v>
      </c>
      <c r="J2570" s="6" t="s">
        <v>37</v>
      </c>
      <c r="K2570">
        <v>5</v>
      </c>
      <c r="M2570" s="1" t="b">
        <f>Employee__2[[#This Row],[Experience]]&gt;1</f>
        <v>1</v>
      </c>
      <c r="N2570" s="1" t="str">
        <f>IF(Employee__2[[#This Row],[City]]="Pune","Yes","No")</f>
        <v>No</v>
      </c>
      <c r="O2570" s="1" t="str">
        <f>IF(AND(Employee__2[[#This Row],[Education]]="Bachelors",Employee__2[[#This Row],[City]]="Pune"),"Yes","No")</f>
        <v>No</v>
      </c>
      <c r="P2570" s="1" t="str">
        <f>IF(OR(Employee__2[[#This Row],[Age]]&gt;=30,Employee__2[[#This Row],[Gender]]="Male"),"Mached","Not mached")</f>
        <v>Mached</v>
      </c>
    </row>
    <row r="2571" spans="4:16" x14ac:dyDescent="0.25">
      <c r="D2571" s="6" t="s">
        <v>34</v>
      </c>
      <c r="E2571">
        <v>2017</v>
      </c>
      <c r="F2571" s="6" t="s">
        <v>35</v>
      </c>
      <c r="G2571">
        <v>1</v>
      </c>
      <c r="H2571">
        <v>28</v>
      </c>
      <c r="I2571" s="6" t="s">
        <v>39</v>
      </c>
      <c r="J2571" s="6" t="s">
        <v>37</v>
      </c>
      <c r="K2571">
        <v>0</v>
      </c>
      <c r="M2571" s="1" t="b">
        <f>Employee__2[[#This Row],[Experience]]&gt;1</f>
        <v>0</v>
      </c>
      <c r="N2571" s="1" t="str">
        <f>IF(Employee__2[[#This Row],[City]]="Pune","Yes","No")</f>
        <v>No</v>
      </c>
      <c r="O2571" s="1" t="str">
        <f>IF(AND(Employee__2[[#This Row],[Education]]="Bachelors",Employee__2[[#This Row],[City]]="Pune"),"Yes","No")</f>
        <v>No</v>
      </c>
      <c r="P2571" s="1" t="str">
        <f>IF(OR(Employee__2[[#This Row],[Age]]&gt;=30,Employee__2[[#This Row],[Gender]]="Male"),"Mached","Not mached")</f>
        <v>Not mached</v>
      </c>
    </row>
    <row r="2572" spans="4:16" x14ac:dyDescent="0.25">
      <c r="D2572" s="6" t="s">
        <v>34</v>
      </c>
      <c r="E2572">
        <v>2016</v>
      </c>
      <c r="F2572" s="6" t="s">
        <v>35</v>
      </c>
      <c r="G2572">
        <v>3</v>
      </c>
      <c r="H2572">
        <v>27</v>
      </c>
      <c r="I2572" s="6" t="s">
        <v>36</v>
      </c>
      <c r="J2572" s="6" t="s">
        <v>42</v>
      </c>
      <c r="K2572">
        <v>5</v>
      </c>
      <c r="M2572" s="1" t="b">
        <f>Employee__2[[#This Row],[Experience]]&gt;1</f>
        <v>1</v>
      </c>
      <c r="N2572" s="1" t="str">
        <f>IF(Employee__2[[#This Row],[City]]="Pune","Yes","No")</f>
        <v>No</v>
      </c>
      <c r="O2572" s="1" t="str">
        <f>IF(AND(Employee__2[[#This Row],[Education]]="Bachelors",Employee__2[[#This Row],[City]]="Pune"),"Yes","No")</f>
        <v>No</v>
      </c>
      <c r="P2572" s="1" t="str">
        <f>IF(OR(Employee__2[[#This Row],[Age]]&gt;=30,Employee__2[[#This Row],[Gender]]="Male"),"Mached","Not mached")</f>
        <v>Mached</v>
      </c>
    </row>
    <row r="2573" spans="4:16" x14ac:dyDescent="0.25">
      <c r="D2573" s="6" t="s">
        <v>34</v>
      </c>
      <c r="E2573">
        <v>2013</v>
      </c>
      <c r="F2573" s="6" t="s">
        <v>35</v>
      </c>
      <c r="G2573">
        <v>3</v>
      </c>
      <c r="H2573">
        <v>28</v>
      </c>
      <c r="I2573" s="6" t="s">
        <v>36</v>
      </c>
      <c r="J2573" s="6" t="s">
        <v>37</v>
      </c>
      <c r="K2573">
        <v>5</v>
      </c>
      <c r="M2573" s="1" t="b">
        <f>Employee__2[[#This Row],[Experience]]&gt;1</f>
        <v>1</v>
      </c>
      <c r="N2573" s="1" t="str">
        <f>IF(Employee__2[[#This Row],[City]]="Pune","Yes","No")</f>
        <v>No</v>
      </c>
      <c r="O2573" s="1" t="str">
        <f>IF(AND(Employee__2[[#This Row],[Education]]="Bachelors",Employee__2[[#This Row],[City]]="Pune"),"Yes","No")</f>
        <v>No</v>
      </c>
      <c r="P2573" s="1" t="str">
        <f>IF(OR(Employee__2[[#This Row],[Age]]&gt;=30,Employee__2[[#This Row],[Gender]]="Male"),"Mached","Not mached")</f>
        <v>Mached</v>
      </c>
    </row>
    <row r="2574" spans="4:16" x14ac:dyDescent="0.25">
      <c r="D2574" s="6" t="s">
        <v>41</v>
      </c>
      <c r="E2574">
        <v>2013</v>
      </c>
      <c r="F2574" s="6" t="s">
        <v>40</v>
      </c>
      <c r="G2574">
        <v>3</v>
      </c>
      <c r="H2574">
        <v>30</v>
      </c>
      <c r="I2574" s="6" t="s">
        <v>36</v>
      </c>
      <c r="J2574" s="6" t="s">
        <v>37</v>
      </c>
      <c r="K2574">
        <v>2</v>
      </c>
      <c r="M2574" s="1" t="b">
        <f>Employee__2[[#This Row],[Experience]]&gt;1</f>
        <v>1</v>
      </c>
      <c r="N2574" s="1" t="str">
        <f>IF(Employee__2[[#This Row],[City]]="Pune","Yes","No")</f>
        <v>No</v>
      </c>
      <c r="O2574" s="1" t="str">
        <f>IF(AND(Employee__2[[#This Row],[Education]]="Bachelors",Employee__2[[#This Row],[City]]="Pune"),"Yes","No")</f>
        <v>No</v>
      </c>
      <c r="P2574" s="1" t="str">
        <f>IF(OR(Employee__2[[#This Row],[Age]]&gt;=30,Employee__2[[#This Row],[Gender]]="Male"),"Mached","Not mached")</f>
        <v>Mached</v>
      </c>
    </row>
    <row r="2575" spans="4:16" x14ac:dyDescent="0.25">
      <c r="D2575" s="6" t="s">
        <v>41</v>
      </c>
      <c r="E2575">
        <v>2013</v>
      </c>
      <c r="F2575" s="6" t="s">
        <v>40</v>
      </c>
      <c r="G2575">
        <v>1</v>
      </c>
      <c r="H2575">
        <v>29</v>
      </c>
      <c r="I2575" s="6" t="s">
        <v>39</v>
      </c>
      <c r="J2575" s="6" t="s">
        <v>37</v>
      </c>
      <c r="K2575">
        <v>2</v>
      </c>
      <c r="M2575" s="1" t="b">
        <f>Employee__2[[#This Row],[Experience]]&gt;1</f>
        <v>1</v>
      </c>
      <c r="N2575" s="1" t="str">
        <f>IF(Employee__2[[#This Row],[City]]="Pune","Yes","No")</f>
        <v>No</v>
      </c>
      <c r="O2575" s="1" t="str">
        <f>IF(AND(Employee__2[[#This Row],[Education]]="Bachelors",Employee__2[[#This Row],[City]]="Pune"),"Yes","No")</f>
        <v>No</v>
      </c>
      <c r="P2575" s="1" t="str">
        <f>IF(OR(Employee__2[[#This Row],[Age]]&gt;=30,Employee__2[[#This Row],[Gender]]="Male"),"Mached","Not mached")</f>
        <v>Not mached</v>
      </c>
    </row>
    <row r="2576" spans="4:16" x14ac:dyDescent="0.25">
      <c r="D2576" s="6" t="s">
        <v>34</v>
      </c>
      <c r="E2576">
        <v>2017</v>
      </c>
      <c r="F2576" s="6" t="s">
        <v>35</v>
      </c>
      <c r="G2576">
        <v>3</v>
      </c>
      <c r="H2576">
        <v>26</v>
      </c>
      <c r="I2576" s="6" t="s">
        <v>36</v>
      </c>
      <c r="J2576" s="6" t="s">
        <v>37</v>
      </c>
      <c r="K2576">
        <v>4</v>
      </c>
      <c r="M2576" s="1" t="b">
        <f>Employee__2[[#This Row],[Experience]]&gt;1</f>
        <v>1</v>
      </c>
      <c r="N2576" s="1" t="str">
        <f>IF(Employee__2[[#This Row],[City]]="Pune","Yes","No")</f>
        <v>No</v>
      </c>
      <c r="O2576" s="1" t="str">
        <f>IF(AND(Employee__2[[#This Row],[Education]]="Bachelors",Employee__2[[#This Row],[City]]="Pune"),"Yes","No")</f>
        <v>No</v>
      </c>
      <c r="P2576" s="1" t="str">
        <f>IF(OR(Employee__2[[#This Row],[Age]]&gt;=30,Employee__2[[#This Row],[Gender]]="Male"),"Mached","Not mached")</f>
        <v>Mached</v>
      </c>
    </row>
    <row r="2577" spans="4:16" x14ac:dyDescent="0.25">
      <c r="D2577" s="6" t="s">
        <v>34</v>
      </c>
      <c r="E2577">
        <v>2015</v>
      </c>
      <c r="F2577" s="6" t="s">
        <v>38</v>
      </c>
      <c r="G2577">
        <v>3</v>
      </c>
      <c r="H2577">
        <v>28</v>
      </c>
      <c r="I2577" s="6" t="s">
        <v>36</v>
      </c>
      <c r="J2577" s="6" t="s">
        <v>37</v>
      </c>
      <c r="K2577">
        <v>3</v>
      </c>
      <c r="M2577" s="1" t="b">
        <f>Employee__2[[#This Row],[Experience]]&gt;1</f>
        <v>1</v>
      </c>
      <c r="N2577" s="1" t="str">
        <f>IF(Employee__2[[#This Row],[City]]="Pune","Yes","No")</f>
        <v>Yes</v>
      </c>
      <c r="O2577" s="1" t="str">
        <f>IF(AND(Employee__2[[#This Row],[Education]]="Bachelors",Employee__2[[#This Row],[City]]="Pune"),"Yes","No")</f>
        <v>Yes</v>
      </c>
      <c r="P2577" s="1" t="str">
        <f>IF(OR(Employee__2[[#This Row],[Age]]&gt;=30,Employee__2[[#This Row],[Gender]]="Male"),"Mached","Not mached")</f>
        <v>Mached</v>
      </c>
    </row>
    <row r="2578" spans="4:16" x14ac:dyDescent="0.25">
      <c r="D2578" s="6" t="s">
        <v>34</v>
      </c>
      <c r="E2578">
        <v>2013</v>
      </c>
      <c r="F2578" s="6" t="s">
        <v>35</v>
      </c>
      <c r="G2578">
        <v>3</v>
      </c>
      <c r="H2578">
        <v>29</v>
      </c>
      <c r="I2578" s="6" t="s">
        <v>36</v>
      </c>
      <c r="J2578" s="6" t="s">
        <v>37</v>
      </c>
      <c r="K2578">
        <v>2</v>
      </c>
      <c r="M2578" s="1" t="b">
        <f>Employee__2[[#This Row],[Experience]]&gt;1</f>
        <v>1</v>
      </c>
      <c r="N2578" s="1" t="str">
        <f>IF(Employee__2[[#This Row],[City]]="Pune","Yes","No")</f>
        <v>No</v>
      </c>
      <c r="O2578" s="1" t="str">
        <f>IF(AND(Employee__2[[#This Row],[Education]]="Bachelors",Employee__2[[#This Row],[City]]="Pune"),"Yes","No")</f>
        <v>No</v>
      </c>
      <c r="P2578" s="1" t="str">
        <f>IF(OR(Employee__2[[#This Row],[Age]]&gt;=30,Employee__2[[#This Row],[Gender]]="Male"),"Mached","Not mached")</f>
        <v>Mached</v>
      </c>
    </row>
    <row r="2579" spans="4:16" x14ac:dyDescent="0.25">
      <c r="D2579" s="6" t="s">
        <v>41</v>
      </c>
      <c r="E2579">
        <v>2017</v>
      </c>
      <c r="F2579" s="6" t="s">
        <v>40</v>
      </c>
      <c r="G2579">
        <v>2</v>
      </c>
      <c r="H2579">
        <v>28</v>
      </c>
      <c r="I2579" s="6" t="s">
        <v>39</v>
      </c>
      <c r="J2579" s="6" t="s">
        <v>37</v>
      </c>
      <c r="K2579">
        <v>2</v>
      </c>
      <c r="M2579" s="1" t="b">
        <f>Employee__2[[#This Row],[Experience]]&gt;1</f>
        <v>1</v>
      </c>
      <c r="N2579" s="1" t="str">
        <f>IF(Employee__2[[#This Row],[City]]="Pune","Yes","No")</f>
        <v>No</v>
      </c>
      <c r="O2579" s="1" t="str">
        <f>IF(AND(Employee__2[[#This Row],[Education]]="Bachelors",Employee__2[[#This Row],[City]]="Pune"),"Yes","No")</f>
        <v>No</v>
      </c>
      <c r="P2579" s="1" t="str">
        <f>IF(OR(Employee__2[[#This Row],[Age]]&gt;=30,Employee__2[[#This Row],[Gender]]="Male"),"Mached","Not mached")</f>
        <v>Not mached</v>
      </c>
    </row>
    <row r="2580" spans="4:16" x14ac:dyDescent="0.25">
      <c r="D2580" s="6" t="s">
        <v>41</v>
      </c>
      <c r="E2580">
        <v>2017</v>
      </c>
      <c r="F2580" s="6" t="s">
        <v>40</v>
      </c>
      <c r="G2580">
        <v>2</v>
      </c>
      <c r="H2580">
        <v>30</v>
      </c>
      <c r="I2580" s="6" t="s">
        <v>39</v>
      </c>
      <c r="J2580" s="6" t="s">
        <v>37</v>
      </c>
      <c r="K2580">
        <v>2</v>
      </c>
      <c r="M2580" s="1" t="b">
        <f>Employee__2[[#This Row],[Experience]]&gt;1</f>
        <v>1</v>
      </c>
      <c r="N2580" s="1" t="str">
        <f>IF(Employee__2[[#This Row],[City]]="Pune","Yes","No")</f>
        <v>No</v>
      </c>
      <c r="O2580" s="1" t="str">
        <f>IF(AND(Employee__2[[#This Row],[Education]]="Bachelors",Employee__2[[#This Row],[City]]="Pune"),"Yes","No")</f>
        <v>No</v>
      </c>
      <c r="P2580" s="1" t="str">
        <f>IF(OR(Employee__2[[#This Row],[Age]]&gt;=30,Employee__2[[#This Row],[Gender]]="Male"),"Mached","Not mached")</f>
        <v>Mached</v>
      </c>
    </row>
    <row r="2581" spans="4:16" x14ac:dyDescent="0.25">
      <c r="D2581" s="6" t="s">
        <v>43</v>
      </c>
      <c r="E2581">
        <v>2013</v>
      </c>
      <c r="F2581" s="6" t="s">
        <v>40</v>
      </c>
      <c r="G2581">
        <v>3</v>
      </c>
      <c r="H2581">
        <v>27</v>
      </c>
      <c r="I2581" s="6" t="s">
        <v>39</v>
      </c>
      <c r="J2581" s="6" t="s">
        <v>37</v>
      </c>
      <c r="K2581">
        <v>5</v>
      </c>
      <c r="M2581" s="1" t="b">
        <f>Employee__2[[#This Row],[Experience]]&gt;1</f>
        <v>1</v>
      </c>
      <c r="N2581" s="1" t="str">
        <f>IF(Employee__2[[#This Row],[City]]="Pune","Yes","No")</f>
        <v>No</v>
      </c>
      <c r="O2581" s="1" t="str">
        <f>IF(AND(Employee__2[[#This Row],[Education]]="Bachelors",Employee__2[[#This Row],[City]]="Pune"),"Yes","No")</f>
        <v>No</v>
      </c>
      <c r="P2581" s="1" t="str">
        <f>IF(OR(Employee__2[[#This Row],[Age]]&gt;=30,Employee__2[[#This Row],[Gender]]="Male"),"Mached","Not mached")</f>
        <v>Not mached</v>
      </c>
    </row>
    <row r="2582" spans="4:16" x14ac:dyDescent="0.25">
      <c r="D2582" s="6" t="s">
        <v>34</v>
      </c>
      <c r="E2582">
        <v>2016</v>
      </c>
      <c r="F2582" s="6" t="s">
        <v>38</v>
      </c>
      <c r="G2582">
        <v>3</v>
      </c>
      <c r="H2582">
        <v>26</v>
      </c>
      <c r="I2582" s="6" t="s">
        <v>36</v>
      </c>
      <c r="J2582" s="6" t="s">
        <v>37</v>
      </c>
      <c r="K2582">
        <v>4</v>
      </c>
      <c r="M2582" s="1" t="b">
        <f>Employee__2[[#This Row],[Experience]]&gt;1</f>
        <v>1</v>
      </c>
      <c r="N2582" s="1" t="str">
        <f>IF(Employee__2[[#This Row],[City]]="Pune","Yes","No")</f>
        <v>Yes</v>
      </c>
      <c r="O2582" s="1" t="str">
        <f>IF(AND(Employee__2[[#This Row],[Education]]="Bachelors",Employee__2[[#This Row],[City]]="Pune"),"Yes","No")</f>
        <v>Yes</v>
      </c>
      <c r="P2582" s="1" t="str">
        <f>IF(OR(Employee__2[[#This Row],[Age]]&gt;=30,Employee__2[[#This Row],[Gender]]="Male"),"Mached","Not mached")</f>
        <v>Mached</v>
      </c>
    </row>
    <row r="2583" spans="4:16" x14ac:dyDescent="0.25">
      <c r="D2583" s="6" t="s">
        <v>34</v>
      </c>
      <c r="E2583">
        <v>2017</v>
      </c>
      <c r="F2583" s="6" t="s">
        <v>40</v>
      </c>
      <c r="G2583">
        <v>2</v>
      </c>
      <c r="H2583">
        <v>26</v>
      </c>
      <c r="I2583" s="6" t="s">
        <v>39</v>
      </c>
      <c r="J2583" s="6" t="s">
        <v>37</v>
      </c>
      <c r="K2583">
        <v>4</v>
      </c>
      <c r="M2583" s="1" t="b">
        <f>Employee__2[[#This Row],[Experience]]&gt;1</f>
        <v>1</v>
      </c>
      <c r="N2583" s="1" t="str">
        <f>IF(Employee__2[[#This Row],[City]]="Pune","Yes","No")</f>
        <v>No</v>
      </c>
      <c r="O2583" s="1" t="str">
        <f>IF(AND(Employee__2[[#This Row],[Education]]="Bachelors",Employee__2[[#This Row],[City]]="Pune"),"Yes","No")</f>
        <v>No</v>
      </c>
      <c r="P2583" s="1" t="str">
        <f>IF(OR(Employee__2[[#This Row],[Age]]&gt;=30,Employee__2[[#This Row],[Gender]]="Male"),"Mached","Not mached")</f>
        <v>Not mached</v>
      </c>
    </row>
    <row r="2584" spans="4:16" x14ac:dyDescent="0.25">
      <c r="D2584" s="6" t="s">
        <v>34</v>
      </c>
      <c r="E2584">
        <v>2016</v>
      </c>
      <c r="F2584" s="6" t="s">
        <v>35</v>
      </c>
      <c r="G2584">
        <v>3</v>
      </c>
      <c r="H2584">
        <v>28</v>
      </c>
      <c r="I2584" s="6" t="s">
        <v>39</v>
      </c>
      <c r="J2584" s="6" t="s">
        <v>37</v>
      </c>
      <c r="K2584">
        <v>1</v>
      </c>
      <c r="M2584" s="1" t="b">
        <f>Employee__2[[#This Row],[Experience]]&gt;1</f>
        <v>0</v>
      </c>
      <c r="N2584" s="1" t="str">
        <f>IF(Employee__2[[#This Row],[City]]="Pune","Yes","No")</f>
        <v>No</v>
      </c>
      <c r="O2584" s="1" t="str">
        <f>IF(AND(Employee__2[[#This Row],[Education]]="Bachelors",Employee__2[[#This Row],[City]]="Pune"),"Yes","No")</f>
        <v>No</v>
      </c>
      <c r="P2584" s="1" t="str">
        <f>IF(OR(Employee__2[[#This Row],[Age]]&gt;=30,Employee__2[[#This Row],[Gender]]="Male"),"Mached","Not mached")</f>
        <v>Not mached</v>
      </c>
    </row>
    <row r="2585" spans="4:16" x14ac:dyDescent="0.25">
      <c r="D2585" s="6" t="s">
        <v>34</v>
      </c>
      <c r="E2585">
        <v>2017</v>
      </c>
      <c r="F2585" s="6" t="s">
        <v>38</v>
      </c>
      <c r="G2585">
        <v>2</v>
      </c>
      <c r="H2585">
        <v>27</v>
      </c>
      <c r="I2585" s="6" t="s">
        <v>39</v>
      </c>
      <c r="J2585" s="6" t="s">
        <v>37</v>
      </c>
      <c r="K2585">
        <v>5</v>
      </c>
      <c r="M2585" s="1" t="b">
        <f>Employee__2[[#This Row],[Experience]]&gt;1</f>
        <v>1</v>
      </c>
      <c r="N2585" s="1" t="str">
        <f>IF(Employee__2[[#This Row],[City]]="Pune","Yes","No")</f>
        <v>Yes</v>
      </c>
      <c r="O2585" s="1" t="str">
        <f>IF(AND(Employee__2[[#This Row],[Education]]="Bachelors",Employee__2[[#This Row],[City]]="Pune"),"Yes","No")</f>
        <v>Yes</v>
      </c>
      <c r="P2585" s="1" t="str">
        <f>IF(OR(Employee__2[[#This Row],[Age]]&gt;=30,Employee__2[[#This Row],[Gender]]="Male"),"Mached","Not mached")</f>
        <v>Not mached</v>
      </c>
    </row>
    <row r="2586" spans="4:16" x14ac:dyDescent="0.25">
      <c r="D2586" s="6" t="s">
        <v>34</v>
      </c>
      <c r="E2586">
        <v>2012</v>
      </c>
      <c r="F2586" s="6" t="s">
        <v>35</v>
      </c>
      <c r="G2586">
        <v>3</v>
      </c>
      <c r="H2586">
        <v>27</v>
      </c>
      <c r="I2586" s="6" t="s">
        <v>39</v>
      </c>
      <c r="J2586" s="6" t="s">
        <v>37</v>
      </c>
      <c r="K2586">
        <v>5</v>
      </c>
      <c r="M2586" s="1" t="b">
        <f>Employee__2[[#This Row],[Experience]]&gt;1</f>
        <v>1</v>
      </c>
      <c r="N2586" s="1" t="str">
        <f>IF(Employee__2[[#This Row],[City]]="Pune","Yes","No")</f>
        <v>No</v>
      </c>
      <c r="O2586" s="1" t="str">
        <f>IF(AND(Employee__2[[#This Row],[Education]]="Bachelors",Employee__2[[#This Row],[City]]="Pune"),"Yes","No")</f>
        <v>No</v>
      </c>
      <c r="P2586" s="1" t="str">
        <f>IF(OR(Employee__2[[#This Row],[Age]]&gt;=30,Employee__2[[#This Row],[Gender]]="Male"),"Mached","Not mached")</f>
        <v>Not mached</v>
      </c>
    </row>
    <row r="2587" spans="4:16" x14ac:dyDescent="0.25">
      <c r="D2587" s="6" t="s">
        <v>34</v>
      </c>
      <c r="E2587">
        <v>2014</v>
      </c>
      <c r="F2587" s="6" t="s">
        <v>35</v>
      </c>
      <c r="G2587">
        <v>3</v>
      </c>
      <c r="H2587">
        <v>26</v>
      </c>
      <c r="I2587" s="6" t="s">
        <v>36</v>
      </c>
      <c r="J2587" s="6" t="s">
        <v>37</v>
      </c>
      <c r="K2587">
        <v>4</v>
      </c>
      <c r="M2587" s="1" t="b">
        <f>Employee__2[[#This Row],[Experience]]&gt;1</f>
        <v>1</v>
      </c>
      <c r="N2587" s="1" t="str">
        <f>IF(Employee__2[[#This Row],[City]]="Pune","Yes","No")</f>
        <v>No</v>
      </c>
      <c r="O2587" s="1" t="str">
        <f>IF(AND(Employee__2[[#This Row],[Education]]="Bachelors",Employee__2[[#This Row],[City]]="Pune"),"Yes","No")</f>
        <v>No</v>
      </c>
      <c r="P2587" s="1" t="str">
        <f>IF(OR(Employee__2[[#This Row],[Age]]&gt;=30,Employee__2[[#This Row],[Gender]]="Male"),"Mached","Not mached")</f>
        <v>Mached</v>
      </c>
    </row>
    <row r="2588" spans="4:16" x14ac:dyDescent="0.25">
      <c r="D2588" s="6" t="s">
        <v>34</v>
      </c>
      <c r="E2588">
        <v>2016</v>
      </c>
      <c r="F2588" s="6" t="s">
        <v>35</v>
      </c>
      <c r="G2588">
        <v>3</v>
      </c>
      <c r="H2588">
        <v>27</v>
      </c>
      <c r="I2588" s="6" t="s">
        <v>36</v>
      </c>
      <c r="J2588" s="6" t="s">
        <v>42</v>
      </c>
      <c r="K2588">
        <v>5</v>
      </c>
      <c r="M2588" s="1" t="b">
        <f>Employee__2[[#This Row],[Experience]]&gt;1</f>
        <v>1</v>
      </c>
      <c r="N2588" s="1" t="str">
        <f>IF(Employee__2[[#This Row],[City]]="Pune","Yes","No")</f>
        <v>No</v>
      </c>
      <c r="O2588" s="1" t="str">
        <f>IF(AND(Employee__2[[#This Row],[Education]]="Bachelors",Employee__2[[#This Row],[City]]="Pune"),"Yes","No")</f>
        <v>No</v>
      </c>
      <c r="P2588" s="1" t="str">
        <f>IF(OR(Employee__2[[#This Row],[Age]]&gt;=30,Employee__2[[#This Row],[Gender]]="Male"),"Mached","Not mached")</f>
        <v>Mached</v>
      </c>
    </row>
    <row r="2589" spans="4:16" x14ac:dyDescent="0.25">
      <c r="D2589" s="6" t="s">
        <v>34</v>
      </c>
      <c r="E2589">
        <v>2015</v>
      </c>
      <c r="F2589" s="6" t="s">
        <v>35</v>
      </c>
      <c r="G2589">
        <v>3</v>
      </c>
      <c r="H2589">
        <v>27</v>
      </c>
      <c r="I2589" s="6" t="s">
        <v>39</v>
      </c>
      <c r="J2589" s="6" t="s">
        <v>37</v>
      </c>
      <c r="K2589">
        <v>5</v>
      </c>
      <c r="M2589" s="1" t="b">
        <f>Employee__2[[#This Row],[Experience]]&gt;1</f>
        <v>1</v>
      </c>
      <c r="N2589" s="1" t="str">
        <f>IF(Employee__2[[#This Row],[City]]="Pune","Yes","No")</f>
        <v>No</v>
      </c>
      <c r="O2589" s="1" t="str">
        <f>IF(AND(Employee__2[[#This Row],[Education]]="Bachelors",Employee__2[[#This Row],[City]]="Pune"),"Yes","No")</f>
        <v>No</v>
      </c>
      <c r="P2589" s="1" t="str">
        <f>IF(OR(Employee__2[[#This Row],[Age]]&gt;=30,Employee__2[[#This Row],[Gender]]="Male"),"Mached","Not mached")</f>
        <v>Not mached</v>
      </c>
    </row>
    <row r="2590" spans="4:16" x14ac:dyDescent="0.25">
      <c r="D2590" s="6" t="s">
        <v>34</v>
      </c>
      <c r="E2590">
        <v>2015</v>
      </c>
      <c r="F2590" s="6" t="s">
        <v>38</v>
      </c>
      <c r="G2590">
        <v>3</v>
      </c>
      <c r="H2590">
        <v>29</v>
      </c>
      <c r="I2590" s="6" t="s">
        <v>36</v>
      </c>
      <c r="J2590" s="6" t="s">
        <v>37</v>
      </c>
      <c r="K2590">
        <v>1</v>
      </c>
      <c r="M2590" s="1" t="b">
        <f>Employee__2[[#This Row],[Experience]]&gt;1</f>
        <v>0</v>
      </c>
      <c r="N2590" s="1" t="str">
        <f>IF(Employee__2[[#This Row],[City]]="Pune","Yes","No")</f>
        <v>Yes</v>
      </c>
      <c r="O2590" s="1" t="str">
        <f>IF(AND(Employee__2[[#This Row],[Education]]="Bachelors",Employee__2[[#This Row],[City]]="Pune"),"Yes","No")</f>
        <v>Yes</v>
      </c>
      <c r="P2590" s="1" t="str">
        <f>IF(OR(Employee__2[[#This Row],[Age]]&gt;=30,Employee__2[[#This Row],[Gender]]="Male"),"Mached","Not mached")</f>
        <v>Mached</v>
      </c>
    </row>
    <row r="2591" spans="4:16" x14ac:dyDescent="0.25">
      <c r="D2591" s="6" t="s">
        <v>34</v>
      </c>
      <c r="E2591">
        <v>2018</v>
      </c>
      <c r="F2591" s="6" t="s">
        <v>35</v>
      </c>
      <c r="G2591">
        <v>3</v>
      </c>
      <c r="H2591">
        <v>26</v>
      </c>
      <c r="I2591" s="6" t="s">
        <v>36</v>
      </c>
      <c r="J2591" s="6" t="s">
        <v>37</v>
      </c>
      <c r="K2591">
        <v>4</v>
      </c>
      <c r="M2591" s="1" t="b">
        <f>Employee__2[[#This Row],[Experience]]&gt;1</f>
        <v>1</v>
      </c>
      <c r="N2591" s="1" t="str">
        <f>IF(Employee__2[[#This Row],[City]]="Pune","Yes","No")</f>
        <v>No</v>
      </c>
      <c r="O2591" s="1" t="str">
        <f>IF(AND(Employee__2[[#This Row],[Education]]="Bachelors",Employee__2[[#This Row],[City]]="Pune"),"Yes","No")</f>
        <v>No</v>
      </c>
      <c r="P2591" s="1" t="str">
        <f>IF(OR(Employee__2[[#This Row],[Age]]&gt;=30,Employee__2[[#This Row],[Gender]]="Male"),"Mached","Not mached")</f>
        <v>Mached</v>
      </c>
    </row>
    <row r="2592" spans="4:16" x14ac:dyDescent="0.25">
      <c r="D2592" s="6" t="s">
        <v>34</v>
      </c>
      <c r="E2592">
        <v>2012</v>
      </c>
      <c r="F2592" s="6" t="s">
        <v>35</v>
      </c>
      <c r="G2592">
        <v>3</v>
      </c>
      <c r="H2592">
        <v>26</v>
      </c>
      <c r="I2592" s="6" t="s">
        <v>39</v>
      </c>
      <c r="J2592" s="6" t="s">
        <v>37</v>
      </c>
      <c r="K2592">
        <v>4</v>
      </c>
      <c r="M2592" s="1" t="b">
        <f>Employee__2[[#This Row],[Experience]]&gt;1</f>
        <v>1</v>
      </c>
      <c r="N2592" s="1" t="str">
        <f>IF(Employee__2[[#This Row],[City]]="Pune","Yes","No")</f>
        <v>No</v>
      </c>
      <c r="O2592" s="1" t="str">
        <f>IF(AND(Employee__2[[#This Row],[Education]]="Bachelors",Employee__2[[#This Row],[City]]="Pune"),"Yes","No")</f>
        <v>No</v>
      </c>
      <c r="P2592" s="1" t="str">
        <f>IF(OR(Employee__2[[#This Row],[Age]]&gt;=30,Employee__2[[#This Row],[Gender]]="Male"),"Mached","Not mached")</f>
        <v>Not mached</v>
      </c>
    </row>
    <row r="2593" spans="4:16" x14ac:dyDescent="0.25">
      <c r="D2593" s="6" t="s">
        <v>34</v>
      </c>
      <c r="E2593">
        <v>2017</v>
      </c>
      <c r="F2593" s="6" t="s">
        <v>35</v>
      </c>
      <c r="G2593">
        <v>3</v>
      </c>
      <c r="H2593">
        <v>27</v>
      </c>
      <c r="I2593" s="6" t="s">
        <v>36</v>
      </c>
      <c r="J2593" s="6" t="s">
        <v>42</v>
      </c>
      <c r="K2593">
        <v>5</v>
      </c>
      <c r="M2593" s="1" t="b">
        <f>Employee__2[[#This Row],[Experience]]&gt;1</f>
        <v>1</v>
      </c>
      <c r="N2593" s="1" t="str">
        <f>IF(Employee__2[[#This Row],[City]]="Pune","Yes","No")</f>
        <v>No</v>
      </c>
      <c r="O2593" s="1" t="str">
        <f>IF(AND(Employee__2[[#This Row],[Education]]="Bachelors",Employee__2[[#This Row],[City]]="Pune"),"Yes","No")</f>
        <v>No</v>
      </c>
      <c r="P2593" s="1" t="str">
        <f>IF(OR(Employee__2[[#This Row],[Age]]&gt;=30,Employee__2[[#This Row],[Gender]]="Male"),"Mached","Not mached")</f>
        <v>Mached</v>
      </c>
    </row>
    <row r="2594" spans="4:16" x14ac:dyDescent="0.25">
      <c r="D2594" s="6" t="s">
        <v>34</v>
      </c>
      <c r="E2594">
        <v>2015</v>
      </c>
      <c r="F2594" s="6" t="s">
        <v>38</v>
      </c>
      <c r="G2594">
        <v>3</v>
      </c>
      <c r="H2594">
        <v>30</v>
      </c>
      <c r="I2594" s="6" t="s">
        <v>39</v>
      </c>
      <c r="J2594" s="6" t="s">
        <v>37</v>
      </c>
      <c r="K2594">
        <v>0</v>
      </c>
      <c r="M2594" s="1" t="b">
        <f>Employee__2[[#This Row],[Experience]]&gt;1</f>
        <v>0</v>
      </c>
      <c r="N2594" s="1" t="str">
        <f>IF(Employee__2[[#This Row],[City]]="Pune","Yes","No")</f>
        <v>Yes</v>
      </c>
      <c r="O2594" s="1" t="str">
        <f>IF(AND(Employee__2[[#This Row],[Education]]="Bachelors",Employee__2[[#This Row],[City]]="Pune"),"Yes","No")</f>
        <v>Yes</v>
      </c>
      <c r="P2594" s="1" t="str">
        <f>IF(OR(Employee__2[[#This Row],[Age]]&gt;=30,Employee__2[[#This Row],[Gender]]="Male"),"Mached","Not mached")</f>
        <v>Mached</v>
      </c>
    </row>
    <row r="2595" spans="4:16" x14ac:dyDescent="0.25">
      <c r="D2595" s="6" t="s">
        <v>34</v>
      </c>
      <c r="E2595">
        <v>2017</v>
      </c>
      <c r="F2595" s="6" t="s">
        <v>35</v>
      </c>
      <c r="G2595">
        <v>3</v>
      </c>
      <c r="H2595">
        <v>30</v>
      </c>
      <c r="I2595" s="6" t="s">
        <v>36</v>
      </c>
      <c r="J2595" s="6" t="s">
        <v>37</v>
      </c>
      <c r="K2595">
        <v>3</v>
      </c>
      <c r="M2595" s="1" t="b">
        <f>Employee__2[[#This Row],[Experience]]&gt;1</f>
        <v>1</v>
      </c>
      <c r="N2595" s="1" t="str">
        <f>IF(Employee__2[[#This Row],[City]]="Pune","Yes","No")</f>
        <v>No</v>
      </c>
      <c r="O2595" s="1" t="str">
        <f>IF(AND(Employee__2[[#This Row],[Education]]="Bachelors",Employee__2[[#This Row],[City]]="Pune"),"Yes","No")</f>
        <v>No</v>
      </c>
      <c r="P2595" s="1" t="str">
        <f>IF(OR(Employee__2[[#This Row],[Age]]&gt;=30,Employee__2[[#This Row],[Gender]]="Male"),"Mached","Not mached")</f>
        <v>Mached</v>
      </c>
    </row>
    <row r="2596" spans="4:16" x14ac:dyDescent="0.25">
      <c r="D2596" s="6" t="s">
        <v>43</v>
      </c>
      <c r="E2596">
        <v>2012</v>
      </c>
      <c r="F2596" s="6" t="s">
        <v>40</v>
      </c>
      <c r="G2596">
        <v>3</v>
      </c>
      <c r="H2596">
        <v>29</v>
      </c>
      <c r="I2596" s="6" t="s">
        <v>36</v>
      </c>
      <c r="J2596" s="6" t="s">
        <v>37</v>
      </c>
      <c r="K2596">
        <v>5</v>
      </c>
      <c r="M2596" s="1" t="b">
        <f>Employee__2[[#This Row],[Experience]]&gt;1</f>
        <v>1</v>
      </c>
      <c r="N2596" s="1" t="str">
        <f>IF(Employee__2[[#This Row],[City]]="Pune","Yes","No")</f>
        <v>No</v>
      </c>
      <c r="O2596" s="1" t="str">
        <f>IF(AND(Employee__2[[#This Row],[Education]]="Bachelors",Employee__2[[#This Row],[City]]="Pune"),"Yes","No")</f>
        <v>No</v>
      </c>
      <c r="P2596" s="1" t="str">
        <f>IF(OR(Employee__2[[#This Row],[Age]]&gt;=30,Employee__2[[#This Row],[Gender]]="Male"),"Mached","Not mached")</f>
        <v>Mached</v>
      </c>
    </row>
    <row r="2597" spans="4:16" x14ac:dyDescent="0.25">
      <c r="D2597" s="6" t="s">
        <v>34</v>
      </c>
      <c r="E2597">
        <v>2016</v>
      </c>
      <c r="F2597" s="6" t="s">
        <v>38</v>
      </c>
      <c r="G2597">
        <v>3</v>
      </c>
      <c r="H2597">
        <v>29</v>
      </c>
      <c r="I2597" s="6" t="s">
        <v>36</v>
      </c>
      <c r="J2597" s="6" t="s">
        <v>37</v>
      </c>
      <c r="K2597">
        <v>5</v>
      </c>
      <c r="M2597" s="1" t="b">
        <f>Employee__2[[#This Row],[Experience]]&gt;1</f>
        <v>1</v>
      </c>
      <c r="N2597" s="1" t="str">
        <f>IF(Employee__2[[#This Row],[City]]="Pune","Yes","No")</f>
        <v>Yes</v>
      </c>
      <c r="O2597" s="1" t="str">
        <f>IF(AND(Employee__2[[#This Row],[Education]]="Bachelors",Employee__2[[#This Row],[City]]="Pune"),"Yes","No")</f>
        <v>Yes</v>
      </c>
      <c r="P2597" s="1" t="str">
        <f>IF(OR(Employee__2[[#This Row],[Age]]&gt;=30,Employee__2[[#This Row],[Gender]]="Male"),"Mached","Not mached")</f>
        <v>Mached</v>
      </c>
    </row>
    <row r="2598" spans="4:16" x14ac:dyDescent="0.25">
      <c r="D2598" s="6" t="s">
        <v>34</v>
      </c>
      <c r="E2598">
        <v>2014</v>
      </c>
      <c r="F2598" s="6" t="s">
        <v>35</v>
      </c>
      <c r="G2598">
        <v>3</v>
      </c>
      <c r="H2598">
        <v>26</v>
      </c>
      <c r="I2598" s="6" t="s">
        <v>39</v>
      </c>
      <c r="J2598" s="6" t="s">
        <v>42</v>
      </c>
      <c r="K2598">
        <v>4</v>
      </c>
      <c r="M2598" s="1" t="b">
        <f>Employee__2[[#This Row],[Experience]]&gt;1</f>
        <v>1</v>
      </c>
      <c r="N2598" s="1" t="str">
        <f>IF(Employee__2[[#This Row],[City]]="Pune","Yes","No")</f>
        <v>No</v>
      </c>
      <c r="O2598" s="1" t="str">
        <f>IF(AND(Employee__2[[#This Row],[Education]]="Bachelors",Employee__2[[#This Row],[City]]="Pune"),"Yes","No")</f>
        <v>No</v>
      </c>
      <c r="P2598" s="1" t="str">
        <f>IF(OR(Employee__2[[#This Row],[Age]]&gt;=30,Employee__2[[#This Row],[Gender]]="Male"),"Mached","Not mached")</f>
        <v>Not mached</v>
      </c>
    </row>
    <row r="2599" spans="4:16" x14ac:dyDescent="0.25">
      <c r="D2599" s="6" t="s">
        <v>43</v>
      </c>
      <c r="E2599">
        <v>2014</v>
      </c>
      <c r="F2599" s="6" t="s">
        <v>40</v>
      </c>
      <c r="G2599">
        <v>3</v>
      </c>
      <c r="H2599">
        <v>28</v>
      </c>
      <c r="I2599" s="6" t="s">
        <v>39</v>
      </c>
      <c r="J2599" s="6" t="s">
        <v>37</v>
      </c>
      <c r="K2599">
        <v>0</v>
      </c>
      <c r="M2599" s="1" t="b">
        <f>Employee__2[[#This Row],[Experience]]&gt;1</f>
        <v>0</v>
      </c>
      <c r="N2599" s="1" t="str">
        <f>IF(Employee__2[[#This Row],[City]]="Pune","Yes","No")</f>
        <v>No</v>
      </c>
      <c r="O2599" s="1" t="str">
        <f>IF(AND(Employee__2[[#This Row],[Education]]="Bachelors",Employee__2[[#This Row],[City]]="Pune"),"Yes","No")</f>
        <v>No</v>
      </c>
      <c r="P2599" s="1" t="str">
        <f>IF(OR(Employee__2[[#This Row],[Age]]&gt;=30,Employee__2[[#This Row],[Gender]]="Male"),"Mached","Not mached")</f>
        <v>Not mached</v>
      </c>
    </row>
    <row r="2600" spans="4:16" x14ac:dyDescent="0.25">
      <c r="D2600" s="6" t="s">
        <v>34</v>
      </c>
      <c r="E2600">
        <v>2018</v>
      </c>
      <c r="F2600" s="6" t="s">
        <v>35</v>
      </c>
      <c r="G2600">
        <v>3</v>
      </c>
      <c r="H2600">
        <v>28</v>
      </c>
      <c r="I2600" s="6" t="s">
        <v>36</v>
      </c>
      <c r="J2600" s="6" t="s">
        <v>37</v>
      </c>
      <c r="K2600">
        <v>1</v>
      </c>
      <c r="M2600" s="1" t="b">
        <f>Employee__2[[#This Row],[Experience]]&gt;1</f>
        <v>0</v>
      </c>
      <c r="N2600" s="1" t="str">
        <f>IF(Employee__2[[#This Row],[City]]="Pune","Yes","No")</f>
        <v>No</v>
      </c>
      <c r="O2600" s="1" t="str">
        <f>IF(AND(Employee__2[[#This Row],[Education]]="Bachelors",Employee__2[[#This Row],[City]]="Pune"),"Yes","No")</f>
        <v>No</v>
      </c>
      <c r="P2600" s="1" t="str">
        <f>IF(OR(Employee__2[[#This Row],[Age]]&gt;=30,Employee__2[[#This Row],[Gender]]="Male"),"Mached","Not mached")</f>
        <v>Mached</v>
      </c>
    </row>
    <row r="2601" spans="4:16" x14ac:dyDescent="0.25">
      <c r="D2601" s="6" t="s">
        <v>34</v>
      </c>
      <c r="E2601">
        <v>2013</v>
      </c>
      <c r="F2601" s="6" t="s">
        <v>40</v>
      </c>
      <c r="G2601">
        <v>3</v>
      </c>
      <c r="H2601">
        <v>27</v>
      </c>
      <c r="I2601" s="6" t="s">
        <v>39</v>
      </c>
      <c r="J2601" s="6" t="s">
        <v>42</v>
      </c>
      <c r="K2601">
        <v>5</v>
      </c>
      <c r="M2601" s="1" t="b">
        <f>Employee__2[[#This Row],[Experience]]&gt;1</f>
        <v>1</v>
      </c>
      <c r="N2601" s="1" t="str">
        <f>IF(Employee__2[[#This Row],[City]]="Pune","Yes","No")</f>
        <v>No</v>
      </c>
      <c r="O2601" s="1" t="str">
        <f>IF(AND(Employee__2[[#This Row],[Education]]="Bachelors",Employee__2[[#This Row],[City]]="Pune"),"Yes","No")</f>
        <v>No</v>
      </c>
      <c r="P2601" s="1" t="str">
        <f>IF(OR(Employee__2[[#This Row],[Age]]&gt;=30,Employee__2[[#This Row],[Gender]]="Male"),"Mached","Not mached")</f>
        <v>Not mached</v>
      </c>
    </row>
    <row r="2602" spans="4:16" x14ac:dyDescent="0.25">
      <c r="D2602" s="6" t="s">
        <v>34</v>
      </c>
      <c r="E2602">
        <v>2013</v>
      </c>
      <c r="F2602" s="6" t="s">
        <v>35</v>
      </c>
      <c r="G2602">
        <v>3</v>
      </c>
      <c r="H2602">
        <v>28</v>
      </c>
      <c r="I2602" s="6" t="s">
        <v>36</v>
      </c>
      <c r="J2602" s="6" t="s">
        <v>37</v>
      </c>
      <c r="K2602">
        <v>2</v>
      </c>
      <c r="M2602" s="1" t="b">
        <f>Employee__2[[#This Row],[Experience]]&gt;1</f>
        <v>1</v>
      </c>
      <c r="N2602" s="1" t="str">
        <f>IF(Employee__2[[#This Row],[City]]="Pune","Yes","No")</f>
        <v>No</v>
      </c>
      <c r="O2602" s="1" t="str">
        <f>IF(AND(Employee__2[[#This Row],[Education]]="Bachelors",Employee__2[[#This Row],[City]]="Pune"),"Yes","No")</f>
        <v>No</v>
      </c>
      <c r="P2602" s="1" t="str">
        <f>IF(OR(Employee__2[[#This Row],[Age]]&gt;=30,Employee__2[[#This Row],[Gender]]="Male"),"Mached","Not mached")</f>
        <v>Mached</v>
      </c>
    </row>
    <row r="2603" spans="4:16" x14ac:dyDescent="0.25">
      <c r="D2603" s="6" t="s">
        <v>34</v>
      </c>
      <c r="E2603">
        <v>2018</v>
      </c>
      <c r="F2603" s="6" t="s">
        <v>35</v>
      </c>
      <c r="G2603">
        <v>3</v>
      </c>
      <c r="H2603">
        <v>29</v>
      </c>
      <c r="I2603" s="6" t="s">
        <v>36</v>
      </c>
      <c r="J2603" s="6" t="s">
        <v>37</v>
      </c>
      <c r="K2603">
        <v>0</v>
      </c>
      <c r="M2603" s="1" t="b">
        <f>Employee__2[[#This Row],[Experience]]&gt;1</f>
        <v>0</v>
      </c>
      <c r="N2603" s="1" t="str">
        <f>IF(Employee__2[[#This Row],[City]]="Pune","Yes","No")</f>
        <v>No</v>
      </c>
      <c r="O2603" s="1" t="str">
        <f>IF(AND(Employee__2[[#This Row],[Education]]="Bachelors",Employee__2[[#This Row],[City]]="Pune"),"Yes","No")</f>
        <v>No</v>
      </c>
      <c r="P2603" s="1" t="str">
        <f>IF(OR(Employee__2[[#This Row],[Age]]&gt;=30,Employee__2[[#This Row],[Gender]]="Male"),"Mached","Not mached")</f>
        <v>Mached</v>
      </c>
    </row>
    <row r="2604" spans="4:16" x14ac:dyDescent="0.25">
      <c r="D2604" s="6" t="s">
        <v>34</v>
      </c>
      <c r="E2604">
        <v>2016</v>
      </c>
      <c r="F2604" s="6" t="s">
        <v>35</v>
      </c>
      <c r="G2604">
        <v>3</v>
      </c>
      <c r="H2604">
        <v>29</v>
      </c>
      <c r="I2604" s="6" t="s">
        <v>36</v>
      </c>
      <c r="J2604" s="6" t="s">
        <v>37</v>
      </c>
      <c r="K2604">
        <v>3</v>
      </c>
      <c r="M2604" s="1" t="b">
        <f>Employee__2[[#This Row],[Experience]]&gt;1</f>
        <v>1</v>
      </c>
      <c r="N2604" s="1" t="str">
        <f>IF(Employee__2[[#This Row],[City]]="Pune","Yes","No")</f>
        <v>No</v>
      </c>
      <c r="O2604" s="1" t="str">
        <f>IF(AND(Employee__2[[#This Row],[Education]]="Bachelors",Employee__2[[#This Row],[City]]="Pune"),"Yes","No")</f>
        <v>No</v>
      </c>
      <c r="P2604" s="1" t="str">
        <f>IF(OR(Employee__2[[#This Row],[Age]]&gt;=30,Employee__2[[#This Row],[Gender]]="Male"),"Mached","Not mached")</f>
        <v>Mached</v>
      </c>
    </row>
    <row r="2605" spans="4:16" x14ac:dyDescent="0.25">
      <c r="D2605" s="6" t="s">
        <v>34</v>
      </c>
      <c r="E2605">
        <v>2018</v>
      </c>
      <c r="F2605" s="6" t="s">
        <v>38</v>
      </c>
      <c r="G2605">
        <v>3</v>
      </c>
      <c r="H2605">
        <v>30</v>
      </c>
      <c r="I2605" s="6" t="s">
        <v>39</v>
      </c>
      <c r="J2605" s="6" t="s">
        <v>37</v>
      </c>
      <c r="K2605">
        <v>2</v>
      </c>
      <c r="M2605" s="1" t="b">
        <f>Employee__2[[#This Row],[Experience]]&gt;1</f>
        <v>1</v>
      </c>
      <c r="N2605" s="1" t="str">
        <f>IF(Employee__2[[#This Row],[City]]="Pune","Yes","No")</f>
        <v>Yes</v>
      </c>
      <c r="O2605" s="1" t="str">
        <f>IF(AND(Employee__2[[#This Row],[Education]]="Bachelors",Employee__2[[#This Row],[City]]="Pune"),"Yes","No")</f>
        <v>Yes</v>
      </c>
      <c r="P2605" s="1" t="str">
        <f>IF(OR(Employee__2[[#This Row],[Age]]&gt;=30,Employee__2[[#This Row],[Gender]]="Male"),"Mached","Not mached")</f>
        <v>Mached</v>
      </c>
    </row>
    <row r="2606" spans="4:16" x14ac:dyDescent="0.25">
      <c r="D2606" s="6" t="s">
        <v>34</v>
      </c>
      <c r="E2606">
        <v>2013</v>
      </c>
      <c r="F2606" s="6" t="s">
        <v>35</v>
      </c>
      <c r="G2606">
        <v>3</v>
      </c>
      <c r="H2606">
        <v>26</v>
      </c>
      <c r="I2606" s="6" t="s">
        <v>36</v>
      </c>
      <c r="J2606" s="6" t="s">
        <v>37</v>
      </c>
      <c r="K2606">
        <v>4</v>
      </c>
      <c r="M2606" s="1" t="b">
        <f>Employee__2[[#This Row],[Experience]]&gt;1</f>
        <v>1</v>
      </c>
      <c r="N2606" s="1" t="str">
        <f>IF(Employee__2[[#This Row],[City]]="Pune","Yes","No")</f>
        <v>No</v>
      </c>
      <c r="O2606" s="1" t="str">
        <f>IF(AND(Employee__2[[#This Row],[Education]]="Bachelors",Employee__2[[#This Row],[City]]="Pune"),"Yes","No")</f>
        <v>No</v>
      </c>
      <c r="P2606" s="1" t="str">
        <f>IF(OR(Employee__2[[#This Row],[Age]]&gt;=30,Employee__2[[#This Row],[Gender]]="Male"),"Mached","Not mached")</f>
        <v>Mached</v>
      </c>
    </row>
    <row r="2607" spans="4:16" x14ac:dyDescent="0.25">
      <c r="D2607" s="6" t="s">
        <v>34</v>
      </c>
      <c r="E2607">
        <v>2014</v>
      </c>
      <c r="F2607" s="6" t="s">
        <v>38</v>
      </c>
      <c r="G2607">
        <v>3</v>
      </c>
      <c r="H2607">
        <v>29</v>
      </c>
      <c r="I2607" s="6" t="s">
        <v>36</v>
      </c>
      <c r="J2607" s="6" t="s">
        <v>37</v>
      </c>
      <c r="K2607">
        <v>3</v>
      </c>
      <c r="M2607" s="1" t="b">
        <f>Employee__2[[#This Row],[Experience]]&gt;1</f>
        <v>1</v>
      </c>
      <c r="N2607" s="1" t="str">
        <f>IF(Employee__2[[#This Row],[City]]="Pune","Yes","No")</f>
        <v>Yes</v>
      </c>
      <c r="O2607" s="1" t="str">
        <f>IF(AND(Employee__2[[#This Row],[Education]]="Bachelors",Employee__2[[#This Row],[City]]="Pune"),"Yes","No")</f>
        <v>Yes</v>
      </c>
      <c r="P2607" s="1" t="str">
        <f>IF(OR(Employee__2[[#This Row],[Age]]&gt;=30,Employee__2[[#This Row],[Gender]]="Male"),"Mached","Not mached")</f>
        <v>Mached</v>
      </c>
    </row>
    <row r="2608" spans="4:16" x14ac:dyDescent="0.25">
      <c r="D2608" s="6" t="s">
        <v>34</v>
      </c>
      <c r="E2608">
        <v>2013</v>
      </c>
      <c r="F2608" s="6" t="s">
        <v>38</v>
      </c>
      <c r="G2608">
        <v>3</v>
      </c>
      <c r="H2608">
        <v>30</v>
      </c>
      <c r="I2608" s="6" t="s">
        <v>36</v>
      </c>
      <c r="J2608" s="6" t="s">
        <v>37</v>
      </c>
      <c r="K2608">
        <v>4</v>
      </c>
      <c r="M2608" s="1" t="b">
        <f>Employee__2[[#This Row],[Experience]]&gt;1</f>
        <v>1</v>
      </c>
      <c r="N2608" s="1" t="str">
        <f>IF(Employee__2[[#This Row],[City]]="Pune","Yes","No")</f>
        <v>Yes</v>
      </c>
      <c r="O2608" s="1" t="str">
        <f>IF(AND(Employee__2[[#This Row],[Education]]="Bachelors",Employee__2[[#This Row],[City]]="Pune"),"Yes","No")</f>
        <v>Yes</v>
      </c>
      <c r="P2608" s="1" t="str">
        <f>IF(OR(Employee__2[[#This Row],[Age]]&gt;=30,Employee__2[[#This Row],[Gender]]="Male"),"Mached","Not mached")</f>
        <v>Mached</v>
      </c>
    </row>
    <row r="2609" spans="4:16" x14ac:dyDescent="0.25">
      <c r="D2609" s="6" t="s">
        <v>41</v>
      </c>
      <c r="E2609">
        <v>2015</v>
      </c>
      <c r="F2609" s="6" t="s">
        <v>40</v>
      </c>
      <c r="G2609">
        <v>3</v>
      </c>
      <c r="H2609">
        <v>29</v>
      </c>
      <c r="I2609" s="6" t="s">
        <v>36</v>
      </c>
      <c r="J2609" s="6" t="s">
        <v>37</v>
      </c>
      <c r="K2609">
        <v>2</v>
      </c>
      <c r="M2609" s="1" t="b">
        <f>Employee__2[[#This Row],[Experience]]&gt;1</f>
        <v>1</v>
      </c>
      <c r="N2609" s="1" t="str">
        <f>IF(Employee__2[[#This Row],[City]]="Pune","Yes","No")</f>
        <v>No</v>
      </c>
      <c r="O2609" s="1" t="str">
        <f>IF(AND(Employee__2[[#This Row],[Education]]="Bachelors",Employee__2[[#This Row],[City]]="Pune"),"Yes","No")</f>
        <v>No</v>
      </c>
      <c r="P2609" s="1" t="str">
        <f>IF(OR(Employee__2[[#This Row],[Age]]&gt;=30,Employee__2[[#This Row],[Gender]]="Male"),"Mached","Not mached")</f>
        <v>Mached</v>
      </c>
    </row>
    <row r="2610" spans="4:16" x14ac:dyDescent="0.25">
      <c r="D2610" s="6" t="s">
        <v>34</v>
      </c>
      <c r="E2610">
        <v>2018</v>
      </c>
      <c r="F2610" s="6" t="s">
        <v>38</v>
      </c>
      <c r="G2610">
        <v>3</v>
      </c>
      <c r="H2610">
        <v>27</v>
      </c>
      <c r="I2610" s="6" t="s">
        <v>36</v>
      </c>
      <c r="J2610" s="6" t="s">
        <v>37</v>
      </c>
      <c r="K2610">
        <v>5</v>
      </c>
      <c r="M2610" s="1" t="b">
        <f>Employee__2[[#This Row],[Experience]]&gt;1</f>
        <v>1</v>
      </c>
      <c r="N2610" s="1" t="str">
        <f>IF(Employee__2[[#This Row],[City]]="Pune","Yes","No")</f>
        <v>Yes</v>
      </c>
      <c r="O2610" s="1" t="str">
        <f>IF(AND(Employee__2[[#This Row],[Education]]="Bachelors",Employee__2[[#This Row],[City]]="Pune"),"Yes","No")</f>
        <v>Yes</v>
      </c>
      <c r="P2610" s="1" t="str">
        <f>IF(OR(Employee__2[[#This Row],[Age]]&gt;=30,Employee__2[[#This Row],[Gender]]="Male"),"Mached","Not mached")</f>
        <v>Mached</v>
      </c>
    </row>
    <row r="2611" spans="4:16" x14ac:dyDescent="0.25">
      <c r="D2611" s="6" t="s">
        <v>34</v>
      </c>
      <c r="E2611">
        <v>2016</v>
      </c>
      <c r="F2611" s="6" t="s">
        <v>35</v>
      </c>
      <c r="G2611">
        <v>3</v>
      </c>
      <c r="H2611">
        <v>28</v>
      </c>
      <c r="I2611" s="6" t="s">
        <v>36</v>
      </c>
      <c r="J2611" s="6" t="s">
        <v>37</v>
      </c>
      <c r="K2611">
        <v>2</v>
      </c>
      <c r="M2611" s="1" t="b">
        <f>Employee__2[[#This Row],[Experience]]&gt;1</f>
        <v>1</v>
      </c>
      <c r="N2611" s="1" t="str">
        <f>IF(Employee__2[[#This Row],[City]]="Pune","Yes","No")</f>
        <v>No</v>
      </c>
      <c r="O2611" s="1" t="str">
        <f>IF(AND(Employee__2[[#This Row],[Education]]="Bachelors",Employee__2[[#This Row],[City]]="Pune"),"Yes","No")</f>
        <v>No</v>
      </c>
      <c r="P2611" s="1" t="str">
        <f>IF(OR(Employee__2[[#This Row],[Age]]&gt;=30,Employee__2[[#This Row],[Gender]]="Male"),"Mached","Not mached")</f>
        <v>Mached</v>
      </c>
    </row>
    <row r="2612" spans="4:16" x14ac:dyDescent="0.25">
      <c r="D2612" s="6" t="s">
        <v>34</v>
      </c>
      <c r="E2612">
        <v>2015</v>
      </c>
      <c r="F2612" s="6" t="s">
        <v>35</v>
      </c>
      <c r="G2612">
        <v>3</v>
      </c>
      <c r="H2612">
        <v>29</v>
      </c>
      <c r="I2612" s="6" t="s">
        <v>36</v>
      </c>
      <c r="J2612" s="6" t="s">
        <v>37</v>
      </c>
      <c r="K2612">
        <v>1</v>
      </c>
      <c r="M2612" s="1" t="b">
        <f>Employee__2[[#This Row],[Experience]]&gt;1</f>
        <v>0</v>
      </c>
      <c r="N2612" s="1" t="str">
        <f>IF(Employee__2[[#This Row],[City]]="Pune","Yes","No")</f>
        <v>No</v>
      </c>
      <c r="O2612" s="1" t="str">
        <f>IF(AND(Employee__2[[#This Row],[Education]]="Bachelors",Employee__2[[#This Row],[City]]="Pune"),"Yes","No")</f>
        <v>No</v>
      </c>
      <c r="P2612" s="1" t="str">
        <f>IF(OR(Employee__2[[#This Row],[Age]]&gt;=30,Employee__2[[#This Row],[Gender]]="Male"),"Mached","Not mached")</f>
        <v>Mached</v>
      </c>
    </row>
    <row r="2613" spans="4:16" x14ac:dyDescent="0.25">
      <c r="D2613" s="6" t="s">
        <v>34</v>
      </c>
      <c r="E2613">
        <v>2016</v>
      </c>
      <c r="F2613" s="6" t="s">
        <v>35</v>
      </c>
      <c r="G2613">
        <v>3</v>
      </c>
      <c r="H2613">
        <v>30</v>
      </c>
      <c r="I2613" s="6" t="s">
        <v>36</v>
      </c>
      <c r="J2613" s="6" t="s">
        <v>37</v>
      </c>
      <c r="K2613">
        <v>0</v>
      </c>
      <c r="M2613" s="1" t="b">
        <f>Employee__2[[#This Row],[Experience]]&gt;1</f>
        <v>0</v>
      </c>
      <c r="N2613" s="1" t="str">
        <f>IF(Employee__2[[#This Row],[City]]="Pune","Yes","No")</f>
        <v>No</v>
      </c>
      <c r="O2613" s="1" t="str">
        <f>IF(AND(Employee__2[[#This Row],[Education]]="Bachelors",Employee__2[[#This Row],[City]]="Pune"),"Yes","No")</f>
        <v>No</v>
      </c>
      <c r="P2613" s="1" t="str">
        <f>IF(OR(Employee__2[[#This Row],[Age]]&gt;=30,Employee__2[[#This Row],[Gender]]="Male"),"Mached","Not mached")</f>
        <v>Mached</v>
      </c>
    </row>
    <row r="2614" spans="4:16" x14ac:dyDescent="0.25">
      <c r="D2614" s="6" t="s">
        <v>34</v>
      </c>
      <c r="E2614">
        <v>2016</v>
      </c>
      <c r="F2614" s="6" t="s">
        <v>35</v>
      </c>
      <c r="G2614">
        <v>3</v>
      </c>
      <c r="H2614">
        <v>28</v>
      </c>
      <c r="I2614" s="6" t="s">
        <v>39</v>
      </c>
      <c r="J2614" s="6" t="s">
        <v>37</v>
      </c>
      <c r="K2614">
        <v>1</v>
      </c>
      <c r="M2614" s="1" t="b">
        <f>Employee__2[[#This Row],[Experience]]&gt;1</f>
        <v>0</v>
      </c>
      <c r="N2614" s="1" t="str">
        <f>IF(Employee__2[[#This Row],[City]]="Pune","Yes","No")</f>
        <v>No</v>
      </c>
      <c r="O2614" s="1" t="str">
        <f>IF(AND(Employee__2[[#This Row],[Education]]="Bachelors",Employee__2[[#This Row],[City]]="Pune"),"Yes","No")</f>
        <v>No</v>
      </c>
      <c r="P2614" s="1" t="str">
        <f>IF(OR(Employee__2[[#This Row],[Age]]&gt;=30,Employee__2[[#This Row],[Gender]]="Male"),"Mached","Not mached")</f>
        <v>Not mached</v>
      </c>
    </row>
    <row r="2615" spans="4:16" x14ac:dyDescent="0.25">
      <c r="D2615" s="6" t="s">
        <v>34</v>
      </c>
      <c r="E2615">
        <v>2017</v>
      </c>
      <c r="F2615" s="6" t="s">
        <v>40</v>
      </c>
      <c r="G2615">
        <v>3</v>
      </c>
      <c r="H2615">
        <v>26</v>
      </c>
      <c r="I2615" s="6" t="s">
        <v>39</v>
      </c>
      <c r="J2615" s="6" t="s">
        <v>37</v>
      </c>
      <c r="K2615">
        <v>4</v>
      </c>
      <c r="M2615" s="1" t="b">
        <f>Employee__2[[#This Row],[Experience]]&gt;1</f>
        <v>1</v>
      </c>
      <c r="N2615" s="1" t="str">
        <f>IF(Employee__2[[#This Row],[City]]="Pune","Yes","No")</f>
        <v>No</v>
      </c>
      <c r="O2615" s="1" t="str">
        <f>IF(AND(Employee__2[[#This Row],[Education]]="Bachelors",Employee__2[[#This Row],[City]]="Pune"),"Yes","No")</f>
        <v>No</v>
      </c>
      <c r="P2615" s="1" t="str">
        <f>IF(OR(Employee__2[[#This Row],[Age]]&gt;=30,Employee__2[[#This Row],[Gender]]="Male"),"Mached","Not mached")</f>
        <v>Not mached</v>
      </c>
    </row>
    <row r="2616" spans="4:16" x14ac:dyDescent="0.25">
      <c r="D2616" s="6" t="s">
        <v>34</v>
      </c>
      <c r="E2616">
        <v>2014</v>
      </c>
      <c r="F2616" s="6" t="s">
        <v>38</v>
      </c>
      <c r="G2616">
        <v>2</v>
      </c>
      <c r="H2616">
        <v>29</v>
      </c>
      <c r="I2616" s="6" t="s">
        <v>39</v>
      </c>
      <c r="J2616" s="6" t="s">
        <v>37</v>
      </c>
      <c r="K2616">
        <v>1</v>
      </c>
      <c r="M2616" s="1" t="b">
        <f>Employee__2[[#This Row],[Experience]]&gt;1</f>
        <v>0</v>
      </c>
      <c r="N2616" s="1" t="str">
        <f>IF(Employee__2[[#This Row],[City]]="Pune","Yes","No")</f>
        <v>Yes</v>
      </c>
      <c r="O2616" s="1" t="str">
        <f>IF(AND(Employee__2[[#This Row],[Education]]="Bachelors",Employee__2[[#This Row],[City]]="Pune"),"Yes","No")</f>
        <v>Yes</v>
      </c>
      <c r="P2616" s="1" t="str">
        <f>IF(OR(Employee__2[[#This Row],[Age]]&gt;=30,Employee__2[[#This Row],[Gender]]="Male"),"Mached","Not mached")</f>
        <v>Not mached</v>
      </c>
    </row>
    <row r="2617" spans="4:16" x14ac:dyDescent="0.25">
      <c r="D2617" s="6" t="s">
        <v>43</v>
      </c>
      <c r="E2617">
        <v>2013</v>
      </c>
      <c r="F2617" s="6" t="s">
        <v>40</v>
      </c>
      <c r="G2617">
        <v>3</v>
      </c>
      <c r="H2617">
        <v>30</v>
      </c>
      <c r="I2617" s="6" t="s">
        <v>39</v>
      </c>
      <c r="J2617" s="6" t="s">
        <v>37</v>
      </c>
      <c r="K2617">
        <v>2</v>
      </c>
      <c r="M2617" s="1" t="b">
        <f>Employee__2[[#This Row],[Experience]]&gt;1</f>
        <v>1</v>
      </c>
      <c r="N2617" s="1" t="str">
        <f>IF(Employee__2[[#This Row],[City]]="Pune","Yes","No")</f>
        <v>No</v>
      </c>
      <c r="O2617" s="1" t="str">
        <f>IF(AND(Employee__2[[#This Row],[Education]]="Bachelors",Employee__2[[#This Row],[City]]="Pune"),"Yes","No")</f>
        <v>No</v>
      </c>
      <c r="P2617" s="1" t="str">
        <f>IF(OR(Employee__2[[#This Row],[Age]]&gt;=30,Employee__2[[#This Row],[Gender]]="Male"),"Mached","Not mached")</f>
        <v>Mached</v>
      </c>
    </row>
    <row r="2618" spans="4:16" x14ac:dyDescent="0.25">
      <c r="D2618" s="6" t="s">
        <v>34</v>
      </c>
      <c r="E2618">
        <v>2016</v>
      </c>
      <c r="F2618" s="6" t="s">
        <v>35</v>
      </c>
      <c r="G2618">
        <v>3</v>
      </c>
      <c r="H2618">
        <v>28</v>
      </c>
      <c r="I2618" s="6" t="s">
        <v>36</v>
      </c>
      <c r="J2618" s="6" t="s">
        <v>42</v>
      </c>
      <c r="K2618">
        <v>3</v>
      </c>
      <c r="M2618" s="1" t="b">
        <f>Employee__2[[#This Row],[Experience]]&gt;1</f>
        <v>1</v>
      </c>
      <c r="N2618" s="1" t="str">
        <f>IF(Employee__2[[#This Row],[City]]="Pune","Yes","No")</f>
        <v>No</v>
      </c>
      <c r="O2618" s="1" t="str">
        <f>IF(AND(Employee__2[[#This Row],[Education]]="Bachelors",Employee__2[[#This Row],[City]]="Pune"),"Yes","No")</f>
        <v>No</v>
      </c>
      <c r="P2618" s="1" t="str">
        <f>IF(OR(Employee__2[[#This Row],[Age]]&gt;=30,Employee__2[[#This Row],[Gender]]="Male"),"Mached","Not mached")</f>
        <v>Mached</v>
      </c>
    </row>
    <row r="2619" spans="4:16" x14ac:dyDescent="0.25">
      <c r="D2619" s="6" t="s">
        <v>34</v>
      </c>
      <c r="E2619">
        <v>2015</v>
      </c>
      <c r="F2619" s="6" t="s">
        <v>35</v>
      </c>
      <c r="G2619">
        <v>3</v>
      </c>
      <c r="H2619">
        <v>28</v>
      </c>
      <c r="I2619" s="6" t="s">
        <v>36</v>
      </c>
      <c r="J2619" s="6" t="s">
        <v>37</v>
      </c>
      <c r="K2619">
        <v>1</v>
      </c>
      <c r="M2619" s="1" t="b">
        <f>Employee__2[[#This Row],[Experience]]&gt;1</f>
        <v>0</v>
      </c>
      <c r="N2619" s="1" t="str">
        <f>IF(Employee__2[[#This Row],[City]]="Pune","Yes","No")</f>
        <v>No</v>
      </c>
      <c r="O2619" s="1" t="str">
        <f>IF(AND(Employee__2[[#This Row],[Education]]="Bachelors",Employee__2[[#This Row],[City]]="Pune"),"Yes","No")</f>
        <v>No</v>
      </c>
      <c r="P2619" s="1" t="str">
        <f>IF(OR(Employee__2[[#This Row],[Age]]&gt;=30,Employee__2[[#This Row],[Gender]]="Male"),"Mached","Not mached")</f>
        <v>Mached</v>
      </c>
    </row>
    <row r="2620" spans="4:16" x14ac:dyDescent="0.25">
      <c r="D2620" s="6" t="s">
        <v>34</v>
      </c>
      <c r="E2620">
        <v>2016</v>
      </c>
      <c r="F2620" s="6" t="s">
        <v>38</v>
      </c>
      <c r="G2620">
        <v>3</v>
      </c>
      <c r="H2620">
        <v>28</v>
      </c>
      <c r="I2620" s="6" t="s">
        <v>36</v>
      </c>
      <c r="J2620" s="6" t="s">
        <v>37</v>
      </c>
      <c r="K2620">
        <v>5</v>
      </c>
      <c r="M2620" s="1" t="b">
        <f>Employee__2[[#This Row],[Experience]]&gt;1</f>
        <v>1</v>
      </c>
      <c r="N2620" s="1" t="str">
        <f>IF(Employee__2[[#This Row],[City]]="Pune","Yes","No")</f>
        <v>Yes</v>
      </c>
      <c r="O2620" s="1" t="str">
        <f>IF(AND(Employee__2[[#This Row],[Education]]="Bachelors",Employee__2[[#This Row],[City]]="Pune"),"Yes","No")</f>
        <v>Yes</v>
      </c>
      <c r="P2620" s="1" t="str">
        <f>IF(OR(Employee__2[[#This Row],[Age]]&gt;=30,Employee__2[[#This Row],[Gender]]="Male"),"Mached","Not mached")</f>
        <v>Mached</v>
      </c>
    </row>
    <row r="2621" spans="4:16" x14ac:dyDescent="0.25">
      <c r="D2621" s="6" t="s">
        <v>34</v>
      </c>
      <c r="E2621">
        <v>2017</v>
      </c>
      <c r="F2621" s="6" t="s">
        <v>38</v>
      </c>
      <c r="G2621">
        <v>2</v>
      </c>
      <c r="H2621">
        <v>28</v>
      </c>
      <c r="I2621" s="6" t="s">
        <v>39</v>
      </c>
      <c r="J2621" s="6" t="s">
        <v>37</v>
      </c>
      <c r="K2621">
        <v>1</v>
      </c>
      <c r="M2621" s="1" t="b">
        <f>Employee__2[[#This Row],[Experience]]&gt;1</f>
        <v>0</v>
      </c>
      <c r="N2621" s="1" t="str">
        <f>IF(Employee__2[[#This Row],[City]]="Pune","Yes","No")</f>
        <v>Yes</v>
      </c>
      <c r="O2621" s="1" t="str">
        <f>IF(AND(Employee__2[[#This Row],[Education]]="Bachelors",Employee__2[[#This Row],[City]]="Pune"),"Yes","No")</f>
        <v>Yes</v>
      </c>
      <c r="P2621" s="1" t="str">
        <f>IF(OR(Employee__2[[#This Row],[Age]]&gt;=30,Employee__2[[#This Row],[Gender]]="Male"),"Mached","Not mached")</f>
        <v>Not mached</v>
      </c>
    </row>
    <row r="2622" spans="4:16" x14ac:dyDescent="0.25">
      <c r="D2622" s="6" t="s">
        <v>34</v>
      </c>
      <c r="E2622">
        <v>2015</v>
      </c>
      <c r="F2622" s="6" t="s">
        <v>35</v>
      </c>
      <c r="G2622">
        <v>3</v>
      </c>
      <c r="H2622">
        <v>30</v>
      </c>
      <c r="I2622" s="6" t="s">
        <v>36</v>
      </c>
      <c r="J2622" s="6" t="s">
        <v>37</v>
      </c>
      <c r="K2622">
        <v>4</v>
      </c>
      <c r="M2622" s="1" t="b">
        <f>Employee__2[[#This Row],[Experience]]&gt;1</f>
        <v>1</v>
      </c>
      <c r="N2622" s="1" t="str">
        <f>IF(Employee__2[[#This Row],[City]]="Pune","Yes","No")</f>
        <v>No</v>
      </c>
      <c r="O2622" s="1" t="str">
        <f>IF(AND(Employee__2[[#This Row],[Education]]="Bachelors",Employee__2[[#This Row],[City]]="Pune"),"Yes","No")</f>
        <v>No</v>
      </c>
      <c r="P2622" s="1" t="str">
        <f>IF(OR(Employee__2[[#This Row],[Age]]&gt;=30,Employee__2[[#This Row],[Gender]]="Male"),"Mached","Not mached")</f>
        <v>Mached</v>
      </c>
    </row>
    <row r="2623" spans="4:16" x14ac:dyDescent="0.25">
      <c r="D2623" s="6" t="s">
        <v>41</v>
      </c>
      <c r="E2623">
        <v>2012</v>
      </c>
      <c r="F2623" s="6" t="s">
        <v>40</v>
      </c>
      <c r="G2623">
        <v>3</v>
      </c>
      <c r="H2623">
        <v>27</v>
      </c>
      <c r="I2623" s="6" t="s">
        <v>36</v>
      </c>
      <c r="J2623" s="6" t="s">
        <v>37</v>
      </c>
      <c r="K2623">
        <v>5</v>
      </c>
      <c r="M2623" s="1" t="b">
        <f>Employee__2[[#This Row],[Experience]]&gt;1</f>
        <v>1</v>
      </c>
      <c r="N2623" s="1" t="str">
        <f>IF(Employee__2[[#This Row],[City]]="Pune","Yes","No")</f>
        <v>No</v>
      </c>
      <c r="O2623" s="1" t="str">
        <f>IF(AND(Employee__2[[#This Row],[Education]]="Bachelors",Employee__2[[#This Row],[City]]="Pune"),"Yes","No")</f>
        <v>No</v>
      </c>
      <c r="P2623" s="1" t="str">
        <f>IF(OR(Employee__2[[#This Row],[Age]]&gt;=30,Employee__2[[#This Row],[Gender]]="Male"),"Mached","Not mached")</f>
        <v>Mached</v>
      </c>
    </row>
    <row r="2624" spans="4:16" x14ac:dyDescent="0.25">
      <c r="D2624" s="6" t="s">
        <v>41</v>
      </c>
      <c r="E2624">
        <v>2017</v>
      </c>
      <c r="F2624" s="6" t="s">
        <v>40</v>
      </c>
      <c r="G2624">
        <v>3</v>
      </c>
      <c r="H2624">
        <v>29</v>
      </c>
      <c r="I2624" s="6" t="s">
        <v>39</v>
      </c>
      <c r="J2624" s="6" t="s">
        <v>42</v>
      </c>
      <c r="K2624">
        <v>2</v>
      </c>
      <c r="M2624" s="1" t="b">
        <f>Employee__2[[#This Row],[Experience]]&gt;1</f>
        <v>1</v>
      </c>
      <c r="N2624" s="1" t="str">
        <f>IF(Employee__2[[#This Row],[City]]="Pune","Yes","No")</f>
        <v>No</v>
      </c>
      <c r="O2624" s="1" t="str">
        <f>IF(AND(Employee__2[[#This Row],[Education]]="Bachelors",Employee__2[[#This Row],[City]]="Pune"),"Yes","No")</f>
        <v>No</v>
      </c>
      <c r="P2624" s="1" t="str">
        <f>IF(OR(Employee__2[[#This Row],[Age]]&gt;=30,Employee__2[[#This Row],[Gender]]="Male"),"Mached","Not mached")</f>
        <v>Not mached</v>
      </c>
    </row>
    <row r="2625" spans="4:16" x14ac:dyDescent="0.25">
      <c r="D2625" s="6" t="s">
        <v>34</v>
      </c>
      <c r="E2625">
        <v>2018</v>
      </c>
      <c r="F2625" s="6" t="s">
        <v>40</v>
      </c>
      <c r="G2625">
        <v>3</v>
      </c>
      <c r="H2625">
        <v>29</v>
      </c>
      <c r="I2625" s="6" t="s">
        <v>39</v>
      </c>
      <c r="J2625" s="6" t="s">
        <v>37</v>
      </c>
      <c r="K2625">
        <v>2</v>
      </c>
      <c r="M2625" s="1" t="b">
        <f>Employee__2[[#This Row],[Experience]]&gt;1</f>
        <v>1</v>
      </c>
      <c r="N2625" s="1" t="str">
        <f>IF(Employee__2[[#This Row],[City]]="Pune","Yes","No")</f>
        <v>No</v>
      </c>
      <c r="O2625" s="1" t="str">
        <f>IF(AND(Employee__2[[#This Row],[Education]]="Bachelors",Employee__2[[#This Row],[City]]="Pune"),"Yes","No")</f>
        <v>No</v>
      </c>
      <c r="P2625" s="1" t="str">
        <f>IF(OR(Employee__2[[#This Row],[Age]]&gt;=30,Employee__2[[#This Row],[Gender]]="Male"),"Mached","Not mached")</f>
        <v>Not mached</v>
      </c>
    </row>
    <row r="2626" spans="4:16" x14ac:dyDescent="0.25">
      <c r="D2626" s="6" t="s">
        <v>34</v>
      </c>
      <c r="E2626">
        <v>2018</v>
      </c>
      <c r="F2626" s="6" t="s">
        <v>35</v>
      </c>
      <c r="G2626">
        <v>3</v>
      </c>
      <c r="H2626">
        <v>29</v>
      </c>
      <c r="I2626" s="6" t="s">
        <v>36</v>
      </c>
      <c r="J2626" s="6" t="s">
        <v>37</v>
      </c>
      <c r="K2626">
        <v>0</v>
      </c>
      <c r="M2626" s="1" t="b">
        <f>Employee__2[[#This Row],[Experience]]&gt;1</f>
        <v>0</v>
      </c>
      <c r="N2626" s="1" t="str">
        <f>IF(Employee__2[[#This Row],[City]]="Pune","Yes","No")</f>
        <v>No</v>
      </c>
      <c r="O2626" s="1" t="str">
        <f>IF(AND(Employee__2[[#This Row],[Education]]="Bachelors",Employee__2[[#This Row],[City]]="Pune"),"Yes","No")</f>
        <v>No</v>
      </c>
      <c r="P2626" s="1" t="str">
        <f>IF(OR(Employee__2[[#This Row],[Age]]&gt;=30,Employee__2[[#This Row],[Gender]]="Male"),"Mached","Not mached")</f>
        <v>Mached</v>
      </c>
    </row>
    <row r="2627" spans="4:16" x14ac:dyDescent="0.25">
      <c r="D2627" s="6" t="s">
        <v>34</v>
      </c>
      <c r="E2627">
        <v>2012</v>
      </c>
      <c r="F2627" s="6" t="s">
        <v>35</v>
      </c>
      <c r="G2627">
        <v>3</v>
      </c>
      <c r="H2627">
        <v>28</v>
      </c>
      <c r="I2627" s="6" t="s">
        <v>39</v>
      </c>
      <c r="J2627" s="6" t="s">
        <v>37</v>
      </c>
      <c r="K2627">
        <v>0</v>
      </c>
      <c r="M2627" s="1" t="b">
        <f>Employee__2[[#This Row],[Experience]]&gt;1</f>
        <v>0</v>
      </c>
      <c r="N2627" s="1" t="str">
        <f>IF(Employee__2[[#This Row],[City]]="Pune","Yes","No")</f>
        <v>No</v>
      </c>
      <c r="O2627" s="1" t="str">
        <f>IF(AND(Employee__2[[#This Row],[Education]]="Bachelors",Employee__2[[#This Row],[City]]="Pune"),"Yes","No")</f>
        <v>No</v>
      </c>
      <c r="P2627" s="1" t="str">
        <f>IF(OR(Employee__2[[#This Row],[Age]]&gt;=30,Employee__2[[#This Row],[Gender]]="Male"),"Mached","Not mached")</f>
        <v>Not mached</v>
      </c>
    </row>
    <row r="2628" spans="4:16" x14ac:dyDescent="0.25">
      <c r="D2628" s="6" t="s">
        <v>34</v>
      </c>
      <c r="E2628">
        <v>2015</v>
      </c>
      <c r="F2628" s="6" t="s">
        <v>38</v>
      </c>
      <c r="G2628">
        <v>2</v>
      </c>
      <c r="H2628">
        <v>28</v>
      </c>
      <c r="I2628" s="6" t="s">
        <v>39</v>
      </c>
      <c r="J2628" s="6" t="s">
        <v>37</v>
      </c>
      <c r="K2628">
        <v>0</v>
      </c>
      <c r="M2628" s="1" t="b">
        <f>Employee__2[[#This Row],[Experience]]&gt;1</f>
        <v>0</v>
      </c>
      <c r="N2628" s="1" t="str">
        <f>IF(Employee__2[[#This Row],[City]]="Pune","Yes","No")</f>
        <v>Yes</v>
      </c>
      <c r="O2628" s="1" t="str">
        <f>IF(AND(Employee__2[[#This Row],[Education]]="Bachelors",Employee__2[[#This Row],[City]]="Pune"),"Yes","No")</f>
        <v>Yes</v>
      </c>
      <c r="P2628" s="1" t="str">
        <f>IF(OR(Employee__2[[#This Row],[Age]]&gt;=30,Employee__2[[#This Row],[Gender]]="Male"),"Mached","Not mached")</f>
        <v>Not mached</v>
      </c>
    </row>
    <row r="2629" spans="4:16" x14ac:dyDescent="0.25">
      <c r="D2629" s="6" t="s">
        <v>41</v>
      </c>
      <c r="E2629">
        <v>2017</v>
      </c>
      <c r="F2629" s="6" t="s">
        <v>40</v>
      </c>
      <c r="G2629">
        <v>2</v>
      </c>
      <c r="H2629">
        <v>27</v>
      </c>
      <c r="I2629" s="6" t="s">
        <v>39</v>
      </c>
      <c r="J2629" s="6" t="s">
        <v>37</v>
      </c>
      <c r="K2629">
        <v>5</v>
      </c>
      <c r="M2629" s="1" t="b">
        <f>Employee__2[[#This Row],[Experience]]&gt;1</f>
        <v>1</v>
      </c>
      <c r="N2629" s="1" t="str">
        <f>IF(Employee__2[[#This Row],[City]]="Pune","Yes","No")</f>
        <v>No</v>
      </c>
      <c r="O2629" s="1" t="str">
        <f>IF(AND(Employee__2[[#This Row],[Education]]="Bachelors",Employee__2[[#This Row],[City]]="Pune"),"Yes","No")</f>
        <v>No</v>
      </c>
      <c r="P2629" s="1" t="str">
        <f>IF(OR(Employee__2[[#This Row],[Age]]&gt;=30,Employee__2[[#This Row],[Gender]]="Male"),"Mached","Not mached")</f>
        <v>Not mached</v>
      </c>
    </row>
    <row r="2630" spans="4:16" x14ac:dyDescent="0.25">
      <c r="D2630" s="6" t="s">
        <v>34</v>
      </c>
      <c r="E2630">
        <v>2018</v>
      </c>
      <c r="F2630" s="6" t="s">
        <v>38</v>
      </c>
      <c r="G2630">
        <v>3</v>
      </c>
      <c r="H2630">
        <v>28</v>
      </c>
      <c r="I2630" s="6" t="s">
        <v>39</v>
      </c>
      <c r="J2630" s="6" t="s">
        <v>37</v>
      </c>
      <c r="K2630">
        <v>5</v>
      </c>
      <c r="M2630" s="1" t="b">
        <f>Employee__2[[#This Row],[Experience]]&gt;1</f>
        <v>1</v>
      </c>
      <c r="N2630" s="1" t="str">
        <f>IF(Employee__2[[#This Row],[City]]="Pune","Yes","No")</f>
        <v>Yes</v>
      </c>
      <c r="O2630" s="1" t="str">
        <f>IF(AND(Employee__2[[#This Row],[Education]]="Bachelors",Employee__2[[#This Row],[City]]="Pune"),"Yes","No")</f>
        <v>Yes</v>
      </c>
      <c r="P2630" s="1" t="str">
        <f>IF(OR(Employee__2[[#This Row],[Age]]&gt;=30,Employee__2[[#This Row],[Gender]]="Male"),"Mached","Not mached")</f>
        <v>Not mached</v>
      </c>
    </row>
    <row r="2631" spans="4:16" x14ac:dyDescent="0.25">
      <c r="D2631" s="6" t="s">
        <v>34</v>
      </c>
      <c r="E2631">
        <v>2016</v>
      </c>
      <c r="F2631" s="6" t="s">
        <v>38</v>
      </c>
      <c r="G2631">
        <v>3</v>
      </c>
      <c r="H2631">
        <v>28</v>
      </c>
      <c r="I2631" s="6" t="s">
        <v>36</v>
      </c>
      <c r="J2631" s="6" t="s">
        <v>37</v>
      </c>
      <c r="K2631">
        <v>1</v>
      </c>
      <c r="M2631" s="1" t="b">
        <f>Employee__2[[#This Row],[Experience]]&gt;1</f>
        <v>0</v>
      </c>
      <c r="N2631" s="1" t="str">
        <f>IF(Employee__2[[#This Row],[City]]="Pune","Yes","No")</f>
        <v>Yes</v>
      </c>
      <c r="O2631" s="1" t="str">
        <f>IF(AND(Employee__2[[#This Row],[Education]]="Bachelors",Employee__2[[#This Row],[City]]="Pune"),"Yes","No")</f>
        <v>Yes</v>
      </c>
      <c r="P2631" s="1" t="str">
        <f>IF(OR(Employee__2[[#This Row],[Age]]&gt;=30,Employee__2[[#This Row],[Gender]]="Male"),"Mached","Not mached")</f>
        <v>Mached</v>
      </c>
    </row>
    <row r="2632" spans="4:16" x14ac:dyDescent="0.25">
      <c r="D2632" s="6" t="s">
        <v>34</v>
      </c>
      <c r="E2632">
        <v>2014</v>
      </c>
      <c r="F2632" s="6" t="s">
        <v>35</v>
      </c>
      <c r="G2632">
        <v>1</v>
      </c>
      <c r="H2632">
        <v>26</v>
      </c>
      <c r="I2632" s="6" t="s">
        <v>36</v>
      </c>
      <c r="J2632" s="6" t="s">
        <v>37</v>
      </c>
      <c r="K2632">
        <v>4</v>
      </c>
      <c r="M2632" s="1" t="b">
        <f>Employee__2[[#This Row],[Experience]]&gt;1</f>
        <v>1</v>
      </c>
      <c r="N2632" s="1" t="str">
        <f>IF(Employee__2[[#This Row],[City]]="Pune","Yes","No")</f>
        <v>No</v>
      </c>
      <c r="O2632" s="1" t="str">
        <f>IF(AND(Employee__2[[#This Row],[Education]]="Bachelors",Employee__2[[#This Row],[City]]="Pune"),"Yes","No")</f>
        <v>No</v>
      </c>
      <c r="P2632" s="1" t="str">
        <f>IF(OR(Employee__2[[#This Row],[Age]]&gt;=30,Employee__2[[#This Row],[Gender]]="Male"),"Mached","Not mached")</f>
        <v>Mached</v>
      </c>
    </row>
    <row r="2633" spans="4:16" x14ac:dyDescent="0.25">
      <c r="D2633" s="6" t="s">
        <v>34</v>
      </c>
      <c r="E2633">
        <v>2014</v>
      </c>
      <c r="F2633" s="6" t="s">
        <v>40</v>
      </c>
      <c r="G2633">
        <v>2</v>
      </c>
      <c r="H2633">
        <v>29</v>
      </c>
      <c r="I2633" s="6" t="s">
        <v>39</v>
      </c>
      <c r="J2633" s="6" t="s">
        <v>37</v>
      </c>
      <c r="K2633">
        <v>3</v>
      </c>
      <c r="M2633" s="1" t="b">
        <f>Employee__2[[#This Row],[Experience]]&gt;1</f>
        <v>1</v>
      </c>
      <c r="N2633" s="1" t="str">
        <f>IF(Employee__2[[#This Row],[City]]="Pune","Yes","No")</f>
        <v>No</v>
      </c>
      <c r="O2633" s="1" t="str">
        <f>IF(AND(Employee__2[[#This Row],[Education]]="Bachelors",Employee__2[[#This Row],[City]]="Pune"),"Yes","No")</f>
        <v>No</v>
      </c>
      <c r="P2633" s="1" t="str">
        <f>IF(OR(Employee__2[[#This Row],[Age]]&gt;=30,Employee__2[[#This Row],[Gender]]="Male"),"Mached","Not mached")</f>
        <v>Not mached</v>
      </c>
    </row>
    <row r="2634" spans="4:16" x14ac:dyDescent="0.25">
      <c r="D2634" s="6" t="s">
        <v>41</v>
      </c>
      <c r="E2634">
        <v>2014</v>
      </c>
      <c r="F2634" s="6" t="s">
        <v>38</v>
      </c>
      <c r="G2634">
        <v>3</v>
      </c>
      <c r="H2634">
        <v>26</v>
      </c>
      <c r="I2634" s="6" t="s">
        <v>36</v>
      </c>
      <c r="J2634" s="6" t="s">
        <v>37</v>
      </c>
      <c r="K2634">
        <v>4</v>
      </c>
      <c r="M2634" s="1" t="b">
        <f>Employee__2[[#This Row],[Experience]]&gt;1</f>
        <v>1</v>
      </c>
      <c r="N2634" s="1" t="str">
        <f>IF(Employee__2[[#This Row],[City]]="Pune","Yes","No")</f>
        <v>Yes</v>
      </c>
      <c r="O2634" s="1" t="str">
        <f>IF(AND(Employee__2[[#This Row],[Education]]="Bachelors",Employee__2[[#This Row],[City]]="Pune"),"Yes","No")</f>
        <v>No</v>
      </c>
      <c r="P2634" s="1" t="str">
        <f>IF(OR(Employee__2[[#This Row],[Age]]&gt;=30,Employee__2[[#This Row],[Gender]]="Male"),"Mached","Not mached")</f>
        <v>Mached</v>
      </c>
    </row>
    <row r="2635" spans="4:16" x14ac:dyDescent="0.25">
      <c r="D2635" s="6" t="s">
        <v>34</v>
      </c>
      <c r="E2635">
        <v>2017</v>
      </c>
      <c r="F2635" s="6" t="s">
        <v>38</v>
      </c>
      <c r="G2635">
        <v>3</v>
      </c>
      <c r="H2635">
        <v>27</v>
      </c>
      <c r="I2635" s="6" t="s">
        <v>36</v>
      </c>
      <c r="J2635" s="6" t="s">
        <v>37</v>
      </c>
      <c r="K2635">
        <v>5</v>
      </c>
      <c r="M2635" s="1" t="b">
        <f>Employee__2[[#This Row],[Experience]]&gt;1</f>
        <v>1</v>
      </c>
      <c r="N2635" s="1" t="str">
        <f>IF(Employee__2[[#This Row],[City]]="Pune","Yes","No")</f>
        <v>Yes</v>
      </c>
      <c r="O2635" s="1" t="str">
        <f>IF(AND(Employee__2[[#This Row],[Education]]="Bachelors",Employee__2[[#This Row],[City]]="Pune"),"Yes","No")</f>
        <v>Yes</v>
      </c>
      <c r="P2635" s="1" t="str">
        <f>IF(OR(Employee__2[[#This Row],[Age]]&gt;=30,Employee__2[[#This Row],[Gender]]="Male"),"Mached","Not mached")</f>
        <v>Mached</v>
      </c>
    </row>
    <row r="2636" spans="4:16" x14ac:dyDescent="0.25">
      <c r="D2636" s="6" t="s">
        <v>34</v>
      </c>
      <c r="E2636">
        <v>2013</v>
      </c>
      <c r="F2636" s="6" t="s">
        <v>38</v>
      </c>
      <c r="G2636">
        <v>3</v>
      </c>
      <c r="H2636">
        <v>30</v>
      </c>
      <c r="I2636" s="6" t="s">
        <v>36</v>
      </c>
      <c r="J2636" s="6" t="s">
        <v>37</v>
      </c>
      <c r="K2636">
        <v>4</v>
      </c>
      <c r="M2636" s="1" t="b">
        <f>Employee__2[[#This Row],[Experience]]&gt;1</f>
        <v>1</v>
      </c>
      <c r="N2636" s="1" t="str">
        <f>IF(Employee__2[[#This Row],[City]]="Pune","Yes","No")</f>
        <v>Yes</v>
      </c>
      <c r="O2636" s="1" t="str">
        <f>IF(AND(Employee__2[[#This Row],[Education]]="Bachelors",Employee__2[[#This Row],[City]]="Pune"),"Yes","No")</f>
        <v>Yes</v>
      </c>
      <c r="P2636" s="1" t="str">
        <f>IF(OR(Employee__2[[#This Row],[Age]]&gt;=30,Employee__2[[#This Row],[Gender]]="Male"),"Mached","Not mached")</f>
        <v>Mached</v>
      </c>
    </row>
    <row r="2637" spans="4:16" x14ac:dyDescent="0.25">
      <c r="D2637" s="6" t="s">
        <v>34</v>
      </c>
      <c r="E2637">
        <v>2015</v>
      </c>
      <c r="F2637" s="6" t="s">
        <v>35</v>
      </c>
      <c r="G2637">
        <v>3</v>
      </c>
      <c r="H2637">
        <v>30</v>
      </c>
      <c r="I2637" s="6" t="s">
        <v>36</v>
      </c>
      <c r="J2637" s="6" t="s">
        <v>37</v>
      </c>
      <c r="K2637">
        <v>3</v>
      </c>
      <c r="M2637" s="1" t="b">
        <f>Employee__2[[#This Row],[Experience]]&gt;1</f>
        <v>1</v>
      </c>
      <c r="N2637" s="1" t="str">
        <f>IF(Employee__2[[#This Row],[City]]="Pune","Yes","No")</f>
        <v>No</v>
      </c>
      <c r="O2637" s="1" t="str">
        <f>IF(AND(Employee__2[[#This Row],[Education]]="Bachelors",Employee__2[[#This Row],[City]]="Pune"),"Yes","No")</f>
        <v>No</v>
      </c>
      <c r="P2637" s="1" t="str">
        <f>IF(OR(Employee__2[[#This Row],[Age]]&gt;=30,Employee__2[[#This Row],[Gender]]="Male"),"Mached","Not mached")</f>
        <v>Mached</v>
      </c>
    </row>
    <row r="2638" spans="4:16" x14ac:dyDescent="0.25">
      <c r="D2638" s="6" t="s">
        <v>34</v>
      </c>
      <c r="E2638">
        <v>2012</v>
      </c>
      <c r="F2638" s="6" t="s">
        <v>35</v>
      </c>
      <c r="G2638">
        <v>3</v>
      </c>
      <c r="H2638">
        <v>29</v>
      </c>
      <c r="I2638" s="6" t="s">
        <v>36</v>
      </c>
      <c r="J2638" s="6" t="s">
        <v>37</v>
      </c>
      <c r="K2638">
        <v>2</v>
      </c>
      <c r="M2638" s="1" t="b">
        <f>Employee__2[[#This Row],[Experience]]&gt;1</f>
        <v>1</v>
      </c>
      <c r="N2638" s="1" t="str">
        <f>IF(Employee__2[[#This Row],[City]]="Pune","Yes","No")</f>
        <v>No</v>
      </c>
      <c r="O2638" s="1" t="str">
        <f>IF(AND(Employee__2[[#This Row],[Education]]="Bachelors",Employee__2[[#This Row],[City]]="Pune"),"Yes","No")</f>
        <v>No</v>
      </c>
      <c r="P2638" s="1" t="str">
        <f>IF(OR(Employee__2[[#This Row],[Age]]&gt;=30,Employee__2[[#This Row],[Gender]]="Male"),"Mached","Not mached")</f>
        <v>Mached</v>
      </c>
    </row>
    <row r="2639" spans="4:16" x14ac:dyDescent="0.25">
      <c r="D2639" s="6" t="s">
        <v>34</v>
      </c>
      <c r="E2639">
        <v>2014</v>
      </c>
      <c r="F2639" s="6" t="s">
        <v>38</v>
      </c>
      <c r="G2639">
        <v>3</v>
      </c>
      <c r="H2639">
        <v>26</v>
      </c>
      <c r="I2639" s="6" t="s">
        <v>36</v>
      </c>
      <c r="J2639" s="6" t="s">
        <v>37</v>
      </c>
      <c r="K2639">
        <v>4</v>
      </c>
      <c r="M2639" s="1" t="b">
        <f>Employee__2[[#This Row],[Experience]]&gt;1</f>
        <v>1</v>
      </c>
      <c r="N2639" s="1" t="str">
        <f>IF(Employee__2[[#This Row],[City]]="Pune","Yes","No")</f>
        <v>Yes</v>
      </c>
      <c r="O2639" s="1" t="str">
        <f>IF(AND(Employee__2[[#This Row],[Education]]="Bachelors",Employee__2[[#This Row],[City]]="Pune"),"Yes","No")</f>
        <v>Yes</v>
      </c>
      <c r="P2639" s="1" t="str">
        <f>IF(OR(Employee__2[[#This Row],[Age]]&gt;=30,Employee__2[[#This Row],[Gender]]="Male"),"Mached","Not mached")</f>
        <v>Mached</v>
      </c>
    </row>
    <row r="2640" spans="4:16" x14ac:dyDescent="0.25">
      <c r="D2640" s="6" t="s">
        <v>34</v>
      </c>
      <c r="E2640">
        <v>2013</v>
      </c>
      <c r="F2640" s="6" t="s">
        <v>35</v>
      </c>
      <c r="G2640">
        <v>3</v>
      </c>
      <c r="H2640">
        <v>26</v>
      </c>
      <c r="I2640" s="6" t="s">
        <v>39</v>
      </c>
      <c r="J2640" s="6" t="s">
        <v>37</v>
      </c>
      <c r="K2640">
        <v>4</v>
      </c>
      <c r="M2640" s="1" t="b">
        <f>Employee__2[[#This Row],[Experience]]&gt;1</f>
        <v>1</v>
      </c>
      <c r="N2640" s="1" t="str">
        <f>IF(Employee__2[[#This Row],[City]]="Pune","Yes","No")</f>
        <v>No</v>
      </c>
      <c r="O2640" s="1" t="str">
        <f>IF(AND(Employee__2[[#This Row],[Education]]="Bachelors",Employee__2[[#This Row],[City]]="Pune"),"Yes","No")</f>
        <v>No</v>
      </c>
      <c r="P2640" s="1" t="str">
        <f>IF(OR(Employee__2[[#This Row],[Age]]&gt;=30,Employee__2[[#This Row],[Gender]]="Male"),"Mached","Not mached")</f>
        <v>Not mached</v>
      </c>
    </row>
    <row r="2641" spans="4:16" x14ac:dyDescent="0.25">
      <c r="D2641" s="6" t="s">
        <v>41</v>
      </c>
      <c r="E2641">
        <v>2017</v>
      </c>
      <c r="F2641" s="6" t="s">
        <v>40</v>
      </c>
      <c r="G2641">
        <v>2</v>
      </c>
      <c r="H2641">
        <v>30</v>
      </c>
      <c r="I2641" s="6" t="s">
        <v>39</v>
      </c>
      <c r="J2641" s="6" t="s">
        <v>37</v>
      </c>
      <c r="K2641">
        <v>2</v>
      </c>
      <c r="M2641" s="1" t="b">
        <f>Employee__2[[#This Row],[Experience]]&gt;1</f>
        <v>1</v>
      </c>
      <c r="N2641" s="1" t="str">
        <f>IF(Employee__2[[#This Row],[City]]="Pune","Yes","No")</f>
        <v>No</v>
      </c>
      <c r="O2641" s="1" t="str">
        <f>IF(AND(Employee__2[[#This Row],[Education]]="Bachelors",Employee__2[[#This Row],[City]]="Pune"),"Yes","No")</f>
        <v>No</v>
      </c>
      <c r="P2641" s="1" t="str">
        <f>IF(OR(Employee__2[[#This Row],[Age]]&gt;=30,Employee__2[[#This Row],[Gender]]="Male"),"Mached","Not mached")</f>
        <v>Mached</v>
      </c>
    </row>
    <row r="2642" spans="4:16" x14ac:dyDescent="0.25">
      <c r="D2642" s="6" t="s">
        <v>34</v>
      </c>
      <c r="E2642">
        <v>2012</v>
      </c>
      <c r="F2642" s="6" t="s">
        <v>38</v>
      </c>
      <c r="G2642">
        <v>3</v>
      </c>
      <c r="H2642">
        <v>29</v>
      </c>
      <c r="I2642" s="6" t="s">
        <v>36</v>
      </c>
      <c r="J2642" s="6" t="s">
        <v>37</v>
      </c>
      <c r="K2642">
        <v>0</v>
      </c>
      <c r="M2642" s="1" t="b">
        <f>Employee__2[[#This Row],[Experience]]&gt;1</f>
        <v>0</v>
      </c>
      <c r="N2642" s="1" t="str">
        <f>IF(Employee__2[[#This Row],[City]]="Pune","Yes","No")</f>
        <v>Yes</v>
      </c>
      <c r="O2642" s="1" t="str">
        <f>IF(AND(Employee__2[[#This Row],[Education]]="Bachelors",Employee__2[[#This Row],[City]]="Pune"),"Yes","No")</f>
        <v>Yes</v>
      </c>
      <c r="P2642" s="1" t="str">
        <f>IF(OR(Employee__2[[#This Row],[Age]]&gt;=30,Employee__2[[#This Row],[Gender]]="Male"),"Mached","Not mached")</f>
        <v>Mached</v>
      </c>
    </row>
    <row r="2643" spans="4:16" x14ac:dyDescent="0.25">
      <c r="D2643" s="6" t="s">
        <v>34</v>
      </c>
      <c r="E2643">
        <v>2015</v>
      </c>
      <c r="F2643" s="6" t="s">
        <v>38</v>
      </c>
      <c r="G2643">
        <v>1</v>
      </c>
      <c r="H2643">
        <v>30</v>
      </c>
      <c r="I2643" s="6" t="s">
        <v>39</v>
      </c>
      <c r="J2643" s="6" t="s">
        <v>37</v>
      </c>
      <c r="K2643">
        <v>0</v>
      </c>
      <c r="M2643" s="1" t="b">
        <f>Employee__2[[#This Row],[Experience]]&gt;1</f>
        <v>0</v>
      </c>
      <c r="N2643" s="1" t="str">
        <f>IF(Employee__2[[#This Row],[City]]="Pune","Yes","No")</f>
        <v>Yes</v>
      </c>
      <c r="O2643" s="1" t="str">
        <f>IF(AND(Employee__2[[#This Row],[Education]]="Bachelors",Employee__2[[#This Row],[City]]="Pune"),"Yes","No")</f>
        <v>Yes</v>
      </c>
      <c r="P2643" s="1" t="str">
        <f>IF(OR(Employee__2[[#This Row],[Age]]&gt;=30,Employee__2[[#This Row],[Gender]]="Male"),"Mached","Not mached")</f>
        <v>Mached</v>
      </c>
    </row>
    <row r="2644" spans="4:16" x14ac:dyDescent="0.25">
      <c r="D2644" s="6" t="s">
        <v>34</v>
      </c>
      <c r="E2644">
        <v>2017</v>
      </c>
      <c r="F2644" s="6" t="s">
        <v>35</v>
      </c>
      <c r="G2644">
        <v>3</v>
      </c>
      <c r="H2644">
        <v>28</v>
      </c>
      <c r="I2644" s="6" t="s">
        <v>36</v>
      </c>
      <c r="J2644" s="6" t="s">
        <v>37</v>
      </c>
      <c r="K2644">
        <v>3</v>
      </c>
      <c r="M2644" s="1" t="b">
        <f>Employee__2[[#This Row],[Experience]]&gt;1</f>
        <v>1</v>
      </c>
      <c r="N2644" s="1" t="str">
        <f>IF(Employee__2[[#This Row],[City]]="Pune","Yes","No")</f>
        <v>No</v>
      </c>
      <c r="O2644" s="1" t="str">
        <f>IF(AND(Employee__2[[#This Row],[Education]]="Bachelors",Employee__2[[#This Row],[City]]="Pune"),"Yes","No")</f>
        <v>No</v>
      </c>
      <c r="P2644" s="1" t="str">
        <f>IF(OR(Employee__2[[#This Row],[Age]]&gt;=30,Employee__2[[#This Row],[Gender]]="Male"),"Mached","Not mached")</f>
        <v>Mached</v>
      </c>
    </row>
    <row r="2645" spans="4:16" x14ac:dyDescent="0.25">
      <c r="D2645" s="6" t="s">
        <v>34</v>
      </c>
      <c r="E2645">
        <v>2013</v>
      </c>
      <c r="F2645" s="6" t="s">
        <v>35</v>
      </c>
      <c r="G2645">
        <v>3</v>
      </c>
      <c r="H2645">
        <v>28</v>
      </c>
      <c r="I2645" s="6" t="s">
        <v>36</v>
      </c>
      <c r="J2645" s="6" t="s">
        <v>37</v>
      </c>
      <c r="K2645">
        <v>5</v>
      </c>
      <c r="M2645" s="1" t="b">
        <f>Employee__2[[#This Row],[Experience]]&gt;1</f>
        <v>1</v>
      </c>
      <c r="N2645" s="1" t="str">
        <f>IF(Employee__2[[#This Row],[City]]="Pune","Yes","No")</f>
        <v>No</v>
      </c>
      <c r="O2645" s="1" t="str">
        <f>IF(AND(Employee__2[[#This Row],[Education]]="Bachelors",Employee__2[[#This Row],[City]]="Pune"),"Yes","No")</f>
        <v>No</v>
      </c>
      <c r="P2645" s="1" t="str">
        <f>IF(OR(Employee__2[[#This Row],[Age]]&gt;=30,Employee__2[[#This Row],[Gender]]="Male"),"Mached","Not mached")</f>
        <v>Mached</v>
      </c>
    </row>
    <row r="2646" spans="4:16" x14ac:dyDescent="0.25">
      <c r="D2646" s="6" t="s">
        <v>34</v>
      </c>
      <c r="E2646">
        <v>2017</v>
      </c>
      <c r="F2646" s="6" t="s">
        <v>38</v>
      </c>
      <c r="G2646">
        <v>2</v>
      </c>
      <c r="H2646">
        <v>30</v>
      </c>
      <c r="I2646" s="6" t="s">
        <v>39</v>
      </c>
      <c r="J2646" s="6" t="s">
        <v>37</v>
      </c>
      <c r="K2646">
        <v>4</v>
      </c>
      <c r="M2646" s="1" t="b">
        <f>Employee__2[[#This Row],[Experience]]&gt;1</f>
        <v>1</v>
      </c>
      <c r="N2646" s="1" t="str">
        <f>IF(Employee__2[[#This Row],[City]]="Pune","Yes","No")</f>
        <v>Yes</v>
      </c>
      <c r="O2646" s="1" t="str">
        <f>IF(AND(Employee__2[[#This Row],[Education]]="Bachelors",Employee__2[[#This Row],[City]]="Pune"),"Yes","No")</f>
        <v>Yes</v>
      </c>
      <c r="P2646" s="1" t="str">
        <f>IF(OR(Employee__2[[#This Row],[Age]]&gt;=30,Employee__2[[#This Row],[Gender]]="Male"),"Mached","Not mached")</f>
        <v>Mached</v>
      </c>
    </row>
    <row r="2647" spans="4:16" x14ac:dyDescent="0.25">
      <c r="D2647" s="6" t="s">
        <v>34</v>
      </c>
      <c r="E2647">
        <v>2017</v>
      </c>
      <c r="F2647" s="6" t="s">
        <v>38</v>
      </c>
      <c r="G2647">
        <v>2</v>
      </c>
      <c r="H2647">
        <v>28</v>
      </c>
      <c r="I2647" s="6" t="s">
        <v>36</v>
      </c>
      <c r="J2647" s="6" t="s">
        <v>37</v>
      </c>
      <c r="K2647">
        <v>5</v>
      </c>
      <c r="M2647" s="1" t="b">
        <f>Employee__2[[#This Row],[Experience]]&gt;1</f>
        <v>1</v>
      </c>
      <c r="N2647" s="1" t="str">
        <f>IF(Employee__2[[#This Row],[City]]="Pune","Yes","No")</f>
        <v>Yes</v>
      </c>
      <c r="O2647" s="1" t="str">
        <f>IF(AND(Employee__2[[#This Row],[Education]]="Bachelors",Employee__2[[#This Row],[City]]="Pune"),"Yes","No")</f>
        <v>Yes</v>
      </c>
      <c r="P2647" s="1" t="str">
        <f>IF(OR(Employee__2[[#This Row],[Age]]&gt;=30,Employee__2[[#This Row],[Gender]]="Male"),"Mached","Not mached")</f>
        <v>Mached</v>
      </c>
    </row>
    <row r="2648" spans="4:16" x14ac:dyDescent="0.25">
      <c r="D2648" s="6" t="s">
        <v>34</v>
      </c>
      <c r="E2648">
        <v>2014</v>
      </c>
      <c r="F2648" s="6" t="s">
        <v>40</v>
      </c>
      <c r="G2648">
        <v>3</v>
      </c>
      <c r="H2648">
        <v>27</v>
      </c>
      <c r="I2648" s="6" t="s">
        <v>39</v>
      </c>
      <c r="J2648" s="6" t="s">
        <v>37</v>
      </c>
      <c r="K2648">
        <v>5</v>
      </c>
      <c r="M2648" s="1" t="b">
        <f>Employee__2[[#This Row],[Experience]]&gt;1</f>
        <v>1</v>
      </c>
      <c r="N2648" s="1" t="str">
        <f>IF(Employee__2[[#This Row],[City]]="Pune","Yes","No")</f>
        <v>No</v>
      </c>
      <c r="O2648" s="1" t="str">
        <f>IF(AND(Employee__2[[#This Row],[Education]]="Bachelors",Employee__2[[#This Row],[City]]="Pune"),"Yes","No")</f>
        <v>No</v>
      </c>
      <c r="P2648" s="1" t="str">
        <f>IF(OR(Employee__2[[#This Row],[Age]]&gt;=30,Employee__2[[#This Row],[Gender]]="Male"),"Mached","Not mached")</f>
        <v>Not mached</v>
      </c>
    </row>
    <row r="2649" spans="4:16" x14ac:dyDescent="0.25">
      <c r="D2649" s="6" t="s">
        <v>34</v>
      </c>
      <c r="E2649">
        <v>2012</v>
      </c>
      <c r="F2649" s="6" t="s">
        <v>35</v>
      </c>
      <c r="G2649">
        <v>3</v>
      </c>
      <c r="H2649">
        <v>28</v>
      </c>
      <c r="I2649" s="6" t="s">
        <v>39</v>
      </c>
      <c r="J2649" s="6" t="s">
        <v>37</v>
      </c>
      <c r="K2649">
        <v>2</v>
      </c>
      <c r="M2649" s="1" t="b">
        <f>Employee__2[[#This Row],[Experience]]&gt;1</f>
        <v>1</v>
      </c>
      <c r="N2649" s="1" t="str">
        <f>IF(Employee__2[[#This Row],[City]]="Pune","Yes","No")</f>
        <v>No</v>
      </c>
      <c r="O2649" s="1" t="str">
        <f>IF(AND(Employee__2[[#This Row],[Education]]="Bachelors",Employee__2[[#This Row],[City]]="Pune"),"Yes","No")</f>
        <v>No</v>
      </c>
      <c r="P2649" s="1" t="str">
        <f>IF(OR(Employee__2[[#This Row],[Age]]&gt;=30,Employee__2[[#This Row],[Gender]]="Male"),"Mached","Not mached")</f>
        <v>Not mached</v>
      </c>
    </row>
    <row r="2650" spans="4:16" x14ac:dyDescent="0.25">
      <c r="D2650" s="6" t="s">
        <v>34</v>
      </c>
      <c r="E2650">
        <v>2013</v>
      </c>
      <c r="F2650" s="6" t="s">
        <v>35</v>
      </c>
      <c r="G2650">
        <v>3</v>
      </c>
      <c r="H2650">
        <v>29</v>
      </c>
      <c r="I2650" s="6" t="s">
        <v>39</v>
      </c>
      <c r="J2650" s="6" t="s">
        <v>37</v>
      </c>
      <c r="K2650">
        <v>5</v>
      </c>
      <c r="M2650" s="1" t="b">
        <f>Employee__2[[#This Row],[Experience]]&gt;1</f>
        <v>1</v>
      </c>
      <c r="N2650" s="1" t="str">
        <f>IF(Employee__2[[#This Row],[City]]="Pune","Yes","No")</f>
        <v>No</v>
      </c>
      <c r="O2650" s="1" t="str">
        <f>IF(AND(Employee__2[[#This Row],[Education]]="Bachelors",Employee__2[[#This Row],[City]]="Pune"),"Yes","No")</f>
        <v>No</v>
      </c>
      <c r="P2650" s="1" t="str">
        <f>IF(OR(Employee__2[[#This Row],[Age]]&gt;=30,Employee__2[[#This Row],[Gender]]="Male"),"Mached","Not mached")</f>
        <v>Not mached</v>
      </c>
    </row>
    <row r="2651" spans="4:16" x14ac:dyDescent="0.25">
      <c r="D2651" s="6" t="s">
        <v>34</v>
      </c>
      <c r="E2651">
        <v>2012</v>
      </c>
      <c r="F2651" s="6" t="s">
        <v>35</v>
      </c>
      <c r="G2651">
        <v>3</v>
      </c>
      <c r="H2651">
        <v>27</v>
      </c>
      <c r="I2651" s="6" t="s">
        <v>39</v>
      </c>
      <c r="J2651" s="6" t="s">
        <v>37</v>
      </c>
      <c r="K2651">
        <v>5</v>
      </c>
      <c r="M2651" s="1" t="b">
        <f>Employee__2[[#This Row],[Experience]]&gt;1</f>
        <v>1</v>
      </c>
      <c r="N2651" s="1" t="str">
        <f>IF(Employee__2[[#This Row],[City]]="Pune","Yes","No")</f>
        <v>No</v>
      </c>
      <c r="O2651" s="1" t="str">
        <f>IF(AND(Employee__2[[#This Row],[Education]]="Bachelors",Employee__2[[#This Row],[City]]="Pune"),"Yes","No")</f>
        <v>No</v>
      </c>
      <c r="P2651" s="1" t="str">
        <f>IF(OR(Employee__2[[#This Row],[Age]]&gt;=30,Employee__2[[#This Row],[Gender]]="Male"),"Mached","Not mached")</f>
        <v>Not mached</v>
      </c>
    </row>
    <row r="2652" spans="4:16" x14ac:dyDescent="0.25">
      <c r="D2652" s="6" t="s">
        <v>34</v>
      </c>
      <c r="E2652">
        <v>2017</v>
      </c>
      <c r="F2652" s="6" t="s">
        <v>38</v>
      </c>
      <c r="G2652">
        <v>2</v>
      </c>
      <c r="H2652">
        <v>28</v>
      </c>
      <c r="I2652" s="6" t="s">
        <v>39</v>
      </c>
      <c r="J2652" s="6" t="s">
        <v>37</v>
      </c>
      <c r="K2652">
        <v>3</v>
      </c>
      <c r="M2652" s="1" t="b">
        <f>Employee__2[[#This Row],[Experience]]&gt;1</f>
        <v>1</v>
      </c>
      <c r="N2652" s="1" t="str">
        <f>IF(Employee__2[[#This Row],[City]]="Pune","Yes","No")</f>
        <v>Yes</v>
      </c>
      <c r="O2652" s="1" t="str">
        <f>IF(AND(Employee__2[[#This Row],[Education]]="Bachelors",Employee__2[[#This Row],[City]]="Pune"),"Yes","No")</f>
        <v>Yes</v>
      </c>
      <c r="P2652" s="1" t="str">
        <f>IF(OR(Employee__2[[#This Row],[Age]]&gt;=30,Employee__2[[#This Row],[Gender]]="Male"),"Mached","Not mached")</f>
        <v>Not mached</v>
      </c>
    </row>
    <row r="2653" spans="4:16" x14ac:dyDescent="0.25">
      <c r="D2653" s="6" t="s">
        <v>34</v>
      </c>
      <c r="E2653">
        <v>2015</v>
      </c>
      <c r="F2653" s="6" t="s">
        <v>35</v>
      </c>
      <c r="G2653">
        <v>1</v>
      </c>
      <c r="H2653">
        <v>29</v>
      </c>
      <c r="I2653" s="6" t="s">
        <v>36</v>
      </c>
      <c r="J2653" s="6" t="s">
        <v>37</v>
      </c>
      <c r="K2653">
        <v>4</v>
      </c>
      <c r="M2653" s="1" t="b">
        <f>Employee__2[[#This Row],[Experience]]&gt;1</f>
        <v>1</v>
      </c>
      <c r="N2653" s="1" t="str">
        <f>IF(Employee__2[[#This Row],[City]]="Pune","Yes","No")</f>
        <v>No</v>
      </c>
      <c r="O2653" s="1" t="str">
        <f>IF(AND(Employee__2[[#This Row],[Education]]="Bachelors",Employee__2[[#This Row],[City]]="Pune"),"Yes","No")</f>
        <v>No</v>
      </c>
      <c r="P2653" s="1" t="str">
        <f>IF(OR(Employee__2[[#This Row],[Age]]&gt;=30,Employee__2[[#This Row],[Gender]]="Male"),"Mached","Not mached")</f>
        <v>Mached</v>
      </c>
    </row>
    <row r="2654" spans="4:16" x14ac:dyDescent="0.25">
      <c r="D2654" s="6" t="s">
        <v>34</v>
      </c>
      <c r="E2654">
        <v>2013</v>
      </c>
      <c r="F2654" s="6" t="s">
        <v>35</v>
      </c>
      <c r="G2654">
        <v>2</v>
      </c>
      <c r="H2654">
        <v>30</v>
      </c>
      <c r="I2654" s="6" t="s">
        <v>36</v>
      </c>
      <c r="J2654" s="6" t="s">
        <v>37</v>
      </c>
      <c r="K2654">
        <v>0</v>
      </c>
      <c r="M2654" s="1" t="b">
        <f>Employee__2[[#This Row],[Experience]]&gt;1</f>
        <v>0</v>
      </c>
      <c r="N2654" s="1" t="str">
        <f>IF(Employee__2[[#This Row],[City]]="Pune","Yes","No")</f>
        <v>No</v>
      </c>
      <c r="O2654" s="1" t="str">
        <f>IF(AND(Employee__2[[#This Row],[Education]]="Bachelors",Employee__2[[#This Row],[City]]="Pune"),"Yes","No")</f>
        <v>No</v>
      </c>
      <c r="P2654" s="1" t="str">
        <f>IF(OR(Employee__2[[#This Row],[Age]]&gt;=30,Employee__2[[#This Row],[Gender]]="Male"),"Mached","Not mached")</f>
        <v>Mached</v>
      </c>
    </row>
    <row r="2655" spans="4:16" x14ac:dyDescent="0.25">
      <c r="D2655" s="6" t="s">
        <v>43</v>
      </c>
      <c r="E2655">
        <v>2018</v>
      </c>
      <c r="F2655" s="6" t="s">
        <v>35</v>
      </c>
      <c r="G2655">
        <v>3</v>
      </c>
      <c r="H2655">
        <v>28</v>
      </c>
      <c r="I2655" s="6" t="s">
        <v>36</v>
      </c>
      <c r="J2655" s="6" t="s">
        <v>37</v>
      </c>
      <c r="K2655">
        <v>2</v>
      </c>
      <c r="M2655" s="1" t="b">
        <f>Employee__2[[#This Row],[Experience]]&gt;1</f>
        <v>1</v>
      </c>
      <c r="N2655" s="1" t="str">
        <f>IF(Employee__2[[#This Row],[City]]="Pune","Yes","No")</f>
        <v>No</v>
      </c>
      <c r="O2655" s="1" t="str">
        <f>IF(AND(Employee__2[[#This Row],[Education]]="Bachelors",Employee__2[[#This Row],[City]]="Pune"),"Yes","No")</f>
        <v>No</v>
      </c>
      <c r="P2655" s="1" t="str">
        <f>IF(OR(Employee__2[[#This Row],[Age]]&gt;=30,Employee__2[[#This Row],[Gender]]="Male"),"Mached","Not mached")</f>
        <v>Mached</v>
      </c>
    </row>
    <row r="2656" spans="4:16" x14ac:dyDescent="0.25">
      <c r="D2656" s="6" t="s">
        <v>34</v>
      </c>
      <c r="E2656">
        <v>2015</v>
      </c>
      <c r="F2656" s="6" t="s">
        <v>38</v>
      </c>
      <c r="G2656">
        <v>3</v>
      </c>
      <c r="H2656">
        <v>28</v>
      </c>
      <c r="I2656" s="6" t="s">
        <v>39</v>
      </c>
      <c r="J2656" s="6" t="s">
        <v>37</v>
      </c>
      <c r="K2656">
        <v>3</v>
      </c>
      <c r="M2656" s="1" t="b">
        <f>Employee__2[[#This Row],[Experience]]&gt;1</f>
        <v>1</v>
      </c>
      <c r="N2656" s="1" t="str">
        <f>IF(Employee__2[[#This Row],[City]]="Pune","Yes","No")</f>
        <v>Yes</v>
      </c>
      <c r="O2656" s="1" t="str">
        <f>IF(AND(Employee__2[[#This Row],[Education]]="Bachelors",Employee__2[[#This Row],[City]]="Pune"),"Yes","No")</f>
        <v>Yes</v>
      </c>
      <c r="P2656" s="1" t="str">
        <f>IF(OR(Employee__2[[#This Row],[Age]]&gt;=30,Employee__2[[#This Row],[Gender]]="Male"),"Mached","Not mached")</f>
        <v>Not mached</v>
      </c>
    </row>
    <row r="2657" spans="4:16" x14ac:dyDescent="0.25">
      <c r="D2657" s="6" t="s">
        <v>34</v>
      </c>
      <c r="E2657">
        <v>2015</v>
      </c>
      <c r="F2657" s="6" t="s">
        <v>35</v>
      </c>
      <c r="G2657">
        <v>3</v>
      </c>
      <c r="H2657">
        <v>27</v>
      </c>
      <c r="I2657" s="6" t="s">
        <v>36</v>
      </c>
      <c r="J2657" s="6" t="s">
        <v>37</v>
      </c>
      <c r="K2657">
        <v>5</v>
      </c>
      <c r="M2657" s="1" t="b">
        <f>Employee__2[[#This Row],[Experience]]&gt;1</f>
        <v>1</v>
      </c>
      <c r="N2657" s="1" t="str">
        <f>IF(Employee__2[[#This Row],[City]]="Pune","Yes","No")</f>
        <v>No</v>
      </c>
      <c r="O2657" s="1" t="str">
        <f>IF(AND(Employee__2[[#This Row],[Education]]="Bachelors",Employee__2[[#This Row],[City]]="Pune"),"Yes","No")</f>
        <v>No</v>
      </c>
      <c r="P2657" s="1" t="str">
        <f>IF(OR(Employee__2[[#This Row],[Age]]&gt;=30,Employee__2[[#This Row],[Gender]]="Male"),"Mached","Not mached")</f>
        <v>Mached</v>
      </c>
    </row>
    <row r="2658" spans="4:16" x14ac:dyDescent="0.25">
      <c r="D2658" s="6" t="s">
        <v>34</v>
      </c>
      <c r="E2658">
        <v>2015</v>
      </c>
      <c r="F2658" s="6" t="s">
        <v>35</v>
      </c>
      <c r="G2658">
        <v>3</v>
      </c>
      <c r="H2658">
        <v>30</v>
      </c>
      <c r="I2658" s="6" t="s">
        <v>39</v>
      </c>
      <c r="J2658" s="6" t="s">
        <v>37</v>
      </c>
      <c r="K2658">
        <v>3</v>
      </c>
      <c r="M2658" s="1" t="b">
        <f>Employee__2[[#This Row],[Experience]]&gt;1</f>
        <v>1</v>
      </c>
      <c r="N2658" s="1" t="str">
        <f>IF(Employee__2[[#This Row],[City]]="Pune","Yes","No")</f>
        <v>No</v>
      </c>
      <c r="O2658" s="1" t="str">
        <f>IF(AND(Employee__2[[#This Row],[Education]]="Bachelors",Employee__2[[#This Row],[City]]="Pune"),"Yes","No")</f>
        <v>No</v>
      </c>
      <c r="P2658" s="1" t="str">
        <f>IF(OR(Employee__2[[#This Row],[Age]]&gt;=30,Employee__2[[#This Row],[Gender]]="Male"),"Mached","Not mached")</f>
        <v>Mached</v>
      </c>
    </row>
    <row r="2659" spans="4:16" x14ac:dyDescent="0.25">
      <c r="D2659" s="6" t="s">
        <v>34</v>
      </c>
      <c r="E2659">
        <v>2012</v>
      </c>
      <c r="F2659" s="6" t="s">
        <v>35</v>
      </c>
      <c r="G2659">
        <v>3</v>
      </c>
      <c r="H2659">
        <v>29</v>
      </c>
      <c r="I2659" s="6" t="s">
        <v>36</v>
      </c>
      <c r="J2659" s="6" t="s">
        <v>37</v>
      </c>
      <c r="K2659">
        <v>5</v>
      </c>
      <c r="M2659" s="1" t="b">
        <f>Employee__2[[#This Row],[Experience]]&gt;1</f>
        <v>1</v>
      </c>
      <c r="N2659" s="1" t="str">
        <f>IF(Employee__2[[#This Row],[City]]="Pune","Yes","No")</f>
        <v>No</v>
      </c>
      <c r="O2659" s="1" t="str">
        <f>IF(AND(Employee__2[[#This Row],[Education]]="Bachelors",Employee__2[[#This Row],[City]]="Pune"),"Yes","No")</f>
        <v>No</v>
      </c>
      <c r="P2659" s="1" t="str">
        <f>IF(OR(Employee__2[[#This Row],[Age]]&gt;=30,Employee__2[[#This Row],[Gender]]="Male"),"Mached","Not mached")</f>
        <v>Mached</v>
      </c>
    </row>
    <row r="2660" spans="4:16" x14ac:dyDescent="0.25">
      <c r="D2660" s="6" t="s">
        <v>34</v>
      </c>
      <c r="E2660">
        <v>2012</v>
      </c>
      <c r="F2660" s="6" t="s">
        <v>35</v>
      </c>
      <c r="G2660">
        <v>3</v>
      </c>
      <c r="H2660">
        <v>27</v>
      </c>
      <c r="I2660" s="6" t="s">
        <v>39</v>
      </c>
      <c r="J2660" s="6" t="s">
        <v>37</v>
      </c>
      <c r="K2660">
        <v>5</v>
      </c>
      <c r="M2660" s="1" t="b">
        <f>Employee__2[[#This Row],[Experience]]&gt;1</f>
        <v>1</v>
      </c>
      <c r="N2660" s="1" t="str">
        <f>IF(Employee__2[[#This Row],[City]]="Pune","Yes","No")</f>
        <v>No</v>
      </c>
      <c r="O2660" s="1" t="str">
        <f>IF(AND(Employee__2[[#This Row],[Education]]="Bachelors",Employee__2[[#This Row],[City]]="Pune"),"Yes","No")</f>
        <v>No</v>
      </c>
      <c r="P2660" s="1" t="str">
        <f>IF(OR(Employee__2[[#This Row],[Age]]&gt;=30,Employee__2[[#This Row],[Gender]]="Male"),"Mached","Not mached")</f>
        <v>Not mached</v>
      </c>
    </row>
    <row r="2661" spans="4:16" x14ac:dyDescent="0.25">
      <c r="D2661" s="6" t="s">
        <v>34</v>
      </c>
      <c r="E2661">
        <v>2015</v>
      </c>
      <c r="F2661" s="6" t="s">
        <v>35</v>
      </c>
      <c r="G2661">
        <v>3</v>
      </c>
      <c r="H2661">
        <v>26</v>
      </c>
      <c r="I2661" s="6" t="s">
        <v>39</v>
      </c>
      <c r="J2661" s="6" t="s">
        <v>37</v>
      </c>
      <c r="K2661">
        <v>4</v>
      </c>
      <c r="M2661" s="1" t="b">
        <f>Employee__2[[#This Row],[Experience]]&gt;1</f>
        <v>1</v>
      </c>
      <c r="N2661" s="1" t="str">
        <f>IF(Employee__2[[#This Row],[City]]="Pune","Yes","No")</f>
        <v>No</v>
      </c>
      <c r="O2661" s="1" t="str">
        <f>IF(AND(Employee__2[[#This Row],[Education]]="Bachelors",Employee__2[[#This Row],[City]]="Pune"),"Yes","No")</f>
        <v>No</v>
      </c>
      <c r="P2661" s="1" t="str">
        <f>IF(OR(Employee__2[[#This Row],[Age]]&gt;=30,Employee__2[[#This Row],[Gender]]="Male"),"Mached","Not mached")</f>
        <v>Not mached</v>
      </c>
    </row>
    <row r="2662" spans="4:16" x14ac:dyDescent="0.25">
      <c r="D2662" s="6" t="s">
        <v>34</v>
      </c>
      <c r="E2662">
        <v>2016</v>
      </c>
      <c r="F2662" s="6" t="s">
        <v>38</v>
      </c>
      <c r="G2662">
        <v>3</v>
      </c>
      <c r="H2662">
        <v>27</v>
      </c>
      <c r="I2662" s="6" t="s">
        <v>36</v>
      </c>
      <c r="J2662" s="6" t="s">
        <v>37</v>
      </c>
      <c r="K2662">
        <v>5</v>
      </c>
      <c r="M2662" s="1" t="b">
        <f>Employee__2[[#This Row],[Experience]]&gt;1</f>
        <v>1</v>
      </c>
      <c r="N2662" s="1" t="str">
        <f>IF(Employee__2[[#This Row],[City]]="Pune","Yes","No")</f>
        <v>Yes</v>
      </c>
      <c r="O2662" s="1" t="str">
        <f>IF(AND(Employee__2[[#This Row],[Education]]="Bachelors",Employee__2[[#This Row],[City]]="Pune"),"Yes","No")</f>
        <v>Yes</v>
      </c>
      <c r="P2662" s="1" t="str">
        <f>IF(OR(Employee__2[[#This Row],[Age]]&gt;=30,Employee__2[[#This Row],[Gender]]="Male"),"Mached","Not mached")</f>
        <v>Mached</v>
      </c>
    </row>
    <row r="2663" spans="4:16" x14ac:dyDescent="0.25">
      <c r="D2663" s="6" t="s">
        <v>34</v>
      </c>
      <c r="E2663">
        <v>2013</v>
      </c>
      <c r="F2663" s="6" t="s">
        <v>35</v>
      </c>
      <c r="G2663">
        <v>3</v>
      </c>
      <c r="H2663">
        <v>27</v>
      </c>
      <c r="I2663" s="6" t="s">
        <v>39</v>
      </c>
      <c r="J2663" s="6" t="s">
        <v>37</v>
      </c>
      <c r="K2663">
        <v>5</v>
      </c>
      <c r="M2663" s="1" t="b">
        <f>Employee__2[[#This Row],[Experience]]&gt;1</f>
        <v>1</v>
      </c>
      <c r="N2663" s="1" t="str">
        <f>IF(Employee__2[[#This Row],[City]]="Pune","Yes","No")</f>
        <v>No</v>
      </c>
      <c r="O2663" s="1" t="str">
        <f>IF(AND(Employee__2[[#This Row],[Education]]="Bachelors",Employee__2[[#This Row],[City]]="Pune"),"Yes","No")</f>
        <v>No</v>
      </c>
      <c r="P2663" s="1" t="str">
        <f>IF(OR(Employee__2[[#This Row],[Age]]&gt;=30,Employee__2[[#This Row],[Gender]]="Male"),"Mached","Not mached")</f>
        <v>Not mached</v>
      </c>
    </row>
    <row r="2664" spans="4:16" x14ac:dyDescent="0.25">
      <c r="D2664" s="6" t="s">
        <v>34</v>
      </c>
      <c r="E2664">
        <v>2013</v>
      </c>
      <c r="F2664" s="6" t="s">
        <v>38</v>
      </c>
      <c r="G2664">
        <v>3</v>
      </c>
      <c r="H2664">
        <v>28</v>
      </c>
      <c r="I2664" s="6" t="s">
        <v>36</v>
      </c>
      <c r="J2664" s="6" t="s">
        <v>37</v>
      </c>
      <c r="K2664">
        <v>0</v>
      </c>
      <c r="M2664" s="1" t="b">
        <f>Employee__2[[#This Row],[Experience]]&gt;1</f>
        <v>0</v>
      </c>
      <c r="N2664" s="1" t="str">
        <f>IF(Employee__2[[#This Row],[City]]="Pune","Yes","No")</f>
        <v>Yes</v>
      </c>
      <c r="O2664" s="1" t="str">
        <f>IF(AND(Employee__2[[#This Row],[Education]]="Bachelors",Employee__2[[#This Row],[City]]="Pune"),"Yes","No")</f>
        <v>Yes</v>
      </c>
      <c r="P2664" s="1" t="str">
        <f>IF(OR(Employee__2[[#This Row],[Age]]&gt;=30,Employee__2[[#This Row],[Gender]]="Male"),"Mached","Not mached")</f>
        <v>Mached</v>
      </c>
    </row>
    <row r="2665" spans="4:16" x14ac:dyDescent="0.25">
      <c r="D2665" s="6" t="s">
        <v>34</v>
      </c>
      <c r="E2665">
        <v>2014</v>
      </c>
      <c r="F2665" s="6" t="s">
        <v>38</v>
      </c>
      <c r="G2665">
        <v>3</v>
      </c>
      <c r="H2665">
        <v>29</v>
      </c>
      <c r="I2665" s="6" t="s">
        <v>36</v>
      </c>
      <c r="J2665" s="6" t="s">
        <v>37</v>
      </c>
      <c r="K2665">
        <v>1</v>
      </c>
      <c r="M2665" s="1" t="b">
        <f>Employee__2[[#This Row],[Experience]]&gt;1</f>
        <v>0</v>
      </c>
      <c r="N2665" s="1" t="str">
        <f>IF(Employee__2[[#This Row],[City]]="Pune","Yes","No")</f>
        <v>Yes</v>
      </c>
      <c r="O2665" s="1" t="str">
        <f>IF(AND(Employee__2[[#This Row],[Education]]="Bachelors",Employee__2[[#This Row],[City]]="Pune"),"Yes","No")</f>
        <v>Yes</v>
      </c>
      <c r="P2665" s="1" t="str">
        <f>IF(OR(Employee__2[[#This Row],[Age]]&gt;=30,Employee__2[[#This Row],[Gender]]="Male"),"Mached","Not mached")</f>
        <v>Mached</v>
      </c>
    </row>
    <row r="2666" spans="4:16" x14ac:dyDescent="0.25">
      <c r="D2666" s="6" t="s">
        <v>34</v>
      </c>
      <c r="E2666">
        <v>2017</v>
      </c>
      <c r="F2666" s="6" t="s">
        <v>40</v>
      </c>
      <c r="G2666">
        <v>2</v>
      </c>
      <c r="H2666">
        <v>27</v>
      </c>
      <c r="I2666" s="6" t="s">
        <v>36</v>
      </c>
      <c r="J2666" s="6" t="s">
        <v>37</v>
      </c>
      <c r="K2666">
        <v>5</v>
      </c>
      <c r="M2666" s="1" t="b">
        <f>Employee__2[[#This Row],[Experience]]&gt;1</f>
        <v>1</v>
      </c>
      <c r="N2666" s="1" t="str">
        <f>IF(Employee__2[[#This Row],[City]]="Pune","Yes","No")</f>
        <v>No</v>
      </c>
      <c r="O2666" s="1" t="str">
        <f>IF(AND(Employee__2[[#This Row],[Education]]="Bachelors",Employee__2[[#This Row],[City]]="Pune"),"Yes","No")</f>
        <v>No</v>
      </c>
      <c r="P2666" s="1" t="str">
        <f>IF(OR(Employee__2[[#This Row],[Age]]&gt;=30,Employee__2[[#This Row],[Gender]]="Male"),"Mached","Not mached")</f>
        <v>Mached</v>
      </c>
    </row>
    <row r="2667" spans="4:16" x14ac:dyDescent="0.25">
      <c r="D2667" s="6" t="s">
        <v>34</v>
      </c>
      <c r="E2667">
        <v>2013</v>
      </c>
      <c r="F2667" s="6" t="s">
        <v>40</v>
      </c>
      <c r="G2667">
        <v>3</v>
      </c>
      <c r="H2667">
        <v>27</v>
      </c>
      <c r="I2667" s="6" t="s">
        <v>39</v>
      </c>
      <c r="J2667" s="6" t="s">
        <v>37</v>
      </c>
      <c r="K2667">
        <v>5</v>
      </c>
      <c r="M2667" s="1" t="b">
        <f>Employee__2[[#This Row],[Experience]]&gt;1</f>
        <v>1</v>
      </c>
      <c r="N2667" s="1" t="str">
        <f>IF(Employee__2[[#This Row],[City]]="Pune","Yes","No")</f>
        <v>No</v>
      </c>
      <c r="O2667" s="1" t="str">
        <f>IF(AND(Employee__2[[#This Row],[Education]]="Bachelors",Employee__2[[#This Row],[City]]="Pune"),"Yes","No")</f>
        <v>No</v>
      </c>
      <c r="P2667" s="1" t="str">
        <f>IF(OR(Employee__2[[#This Row],[Age]]&gt;=30,Employee__2[[#This Row],[Gender]]="Male"),"Mached","Not mached")</f>
        <v>Not mached</v>
      </c>
    </row>
    <row r="2668" spans="4:16" x14ac:dyDescent="0.25">
      <c r="D2668" s="6" t="s">
        <v>34</v>
      </c>
      <c r="E2668">
        <v>2017</v>
      </c>
      <c r="F2668" s="6" t="s">
        <v>38</v>
      </c>
      <c r="G2668">
        <v>3</v>
      </c>
      <c r="H2668">
        <v>30</v>
      </c>
      <c r="I2668" s="6" t="s">
        <v>36</v>
      </c>
      <c r="J2668" s="6" t="s">
        <v>37</v>
      </c>
      <c r="K2668">
        <v>5</v>
      </c>
      <c r="M2668" s="1" t="b">
        <f>Employee__2[[#This Row],[Experience]]&gt;1</f>
        <v>1</v>
      </c>
      <c r="N2668" s="1" t="str">
        <f>IF(Employee__2[[#This Row],[City]]="Pune","Yes","No")</f>
        <v>Yes</v>
      </c>
      <c r="O2668" s="1" t="str">
        <f>IF(AND(Employee__2[[#This Row],[Education]]="Bachelors",Employee__2[[#This Row],[City]]="Pune"),"Yes","No")</f>
        <v>Yes</v>
      </c>
      <c r="P2668" s="1" t="str">
        <f>IF(OR(Employee__2[[#This Row],[Age]]&gt;=30,Employee__2[[#This Row],[Gender]]="Male"),"Mached","Not mached")</f>
        <v>Mached</v>
      </c>
    </row>
    <row r="2669" spans="4:16" x14ac:dyDescent="0.25">
      <c r="D2669" s="6" t="s">
        <v>34</v>
      </c>
      <c r="E2669">
        <v>2013</v>
      </c>
      <c r="F2669" s="6" t="s">
        <v>38</v>
      </c>
      <c r="G2669">
        <v>3</v>
      </c>
      <c r="H2669">
        <v>27</v>
      </c>
      <c r="I2669" s="6" t="s">
        <v>36</v>
      </c>
      <c r="J2669" s="6" t="s">
        <v>37</v>
      </c>
      <c r="K2669">
        <v>5</v>
      </c>
      <c r="M2669" s="1" t="b">
        <f>Employee__2[[#This Row],[Experience]]&gt;1</f>
        <v>1</v>
      </c>
      <c r="N2669" s="1" t="str">
        <f>IF(Employee__2[[#This Row],[City]]="Pune","Yes","No")</f>
        <v>Yes</v>
      </c>
      <c r="O2669" s="1" t="str">
        <f>IF(AND(Employee__2[[#This Row],[Education]]="Bachelors",Employee__2[[#This Row],[City]]="Pune"),"Yes","No")</f>
        <v>Yes</v>
      </c>
      <c r="P2669" s="1" t="str">
        <f>IF(OR(Employee__2[[#This Row],[Age]]&gt;=30,Employee__2[[#This Row],[Gender]]="Male"),"Mached","Not mached")</f>
        <v>Mached</v>
      </c>
    </row>
    <row r="2670" spans="4:16" x14ac:dyDescent="0.25">
      <c r="D2670" s="6" t="s">
        <v>34</v>
      </c>
      <c r="E2670">
        <v>2012</v>
      </c>
      <c r="F2670" s="6" t="s">
        <v>40</v>
      </c>
      <c r="G2670">
        <v>3</v>
      </c>
      <c r="H2670">
        <v>30</v>
      </c>
      <c r="I2670" s="6" t="s">
        <v>39</v>
      </c>
      <c r="J2670" s="6" t="s">
        <v>42</v>
      </c>
      <c r="K2670">
        <v>3</v>
      </c>
      <c r="M2670" s="1" t="b">
        <f>Employee__2[[#This Row],[Experience]]&gt;1</f>
        <v>1</v>
      </c>
      <c r="N2670" s="1" t="str">
        <f>IF(Employee__2[[#This Row],[City]]="Pune","Yes","No")</f>
        <v>No</v>
      </c>
      <c r="O2670" s="1" t="str">
        <f>IF(AND(Employee__2[[#This Row],[Education]]="Bachelors",Employee__2[[#This Row],[City]]="Pune"),"Yes","No")</f>
        <v>No</v>
      </c>
      <c r="P2670" s="1" t="str">
        <f>IF(OR(Employee__2[[#This Row],[Age]]&gt;=30,Employee__2[[#This Row],[Gender]]="Male"),"Mached","Not mached")</f>
        <v>Mached</v>
      </c>
    </row>
    <row r="2671" spans="4:16" x14ac:dyDescent="0.25">
      <c r="D2671" s="6" t="s">
        <v>34</v>
      </c>
      <c r="E2671">
        <v>2013</v>
      </c>
      <c r="F2671" s="6" t="s">
        <v>38</v>
      </c>
      <c r="G2671">
        <v>2</v>
      </c>
      <c r="H2671">
        <v>30</v>
      </c>
      <c r="I2671" s="6" t="s">
        <v>36</v>
      </c>
      <c r="J2671" s="6" t="s">
        <v>37</v>
      </c>
      <c r="K2671">
        <v>1</v>
      </c>
      <c r="M2671" s="1" t="b">
        <f>Employee__2[[#This Row],[Experience]]&gt;1</f>
        <v>0</v>
      </c>
      <c r="N2671" s="1" t="str">
        <f>IF(Employee__2[[#This Row],[City]]="Pune","Yes","No")</f>
        <v>Yes</v>
      </c>
      <c r="O2671" s="1" t="str">
        <f>IF(AND(Employee__2[[#This Row],[Education]]="Bachelors",Employee__2[[#This Row],[City]]="Pune"),"Yes","No")</f>
        <v>Yes</v>
      </c>
      <c r="P2671" s="1" t="str">
        <f>IF(OR(Employee__2[[#This Row],[Age]]&gt;=30,Employee__2[[#This Row],[Gender]]="Male"),"Mached","Not mached")</f>
        <v>Mached</v>
      </c>
    </row>
    <row r="2672" spans="4:16" x14ac:dyDescent="0.25">
      <c r="D2672" s="6" t="s">
        <v>43</v>
      </c>
      <c r="E2672">
        <v>2015</v>
      </c>
      <c r="F2672" s="6" t="s">
        <v>40</v>
      </c>
      <c r="G2672">
        <v>3</v>
      </c>
      <c r="H2672">
        <v>27</v>
      </c>
      <c r="I2672" s="6" t="s">
        <v>39</v>
      </c>
      <c r="J2672" s="6" t="s">
        <v>37</v>
      </c>
      <c r="K2672">
        <v>5</v>
      </c>
      <c r="M2672" s="1" t="b">
        <f>Employee__2[[#This Row],[Experience]]&gt;1</f>
        <v>1</v>
      </c>
      <c r="N2672" s="1" t="str">
        <f>IF(Employee__2[[#This Row],[City]]="Pune","Yes","No")</f>
        <v>No</v>
      </c>
      <c r="O2672" s="1" t="str">
        <f>IF(AND(Employee__2[[#This Row],[Education]]="Bachelors",Employee__2[[#This Row],[City]]="Pune"),"Yes","No")</f>
        <v>No</v>
      </c>
      <c r="P2672" s="1" t="str">
        <f>IF(OR(Employee__2[[#This Row],[Age]]&gt;=30,Employee__2[[#This Row],[Gender]]="Male"),"Mached","Not mached")</f>
        <v>Not mached</v>
      </c>
    </row>
    <row r="2673" spans="4:16" x14ac:dyDescent="0.25">
      <c r="D2673" s="6" t="s">
        <v>34</v>
      </c>
      <c r="E2673">
        <v>2014</v>
      </c>
      <c r="F2673" s="6" t="s">
        <v>38</v>
      </c>
      <c r="G2673">
        <v>3</v>
      </c>
      <c r="H2673">
        <v>26</v>
      </c>
      <c r="I2673" s="6" t="s">
        <v>36</v>
      </c>
      <c r="J2673" s="6" t="s">
        <v>37</v>
      </c>
      <c r="K2673">
        <v>4</v>
      </c>
      <c r="M2673" s="1" t="b">
        <f>Employee__2[[#This Row],[Experience]]&gt;1</f>
        <v>1</v>
      </c>
      <c r="N2673" s="1" t="str">
        <f>IF(Employee__2[[#This Row],[City]]="Pune","Yes","No")</f>
        <v>Yes</v>
      </c>
      <c r="O2673" s="1" t="str">
        <f>IF(AND(Employee__2[[#This Row],[Education]]="Bachelors",Employee__2[[#This Row],[City]]="Pune"),"Yes","No")</f>
        <v>Yes</v>
      </c>
      <c r="P2673" s="1" t="str">
        <f>IF(OR(Employee__2[[#This Row],[Age]]&gt;=30,Employee__2[[#This Row],[Gender]]="Male"),"Mached","Not mached")</f>
        <v>Mached</v>
      </c>
    </row>
    <row r="2674" spans="4:16" x14ac:dyDescent="0.25">
      <c r="D2674" s="6" t="s">
        <v>34</v>
      </c>
      <c r="E2674">
        <v>2015</v>
      </c>
      <c r="F2674" s="6" t="s">
        <v>38</v>
      </c>
      <c r="G2674">
        <v>2</v>
      </c>
      <c r="H2674">
        <v>27</v>
      </c>
      <c r="I2674" s="6" t="s">
        <v>39</v>
      </c>
      <c r="J2674" s="6" t="s">
        <v>42</v>
      </c>
      <c r="K2674">
        <v>5</v>
      </c>
      <c r="M2674" s="1" t="b">
        <f>Employee__2[[#This Row],[Experience]]&gt;1</f>
        <v>1</v>
      </c>
      <c r="N2674" s="1" t="str">
        <f>IF(Employee__2[[#This Row],[City]]="Pune","Yes","No")</f>
        <v>Yes</v>
      </c>
      <c r="O2674" s="1" t="str">
        <f>IF(AND(Employee__2[[#This Row],[Education]]="Bachelors",Employee__2[[#This Row],[City]]="Pune"),"Yes","No")</f>
        <v>Yes</v>
      </c>
      <c r="P2674" s="1" t="str">
        <f>IF(OR(Employee__2[[#This Row],[Age]]&gt;=30,Employee__2[[#This Row],[Gender]]="Male"),"Mached","Not mached")</f>
        <v>Not mached</v>
      </c>
    </row>
    <row r="2675" spans="4:16" x14ac:dyDescent="0.25">
      <c r="D2675" s="6" t="s">
        <v>41</v>
      </c>
      <c r="E2675">
        <v>2017</v>
      </c>
      <c r="F2675" s="6" t="s">
        <v>40</v>
      </c>
      <c r="G2675">
        <v>2</v>
      </c>
      <c r="H2675">
        <v>29</v>
      </c>
      <c r="I2675" s="6" t="s">
        <v>36</v>
      </c>
      <c r="J2675" s="6" t="s">
        <v>37</v>
      </c>
      <c r="K2675">
        <v>1</v>
      </c>
      <c r="M2675" s="1" t="b">
        <f>Employee__2[[#This Row],[Experience]]&gt;1</f>
        <v>0</v>
      </c>
      <c r="N2675" s="1" t="str">
        <f>IF(Employee__2[[#This Row],[City]]="Pune","Yes","No")</f>
        <v>No</v>
      </c>
      <c r="O2675" s="1" t="str">
        <f>IF(AND(Employee__2[[#This Row],[Education]]="Bachelors",Employee__2[[#This Row],[City]]="Pune"),"Yes","No")</f>
        <v>No</v>
      </c>
      <c r="P2675" s="1" t="str">
        <f>IF(OR(Employee__2[[#This Row],[Age]]&gt;=30,Employee__2[[#This Row],[Gender]]="Male"),"Mached","Not mached")</f>
        <v>Mached</v>
      </c>
    </row>
    <row r="2676" spans="4:16" x14ac:dyDescent="0.25">
      <c r="D2676" s="6" t="s">
        <v>34</v>
      </c>
      <c r="E2676">
        <v>2013</v>
      </c>
      <c r="F2676" s="6" t="s">
        <v>40</v>
      </c>
      <c r="G2676">
        <v>3</v>
      </c>
      <c r="H2676">
        <v>28</v>
      </c>
      <c r="I2676" s="6" t="s">
        <v>39</v>
      </c>
      <c r="J2676" s="6" t="s">
        <v>37</v>
      </c>
      <c r="K2676">
        <v>3</v>
      </c>
      <c r="M2676" s="1" t="b">
        <f>Employee__2[[#This Row],[Experience]]&gt;1</f>
        <v>1</v>
      </c>
      <c r="N2676" s="1" t="str">
        <f>IF(Employee__2[[#This Row],[City]]="Pune","Yes","No")</f>
        <v>No</v>
      </c>
      <c r="O2676" s="1" t="str">
        <f>IF(AND(Employee__2[[#This Row],[Education]]="Bachelors",Employee__2[[#This Row],[City]]="Pune"),"Yes","No")</f>
        <v>No</v>
      </c>
      <c r="P2676" s="1" t="str">
        <f>IF(OR(Employee__2[[#This Row],[Age]]&gt;=30,Employee__2[[#This Row],[Gender]]="Male"),"Mached","Not mached")</f>
        <v>Not mached</v>
      </c>
    </row>
    <row r="2677" spans="4:16" x14ac:dyDescent="0.25">
      <c r="D2677" s="6" t="s">
        <v>41</v>
      </c>
      <c r="E2677">
        <v>2012</v>
      </c>
      <c r="F2677" s="6" t="s">
        <v>38</v>
      </c>
      <c r="G2677">
        <v>3</v>
      </c>
      <c r="H2677">
        <v>29</v>
      </c>
      <c r="I2677" s="6" t="s">
        <v>36</v>
      </c>
      <c r="J2677" s="6" t="s">
        <v>37</v>
      </c>
      <c r="K2677">
        <v>4</v>
      </c>
      <c r="M2677" s="1" t="b">
        <f>Employee__2[[#This Row],[Experience]]&gt;1</f>
        <v>1</v>
      </c>
      <c r="N2677" s="1" t="str">
        <f>IF(Employee__2[[#This Row],[City]]="Pune","Yes","No")</f>
        <v>Yes</v>
      </c>
      <c r="O2677" s="1" t="str">
        <f>IF(AND(Employee__2[[#This Row],[Education]]="Bachelors",Employee__2[[#This Row],[City]]="Pune"),"Yes","No")</f>
        <v>No</v>
      </c>
      <c r="P2677" s="1" t="str">
        <f>IF(OR(Employee__2[[#This Row],[Age]]&gt;=30,Employee__2[[#This Row],[Gender]]="Male"),"Mached","Not mached")</f>
        <v>Mached</v>
      </c>
    </row>
    <row r="2678" spans="4:16" x14ac:dyDescent="0.25">
      <c r="D2678" s="6" t="s">
        <v>34</v>
      </c>
      <c r="E2678">
        <v>2014</v>
      </c>
      <c r="F2678" s="6" t="s">
        <v>40</v>
      </c>
      <c r="G2678">
        <v>3</v>
      </c>
      <c r="H2678">
        <v>28</v>
      </c>
      <c r="I2678" s="6" t="s">
        <v>39</v>
      </c>
      <c r="J2678" s="6" t="s">
        <v>37</v>
      </c>
      <c r="K2678">
        <v>3</v>
      </c>
      <c r="M2678" s="1" t="b">
        <f>Employee__2[[#This Row],[Experience]]&gt;1</f>
        <v>1</v>
      </c>
      <c r="N2678" s="1" t="str">
        <f>IF(Employee__2[[#This Row],[City]]="Pune","Yes","No")</f>
        <v>No</v>
      </c>
      <c r="O2678" s="1" t="str">
        <f>IF(AND(Employee__2[[#This Row],[Education]]="Bachelors",Employee__2[[#This Row],[City]]="Pune"),"Yes","No")</f>
        <v>No</v>
      </c>
      <c r="P2678" s="1" t="str">
        <f>IF(OR(Employee__2[[#This Row],[Age]]&gt;=30,Employee__2[[#This Row],[Gender]]="Male"),"Mached","Not mached")</f>
        <v>Not mached</v>
      </c>
    </row>
    <row r="2679" spans="4:16" x14ac:dyDescent="0.25">
      <c r="D2679" s="6" t="s">
        <v>34</v>
      </c>
      <c r="E2679">
        <v>2018</v>
      </c>
      <c r="F2679" s="6" t="s">
        <v>35</v>
      </c>
      <c r="G2679">
        <v>3</v>
      </c>
      <c r="H2679">
        <v>27</v>
      </c>
      <c r="I2679" s="6" t="s">
        <v>36</v>
      </c>
      <c r="J2679" s="6" t="s">
        <v>42</v>
      </c>
      <c r="K2679">
        <v>5</v>
      </c>
      <c r="M2679" s="1" t="b">
        <f>Employee__2[[#This Row],[Experience]]&gt;1</f>
        <v>1</v>
      </c>
      <c r="N2679" s="1" t="str">
        <f>IF(Employee__2[[#This Row],[City]]="Pune","Yes","No")</f>
        <v>No</v>
      </c>
      <c r="O2679" s="1" t="str">
        <f>IF(AND(Employee__2[[#This Row],[Education]]="Bachelors",Employee__2[[#This Row],[City]]="Pune"),"Yes","No")</f>
        <v>No</v>
      </c>
      <c r="P2679" s="1" t="str">
        <f>IF(OR(Employee__2[[#This Row],[Age]]&gt;=30,Employee__2[[#This Row],[Gender]]="Male"),"Mached","Not mached")</f>
        <v>Mached</v>
      </c>
    </row>
    <row r="2680" spans="4:16" x14ac:dyDescent="0.25">
      <c r="D2680" s="6" t="s">
        <v>34</v>
      </c>
      <c r="E2680">
        <v>2012</v>
      </c>
      <c r="F2680" s="6" t="s">
        <v>35</v>
      </c>
      <c r="G2680">
        <v>3</v>
      </c>
      <c r="H2680">
        <v>29</v>
      </c>
      <c r="I2680" s="6" t="s">
        <v>36</v>
      </c>
      <c r="J2680" s="6" t="s">
        <v>37</v>
      </c>
      <c r="K2680">
        <v>1</v>
      </c>
      <c r="M2680" s="1" t="b">
        <f>Employee__2[[#This Row],[Experience]]&gt;1</f>
        <v>0</v>
      </c>
      <c r="N2680" s="1" t="str">
        <f>IF(Employee__2[[#This Row],[City]]="Pune","Yes","No")</f>
        <v>No</v>
      </c>
      <c r="O2680" s="1" t="str">
        <f>IF(AND(Employee__2[[#This Row],[Education]]="Bachelors",Employee__2[[#This Row],[City]]="Pune"),"Yes","No")</f>
        <v>No</v>
      </c>
      <c r="P2680" s="1" t="str">
        <f>IF(OR(Employee__2[[#This Row],[Age]]&gt;=30,Employee__2[[#This Row],[Gender]]="Male"),"Mached","Not mached")</f>
        <v>Mached</v>
      </c>
    </row>
    <row r="2681" spans="4:16" x14ac:dyDescent="0.25">
      <c r="D2681" s="6" t="s">
        <v>34</v>
      </c>
      <c r="E2681">
        <v>2017</v>
      </c>
      <c r="F2681" s="6" t="s">
        <v>38</v>
      </c>
      <c r="G2681">
        <v>2</v>
      </c>
      <c r="H2681">
        <v>26</v>
      </c>
      <c r="I2681" s="6" t="s">
        <v>36</v>
      </c>
      <c r="J2681" s="6" t="s">
        <v>37</v>
      </c>
      <c r="K2681">
        <v>4</v>
      </c>
      <c r="M2681" s="1" t="b">
        <f>Employee__2[[#This Row],[Experience]]&gt;1</f>
        <v>1</v>
      </c>
      <c r="N2681" s="1" t="str">
        <f>IF(Employee__2[[#This Row],[City]]="Pune","Yes","No")</f>
        <v>Yes</v>
      </c>
      <c r="O2681" s="1" t="str">
        <f>IF(AND(Employee__2[[#This Row],[Education]]="Bachelors",Employee__2[[#This Row],[City]]="Pune"),"Yes","No")</f>
        <v>Yes</v>
      </c>
      <c r="P2681" s="1" t="str">
        <f>IF(OR(Employee__2[[#This Row],[Age]]&gt;=30,Employee__2[[#This Row],[Gender]]="Male"),"Mached","Not mached")</f>
        <v>Mached</v>
      </c>
    </row>
    <row r="2682" spans="4:16" x14ac:dyDescent="0.25">
      <c r="D2682" s="6" t="s">
        <v>34</v>
      </c>
      <c r="E2682">
        <v>2014</v>
      </c>
      <c r="F2682" s="6" t="s">
        <v>35</v>
      </c>
      <c r="G2682">
        <v>3</v>
      </c>
      <c r="H2682">
        <v>30</v>
      </c>
      <c r="I2682" s="6" t="s">
        <v>36</v>
      </c>
      <c r="J2682" s="6" t="s">
        <v>37</v>
      </c>
      <c r="K2682">
        <v>2</v>
      </c>
      <c r="M2682" s="1" t="b">
        <f>Employee__2[[#This Row],[Experience]]&gt;1</f>
        <v>1</v>
      </c>
      <c r="N2682" s="1" t="str">
        <f>IF(Employee__2[[#This Row],[City]]="Pune","Yes","No")</f>
        <v>No</v>
      </c>
      <c r="O2682" s="1" t="str">
        <f>IF(AND(Employee__2[[#This Row],[Education]]="Bachelors",Employee__2[[#This Row],[City]]="Pune"),"Yes","No")</f>
        <v>No</v>
      </c>
      <c r="P2682" s="1" t="str">
        <f>IF(OR(Employee__2[[#This Row],[Age]]&gt;=30,Employee__2[[#This Row],[Gender]]="Male"),"Mached","Not mached")</f>
        <v>Mached</v>
      </c>
    </row>
    <row r="2683" spans="4:16" x14ac:dyDescent="0.25">
      <c r="D2683" s="6" t="s">
        <v>34</v>
      </c>
      <c r="E2683">
        <v>2014</v>
      </c>
      <c r="F2683" s="6" t="s">
        <v>40</v>
      </c>
      <c r="G2683">
        <v>3</v>
      </c>
      <c r="H2683">
        <v>29</v>
      </c>
      <c r="I2683" s="6" t="s">
        <v>36</v>
      </c>
      <c r="J2683" s="6" t="s">
        <v>37</v>
      </c>
      <c r="K2683">
        <v>4</v>
      </c>
      <c r="M2683" s="1" t="b">
        <f>Employee__2[[#This Row],[Experience]]&gt;1</f>
        <v>1</v>
      </c>
      <c r="N2683" s="1" t="str">
        <f>IF(Employee__2[[#This Row],[City]]="Pune","Yes","No")</f>
        <v>No</v>
      </c>
      <c r="O2683" s="1" t="str">
        <f>IF(AND(Employee__2[[#This Row],[Education]]="Bachelors",Employee__2[[#This Row],[City]]="Pune"),"Yes","No")</f>
        <v>No</v>
      </c>
      <c r="P2683" s="1" t="str">
        <f>IF(OR(Employee__2[[#This Row],[Age]]&gt;=30,Employee__2[[#This Row],[Gender]]="Male"),"Mached","Not mached")</f>
        <v>Mached</v>
      </c>
    </row>
    <row r="2684" spans="4:16" x14ac:dyDescent="0.25">
      <c r="D2684" s="6" t="s">
        <v>34</v>
      </c>
      <c r="E2684">
        <v>2015</v>
      </c>
      <c r="F2684" s="6" t="s">
        <v>38</v>
      </c>
      <c r="G2684">
        <v>2</v>
      </c>
      <c r="H2684">
        <v>26</v>
      </c>
      <c r="I2684" s="6" t="s">
        <v>39</v>
      </c>
      <c r="J2684" s="6" t="s">
        <v>37</v>
      </c>
      <c r="K2684">
        <v>4</v>
      </c>
      <c r="M2684" s="1" t="b">
        <f>Employee__2[[#This Row],[Experience]]&gt;1</f>
        <v>1</v>
      </c>
      <c r="N2684" s="1" t="str">
        <f>IF(Employee__2[[#This Row],[City]]="Pune","Yes","No")</f>
        <v>Yes</v>
      </c>
      <c r="O2684" s="1" t="str">
        <f>IF(AND(Employee__2[[#This Row],[Education]]="Bachelors",Employee__2[[#This Row],[City]]="Pune"),"Yes","No")</f>
        <v>Yes</v>
      </c>
      <c r="P2684" s="1" t="str">
        <f>IF(OR(Employee__2[[#This Row],[Age]]&gt;=30,Employee__2[[#This Row],[Gender]]="Male"),"Mached","Not mached")</f>
        <v>Not mached</v>
      </c>
    </row>
    <row r="2685" spans="4:16" x14ac:dyDescent="0.25">
      <c r="D2685" s="6" t="s">
        <v>34</v>
      </c>
      <c r="E2685">
        <v>2014</v>
      </c>
      <c r="F2685" s="6" t="s">
        <v>35</v>
      </c>
      <c r="G2685">
        <v>3</v>
      </c>
      <c r="H2685">
        <v>27</v>
      </c>
      <c r="I2685" s="6" t="s">
        <v>39</v>
      </c>
      <c r="J2685" s="6" t="s">
        <v>37</v>
      </c>
      <c r="K2685">
        <v>5</v>
      </c>
      <c r="M2685" s="1" t="b">
        <f>Employee__2[[#This Row],[Experience]]&gt;1</f>
        <v>1</v>
      </c>
      <c r="N2685" s="1" t="str">
        <f>IF(Employee__2[[#This Row],[City]]="Pune","Yes","No")</f>
        <v>No</v>
      </c>
      <c r="O2685" s="1" t="str">
        <f>IF(AND(Employee__2[[#This Row],[Education]]="Bachelors",Employee__2[[#This Row],[City]]="Pune"),"Yes","No")</f>
        <v>No</v>
      </c>
      <c r="P2685" s="1" t="str">
        <f>IF(OR(Employee__2[[#This Row],[Age]]&gt;=30,Employee__2[[#This Row],[Gender]]="Male"),"Mached","Not mached")</f>
        <v>Not mached</v>
      </c>
    </row>
    <row r="2686" spans="4:16" x14ac:dyDescent="0.25">
      <c r="D2686" s="6" t="s">
        <v>41</v>
      </c>
      <c r="E2686">
        <v>2013</v>
      </c>
      <c r="F2686" s="6" t="s">
        <v>40</v>
      </c>
      <c r="G2686">
        <v>2</v>
      </c>
      <c r="H2686">
        <v>26</v>
      </c>
      <c r="I2686" s="6" t="s">
        <v>36</v>
      </c>
      <c r="J2686" s="6" t="s">
        <v>37</v>
      </c>
      <c r="K2686">
        <v>4</v>
      </c>
      <c r="M2686" s="1" t="b">
        <f>Employee__2[[#This Row],[Experience]]&gt;1</f>
        <v>1</v>
      </c>
      <c r="N2686" s="1" t="str">
        <f>IF(Employee__2[[#This Row],[City]]="Pune","Yes","No")</f>
        <v>No</v>
      </c>
      <c r="O2686" s="1" t="str">
        <f>IF(AND(Employee__2[[#This Row],[Education]]="Bachelors",Employee__2[[#This Row],[City]]="Pune"),"Yes","No")</f>
        <v>No</v>
      </c>
      <c r="P2686" s="1" t="str">
        <f>IF(OR(Employee__2[[#This Row],[Age]]&gt;=30,Employee__2[[#This Row],[Gender]]="Male"),"Mached","Not mached")</f>
        <v>Mached</v>
      </c>
    </row>
    <row r="2687" spans="4:16" x14ac:dyDescent="0.25">
      <c r="D2687" s="6" t="s">
        <v>34</v>
      </c>
      <c r="E2687">
        <v>2013</v>
      </c>
      <c r="F2687" s="6" t="s">
        <v>40</v>
      </c>
      <c r="G2687">
        <v>3</v>
      </c>
      <c r="H2687">
        <v>29</v>
      </c>
      <c r="I2687" s="6" t="s">
        <v>39</v>
      </c>
      <c r="J2687" s="6" t="s">
        <v>37</v>
      </c>
      <c r="K2687">
        <v>2</v>
      </c>
      <c r="M2687" s="1" t="b">
        <f>Employee__2[[#This Row],[Experience]]&gt;1</f>
        <v>1</v>
      </c>
      <c r="N2687" s="1" t="str">
        <f>IF(Employee__2[[#This Row],[City]]="Pune","Yes","No")</f>
        <v>No</v>
      </c>
      <c r="O2687" s="1" t="str">
        <f>IF(AND(Employee__2[[#This Row],[Education]]="Bachelors",Employee__2[[#This Row],[City]]="Pune"),"Yes","No")</f>
        <v>No</v>
      </c>
      <c r="P2687" s="1" t="str">
        <f>IF(OR(Employee__2[[#This Row],[Age]]&gt;=30,Employee__2[[#This Row],[Gender]]="Male"),"Mached","Not mached")</f>
        <v>Not mached</v>
      </c>
    </row>
    <row r="2688" spans="4:16" x14ac:dyDescent="0.25">
      <c r="D2688" s="6" t="s">
        <v>34</v>
      </c>
      <c r="E2688">
        <v>2016</v>
      </c>
      <c r="F2688" s="6" t="s">
        <v>35</v>
      </c>
      <c r="G2688">
        <v>2</v>
      </c>
      <c r="H2688">
        <v>30</v>
      </c>
      <c r="I2688" s="6" t="s">
        <v>39</v>
      </c>
      <c r="J2688" s="6" t="s">
        <v>37</v>
      </c>
      <c r="K2688">
        <v>4</v>
      </c>
      <c r="M2688" s="1" t="b">
        <f>Employee__2[[#This Row],[Experience]]&gt;1</f>
        <v>1</v>
      </c>
      <c r="N2688" s="1" t="str">
        <f>IF(Employee__2[[#This Row],[City]]="Pune","Yes","No")</f>
        <v>No</v>
      </c>
      <c r="O2688" s="1" t="str">
        <f>IF(AND(Employee__2[[#This Row],[Education]]="Bachelors",Employee__2[[#This Row],[City]]="Pune"),"Yes","No")</f>
        <v>No</v>
      </c>
      <c r="P2688" s="1" t="str">
        <f>IF(OR(Employee__2[[#This Row],[Age]]&gt;=30,Employee__2[[#This Row],[Gender]]="Male"),"Mached","Not mached")</f>
        <v>Mached</v>
      </c>
    </row>
    <row r="2689" spans="4:16" x14ac:dyDescent="0.25">
      <c r="D2689" s="6" t="s">
        <v>34</v>
      </c>
      <c r="E2689">
        <v>2017</v>
      </c>
      <c r="F2689" s="6" t="s">
        <v>40</v>
      </c>
      <c r="G2689">
        <v>3</v>
      </c>
      <c r="H2689">
        <v>29</v>
      </c>
      <c r="I2689" s="6" t="s">
        <v>39</v>
      </c>
      <c r="J2689" s="6" t="s">
        <v>37</v>
      </c>
      <c r="K2689">
        <v>0</v>
      </c>
      <c r="M2689" s="1" t="b">
        <f>Employee__2[[#This Row],[Experience]]&gt;1</f>
        <v>0</v>
      </c>
      <c r="N2689" s="1" t="str">
        <f>IF(Employee__2[[#This Row],[City]]="Pune","Yes","No")</f>
        <v>No</v>
      </c>
      <c r="O2689" s="1" t="str">
        <f>IF(AND(Employee__2[[#This Row],[Education]]="Bachelors",Employee__2[[#This Row],[City]]="Pune"),"Yes","No")</f>
        <v>No</v>
      </c>
      <c r="P2689" s="1" t="str">
        <f>IF(OR(Employee__2[[#This Row],[Age]]&gt;=30,Employee__2[[#This Row],[Gender]]="Male"),"Mached","Not mached")</f>
        <v>Not mached</v>
      </c>
    </row>
    <row r="2690" spans="4:16" x14ac:dyDescent="0.25">
      <c r="D2690" s="6" t="s">
        <v>34</v>
      </c>
      <c r="E2690">
        <v>2018</v>
      </c>
      <c r="F2690" s="6" t="s">
        <v>35</v>
      </c>
      <c r="G2690">
        <v>3</v>
      </c>
      <c r="H2690">
        <v>28</v>
      </c>
      <c r="I2690" s="6" t="s">
        <v>36</v>
      </c>
      <c r="J2690" s="6" t="s">
        <v>37</v>
      </c>
      <c r="K2690">
        <v>3</v>
      </c>
      <c r="M2690" s="1" t="b">
        <f>Employee__2[[#This Row],[Experience]]&gt;1</f>
        <v>1</v>
      </c>
      <c r="N2690" s="1" t="str">
        <f>IF(Employee__2[[#This Row],[City]]="Pune","Yes","No")</f>
        <v>No</v>
      </c>
      <c r="O2690" s="1" t="str">
        <f>IF(AND(Employee__2[[#This Row],[Education]]="Bachelors",Employee__2[[#This Row],[City]]="Pune"),"Yes","No")</f>
        <v>No</v>
      </c>
      <c r="P2690" s="1" t="str">
        <f>IF(OR(Employee__2[[#This Row],[Age]]&gt;=30,Employee__2[[#This Row],[Gender]]="Male"),"Mached","Not mached")</f>
        <v>Mached</v>
      </c>
    </row>
    <row r="2691" spans="4:16" x14ac:dyDescent="0.25">
      <c r="D2691" s="6" t="s">
        <v>34</v>
      </c>
      <c r="E2691">
        <v>2014</v>
      </c>
      <c r="F2691" s="6" t="s">
        <v>35</v>
      </c>
      <c r="G2691">
        <v>3</v>
      </c>
      <c r="H2691">
        <v>29</v>
      </c>
      <c r="I2691" s="6" t="s">
        <v>36</v>
      </c>
      <c r="J2691" s="6" t="s">
        <v>37</v>
      </c>
      <c r="K2691">
        <v>4</v>
      </c>
      <c r="M2691" s="1" t="b">
        <f>Employee__2[[#This Row],[Experience]]&gt;1</f>
        <v>1</v>
      </c>
      <c r="N2691" s="1" t="str">
        <f>IF(Employee__2[[#This Row],[City]]="Pune","Yes","No")</f>
        <v>No</v>
      </c>
      <c r="O2691" s="1" t="str">
        <f>IF(AND(Employee__2[[#This Row],[Education]]="Bachelors",Employee__2[[#This Row],[City]]="Pune"),"Yes","No")</f>
        <v>No</v>
      </c>
      <c r="P2691" s="1" t="str">
        <f>IF(OR(Employee__2[[#This Row],[Age]]&gt;=30,Employee__2[[#This Row],[Gender]]="Male"),"Mached","Not mached")</f>
        <v>Mached</v>
      </c>
    </row>
    <row r="2692" spans="4:16" x14ac:dyDescent="0.25">
      <c r="D2692" s="6" t="s">
        <v>41</v>
      </c>
      <c r="E2692">
        <v>2017</v>
      </c>
      <c r="F2692" s="6" t="s">
        <v>40</v>
      </c>
      <c r="G2692">
        <v>2</v>
      </c>
      <c r="H2692">
        <v>30</v>
      </c>
      <c r="I2692" s="6" t="s">
        <v>39</v>
      </c>
      <c r="J2692" s="6" t="s">
        <v>37</v>
      </c>
      <c r="K2692">
        <v>2</v>
      </c>
      <c r="M2692" s="1" t="b">
        <f>Employee__2[[#This Row],[Experience]]&gt;1</f>
        <v>1</v>
      </c>
      <c r="N2692" s="1" t="str">
        <f>IF(Employee__2[[#This Row],[City]]="Pune","Yes","No")</f>
        <v>No</v>
      </c>
      <c r="O2692" s="1" t="str">
        <f>IF(AND(Employee__2[[#This Row],[Education]]="Bachelors",Employee__2[[#This Row],[City]]="Pune"),"Yes","No")</f>
        <v>No</v>
      </c>
      <c r="P2692" s="1" t="str">
        <f>IF(OR(Employee__2[[#This Row],[Age]]&gt;=30,Employee__2[[#This Row],[Gender]]="Male"),"Mached","Not mached")</f>
        <v>Mached</v>
      </c>
    </row>
    <row r="2693" spans="4:16" x14ac:dyDescent="0.25">
      <c r="D2693" s="6" t="s">
        <v>34</v>
      </c>
      <c r="E2693">
        <v>2018</v>
      </c>
      <c r="F2693" s="6" t="s">
        <v>35</v>
      </c>
      <c r="G2693">
        <v>3</v>
      </c>
      <c r="H2693">
        <v>29</v>
      </c>
      <c r="I2693" s="6" t="s">
        <v>36</v>
      </c>
      <c r="J2693" s="6" t="s">
        <v>42</v>
      </c>
      <c r="K2693">
        <v>2</v>
      </c>
      <c r="M2693" s="1" t="b">
        <f>Employee__2[[#This Row],[Experience]]&gt;1</f>
        <v>1</v>
      </c>
      <c r="N2693" s="1" t="str">
        <f>IF(Employee__2[[#This Row],[City]]="Pune","Yes","No")</f>
        <v>No</v>
      </c>
      <c r="O2693" s="1" t="str">
        <f>IF(AND(Employee__2[[#This Row],[Education]]="Bachelors",Employee__2[[#This Row],[City]]="Pune"),"Yes","No")</f>
        <v>No</v>
      </c>
      <c r="P2693" s="1" t="str">
        <f>IF(OR(Employee__2[[#This Row],[Age]]&gt;=30,Employee__2[[#This Row],[Gender]]="Male"),"Mached","Not mached")</f>
        <v>Mached</v>
      </c>
    </row>
    <row r="2694" spans="4:16" x14ac:dyDescent="0.25">
      <c r="D2694" s="6" t="s">
        <v>34</v>
      </c>
      <c r="E2694">
        <v>2017</v>
      </c>
      <c r="F2694" s="6" t="s">
        <v>40</v>
      </c>
      <c r="G2694">
        <v>2</v>
      </c>
      <c r="H2694">
        <v>28</v>
      </c>
      <c r="I2694" s="6" t="s">
        <v>39</v>
      </c>
      <c r="J2694" s="6" t="s">
        <v>37</v>
      </c>
      <c r="K2694">
        <v>1</v>
      </c>
      <c r="M2694" s="1" t="b">
        <f>Employee__2[[#This Row],[Experience]]&gt;1</f>
        <v>0</v>
      </c>
      <c r="N2694" s="1" t="str">
        <f>IF(Employee__2[[#This Row],[City]]="Pune","Yes","No")</f>
        <v>No</v>
      </c>
      <c r="O2694" s="1" t="str">
        <f>IF(AND(Employee__2[[#This Row],[Education]]="Bachelors",Employee__2[[#This Row],[City]]="Pune"),"Yes","No")</f>
        <v>No</v>
      </c>
      <c r="P2694" s="1" t="str">
        <f>IF(OR(Employee__2[[#This Row],[Age]]&gt;=30,Employee__2[[#This Row],[Gender]]="Male"),"Mached","Not mached")</f>
        <v>Not mached</v>
      </c>
    </row>
    <row r="2695" spans="4:16" x14ac:dyDescent="0.25">
      <c r="D2695" s="6" t="s">
        <v>34</v>
      </c>
      <c r="E2695">
        <v>2013</v>
      </c>
      <c r="F2695" s="6" t="s">
        <v>35</v>
      </c>
      <c r="G2695">
        <v>2</v>
      </c>
      <c r="H2695">
        <v>27</v>
      </c>
      <c r="I2695" s="6" t="s">
        <v>39</v>
      </c>
      <c r="J2695" s="6" t="s">
        <v>37</v>
      </c>
      <c r="K2695">
        <v>5</v>
      </c>
      <c r="M2695" s="1" t="b">
        <f>Employee__2[[#This Row],[Experience]]&gt;1</f>
        <v>1</v>
      </c>
      <c r="N2695" s="1" t="str">
        <f>IF(Employee__2[[#This Row],[City]]="Pune","Yes","No")</f>
        <v>No</v>
      </c>
      <c r="O2695" s="1" t="str">
        <f>IF(AND(Employee__2[[#This Row],[Education]]="Bachelors",Employee__2[[#This Row],[City]]="Pune"),"Yes","No")</f>
        <v>No</v>
      </c>
      <c r="P2695" s="1" t="str">
        <f>IF(OR(Employee__2[[#This Row],[Age]]&gt;=30,Employee__2[[#This Row],[Gender]]="Male"),"Mached","Not mached")</f>
        <v>Not mached</v>
      </c>
    </row>
    <row r="2696" spans="4:16" x14ac:dyDescent="0.25">
      <c r="D2696" s="6" t="s">
        <v>34</v>
      </c>
      <c r="E2696">
        <v>2015</v>
      </c>
      <c r="F2696" s="6" t="s">
        <v>35</v>
      </c>
      <c r="G2696">
        <v>3</v>
      </c>
      <c r="H2696">
        <v>30</v>
      </c>
      <c r="I2696" s="6" t="s">
        <v>36</v>
      </c>
      <c r="J2696" s="6" t="s">
        <v>37</v>
      </c>
      <c r="K2696">
        <v>4</v>
      </c>
      <c r="M2696" s="1" t="b">
        <f>Employee__2[[#This Row],[Experience]]&gt;1</f>
        <v>1</v>
      </c>
      <c r="N2696" s="1" t="str">
        <f>IF(Employee__2[[#This Row],[City]]="Pune","Yes","No")</f>
        <v>No</v>
      </c>
      <c r="O2696" s="1" t="str">
        <f>IF(AND(Employee__2[[#This Row],[Education]]="Bachelors",Employee__2[[#This Row],[City]]="Pune"),"Yes","No")</f>
        <v>No</v>
      </c>
      <c r="P2696" s="1" t="str">
        <f>IF(OR(Employee__2[[#This Row],[Age]]&gt;=30,Employee__2[[#This Row],[Gender]]="Male"),"Mached","Not mached")</f>
        <v>Mached</v>
      </c>
    </row>
    <row r="2697" spans="4:16" x14ac:dyDescent="0.25">
      <c r="D2697" s="6" t="s">
        <v>34</v>
      </c>
      <c r="E2697">
        <v>2012</v>
      </c>
      <c r="F2697" s="6" t="s">
        <v>35</v>
      </c>
      <c r="G2697">
        <v>3</v>
      </c>
      <c r="H2697">
        <v>26</v>
      </c>
      <c r="I2697" s="6" t="s">
        <v>36</v>
      </c>
      <c r="J2697" s="6" t="s">
        <v>37</v>
      </c>
      <c r="K2697">
        <v>4</v>
      </c>
      <c r="M2697" s="1" t="b">
        <f>Employee__2[[#This Row],[Experience]]&gt;1</f>
        <v>1</v>
      </c>
      <c r="N2697" s="1" t="str">
        <f>IF(Employee__2[[#This Row],[City]]="Pune","Yes","No")</f>
        <v>No</v>
      </c>
      <c r="O2697" s="1" t="str">
        <f>IF(AND(Employee__2[[#This Row],[Education]]="Bachelors",Employee__2[[#This Row],[City]]="Pune"),"Yes","No")</f>
        <v>No</v>
      </c>
      <c r="P2697" s="1" t="str">
        <f>IF(OR(Employee__2[[#This Row],[Age]]&gt;=30,Employee__2[[#This Row],[Gender]]="Male"),"Mached","Not mached")</f>
        <v>Mached</v>
      </c>
    </row>
    <row r="2698" spans="4:16" x14ac:dyDescent="0.25">
      <c r="D2698" s="6" t="s">
        <v>34</v>
      </c>
      <c r="E2698">
        <v>2016</v>
      </c>
      <c r="F2698" s="6" t="s">
        <v>35</v>
      </c>
      <c r="G2698">
        <v>3</v>
      </c>
      <c r="H2698">
        <v>26</v>
      </c>
      <c r="I2698" s="6" t="s">
        <v>36</v>
      </c>
      <c r="J2698" s="6" t="s">
        <v>37</v>
      </c>
      <c r="K2698">
        <v>4</v>
      </c>
      <c r="M2698" s="1" t="b">
        <f>Employee__2[[#This Row],[Experience]]&gt;1</f>
        <v>1</v>
      </c>
      <c r="N2698" s="1" t="str">
        <f>IF(Employee__2[[#This Row],[City]]="Pune","Yes","No")</f>
        <v>No</v>
      </c>
      <c r="O2698" s="1" t="str">
        <f>IF(AND(Employee__2[[#This Row],[Education]]="Bachelors",Employee__2[[#This Row],[City]]="Pune"),"Yes","No")</f>
        <v>No</v>
      </c>
      <c r="P2698" s="1" t="str">
        <f>IF(OR(Employee__2[[#This Row],[Age]]&gt;=30,Employee__2[[#This Row],[Gender]]="Male"),"Mached","Not mached")</f>
        <v>Mached</v>
      </c>
    </row>
    <row r="2699" spans="4:16" x14ac:dyDescent="0.25">
      <c r="D2699" s="6" t="s">
        <v>41</v>
      </c>
      <c r="E2699">
        <v>2017</v>
      </c>
      <c r="F2699" s="6" t="s">
        <v>35</v>
      </c>
      <c r="G2699">
        <v>2</v>
      </c>
      <c r="H2699">
        <v>30</v>
      </c>
      <c r="I2699" s="6" t="s">
        <v>36</v>
      </c>
      <c r="J2699" s="6" t="s">
        <v>37</v>
      </c>
      <c r="K2699">
        <v>3</v>
      </c>
      <c r="M2699" s="1" t="b">
        <f>Employee__2[[#This Row],[Experience]]&gt;1</f>
        <v>1</v>
      </c>
      <c r="N2699" s="1" t="str">
        <f>IF(Employee__2[[#This Row],[City]]="Pune","Yes","No")</f>
        <v>No</v>
      </c>
      <c r="O2699" s="1" t="str">
        <f>IF(AND(Employee__2[[#This Row],[Education]]="Bachelors",Employee__2[[#This Row],[City]]="Pune"),"Yes","No")</f>
        <v>No</v>
      </c>
      <c r="P2699" s="1" t="str">
        <f>IF(OR(Employee__2[[#This Row],[Age]]&gt;=30,Employee__2[[#This Row],[Gender]]="Male"),"Mached","Not mached")</f>
        <v>Mached</v>
      </c>
    </row>
    <row r="2700" spans="4:16" x14ac:dyDescent="0.25">
      <c r="D2700" s="6" t="s">
        <v>41</v>
      </c>
      <c r="E2700">
        <v>2017</v>
      </c>
      <c r="F2700" s="6" t="s">
        <v>40</v>
      </c>
      <c r="G2700">
        <v>2</v>
      </c>
      <c r="H2700">
        <v>29</v>
      </c>
      <c r="I2700" s="6" t="s">
        <v>36</v>
      </c>
      <c r="J2700" s="6" t="s">
        <v>37</v>
      </c>
      <c r="K2700">
        <v>4</v>
      </c>
      <c r="M2700" s="1" t="b">
        <f>Employee__2[[#This Row],[Experience]]&gt;1</f>
        <v>1</v>
      </c>
      <c r="N2700" s="1" t="str">
        <f>IF(Employee__2[[#This Row],[City]]="Pune","Yes","No")</f>
        <v>No</v>
      </c>
      <c r="O2700" s="1" t="str">
        <f>IF(AND(Employee__2[[#This Row],[Education]]="Bachelors",Employee__2[[#This Row],[City]]="Pune"),"Yes","No")</f>
        <v>No</v>
      </c>
      <c r="P2700" s="1" t="str">
        <f>IF(OR(Employee__2[[#This Row],[Age]]&gt;=30,Employee__2[[#This Row],[Gender]]="Male"),"Mached","Not mached")</f>
        <v>Mached</v>
      </c>
    </row>
    <row r="2701" spans="4:16" x14ac:dyDescent="0.25">
      <c r="D2701" s="6" t="s">
        <v>34</v>
      </c>
      <c r="E2701">
        <v>2014</v>
      </c>
      <c r="F2701" s="6" t="s">
        <v>35</v>
      </c>
      <c r="G2701">
        <v>3</v>
      </c>
      <c r="H2701">
        <v>28</v>
      </c>
      <c r="I2701" s="6" t="s">
        <v>36</v>
      </c>
      <c r="J2701" s="6" t="s">
        <v>37</v>
      </c>
      <c r="K2701">
        <v>3</v>
      </c>
      <c r="M2701" s="1" t="b">
        <f>Employee__2[[#This Row],[Experience]]&gt;1</f>
        <v>1</v>
      </c>
      <c r="N2701" s="1" t="str">
        <f>IF(Employee__2[[#This Row],[City]]="Pune","Yes","No")</f>
        <v>No</v>
      </c>
      <c r="O2701" s="1" t="str">
        <f>IF(AND(Employee__2[[#This Row],[Education]]="Bachelors",Employee__2[[#This Row],[City]]="Pune"),"Yes","No")</f>
        <v>No</v>
      </c>
      <c r="P2701" s="1" t="str">
        <f>IF(OR(Employee__2[[#This Row],[Age]]&gt;=30,Employee__2[[#This Row],[Gender]]="Male"),"Mached","Not mached")</f>
        <v>Mached</v>
      </c>
    </row>
    <row r="2702" spans="4:16" x14ac:dyDescent="0.25">
      <c r="D2702" s="6" t="s">
        <v>41</v>
      </c>
      <c r="E2702">
        <v>2017</v>
      </c>
      <c r="F2702" s="6" t="s">
        <v>40</v>
      </c>
      <c r="G2702">
        <v>3</v>
      </c>
      <c r="H2702">
        <v>27</v>
      </c>
      <c r="I2702" s="6" t="s">
        <v>36</v>
      </c>
      <c r="J2702" s="6" t="s">
        <v>37</v>
      </c>
      <c r="K2702">
        <v>5</v>
      </c>
      <c r="M2702" s="1" t="b">
        <f>Employee__2[[#This Row],[Experience]]&gt;1</f>
        <v>1</v>
      </c>
      <c r="N2702" s="1" t="str">
        <f>IF(Employee__2[[#This Row],[City]]="Pune","Yes","No")</f>
        <v>No</v>
      </c>
      <c r="O2702" s="1" t="str">
        <f>IF(AND(Employee__2[[#This Row],[Education]]="Bachelors",Employee__2[[#This Row],[City]]="Pune"),"Yes","No")</f>
        <v>No</v>
      </c>
      <c r="P2702" s="1" t="str">
        <f>IF(OR(Employee__2[[#This Row],[Age]]&gt;=30,Employee__2[[#This Row],[Gender]]="Male"),"Mached","Not mached")</f>
        <v>Mached</v>
      </c>
    </row>
    <row r="2703" spans="4:16" x14ac:dyDescent="0.25">
      <c r="D2703" s="6" t="s">
        <v>34</v>
      </c>
      <c r="E2703">
        <v>2014</v>
      </c>
      <c r="F2703" s="6" t="s">
        <v>35</v>
      </c>
      <c r="G2703">
        <v>3</v>
      </c>
      <c r="H2703">
        <v>27</v>
      </c>
      <c r="I2703" s="6" t="s">
        <v>36</v>
      </c>
      <c r="J2703" s="6" t="s">
        <v>37</v>
      </c>
      <c r="K2703">
        <v>5</v>
      </c>
      <c r="M2703" s="1" t="b">
        <f>Employee__2[[#This Row],[Experience]]&gt;1</f>
        <v>1</v>
      </c>
      <c r="N2703" s="1" t="str">
        <f>IF(Employee__2[[#This Row],[City]]="Pune","Yes","No")</f>
        <v>No</v>
      </c>
      <c r="O2703" s="1" t="str">
        <f>IF(AND(Employee__2[[#This Row],[Education]]="Bachelors",Employee__2[[#This Row],[City]]="Pune"),"Yes","No")</f>
        <v>No</v>
      </c>
      <c r="P2703" s="1" t="str">
        <f>IF(OR(Employee__2[[#This Row],[Age]]&gt;=30,Employee__2[[#This Row],[Gender]]="Male"),"Mached","Not mached")</f>
        <v>Mached</v>
      </c>
    </row>
    <row r="2704" spans="4:16" x14ac:dyDescent="0.25">
      <c r="D2704" s="6" t="s">
        <v>34</v>
      </c>
      <c r="E2704">
        <v>2017</v>
      </c>
      <c r="F2704" s="6" t="s">
        <v>40</v>
      </c>
      <c r="G2704">
        <v>3</v>
      </c>
      <c r="H2704">
        <v>27</v>
      </c>
      <c r="I2704" s="6" t="s">
        <v>36</v>
      </c>
      <c r="J2704" s="6" t="s">
        <v>37</v>
      </c>
      <c r="K2704">
        <v>5</v>
      </c>
      <c r="M2704" s="1" t="b">
        <f>Employee__2[[#This Row],[Experience]]&gt;1</f>
        <v>1</v>
      </c>
      <c r="N2704" s="1" t="str">
        <f>IF(Employee__2[[#This Row],[City]]="Pune","Yes","No")</f>
        <v>No</v>
      </c>
      <c r="O2704" s="1" t="str">
        <f>IF(AND(Employee__2[[#This Row],[Education]]="Bachelors",Employee__2[[#This Row],[City]]="Pune"),"Yes","No")</f>
        <v>No</v>
      </c>
      <c r="P2704" s="1" t="str">
        <f>IF(OR(Employee__2[[#This Row],[Age]]&gt;=30,Employee__2[[#This Row],[Gender]]="Male"),"Mached","Not mached")</f>
        <v>Mached</v>
      </c>
    </row>
    <row r="2705" spans="4:16" x14ac:dyDescent="0.25">
      <c r="D2705" s="6" t="s">
        <v>34</v>
      </c>
      <c r="E2705">
        <v>2016</v>
      </c>
      <c r="F2705" s="6" t="s">
        <v>38</v>
      </c>
      <c r="G2705">
        <v>3</v>
      </c>
      <c r="H2705">
        <v>30</v>
      </c>
      <c r="I2705" s="6" t="s">
        <v>36</v>
      </c>
      <c r="J2705" s="6" t="s">
        <v>37</v>
      </c>
      <c r="K2705">
        <v>0</v>
      </c>
      <c r="M2705" s="1" t="b">
        <f>Employee__2[[#This Row],[Experience]]&gt;1</f>
        <v>0</v>
      </c>
      <c r="N2705" s="1" t="str">
        <f>IF(Employee__2[[#This Row],[City]]="Pune","Yes","No")</f>
        <v>Yes</v>
      </c>
      <c r="O2705" s="1" t="str">
        <f>IF(AND(Employee__2[[#This Row],[Education]]="Bachelors",Employee__2[[#This Row],[City]]="Pune"),"Yes","No")</f>
        <v>Yes</v>
      </c>
      <c r="P2705" s="1" t="str">
        <f>IF(OR(Employee__2[[#This Row],[Age]]&gt;=30,Employee__2[[#This Row],[Gender]]="Male"),"Mached","Not mached")</f>
        <v>Mached</v>
      </c>
    </row>
    <row r="2706" spans="4:16" x14ac:dyDescent="0.25">
      <c r="D2706" s="6" t="s">
        <v>34</v>
      </c>
      <c r="E2706">
        <v>2015</v>
      </c>
      <c r="F2706" s="6" t="s">
        <v>35</v>
      </c>
      <c r="G2706">
        <v>3</v>
      </c>
      <c r="H2706">
        <v>29</v>
      </c>
      <c r="I2706" s="6" t="s">
        <v>39</v>
      </c>
      <c r="J2706" s="6" t="s">
        <v>37</v>
      </c>
      <c r="K2706">
        <v>0</v>
      </c>
      <c r="M2706" s="1" t="b">
        <f>Employee__2[[#This Row],[Experience]]&gt;1</f>
        <v>0</v>
      </c>
      <c r="N2706" s="1" t="str">
        <f>IF(Employee__2[[#This Row],[City]]="Pune","Yes","No")</f>
        <v>No</v>
      </c>
      <c r="O2706" s="1" t="str">
        <f>IF(AND(Employee__2[[#This Row],[Education]]="Bachelors",Employee__2[[#This Row],[City]]="Pune"),"Yes","No")</f>
        <v>No</v>
      </c>
      <c r="P2706" s="1" t="str">
        <f>IF(OR(Employee__2[[#This Row],[Age]]&gt;=30,Employee__2[[#This Row],[Gender]]="Male"),"Mached","Not mached")</f>
        <v>Not mached</v>
      </c>
    </row>
    <row r="2707" spans="4:16" x14ac:dyDescent="0.25">
      <c r="D2707" s="6" t="s">
        <v>34</v>
      </c>
      <c r="E2707">
        <v>2015</v>
      </c>
      <c r="F2707" s="6" t="s">
        <v>38</v>
      </c>
      <c r="G2707">
        <v>2</v>
      </c>
      <c r="H2707">
        <v>27</v>
      </c>
      <c r="I2707" s="6" t="s">
        <v>39</v>
      </c>
      <c r="J2707" s="6" t="s">
        <v>42</v>
      </c>
      <c r="K2707">
        <v>5</v>
      </c>
      <c r="M2707" s="1" t="b">
        <f>Employee__2[[#This Row],[Experience]]&gt;1</f>
        <v>1</v>
      </c>
      <c r="N2707" s="1" t="str">
        <f>IF(Employee__2[[#This Row],[City]]="Pune","Yes","No")</f>
        <v>Yes</v>
      </c>
      <c r="O2707" s="1" t="str">
        <f>IF(AND(Employee__2[[#This Row],[Education]]="Bachelors",Employee__2[[#This Row],[City]]="Pune"),"Yes","No")</f>
        <v>Yes</v>
      </c>
      <c r="P2707" s="1" t="str">
        <f>IF(OR(Employee__2[[#This Row],[Age]]&gt;=30,Employee__2[[#This Row],[Gender]]="Male"),"Mached","Not mached")</f>
        <v>Not mached</v>
      </c>
    </row>
    <row r="2708" spans="4:16" x14ac:dyDescent="0.25">
      <c r="D2708" s="6" t="s">
        <v>34</v>
      </c>
      <c r="E2708">
        <v>2013</v>
      </c>
      <c r="F2708" s="6" t="s">
        <v>35</v>
      </c>
      <c r="G2708">
        <v>3</v>
      </c>
      <c r="H2708">
        <v>26</v>
      </c>
      <c r="I2708" s="6" t="s">
        <v>39</v>
      </c>
      <c r="J2708" s="6" t="s">
        <v>37</v>
      </c>
      <c r="K2708">
        <v>4</v>
      </c>
      <c r="M2708" s="1" t="b">
        <f>Employee__2[[#This Row],[Experience]]&gt;1</f>
        <v>1</v>
      </c>
      <c r="N2708" s="1" t="str">
        <f>IF(Employee__2[[#This Row],[City]]="Pune","Yes","No")</f>
        <v>No</v>
      </c>
      <c r="O2708" s="1" t="str">
        <f>IF(AND(Employee__2[[#This Row],[Education]]="Bachelors",Employee__2[[#This Row],[City]]="Pune"),"Yes","No")</f>
        <v>No</v>
      </c>
      <c r="P2708" s="1" t="str">
        <f>IF(OR(Employee__2[[#This Row],[Age]]&gt;=30,Employee__2[[#This Row],[Gender]]="Male"),"Mached","Not mached")</f>
        <v>Not mached</v>
      </c>
    </row>
    <row r="2709" spans="4:16" x14ac:dyDescent="0.25">
      <c r="D2709" s="6" t="s">
        <v>34</v>
      </c>
      <c r="E2709">
        <v>2015</v>
      </c>
      <c r="F2709" s="6" t="s">
        <v>40</v>
      </c>
      <c r="G2709">
        <v>3</v>
      </c>
      <c r="H2709">
        <v>29</v>
      </c>
      <c r="I2709" s="6" t="s">
        <v>36</v>
      </c>
      <c r="J2709" s="6" t="s">
        <v>37</v>
      </c>
      <c r="K2709">
        <v>1</v>
      </c>
      <c r="M2709" s="1" t="b">
        <f>Employee__2[[#This Row],[Experience]]&gt;1</f>
        <v>0</v>
      </c>
      <c r="N2709" s="1" t="str">
        <f>IF(Employee__2[[#This Row],[City]]="Pune","Yes","No")</f>
        <v>No</v>
      </c>
      <c r="O2709" s="1" t="str">
        <f>IF(AND(Employee__2[[#This Row],[Education]]="Bachelors",Employee__2[[#This Row],[City]]="Pune"),"Yes","No")</f>
        <v>No</v>
      </c>
      <c r="P2709" s="1" t="str">
        <f>IF(OR(Employee__2[[#This Row],[Age]]&gt;=30,Employee__2[[#This Row],[Gender]]="Male"),"Mached","Not mached")</f>
        <v>Mached</v>
      </c>
    </row>
    <row r="2710" spans="4:16" x14ac:dyDescent="0.25">
      <c r="D2710" s="6" t="s">
        <v>34</v>
      </c>
      <c r="E2710">
        <v>2017</v>
      </c>
      <c r="F2710" s="6" t="s">
        <v>35</v>
      </c>
      <c r="G2710">
        <v>3</v>
      </c>
      <c r="H2710">
        <v>30</v>
      </c>
      <c r="I2710" s="6" t="s">
        <v>36</v>
      </c>
      <c r="J2710" s="6" t="s">
        <v>37</v>
      </c>
      <c r="K2710">
        <v>4</v>
      </c>
      <c r="M2710" s="1" t="b">
        <f>Employee__2[[#This Row],[Experience]]&gt;1</f>
        <v>1</v>
      </c>
      <c r="N2710" s="1" t="str">
        <f>IF(Employee__2[[#This Row],[City]]="Pune","Yes","No")</f>
        <v>No</v>
      </c>
      <c r="O2710" s="1" t="str">
        <f>IF(AND(Employee__2[[#This Row],[Education]]="Bachelors",Employee__2[[#This Row],[City]]="Pune"),"Yes","No")</f>
        <v>No</v>
      </c>
      <c r="P2710" s="1" t="str">
        <f>IF(OR(Employee__2[[#This Row],[Age]]&gt;=30,Employee__2[[#This Row],[Gender]]="Male"),"Mached","Not mached")</f>
        <v>Mached</v>
      </c>
    </row>
    <row r="2711" spans="4:16" x14ac:dyDescent="0.25">
      <c r="D2711" s="6" t="s">
        <v>43</v>
      </c>
      <c r="E2711">
        <v>2017</v>
      </c>
      <c r="F2711" s="6" t="s">
        <v>40</v>
      </c>
      <c r="G2711">
        <v>3</v>
      </c>
      <c r="H2711">
        <v>27</v>
      </c>
      <c r="I2711" s="6" t="s">
        <v>36</v>
      </c>
      <c r="J2711" s="6" t="s">
        <v>37</v>
      </c>
      <c r="K2711">
        <v>5</v>
      </c>
      <c r="M2711" s="1" t="b">
        <f>Employee__2[[#This Row],[Experience]]&gt;1</f>
        <v>1</v>
      </c>
      <c r="N2711" s="1" t="str">
        <f>IF(Employee__2[[#This Row],[City]]="Pune","Yes","No")</f>
        <v>No</v>
      </c>
      <c r="O2711" s="1" t="str">
        <f>IF(AND(Employee__2[[#This Row],[Education]]="Bachelors",Employee__2[[#This Row],[City]]="Pune"),"Yes","No")</f>
        <v>No</v>
      </c>
      <c r="P2711" s="1" t="str">
        <f>IF(OR(Employee__2[[#This Row],[Age]]&gt;=30,Employee__2[[#This Row],[Gender]]="Male"),"Mached","Not mached")</f>
        <v>Mached</v>
      </c>
    </row>
    <row r="2712" spans="4:16" x14ac:dyDescent="0.25">
      <c r="D2712" s="6" t="s">
        <v>43</v>
      </c>
      <c r="E2712">
        <v>2013</v>
      </c>
      <c r="F2712" s="6" t="s">
        <v>35</v>
      </c>
      <c r="G2712">
        <v>3</v>
      </c>
      <c r="H2712">
        <v>27</v>
      </c>
      <c r="I2712" s="6" t="s">
        <v>36</v>
      </c>
      <c r="J2712" s="6" t="s">
        <v>37</v>
      </c>
      <c r="K2712">
        <v>5</v>
      </c>
      <c r="M2712" s="1" t="b">
        <f>Employee__2[[#This Row],[Experience]]&gt;1</f>
        <v>1</v>
      </c>
      <c r="N2712" s="1" t="str">
        <f>IF(Employee__2[[#This Row],[City]]="Pune","Yes","No")</f>
        <v>No</v>
      </c>
      <c r="O2712" s="1" t="str">
        <f>IF(AND(Employee__2[[#This Row],[Education]]="Bachelors",Employee__2[[#This Row],[City]]="Pune"),"Yes","No")</f>
        <v>No</v>
      </c>
      <c r="P2712" s="1" t="str">
        <f>IF(OR(Employee__2[[#This Row],[Age]]&gt;=30,Employee__2[[#This Row],[Gender]]="Male"),"Mached","Not mached")</f>
        <v>Mached</v>
      </c>
    </row>
    <row r="2713" spans="4:16" x14ac:dyDescent="0.25">
      <c r="D2713" s="6" t="s">
        <v>34</v>
      </c>
      <c r="E2713">
        <v>2018</v>
      </c>
      <c r="F2713" s="6" t="s">
        <v>35</v>
      </c>
      <c r="G2713">
        <v>3</v>
      </c>
      <c r="H2713">
        <v>28</v>
      </c>
      <c r="I2713" s="6" t="s">
        <v>36</v>
      </c>
      <c r="J2713" s="6" t="s">
        <v>42</v>
      </c>
      <c r="K2713">
        <v>1</v>
      </c>
      <c r="M2713" s="1" t="b">
        <f>Employee__2[[#This Row],[Experience]]&gt;1</f>
        <v>0</v>
      </c>
      <c r="N2713" s="1" t="str">
        <f>IF(Employee__2[[#This Row],[City]]="Pune","Yes","No")</f>
        <v>No</v>
      </c>
      <c r="O2713" s="1" t="str">
        <f>IF(AND(Employee__2[[#This Row],[Education]]="Bachelors",Employee__2[[#This Row],[City]]="Pune"),"Yes","No")</f>
        <v>No</v>
      </c>
      <c r="P2713" s="1" t="str">
        <f>IF(OR(Employee__2[[#This Row],[Age]]&gt;=30,Employee__2[[#This Row],[Gender]]="Male"),"Mached","Not mached")</f>
        <v>Mached</v>
      </c>
    </row>
    <row r="2714" spans="4:16" x14ac:dyDescent="0.25">
      <c r="D2714" s="6" t="s">
        <v>34</v>
      </c>
      <c r="E2714">
        <v>2013</v>
      </c>
      <c r="F2714" s="6" t="s">
        <v>35</v>
      </c>
      <c r="G2714">
        <v>3</v>
      </c>
      <c r="H2714">
        <v>29</v>
      </c>
      <c r="I2714" s="6" t="s">
        <v>36</v>
      </c>
      <c r="J2714" s="6" t="s">
        <v>37</v>
      </c>
      <c r="K2714">
        <v>1</v>
      </c>
      <c r="M2714" s="1" t="b">
        <f>Employee__2[[#This Row],[Experience]]&gt;1</f>
        <v>0</v>
      </c>
      <c r="N2714" s="1" t="str">
        <f>IF(Employee__2[[#This Row],[City]]="Pune","Yes","No")</f>
        <v>No</v>
      </c>
      <c r="O2714" s="1" t="str">
        <f>IF(AND(Employee__2[[#This Row],[Education]]="Bachelors",Employee__2[[#This Row],[City]]="Pune"),"Yes","No")</f>
        <v>No</v>
      </c>
      <c r="P2714" s="1" t="str">
        <f>IF(OR(Employee__2[[#This Row],[Age]]&gt;=30,Employee__2[[#This Row],[Gender]]="Male"),"Mached","Not mached")</f>
        <v>Mached</v>
      </c>
    </row>
    <row r="2715" spans="4:16" x14ac:dyDescent="0.25">
      <c r="D2715" s="6" t="s">
        <v>41</v>
      </c>
      <c r="E2715">
        <v>2017</v>
      </c>
      <c r="F2715" s="6" t="s">
        <v>38</v>
      </c>
      <c r="G2715">
        <v>2</v>
      </c>
      <c r="H2715">
        <v>29</v>
      </c>
      <c r="I2715" s="6" t="s">
        <v>39</v>
      </c>
      <c r="J2715" s="6" t="s">
        <v>42</v>
      </c>
      <c r="K2715">
        <v>2</v>
      </c>
      <c r="M2715" s="1" t="b">
        <f>Employee__2[[#This Row],[Experience]]&gt;1</f>
        <v>1</v>
      </c>
      <c r="N2715" s="1" t="str">
        <f>IF(Employee__2[[#This Row],[City]]="Pune","Yes","No")</f>
        <v>Yes</v>
      </c>
      <c r="O2715" s="1" t="str">
        <f>IF(AND(Employee__2[[#This Row],[Education]]="Bachelors",Employee__2[[#This Row],[City]]="Pune"),"Yes","No")</f>
        <v>No</v>
      </c>
      <c r="P2715" s="1" t="str">
        <f>IF(OR(Employee__2[[#This Row],[Age]]&gt;=30,Employee__2[[#This Row],[Gender]]="Male"),"Mached","Not mached")</f>
        <v>Not mached</v>
      </c>
    </row>
    <row r="2716" spans="4:16" x14ac:dyDescent="0.25">
      <c r="D2716" s="6" t="s">
        <v>34</v>
      </c>
      <c r="E2716">
        <v>2015</v>
      </c>
      <c r="F2716" s="6" t="s">
        <v>38</v>
      </c>
      <c r="G2716">
        <v>3</v>
      </c>
      <c r="H2716">
        <v>27</v>
      </c>
      <c r="I2716" s="6" t="s">
        <v>36</v>
      </c>
      <c r="J2716" s="6" t="s">
        <v>37</v>
      </c>
      <c r="K2716">
        <v>5</v>
      </c>
      <c r="M2716" s="1" t="b">
        <f>Employee__2[[#This Row],[Experience]]&gt;1</f>
        <v>1</v>
      </c>
      <c r="N2716" s="1" t="str">
        <f>IF(Employee__2[[#This Row],[City]]="Pune","Yes","No")</f>
        <v>Yes</v>
      </c>
      <c r="O2716" s="1" t="str">
        <f>IF(AND(Employee__2[[#This Row],[Education]]="Bachelors",Employee__2[[#This Row],[City]]="Pune"),"Yes","No")</f>
        <v>Yes</v>
      </c>
      <c r="P2716" s="1" t="str">
        <f>IF(OR(Employee__2[[#This Row],[Age]]&gt;=30,Employee__2[[#This Row],[Gender]]="Male"),"Mached","Not mached")</f>
        <v>Mached</v>
      </c>
    </row>
    <row r="2717" spans="4:16" x14ac:dyDescent="0.25">
      <c r="D2717" s="6" t="s">
        <v>34</v>
      </c>
      <c r="E2717">
        <v>2012</v>
      </c>
      <c r="F2717" s="6" t="s">
        <v>35</v>
      </c>
      <c r="G2717">
        <v>3</v>
      </c>
      <c r="H2717">
        <v>27</v>
      </c>
      <c r="I2717" s="6" t="s">
        <v>39</v>
      </c>
      <c r="J2717" s="6" t="s">
        <v>37</v>
      </c>
      <c r="K2717">
        <v>5</v>
      </c>
      <c r="M2717" s="1" t="b">
        <f>Employee__2[[#This Row],[Experience]]&gt;1</f>
        <v>1</v>
      </c>
      <c r="N2717" s="1" t="str">
        <f>IF(Employee__2[[#This Row],[City]]="Pune","Yes","No")</f>
        <v>No</v>
      </c>
      <c r="O2717" s="1" t="str">
        <f>IF(AND(Employee__2[[#This Row],[Education]]="Bachelors",Employee__2[[#This Row],[City]]="Pune"),"Yes","No")</f>
        <v>No</v>
      </c>
      <c r="P2717" s="1" t="str">
        <f>IF(OR(Employee__2[[#This Row],[Age]]&gt;=30,Employee__2[[#This Row],[Gender]]="Male"),"Mached","Not mached")</f>
        <v>Not mached</v>
      </c>
    </row>
    <row r="2718" spans="4:16" x14ac:dyDescent="0.25">
      <c r="D2718" s="6" t="s">
        <v>41</v>
      </c>
      <c r="E2718">
        <v>2018</v>
      </c>
      <c r="F2718" s="6" t="s">
        <v>38</v>
      </c>
      <c r="G2718">
        <v>3</v>
      </c>
      <c r="H2718">
        <v>26</v>
      </c>
      <c r="I2718" s="6" t="s">
        <v>36</v>
      </c>
      <c r="J2718" s="6" t="s">
        <v>37</v>
      </c>
      <c r="K2718">
        <v>4</v>
      </c>
      <c r="M2718" s="1" t="b">
        <f>Employee__2[[#This Row],[Experience]]&gt;1</f>
        <v>1</v>
      </c>
      <c r="N2718" s="1" t="str">
        <f>IF(Employee__2[[#This Row],[City]]="Pune","Yes","No")</f>
        <v>Yes</v>
      </c>
      <c r="O2718" s="1" t="str">
        <f>IF(AND(Employee__2[[#This Row],[Education]]="Bachelors",Employee__2[[#This Row],[City]]="Pune"),"Yes","No")</f>
        <v>No</v>
      </c>
      <c r="P2718" s="1" t="str">
        <f>IF(OR(Employee__2[[#This Row],[Age]]&gt;=30,Employee__2[[#This Row],[Gender]]="Male"),"Mached","Not mached")</f>
        <v>Mached</v>
      </c>
    </row>
    <row r="2719" spans="4:16" x14ac:dyDescent="0.25">
      <c r="D2719" s="6" t="s">
        <v>34</v>
      </c>
      <c r="E2719">
        <v>2012</v>
      </c>
      <c r="F2719" s="6" t="s">
        <v>40</v>
      </c>
      <c r="G2719">
        <v>1</v>
      </c>
      <c r="H2719">
        <v>27</v>
      </c>
      <c r="I2719" s="6" t="s">
        <v>39</v>
      </c>
      <c r="J2719" s="6" t="s">
        <v>37</v>
      </c>
      <c r="K2719">
        <v>5</v>
      </c>
      <c r="M2719" s="1" t="b">
        <f>Employee__2[[#This Row],[Experience]]&gt;1</f>
        <v>1</v>
      </c>
      <c r="N2719" s="1" t="str">
        <f>IF(Employee__2[[#This Row],[City]]="Pune","Yes","No")</f>
        <v>No</v>
      </c>
      <c r="O2719" s="1" t="str">
        <f>IF(AND(Employee__2[[#This Row],[Education]]="Bachelors",Employee__2[[#This Row],[City]]="Pune"),"Yes","No")</f>
        <v>No</v>
      </c>
      <c r="P2719" s="1" t="str">
        <f>IF(OR(Employee__2[[#This Row],[Age]]&gt;=30,Employee__2[[#This Row],[Gender]]="Male"),"Mached","Not mached")</f>
        <v>Not mached</v>
      </c>
    </row>
    <row r="2720" spans="4:16" x14ac:dyDescent="0.25">
      <c r="D2720" s="6" t="s">
        <v>41</v>
      </c>
      <c r="E2720">
        <v>2017</v>
      </c>
      <c r="F2720" s="6" t="s">
        <v>38</v>
      </c>
      <c r="G2720">
        <v>2</v>
      </c>
      <c r="H2720">
        <v>27</v>
      </c>
      <c r="I2720" s="6" t="s">
        <v>36</v>
      </c>
      <c r="J2720" s="6" t="s">
        <v>42</v>
      </c>
      <c r="K2720">
        <v>5</v>
      </c>
      <c r="M2720" s="1" t="b">
        <f>Employee__2[[#This Row],[Experience]]&gt;1</f>
        <v>1</v>
      </c>
      <c r="N2720" s="1" t="str">
        <f>IF(Employee__2[[#This Row],[City]]="Pune","Yes","No")</f>
        <v>Yes</v>
      </c>
      <c r="O2720" s="1" t="str">
        <f>IF(AND(Employee__2[[#This Row],[Education]]="Bachelors",Employee__2[[#This Row],[City]]="Pune"),"Yes","No")</f>
        <v>No</v>
      </c>
      <c r="P2720" s="1" t="str">
        <f>IF(OR(Employee__2[[#This Row],[Age]]&gt;=30,Employee__2[[#This Row],[Gender]]="Male"),"Mached","Not mached")</f>
        <v>Mached</v>
      </c>
    </row>
    <row r="2721" spans="4:16" x14ac:dyDescent="0.25">
      <c r="D2721" s="6" t="s">
        <v>34</v>
      </c>
      <c r="E2721">
        <v>2015</v>
      </c>
      <c r="F2721" s="6" t="s">
        <v>38</v>
      </c>
      <c r="G2721">
        <v>1</v>
      </c>
      <c r="H2721">
        <v>28</v>
      </c>
      <c r="I2721" s="6" t="s">
        <v>39</v>
      </c>
      <c r="J2721" s="6" t="s">
        <v>37</v>
      </c>
      <c r="K2721">
        <v>0</v>
      </c>
      <c r="M2721" s="1" t="b">
        <f>Employee__2[[#This Row],[Experience]]&gt;1</f>
        <v>0</v>
      </c>
      <c r="N2721" s="1" t="str">
        <f>IF(Employee__2[[#This Row],[City]]="Pune","Yes","No")</f>
        <v>Yes</v>
      </c>
      <c r="O2721" s="1" t="str">
        <f>IF(AND(Employee__2[[#This Row],[Education]]="Bachelors",Employee__2[[#This Row],[City]]="Pune"),"Yes","No")</f>
        <v>Yes</v>
      </c>
      <c r="P2721" s="1" t="str">
        <f>IF(OR(Employee__2[[#This Row],[Age]]&gt;=30,Employee__2[[#This Row],[Gender]]="Male"),"Mached","Not mached")</f>
        <v>Not mached</v>
      </c>
    </row>
    <row r="2722" spans="4:16" x14ac:dyDescent="0.25">
      <c r="D2722" s="6" t="s">
        <v>34</v>
      </c>
      <c r="E2722">
        <v>2014</v>
      </c>
      <c r="F2722" s="6" t="s">
        <v>35</v>
      </c>
      <c r="G2722">
        <v>3</v>
      </c>
      <c r="H2722">
        <v>29</v>
      </c>
      <c r="I2722" s="6" t="s">
        <v>36</v>
      </c>
      <c r="J2722" s="6" t="s">
        <v>37</v>
      </c>
      <c r="K2722">
        <v>4</v>
      </c>
      <c r="M2722" s="1" t="b">
        <f>Employee__2[[#This Row],[Experience]]&gt;1</f>
        <v>1</v>
      </c>
      <c r="N2722" s="1" t="str">
        <f>IF(Employee__2[[#This Row],[City]]="Pune","Yes","No")</f>
        <v>No</v>
      </c>
      <c r="O2722" s="1" t="str">
        <f>IF(AND(Employee__2[[#This Row],[Education]]="Bachelors",Employee__2[[#This Row],[City]]="Pune"),"Yes","No")</f>
        <v>No</v>
      </c>
      <c r="P2722" s="1" t="str">
        <f>IF(OR(Employee__2[[#This Row],[Age]]&gt;=30,Employee__2[[#This Row],[Gender]]="Male"),"Mached","Not mached")</f>
        <v>Mached</v>
      </c>
    </row>
    <row r="2723" spans="4:16" x14ac:dyDescent="0.25">
      <c r="D2723" s="6" t="s">
        <v>34</v>
      </c>
      <c r="E2723">
        <v>2017</v>
      </c>
      <c r="F2723" s="6" t="s">
        <v>40</v>
      </c>
      <c r="G2723">
        <v>3</v>
      </c>
      <c r="H2723">
        <v>29</v>
      </c>
      <c r="I2723" s="6" t="s">
        <v>39</v>
      </c>
      <c r="J2723" s="6" t="s">
        <v>37</v>
      </c>
      <c r="K2723">
        <v>3</v>
      </c>
      <c r="M2723" s="1" t="b">
        <f>Employee__2[[#This Row],[Experience]]&gt;1</f>
        <v>1</v>
      </c>
      <c r="N2723" s="1" t="str">
        <f>IF(Employee__2[[#This Row],[City]]="Pune","Yes","No")</f>
        <v>No</v>
      </c>
      <c r="O2723" s="1" t="str">
        <f>IF(AND(Employee__2[[#This Row],[Education]]="Bachelors",Employee__2[[#This Row],[City]]="Pune"),"Yes","No")</f>
        <v>No</v>
      </c>
      <c r="P2723" s="1" t="str">
        <f>IF(OR(Employee__2[[#This Row],[Age]]&gt;=30,Employee__2[[#This Row],[Gender]]="Male"),"Mached","Not mached")</f>
        <v>Not mached</v>
      </c>
    </row>
    <row r="2724" spans="4:16" x14ac:dyDescent="0.25">
      <c r="D2724" s="6" t="s">
        <v>43</v>
      </c>
      <c r="E2724">
        <v>2015</v>
      </c>
      <c r="F2724" s="6" t="s">
        <v>38</v>
      </c>
      <c r="G2724">
        <v>2</v>
      </c>
      <c r="H2724">
        <v>26</v>
      </c>
      <c r="I2724" s="6" t="s">
        <v>39</v>
      </c>
      <c r="J2724" s="6" t="s">
        <v>37</v>
      </c>
      <c r="K2724">
        <v>4</v>
      </c>
      <c r="M2724" s="1" t="b">
        <f>Employee__2[[#This Row],[Experience]]&gt;1</f>
        <v>1</v>
      </c>
      <c r="N2724" s="1" t="str">
        <f>IF(Employee__2[[#This Row],[City]]="Pune","Yes","No")</f>
        <v>Yes</v>
      </c>
      <c r="O2724" s="1" t="str">
        <f>IF(AND(Employee__2[[#This Row],[Education]]="Bachelors",Employee__2[[#This Row],[City]]="Pune"),"Yes","No")</f>
        <v>No</v>
      </c>
      <c r="P2724" s="1" t="str">
        <f>IF(OR(Employee__2[[#This Row],[Age]]&gt;=30,Employee__2[[#This Row],[Gender]]="Male"),"Mached","Not mached")</f>
        <v>Not mached</v>
      </c>
    </row>
    <row r="2725" spans="4:16" x14ac:dyDescent="0.25">
      <c r="D2725" s="6" t="s">
        <v>34</v>
      </c>
      <c r="E2725">
        <v>2017</v>
      </c>
      <c r="F2725" s="6" t="s">
        <v>35</v>
      </c>
      <c r="G2725">
        <v>3</v>
      </c>
      <c r="H2725">
        <v>30</v>
      </c>
      <c r="I2725" s="6" t="s">
        <v>39</v>
      </c>
      <c r="J2725" s="6" t="s">
        <v>37</v>
      </c>
      <c r="K2725">
        <v>5</v>
      </c>
      <c r="M2725" s="1" t="b">
        <f>Employee__2[[#This Row],[Experience]]&gt;1</f>
        <v>1</v>
      </c>
      <c r="N2725" s="1" t="str">
        <f>IF(Employee__2[[#This Row],[City]]="Pune","Yes","No")</f>
        <v>No</v>
      </c>
      <c r="O2725" s="1" t="str">
        <f>IF(AND(Employee__2[[#This Row],[Education]]="Bachelors",Employee__2[[#This Row],[City]]="Pune"),"Yes","No")</f>
        <v>No</v>
      </c>
      <c r="P2725" s="1" t="str">
        <f>IF(OR(Employee__2[[#This Row],[Age]]&gt;=30,Employee__2[[#This Row],[Gender]]="Male"),"Mached","Not mached")</f>
        <v>Mached</v>
      </c>
    </row>
    <row r="2726" spans="4:16" x14ac:dyDescent="0.25">
      <c r="D2726" s="6" t="s">
        <v>34</v>
      </c>
      <c r="E2726">
        <v>2016</v>
      </c>
      <c r="F2726" s="6" t="s">
        <v>38</v>
      </c>
      <c r="G2726">
        <v>3</v>
      </c>
      <c r="H2726">
        <v>26</v>
      </c>
      <c r="I2726" s="6" t="s">
        <v>36</v>
      </c>
      <c r="J2726" s="6" t="s">
        <v>37</v>
      </c>
      <c r="K2726">
        <v>4</v>
      </c>
      <c r="M2726" s="1" t="b">
        <f>Employee__2[[#This Row],[Experience]]&gt;1</f>
        <v>1</v>
      </c>
      <c r="N2726" s="1" t="str">
        <f>IF(Employee__2[[#This Row],[City]]="Pune","Yes","No")</f>
        <v>Yes</v>
      </c>
      <c r="O2726" s="1" t="str">
        <f>IF(AND(Employee__2[[#This Row],[Education]]="Bachelors",Employee__2[[#This Row],[City]]="Pune"),"Yes","No")</f>
        <v>Yes</v>
      </c>
      <c r="P2726" s="1" t="str">
        <f>IF(OR(Employee__2[[#This Row],[Age]]&gt;=30,Employee__2[[#This Row],[Gender]]="Male"),"Mached","Not mached")</f>
        <v>Mached</v>
      </c>
    </row>
    <row r="2727" spans="4:16" x14ac:dyDescent="0.25">
      <c r="D2727" s="6" t="s">
        <v>41</v>
      </c>
      <c r="E2727">
        <v>2013</v>
      </c>
      <c r="F2727" s="6" t="s">
        <v>38</v>
      </c>
      <c r="G2727">
        <v>3</v>
      </c>
      <c r="H2727">
        <v>26</v>
      </c>
      <c r="I2727" s="6" t="s">
        <v>36</v>
      </c>
      <c r="J2727" s="6" t="s">
        <v>37</v>
      </c>
      <c r="K2727">
        <v>4</v>
      </c>
      <c r="M2727" s="1" t="b">
        <f>Employee__2[[#This Row],[Experience]]&gt;1</f>
        <v>1</v>
      </c>
      <c r="N2727" s="1" t="str">
        <f>IF(Employee__2[[#This Row],[City]]="Pune","Yes","No")</f>
        <v>Yes</v>
      </c>
      <c r="O2727" s="1" t="str">
        <f>IF(AND(Employee__2[[#This Row],[Education]]="Bachelors",Employee__2[[#This Row],[City]]="Pune"),"Yes","No")</f>
        <v>No</v>
      </c>
      <c r="P2727" s="1" t="str">
        <f>IF(OR(Employee__2[[#This Row],[Age]]&gt;=30,Employee__2[[#This Row],[Gender]]="Male"),"Mached","Not mached")</f>
        <v>Mached</v>
      </c>
    </row>
    <row r="2728" spans="4:16" x14ac:dyDescent="0.25">
      <c r="D2728" s="6" t="s">
        <v>34</v>
      </c>
      <c r="E2728">
        <v>2012</v>
      </c>
      <c r="F2728" s="6" t="s">
        <v>38</v>
      </c>
      <c r="G2728">
        <v>2</v>
      </c>
      <c r="H2728">
        <v>29</v>
      </c>
      <c r="I2728" s="6" t="s">
        <v>39</v>
      </c>
      <c r="J2728" s="6" t="s">
        <v>37</v>
      </c>
      <c r="K2728">
        <v>2</v>
      </c>
      <c r="M2728" s="1" t="b">
        <f>Employee__2[[#This Row],[Experience]]&gt;1</f>
        <v>1</v>
      </c>
      <c r="N2728" s="1" t="str">
        <f>IF(Employee__2[[#This Row],[City]]="Pune","Yes","No")</f>
        <v>Yes</v>
      </c>
      <c r="O2728" s="1" t="str">
        <f>IF(AND(Employee__2[[#This Row],[Education]]="Bachelors",Employee__2[[#This Row],[City]]="Pune"),"Yes","No")</f>
        <v>Yes</v>
      </c>
      <c r="P2728" s="1" t="str">
        <f>IF(OR(Employee__2[[#This Row],[Age]]&gt;=30,Employee__2[[#This Row],[Gender]]="Male"),"Mached","Not mached")</f>
        <v>Not mached</v>
      </c>
    </row>
    <row r="2729" spans="4:16" x14ac:dyDescent="0.25">
      <c r="D2729" s="6" t="s">
        <v>34</v>
      </c>
      <c r="E2729">
        <v>2018</v>
      </c>
      <c r="F2729" s="6" t="s">
        <v>35</v>
      </c>
      <c r="G2729">
        <v>3</v>
      </c>
      <c r="H2729">
        <v>30</v>
      </c>
      <c r="I2729" s="6" t="s">
        <v>36</v>
      </c>
      <c r="J2729" s="6" t="s">
        <v>42</v>
      </c>
      <c r="K2729">
        <v>2</v>
      </c>
      <c r="M2729" s="1" t="b">
        <f>Employee__2[[#This Row],[Experience]]&gt;1</f>
        <v>1</v>
      </c>
      <c r="N2729" s="1" t="str">
        <f>IF(Employee__2[[#This Row],[City]]="Pune","Yes","No")</f>
        <v>No</v>
      </c>
      <c r="O2729" s="1" t="str">
        <f>IF(AND(Employee__2[[#This Row],[Education]]="Bachelors",Employee__2[[#This Row],[City]]="Pune"),"Yes","No")</f>
        <v>No</v>
      </c>
      <c r="P2729" s="1" t="str">
        <f>IF(OR(Employee__2[[#This Row],[Age]]&gt;=30,Employee__2[[#This Row],[Gender]]="Male"),"Mached","Not mached")</f>
        <v>Mached</v>
      </c>
    </row>
    <row r="2730" spans="4:16" x14ac:dyDescent="0.25">
      <c r="D2730" s="6" t="s">
        <v>34</v>
      </c>
      <c r="E2730">
        <v>2016</v>
      </c>
      <c r="F2730" s="6" t="s">
        <v>35</v>
      </c>
      <c r="G2730">
        <v>3</v>
      </c>
      <c r="H2730">
        <v>27</v>
      </c>
      <c r="I2730" s="6" t="s">
        <v>36</v>
      </c>
      <c r="J2730" s="6" t="s">
        <v>37</v>
      </c>
      <c r="K2730">
        <v>5</v>
      </c>
      <c r="M2730" s="1" t="b">
        <f>Employee__2[[#This Row],[Experience]]&gt;1</f>
        <v>1</v>
      </c>
      <c r="N2730" s="1" t="str">
        <f>IF(Employee__2[[#This Row],[City]]="Pune","Yes","No")</f>
        <v>No</v>
      </c>
      <c r="O2730" s="1" t="str">
        <f>IF(AND(Employee__2[[#This Row],[Education]]="Bachelors",Employee__2[[#This Row],[City]]="Pune"),"Yes","No")</f>
        <v>No</v>
      </c>
      <c r="P2730" s="1" t="str">
        <f>IF(OR(Employee__2[[#This Row],[Age]]&gt;=30,Employee__2[[#This Row],[Gender]]="Male"),"Mached","Not mached")</f>
        <v>Mached</v>
      </c>
    </row>
    <row r="2731" spans="4:16" x14ac:dyDescent="0.25">
      <c r="D2731" s="6" t="s">
        <v>34</v>
      </c>
      <c r="E2731">
        <v>2015</v>
      </c>
      <c r="F2731" s="6" t="s">
        <v>35</v>
      </c>
      <c r="G2731">
        <v>3</v>
      </c>
      <c r="H2731">
        <v>26</v>
      </c>
      <c r="I2731" s="6" t="s">
        <v>36</v>
      </c>
      <c r="J2731" s="6" t="s">
        <v>37</v>
      </c>
      <c r="K2731">
        <v>4</v>
      </c>
      <c r="M2731" s="1" t="b">
        <f>Employee__2[[#This Row],[Experience]]&gt;1</f>
        <v>1</v>
      </c>
      <c r="N2731" s="1" t="str">
        <f>IF(Employee__2[[#This Row],[City]]="Pune","Yes","No")</f>
        <v>No</v>
      </c>
      <c r="O2731" s="1" t="str">
        <f>IF(AND(Employee__2[[#This Row],[Education]]="Bachelors",Employee__2[[#This Row],[City]]="Pune"),"Yes","No")</f>
        <v>No</v>
      </c>
      <c r="P2731" s="1" t="str">
        <f>IF(OR(Employee__2[[#This Row],[Age]]&gt;=30,Employee__2[[#This Row],[Gender]]="Male"),"Mached","Not mached")</f>
        <v>Mached</v>
      </c>
    </row>
    <row r="2732" spans="4:16" x14ac:dyDescent="0.25">
      <c r="D2732" s="6" t="s">
        <v>34</v>
      </c>
      <c r="E2732">
        <v>2018</v>
      </c>
      <c r="F2732" s="6" t="s">
        <v>35</v>
      </c>
      <c r="G2732">
        <v>2</v>
      </c>
      <c r="H2732">
        <v>28</v>
      </c>
      <c r="I2732" s="6" t="s">
        <v>39</v>
      </c>
      <c r="J2732" s="6" t="s">
        <v>37</v>
      </c>
      <c r="K2732">
        <v>3</v>
      </c>
      <c r="M2732" s="1" t="b">
        <f>Employee__2[[#This Row],[Experience]]&gt;1</f>
        <v>1</v>
      </c>
      <c r="N2732" s="1" t="str">
        <f>IF(Employee__2[[#This Row],[City]]="Pune","Yes","No")</f>
        <v>No</v>
      </c>
      <c r="O2732" s="1" t="str">
        <f>IF(AND(Employee__2[[#This Row],[Education]]="Bachelors",Employee__2[[#This Row],[City]]="Pune"),"Yes","No")</f>
        <v>No</v>
      </c>
      <c r="P2732" s="1" t="str">
        <f>IF(OR(Employee__2[[#This Row],[Age]]&gt;=30,Employee__2[[#This Row],[Gender]]="Male"),"Mached","Not mached")</f>
        <v>Not mached</v>
      </c>
    </row>
    <row r="2733" spans="4:16" x14ac:dyDescent="0.25">
      <c r="D2733" s="6" t="s">
        <v>34</v>
      </c>
      <c r="E2733">
        <v>2012</v>
      </c>
      <c r="F2733" s="6" t="s">
        <v>35</v>
      </c>
      <c r="G2733">
        <v>3</v>
      </c>
      <c r="H2733">
        <v>28</v>
      </c>
      <c r="I2733" s="6" t="s">
        <v>36</v>
      </c>
      <c r="J2733" s="6" t="s">
        <v>37</v>
      </c>
      <c r="K2733">
        <v>0</v>
      </c>
      <c r="M2733" s="1" t="b">
        <f>Employee__2[[#This Row],[Experience]]&gt;1</f>
        <v>0</v>
      </c>
      <c r="N2733" s="1" t="str">
        <f>IF(Employee__2[[#This Row],[City]]="Pune","Yes","No")</f>
        <v>No</v>
      </c>
      <c r="O2733" s="1" t="str">
        <f>IF(AND(Employee__2[[#This Row],[Education]]="Bachelors",Employee__2[[#This Row],[City]]="Pune"),"Yes","No")</f>
        <v>No</v>
      </c>
      <c r="P2733" s="1" t="str">
        <f>IF(OR(Employee__2[[#This Row],[Age]]&gt;=30,Employee__2[[#This Row],[Gender]]="Male"),"Mached","Not mached")</f>
        <v>Mached</v>
      </c>
    </row>
    <row r="2734" spans="4:16" x14ac:dyDescent="0.25">
      <c r="D2734" s="6" t="s">
        <v>34</v>
      </c>
      <c r="E2734">
        <v>2014</v>
      </c>
      <c r="F2734" s="6" t="s">
        <v>35</v>
      </c>
      <c r="G2734">
        <v>3</v>
      </c>
      <c r="H2734">
        <v>27</v>
      </c>
      <c r="I2734" s="6" t="s">
        <v>36</v>
      </c>
      <c r="J2734" s="6" t="s">
        <v>37</v>
      </c>
      <c r="K2734">
        <v>5</v>
      </c>
      <c r="M2734" s="1" t="b">
        <f>Employee__2[[#This Row],[Experience]]&gt;1</f>
        <v>1</v>
      </c>
      <c r="N2734" s="1" t="str">
        <f>IF(Employee__2[[#This Row],[City]]="Pune","Yes","No")</f>
        <v>No</v>
      </c>
      <c r="O2734" s="1" t="str">
        <f>IF(AND(Employee__2[[#This Row],[Education]]="Bachelors",Employee__2[[#This Row],[City]]="Pune"),"Yes","No")</f>
        <v>No</v>
      </c>
      <c r="P2734" s="1" t="str">
        <f>IF(OR(Employee__2[[#This Row],[Age]]&gt;=30,Employee__2[[#This Row],[Gender]]="Male"),"Mached","Not mached")</f>
        <v>Mached</v>
      </c>
    </row>
    <row r="2735" spans="4:16" x14ac:dyDescent="0.25">
      <c r="D2735" s="6" t="s">
        <v>34</v>
      </c>
      <c r="E2735">
        <v>2012</v>
      </c>
      <c r="F2735" s="6" t="s">
        <v>35</v>
      </c>
      <c r="G2735">
        <v>3</v>
      </c>
      <c r="H2735">
        <v>28</v>
      </c>
      <c r="I2735" s="6" t="s">
        <v>39</v>
      </c>
      <c r="J2735" s="6" t="s">
        <v>42</v>
      </c>
      <c r="K2735">
        <v>0</v>
      </c>
      <c r="M2735" s="1" t="b">
        <f>Employee__2[[#This Row],[Experience]]&gt;1</f>
        <v>0</v>
      </c>
      <c r="N2735" s="1" t="str">
        <f>IF(Employee__2[[#This Row],[City]]="Pune","Yes","No")</f>
        <v>No</v>
      </c>
      <c r="O2735" s="1" t="str">
        <f>IF(AND(Employee__2[[#This Row],[Education]]="Bachelors",Employee__2[[#This Row],[City]]="Pune"),"Yes","No")</f>
        <v>No</v>
      </c>
      <c r="P2735" s="1" t="str">
        <f>IF(OR(Employee__2[[#This Row],[Age]]&gt;=30,Employee__2[[#This Row],[Gender]]="Male"),"Mached","Not mached")</f>
        <v>Not mached</v>
      </c>
    </row>
    <row r="2736" spans="4:16" x14ac:dyDescent="0.25">
      <c r="D2736" s="6" t="s">
        <v>41</v>
      </c>
      <c r="E2736">
        <v>2014</v>
      </c>
      <c r="F2736" s="6" t="s">
        <v>40</v>
      </c>
      <c r="G2736">
        <v>3</v>
      </c>
      <c r="H2736">
        <v>28</v>
      </c>
      <c r="I2736" s="6" t="s">
        <v>36</v>
      </c>
      <c r="J2736" s="6" t="s">
        <v>37</v>
      </c>
      <c r="K2736">
        <v>2</v>
      </c>
      <c r="M2736" s="1" t="b">
        <f>Employee__2[[#This Row],[Experience]]&gt;1</f>
        <v>1</v>
      </c>
      <c r="N2736" s="1" t="str">
        <f>IF(Employee__2[[#This Row],[City]]="Pune","Yes","No")</f>
        <v>No</v>
      </c>
      <c r="O2736" s="1" t="str">
        <f>IF(AND(Employee__2[[#This Row],[Education]]="Bachelors",Employee__2[[#This Row],[City]]="Pune"),"Yes","No")</f>
        <v>No</v>
      </c>
      <c r="P2736" s="1" t="str">
        <f>IF(OR(Employee__2[[#This Row],[Age]]&gt;=30,Employee__2[[#This Row],[Gender]]="Male"),"Mached","Not mached")</f>
        <v>Mached</v>
      </c>
    </row>
    <row r="2737" spans="4:16" x14ac:dyDescent="0.25">
      <c r="D2737" s="6" t="s">
        <v>34</v>
      </c>
      <c r="E2737">
        <v>2012</v>
      </c>
      <c r="F2737" s="6" t="s">
        <v>35</v>
      </c>
      <c r="G2737">
        <v>3</v>
      </c>
      <c r="H2737">
        <v>26</v>
      </c>
      <c r="I2737" s="6" t="s">
        <v>39</v>
      </c>
      <c r="J2737" s="6" t="s">
        <v>37</v>
      </c>
      <c r="K2737">
        <v>4</v>
      </c>
      <c r="M2737" s="1" t="b">
        <f>Employee__2[[#This Row],[Experience]]&gt;1</f>
        <v>1</v>
      </c>
      <c r="N2737" s="1" t="str">
        <f>IF(Employee__2[[#This Row],[City]]="Pune","Yes","No")</f>
        <v>No</v>
      </c>
      <c r="O2737" s="1" t="str">
        <f>IF(AND(Employee__2[[#This Row],[Education]]="Bachelors",Employee__2[[#This Row],[City]]="Pune"),"Yes","No")</f>
        <v>No</v>
      </c>
      <c r="P2737" s="1" t="str">
        <f>IF(OR(Employee__2[[#This Row],[Age]]&gt;=30,Employee__2[[#This Row],[Gender]]="Male"),"Mached","Not mached")</f>
        <v>Not mached</v>
      </c>
    </row>
    <row r="2738" spans="4:16" x14ac:dyDescent="0.25">
      <c r="D2738" s="6" t="s">
        <v>34</v>
      </c>
      <c r="E2738">
        <v>2015</v>
      </c>
      <c r="F2738" s="6" t="s">
        <v>38</v>
      </c>
      <c r="G2738">
        <v>3</v>
      </c>
      <c r="H2738">
        <v>27</v>
      </c>
      <c r="I2738" s="6" t="s">
        <v>36</v>
      </c>
      <c r="J2738" s="6" t="s">
        <v>37</v>
      </c>
      <c r="K2738">
        <v>5</v>
      </c>
      <c r="M2738" s="1" t="b">
        <f>Employee__2[[#This Row],[Experience]]&gt;1</f>
        <v>1</v>
      </c>
      <c r="N2738" s="1" t="str">
        <f>IF(Employee__2[[#This Row],[City]]="Pune","Yes","No")</f>
        <v>Yes</v>
      </c>
      <c r="O2738" s="1" t="str">
        <f>IF(AND(Employee__2[[#This Row],[Education]]="Bachelors",Employee__2[[#This Row],[City]]="Pune"),"Yes","No")</f>
        <v>Yes</v>
      </c>
      <c r="P2738" s="1" t="str">
        <f>IF(OR(Employee__2[[#This Row],[Age]]&gt;=30,Employee__2[[#This Row],[Gender]]="Male"),"Mached","Not mached")</f>
        <v>Mached</v>
      </c>
    </row>
    <row r="2739" spans="4:16" x14ac:dyDescent="0.25">
      <c r="D2739" s="6" t="s">
        <v>34</v>
      </c>
      <c r="E2739">
        <v>2016</v>
      </c>
      <c r="F2739" s="6" t="s">
        <v>35</v>
      </c>
      <c r="G2739">
        <v>3</v>
      </c>
      <c r="H2739">
        <v>28</v>
      </c>
      <c r="I2739" s="6" t="s">
        <v>36</v>
      </c>
      <c r="J2739" s="6" t="s">
        <v>42</v>
      </c>
      <c r="K2739">
        <v>2</v>
      </c>
      <c r="M2739" s="1" t="b">
        <f>Employee__2[[#This Row],[Experience]]&gt;1</f>
        <v>1</v>
      </c>
      <c r="N2739" s="1" t="str">
        <f>IF(Employee__2[[#This Row],[City]]="Pune","Yes","No")</f>
        <v>No</v>
      </c>
      <c r="O2739" s="1" t="str">
        <f>IF(AND(Employee__2[[#This Row],[Education]]="Bachelors",Employee__2[[#This Row],[City]]="Pune"),"Yes","No")</f>
        <v>No</v>
      </c>
      <c r="P2739" s="1" t="str">
        <f>IF(OR(Employee__2[[#This Row],[Age]]&gt;=30,Employee__2[[#This Row],[Gender]]="Male"),"Mached","Not mached")</f>
        <v>Mached</v>
      </c>
    </row>
    <row r="2740" spans="4:16" x14ac:dyDescent="0.25">
      <c r="D2740" s="6" t="s">
        <v>34</v>
      </c>
      <c r="E2740">
        <v>2018</v>
      </c>
      <c r="F2740" s="6" t="s">
        <v>38</v>
      </c>
      <c r="G2740">
        <v>3</v>
      </c>
      <c r="H2740">
        <v>29</v>
      </c>
      <c r="I2740" s="6" t="s">
        <v>36</v>
      </c>
      <c r="J2740" s="6" t="s">
        <v>42</v>
      </c>
      <c r="K2740">
        <v>3</v>
      </c>
      <c r="M2740" s="1" t="b">
        <f>Employee__2[[#This Row],[Experience]]&gt;1</f>
        <v>1</v>
      </c>
      <c r="N2740" s="1" t="str">
        <f>IF(Employee__2[[#This Row],[City]]="Pune","Yes","No")</f>
        <v>Yes</v>
      </c>
      <c r="O2740" s="1" t="str">
        <f>IF(AND(Employee__2[[#This Row],[Education]]="Bachelors",Employee__2[[#This Row],[City]]="Pune"),"Yes","No")</f>
        <v>Yes</v>
      </c>
      <c r="P2740" s="1" t="str">
        <f>IF(OR(Employee__2[[#This Row],[Age]]&gt;=30,Employee__2[[#This Row],[Gender]]="Male"),"Mached","Not mached")</f>
        <v>Mached</v>
      </c>
    </row>
    <row r="2741" spans="4:16" x14ac:dyDescent="0.25">
      <c r="D2741" s="6" t="s">
        <v>34</v>
      </c>
      <c r="E2741">
        <v>2014</v>
      </c>
      <c r="F2741" s="6" t="s">
        <v>40</v>
      </c>
      <c r="G2741">
        <v>3</v>
      </c>
      <c r="H2741">
        <v>29</v>
      </c>
      <c r="I2741" s="6" t="s">
        <v>36</v>
      </c>
      <c r="J2741" s="6" t="s">
        <v>42</v>
      </c>
      <c r="K2741">
        <v>4</v>
      </c>
      <c r="M2741" s="1" t="b">
        <f>Employee__2[[#This Row],[Experience]]&gt;1</f>
        <v>1</v>
      </c>
      <c r="N2741" s="1" t="str">
        <f>IF(Employee__2[[#This Row],[City]]="Pune","Yes","No")</f>
        <v>No</v>
      </c>
      <c r="O2741" s="1" t="str">
        <f>IF(AND(Employee__2[[#This Row],[Education]]="Bachelors",Employee__2[[#This Row],[City]]="Pune"),"Yes","No")</f>
        <v>No</v>
      </c>
      <c r="P2741" s="1" t="str">
        <f>IF(OR(Employee__2[[#This Row],[Age]]&gt;=30,Employee__2[[#This Row],[Gender]]="Male"),"Mached","Not mached")</f>
        <v>Mached</v>
      </c>
    </row>
    <row r="2742" spans="4:16" x14ac:dyDescent="0.25">
      <c r="D2742" s="6" t="s">
        <v>34</v>
      </c>
      <c r="E2742">
        <v>2015</v>
      </c>
      <c r="F2742" s="6" t="s">
        <v>35</v>
      </c>
      <c r="G2742">
        <v>3</v>
      </c>
      <c r="H2742">
        <v>29</v>
      </c>
      <c r="I2742" s="6" t="s">
        <v>36</v>
      </c>
      <c r="J2742" s="6" t="s">
        <v>37</v>
      </c>
      <c r="K2742">
        <v>1</v>
      </c>
      <c r="M2742" s="1" t="b">
        <f>Employee__2[[#This Row],[Experience]]&gt;1</f>
        <v>0</v>
      </c>
      <c r="N2742" s="1" t="str">
        <f>IF(Employee__2[[#This Row],[City]]="Pune","Yes","No")</f>
        <v>No</v>
      </c>
      <c r="O2742" s="1" t="str">
        <f>IF(AND(Employee__2[[#This Row],[Education]]="Bachelors",Employee__2[[#This Row],[City]]="Pune"),"Yes","No")</f>
        <v>No</v>
      </c>
      <c r="P2742" s="1" t="str">
        <f>IF(OR(Employee__2[[#This Row],[Age]]&gt;=30,Employee__2[[#This Row],[Gender]]="Male"),"Mached","Not mached")</f>
        <v>Mached</v>
      </c>
    </row>
    <row r="2743" spans="4:16" x14ac:dyDescent="0.25">
      <c r="D2743" s="6" t="s">
        <v>41</v>
      </c>
      <c r="E2743">
        <v>2018</v>
      </c>
      <c r="F2743" s="6" t="s">
        <v>35</v>
      </c>
      <c r="G2743">
        <v>3</v>
      </c>
      <c r="H2743">
        <v>27</v>
      </c>
      <c r="I2743" s="6" t="s">
        <v>36</v>
      </c>
      <c r="J2743" s="6" t="s">
        <v>42</v>
      </c>
      <c r="K2743">
        <v>5</v>
      </c>
      <c r="M2743" s="1" t="b">
        <f>Employee__2[[#This Row],[Experience]]&gt;1</f>
        <v>1</v>
      </c>
      <c r="N2743" s="1" t="str">
        <f>IF(Employee__2[[#This Row],[City]]="Pune","Yes","No")</f>
        <v>No</v>
      </c>
      <c r="O2743" s="1" t="str">
        <f>IF(AND(Employee__2[[#This Row],[Education]]="Bachelors",Employee__2[[#This Row],[City]]="Pune"),"Yes","No")</f>
        <v>No</v>
      </c>
      <c r="P2743" s="1" t="str">
        <f>IF(OR(Employee__2[[#This Row],[Age]]&gt;=30,Employee__2[[#This Row],[Gender]]="Male"),"Mached","Not mached")</f>
        <v>Mached</v>
      </c>
    </row>
    <row r="2744" spans="4:16" x14ac:dyDescent="0.25">
      <c r="D2744" s="6" t="s">
        <v>34</v>
      </c>
      <c r="E2744">
        <v>2014</v>
      </c>
      <c r="F2744" s="6" t="s">
        <v>35</v>
      </c>
      <c r="G2744">
        <v>3</v>
      </c>
      <c r="H2744">
        <v>28</v>
      </c>
      <c r="I2744" s="6" t="s">
        <v>36</v>
      </c>
      <c r="J2744" s="6" t="s">
        <v>37</v>
      </c>
      <c r="K2744">
        <v>5</v>
      </c>
      <c r="M2744" s="1" t="b">
        <f>Employee__2[[#This Row],[Experience]]&gt;1</f>
        <v>1</v>
      </c>
      <c r="N2744" s="1" t="str">
        <f>IF(Employee__2[[#This Row],[City]]="Pune","Yes","No")</f>
        <v>No</v>
      </c>
      <c r="O2744" s="1" t="str">
        <f>IF(AND(Employee__2[[#This Row],[Education]]="Bachelors",Employee__2[[#This Row],[City]]="Pune"),"Yes","No")</f>
        <v>No</v>
      </c>
      <c r="P2744" s="1" t="str">
        <f>IF(OR(Employee__2[[#This Row],[Age]]&gt;=30,Employee__2[[#This Row],[Gender]]="Male"),"Mached","Not mached")</f>
        <v>Mached</v>
      </c>
    </row>
    <row r="2745" spans="4:16" x14ac:dyDescent="0.25">
      <c r="D2745" s="6" t="s">
        <v>41</v>
      </c>
      <c r="E2745">
        <v>2017</v>
      </c>
      <c r="F2745" s="6" t="s">
        <v>38</v>
      </c>
      <c r="G2745">
        <v>2</v>
      </c>
      <c r="H2745">
        <v>27</v>
      </c>
      <c r="I2745" s="6" t="s">
        <v>36</v>
      </c>
      <c r="J2745" s="6" t="s">
        <v>37</v>
      </c>
      <c r="K2745">
        <v>5</v>
      </c>
      <c r="M2745" s="1" t="b">
        <f>Employee__2[[#This Row],[Experience]]&gt;1</f>
        <v>1</v>
      </c>
      <c r="N2745" s="1" t="str">
        <f>IF(Employee__2[[#This Row],[City]]="Pune","Yes","No")</f>
        <v>Yes</v>
      </c>
      <c r="O2745" s="1" t="str">
        <f>IF(AND(Employee__2[[#This Row],[Education]]="Bachelors",Employee__2[[#This Row],[City]]="Pune"),"Yes","No")</f>
        <v>No</v>
      </c>
      <c r="P2745" s="1" t="str">
        <f>IF(OR(Employee__2[[#This Row],[Age]]&gt;=30,Employee__2[[#This Row],[Gender]]="Male"),"Mached","Not mached")</f>
        <v>Mached</v>
      </c>
    </row>
    <row r="2746" spans="4:16" x14ac:dyDescent="0.25">
      <c r="D2746" s="6" t="s">
        <v>34</v>
      </c>
      <c r="E2746">
        <v>2017</v>
      </c>
      <c r="F2746" s="6" t="s">
        <v>38</v>
      </c>
      <c r="G2746">
        <v>2</v>
      </c>
      <c r="H2746">
        <v>27</v>
      </c>
      <c r="I2746" s="6" t="s">
        <v>36</v>
      </c>
      <c r="J2746" s="6" t="s">
        <v>37</v>
      </c>
      <c r="K2746">
        <v>5</v>
      </c>
      <c r="M2746" s="1" t="b">
        <f>Employee__2[[#This Row],[Experience]]&gt;1</f>
        <v>1</v>
      </c>
      <c r="N2746" s="1" t="str">
        <f>IF(Employee__2[[#This Row],[City]]="Pune","Yes","No")</f>
        <v>Yes</v>
      </c>
      <c r="O2746" s="1" t="str">
        <f>IF(AND(Employee__2[[#This Row],[Education]]="Bachelors",Employee__2[[#This Row],[City]]="Pune"),"Yes","No")</f>
        <v>Yes</v>
      </c>
      <c r="P2746" s="1" t="str">
        <f>IF(OR(Employee__2[[#This Row],[Age]]&gt;=30,Employee__2[[#This Row],[Gender]]="Male"),"Mached","Not mached")</f>
        <v>Mached</v>
      </c>
    </row>
    <row r="2747" spans="4:16" x14ac:dyDescent="0.25">
      <c r="D2747" s="6" t="s">
        <v>34</v>
      </c>
      <c r="E2747">
        <v>2014</v>
      </c>
      <c r="F2747" s="6" t="s">
        <v>35</v>
      </c>
      <c r="G2747">
        <v>3</v>
      </c>
      <c r="H2747">
        <v>28</v>
      </c>
      <c r="I2747" s="6" t="s">
        <v>36</v>
      </c>
      <c r="J2747" s="6" t="s">
        <v>37</v>
      </c>
      <c r="K2747">
        <v>4</v>
      </c>
      <c r="M2747" s="1" t="b">
        <f>Employee__2[[#This Row],[Experience]]&gt;1</f>
        <v>1</v>
      </c>
      <c r="N2747" s="1" t="str">
        <f>IF(Employee__2[[#This Row],[City]]="Pune","Yes","No")</f>
        <v>No</v>
      </c>
      <c r="O2747" s="1" t="str">
        <f>IF(AND(Employee__2[[#This Row],[Education]]="Bachelors",Employee__2[[#This Row],[City]]="Pune"),"Yes","No")</f>
        <v>No</v>
      </c>
      <c r="P2747" s="1" t="str">
        <f>IF(OR(Employee__2[[#This Row],[Age]]&gt;=30,Employee__2[[#This Row],[Gender]]="Male"),"Mached","Not mached")</f>
        <v>Mached</v>
      </c>
    </row>
    <row r="2748" spans="4:16" x14ac:dyDescent="0.25">
      <c r="D2748" s="6" t="s">
        <v>34</v>
      </c>
      <c r="E2748">
        <v>2017</v>
      </c>
      <c r="F2748" s="6" t="s">
        <v>40</v>
      </c>
      <c r="G2748">
        <v>2</v>
      </c>
      <c r="H2748">
        <v>26</v>
      </c>
      <c r="I2748" s="6" t="s">
        <v>36</v>
      </c>
      <c r="J2748" s="6" t="s">
        <v>37</v>
      </c>
      <c r="K2748">
        <v>4</v>
      </c>
      <c r="M2748" s="1" t="b">
        <f>Employee__2[[#This Row],[Experience]]&gt;1</f>
        <v>1</v>
      </c>
      <c r="N2748" s="1" t="str">
        <f>IF(Employee__2[[#This Row],[City]]="Pune","Yes","No")</f>
        <v>No</v>
      </c>
      <c r="O2748" s="1" t="str">
        <f>IF(AND(Employee__2[[#This Row],[Education]]="Bachelors",Employee__2[[#This Row],[City]]="Pune"),"Yes","No")</f>
        <v>No</v>
      </c>
      <c r="P2748" s="1" t="str">
        <f>IF(OR(Employee__2[[#This Row],[Age]]&gt;=30,Employee__2[[#This Row],[Gender]]="Male"),"Mached","Not mached")</f>
        <v>Mached</v>
      </c>
    </row>
    <row r="2749" spans="4:16" x14ac:dyDescent="0.25">
      <c r="D2749" s="6" t="s">
        <v>34</v>
      </c>
      <c r="E2749">
        <v>2017</v>
      </c>
      <c r="F2749" s="6" t="s">
        <v>38</v>
      </c>
      <c r="G2749">
        <v>3</v>
      </c>
      <c r="H2749">
        <v>29</v>
      </c>
      <c r="I2749" s="6" t="s">
        <v>39</v>
      </c>
      <c r="J2749" s="6" t="s">
        <v>37</v>
      </c>
      <c r="K2749">
        <v>0</v>
      </c>
      <c r="M2749" s="1" t="b">
        <f>Employee__2[[#This Row],[Experience]]&gt;1</f>
        <v>0</v>
      </c>
      <c r="N2749" s="1" t="str">
        <f>IF(Employee__2[[#This Row],[City]]="Pune","Yes","No")</f>
        <v>Yes</v>
      </c>
      <c r="O2749" s="1" t="str">
        <f>IF(AND(Employee__2[[#This Row],[Education]]="Bachelors",Employee__2[[#This Row],[City]]="Pune"),"Yes","No")</f>
        <v>Yes</v>
      </c>
      <c r="P2749" s="1" t="str">
        <f>IF(OR(Employee__2[[#This Row],[Age]]&gt;=30,Employee__2[[#This Row],[Gender]]="Male"),"Mached","Not mached")</f>
        <v>Not mached</v>
      </c>
    </row>
    <row r="2750" spans="4:16" x14ac:dyDescent="0.25">
      <c r="D2750" s="6" t="s">
        <v>34</v>
      </c>
      <c r="E2750">
        <v>2012</v>
      </c>
      <c r="F2750" s="6" t="s">
        <v>35</v>
      </c>
      <c r="G2750">
        <v>3</v>
      </c>
      <c r="H2750">
        <v>26</v>
      </c>
      <c r="I2750" s="6" t="s">
        <v>39</v>
      </c>
      <c r="J2750" s="6" t="s">
        <v>37</v>
      </c>
      <c r="K2750">
        <v>4</v>
      </c>
      <c r="M2750" s="1" t="b">
        <f>Employee__2[[#This Row],[Experience]]&gt;1</f>
        <v>1</v>
      </c>
      <c r="N2750" s="1" t="str">
        <f>IF(Employee__2[[#This Row],[City]]="Pune","Yes","No")</f>
        <v>No</v>
      </c>
      <c r="O2750" s="1" t="str">
        <f>IF(AND(Employee__2[[#This Row],[Education]]="Bachelors",Employee__2[[#This Row],[City]]="Pune"),"Yes","No")</f>
        <v>No</v>
      </c>
      <c r="P2750" s="1" t="str">
        <f>IF(OR(Employee__2[[#This Row],[Age]]&gt;=30,Employee__2[[#This Row],[Gender]]="Male"),"Mached","Not mached")</f>
        <v>Not mached</v>
      </c>
    </row>
    <row r="2751" spans="4:16" x14ac:dyDescent="0.25">
      <c r="D2751" s="6" t="s">
        <v>34</v>
      </c>
      <c r="E2751">
        <v>2017</v>
      </c>
      <c r="F2751" s="6" t="s">
        <v>40</v>
      </c>
      <c r="G2751">
        <v>2</v>
      </c>
      <c r="H2751">
        <v>26</v>
      </c>
      <c r="I2751" s="6" t="s">
        <v>39</v>
      </c>
      <c r="J2751" s="6" t="s">
        <v>37</v>
      </c>
      <c r="K2751">
        <v>4</v>
      </c>
      <c r="M2751" s="1" t="b">
        <f>Employee__2[[#This Row],[Experience]]&gt;1</f>
        <v>1</v>
      </c>
      <c r="N2751" s="1" t="str">
        <f>IF(Employee__2[[#This Row],[City]]="Pune","Yes","No")</f>
        <v>No</v>
      </c>
      <c r="O2751" s="1" t="str">
        <f>IF(AND(Employee__2[[#This Row],[Education]]="Bachelors",Employee__2[[#This Row],[City]]="Pune"),"Yes","No")</f>
        <v>No</v>
      </c>
      <c r="P2751" s="1" t="str">
        <f>IF(OR(Employee__2[[#This Row],[Age]]&gt;=30,Employee__2[[#This Row],[Gender]]="Male"),"Mached","Not mached")</f>
        <v>Not mached</v>
      </c>
    </row>
    <row r="2752" spans="4:16" x14ac:dyDescent="0.25">
      <c r="D2752" s="6" t="s">
        <v>34</v>
      </c>
      <c r="E2752">
        <v>2017</v>
      </c>
      <c r="F2752" s="6" t="s">
        <v>38</v>
      </c>
      <c r="G2752">
        <v>2</v>
      </c>
      <c r="H2752">
        <v>26</v>
      </c>
      <c r="I2752" s="6" t="s">
        <v>39</v>
      </c>
      <c r="J2752" s="6" t="s">
        <v>37</v>
      </c>
      <c r="K2752">
        <v>4</v>
      </c>
      <c r="M2752" s="1" t="b">
        <f>Employee__2[[#This Row],[Experience]]&gt;1</f>
        <v>1</v>
      </c>
      <c r="N2752" s="1" t="str">
        <f>IF(Employee__2[[#This Row],[City]]="Pune","Yes","No")</f>
        <v>Yes</v>
      </c>
      <c r="O2752" s="1" t="str">
        <f>IF(AND(Employee__2[[#This Row],[Education]]="Bachelors",Employee__2[[#This Row],[City]]="Pune"),"Yes","No")</f>
        <v>Yes</v>
      </c>
      <c r="P2752" s="1" t="str">
        <f>IF(OR(Employee__2[[#This Row],[Age]]&gt;=30,Employee__2[[#This Row],[Gender]]="Male"),"Mached","Not mached")</f>
        <v>Not mached</v>
      </c>
    </row>
    <row r="2753" spans="4:16" x14ac:dyDescent="0.25">
      <c r="D2753" s="6" t="s">
        <v>34</v>
      </c>
      <c r="E2753">
        <v>2014</v>
      </c>
      <c r="F2753" s="6" t="s">
        <v>35</v>
      </c>
      <c r="G2753">
        <v>3</v>
      </c>
      <c r="H2753">
        <v>30</v>
      </c>
      <c r="I2753" s="6" t="s">
        <v>36</v>
      </c>
      <c r="J2753" s="6" t="s">
        <v>37</v>
      </c>
      <c r="K2753">
        <v>1</v>
      </c>
      <c r="M2753" s="1" t="b">
        <f>Employee__2[[#This Row],[Experience]]&gt;1</f>
        <v>0</v>
      </c>
      <c r="N2753" s="1" t="str">
        <f>IF(Employee__2[[#This Row],[City]]="Pune","Yes","No")</f>
        <v>No</v>
      </c>
      <c r="O2753" s="1" t="str">
        <f>IF(AND(Employee__2[[#This Row],[Education]]="Bachelors",Employee__2[[#This Row],[City]]="Pune"),"Yes","No")</f>
        <v>No</v>
      </c>
      <c r="P2753" s="1" t="str">
        <f>IF(OR(Employee__2[[#This Row],[Age]]&gt;=30,Employee__2[[#This Row],[Gender]]="Male"),"Mached","Not mached")</f>
        <v>Mached</v>
      </c>
    </row>
    <row r="2754" spans="4:16" x14ac:dyDescent="0.25">
      <c r="D2754" s="6" t="s">
        <v>34</v>
      </c>
      <c r="E2754">
        <v>2018</v>
      </c>
      <c r="F2754" s="6" t="s">
        <v>35</v>
      </c>
      <c r="G2754">
        <v>3</v>
      </c>
      <c r="H2754">
        <v>29</v>
      </c>
      <c r="I2754" s="6" t="s">
        <v>36</v>
      </c>
      <c r="J2754" s="6" t="s">
        <v>37</v>
      </c>
      <c r="K2754">
        <v>2</v>
      </c>
      <c r="M2754" s="1" t="b">
        <f>Employee__2[[#This Row],[Experience]]&gt;1</f>
        <v>1</v>
      </c>
      <c r="N2754" s="1" t="str">
        <f>IF(Employee__2[[#This Row],[City]]="Pune","Yes","No")</f>
        <v>No</v>
      </c>
      <c r="O2754" s="1" t="str">
        <f>IF(AND(Employee__2[[#This Row],[Education]]="Bachelors",Employee__2[[#This Row],[City]]="Pune"),"Yes","No")</f>
        <v>No</v>
      </c>
      <c r="P2754" s="1" t="str">
        <f>IF(OR(Employee__2[[#This Row],[Age]]&gt;=30,Employee__2[[#This Row],[Gender]]="Male"),"Mached","Not mached")</f>
        <v>Mached</v>
      </c>
    </row>
    <row r="2755" spans="4:16" x14ac:dyDescent="0.25">
      <c r="D2755" s="6" t="s">
        <v>41</v>
      </c>
      <c r="E2755">
        <v>2013</v>
      </c>
      <c r="F2755" s="6" t="s">
        <v>35</v>
      </c>
      <c r="G2755">
        <v>3</v>
      </c>
      <c r="H2755">
        <v>30</v>
      </c>
      <c r="I2755" s="6" t="s">
        <v>36</v>
      </c>
      <c r="J2755" s="6" t="s">
        <v>37</v>
      </c>
      <c r="K2755">
        <v>2</v>
      </c>
      <c r="M2755" s="1" t="b">
        <f>Employee__2[[#This Row],[Experience]]&gt;1</f>
        <v>1</v>
      </c>
      <c r="N2755" s="1" t="str">
        <f>IF(Employee__2[[#This Row],[City]]="Pune","Yes","No")</f>
        <v>No</v>
      </c>
      <c r="O2755" s="1" t="str">
        <f>IF(AND(Employee__2[[#This Row],[Education]]="Bachelors",Employee__2[[#This Row],[City]]="Pune"),"Yes","No")</f>
        <v>No</v>
      </c>
      <c r="P2755" s="1" t="str">
        <f>IF(OR(Employee__2[[#This Row],[Age]]&gt;=30,Employee__2[[#This Row],[Gender]]="Male"),"Mached","Not mached")</f>
        <v>Mached</v>
      </c>
    </row>
    <row r="2756" spans="4:16" x14ac:dyDescent="0.25">
      <c r="D2756" s="6" t="s">
        <v>34</v>
      </c>
      <c r="E2756">
        <v>2016</v>
      </c>
      <c r="F2756" s="6" t="s">
        <v>35</v>
      </c>
      <c r="G2756">
        <v>3</v>
      </c>
      <c r="H2756">
        <v>27</v>
      </c>
      <c r="I2756" s="6" t="s">
        <v>39</v>
      </c>
      <c r="J2756" s="6" t="s">
        <v>37</v>
      </c>
      <c r="K2756">
        <v>5</v>
      </c>
      <c r="M2756" s="1" t="b">
        <f>Employee__2[[#This Row],[Experience]]&gt;1</f>
        <v>1</v>
      </c>
      <c r="N2756" s="1" t="str">
        <f>IF(Employee__2[[#This Row],[City]]="Pune","Yes","No")</f>
        <v>No</v>
      </c>
      <c r="O2756" s="1" t="str">
        <f>IF(AND(Employee__2[[#This Row],[Education]]="Bachelors",Employee__2[[#This Row],[City]]="Pune"),"Yes","No")</f>
        <v>No</v>
      </c>
      <c r="P2756" s="1" t="str">
        <f>IF(OR(Employee__2[[#This Row],[Age]]&gt;=30,Employee__2[[#This Row],[Gender]]="Male"),"Mached","Not mached")</f>
        <v>Not mached</v>
      </c>
    </row>
    <row r="2757" spans="4:16" x14ac:dyDescent="0.25">
      <c r="D2757" s="6" t="s">
        <v>34</v>
      </c>
      <c r="E2757">
        <v>2016</v>
      </c>
      <c r="F2757" s="6" t="s">
        <v>40</v>
      </c>
      <c r="G2757">
        <v>3</v>
      </c>
      <c r="H2757">
        <v>26</v>
      </c>
      <c r="I2757" s="6" t="s">
        <v>39</v>
      </c>
      <c r="J2757" s="6" t="s">
        <v>37</v>
      </c>
      <c r="K2757">
        <v>4</v>
      </c>
      <c r="M2757" s="1" t="b">
        <f>Employee__2[[#This Row],[Experience]]&gt;1</f>
        <v>1</v>
      </c>
      <c r="N2757" s="1" t="str">
        <f>IF(Employee__2[[#This Row],[City]]="Pune","Yes","No")</f>
        <v>No</v>
      </c>
      <c r="O2757" s="1" t="str">
        <f>IF(AND(Employee__2[[#This Row],[Education]]="Bachelors",Employee__2[[#This Row],[City]]="Pune"),"Yes","No")</f>
        <v>No</v>
      </c>
      <c r="P2757" s="1" t="str">
        <f>IF(OR(Employee__2[[#This Row],[Age]]&gt;=30,Employee__2[[#This Row],[Gender]]="Male"),"Mached","Not mached")</f>
        <v>Not mached</v>
      </c>
    </row>
    <row r="2758" spans="4:16" x14ac:dyDescent="0.25">
      <c r="D2758" s="6" t="s">
        <v>34</v>
      </c>
      <c r="E2758">
        <v>2017</v>
      </c>
      <c r="F2758" s="6" t="s">
        <v>35</v>
      </c>
      <c r="G2758">
        <v>1</v>
      </c>
      <c r="H2758">
        <v>30</v>
      </c>
      <c r="I2758" s="6" t="s">
        <v>36</v>
      </c>
      <c r="J2758" s="6" t="s">
        <v>37</v>
      </c>
      <c r="K2758">
        <v>1</v>
      </c>
      <c r="M2758" s="1" t="b">
        <f>Employee__2[[#This Row],[Experience]]&gt;1</f>
        <v>0</v>
      </c>
      <c r="N2758" s="1" t="str">
        <f>IF(Employee__2[[#This Row],[City]]="Pune","Yes","No")</f>
        <v>No</v>
      </c>
      <c r="O2758" s="1" t="str">
        <f>IF(AND(Employee__2[[#This Row],[Education]]="Bachelors",Employee__2[[#This Row],[City]]="Pune"),"Yes","No")</f>
        <v>No</v>
      </c>
      <c r="P2758" s="1" t="str">
        <f>IF(OR(Employee__2[[#This Row],[Age]]&gt;=30,Employee__2[[#This Row],[Gender]]="Male"),"Mached","Not mached")</f>
        <v>Mached</v>
      </c>
    </row>
    <row r="2759" spans="4:16" x14ac:dyDescent="0.25">
      <c r="D2759" s="6" t="s">
        <v>34</v>
      </c>
      <c r="E2759">
        <v>2015</v>
      </c>
      <c r="F2759" s="6" t="s">
        <v>40</v>
      </c>
      <c r="G2759">
        <v>3</v>
      </c>
      <c r="H2759">
        <v>30</v>
      </c>
      <c r="I2759" s="6" t="s">
        <v>39</v>
      </c>
      <c r="J2759" s="6" t="s">
        <v>42</v>
      </c>
      <c r="K2759">
        <v>1</v>
      </c>
      <c r="M2759" s="1" t="b">
        <f>Employee__2[[#This Row],[Experience]]&gt;1</f>
        <v>0</v>
      </c>
      <c r="N2759" s="1" t="str">
        <f>IF(Employee__2[[#This Row],[City]]="Pune","Yes","No")</f>
        <v>No</v>
      </c>
      <c r="O2759" s="1" t="str">
        <f>IF(AND(Employee__2[[#This Row],[Education]]="Bachelors",Employee__2[[#This Row],[City]]="Pune"),"Yes","No")</f>
        <v>No</v>
      </c>
      <c r="P2759" s="1" t="str">
        <f>IF(OR(Employee__2[[#This Row],[Age]]&gt;=30,Employee__2[[#This Row],[Gender]]="Male"),"Mached","Not mached")</f>
        <v>Mached</v>
      </c>
    </row>
    <row r="2760" spans="4:16" x14ac:dyDescent="0.25">
      <c r="D2760" s="6" t="s">
        <v>34</v>
      </c>
      <c r="E2760">
        <v>2013</v>
      </c>
      <c r="F2760" s="6" t="s">
        <v>38</v>
      </c>
      <c r="G2760">
        <v>3</v>
      </c>
      <c r="H2760">
        <v>30</v>
      </c>
      <c r="I2760" s="6" t="s">
        <v>36</v>
      </c>
      <c r="J2760" s="6" t="s">
        <v>37</v>
      </c>
      <c r="K2760">
        <v>0</v>
      </c>
      <c r="M2760" s="1" t="b">
        <f>Employee__2[[#This Row],[Experience]]&gt;1</f>
        <v>0</v>
      </c>
      <c r="N2760" s="1" t="str">
        <f>IF(Employee__2[[#This Row],[City]]="Pune","Yes","No")</f>
        <v>Yes</v>
      </c>
      <c r="O2760" s="1" t="str">
        <f>IF(AND(Employee__2[[#This Row],[Education]]="Bachelors",Employee__2[[#This Row],[City]]="Pune"),"Yes","No")</f>
        <v>Yes</v>
      </c>
      <c r="P2760" s="1" t="str">
        <f>IF(OR(Employee__2[[#This Row],[Age]]&gt;=30,Employee__2[[#This Row],[Gender]]="Male"),"Mached","Not mached")</f>
        <v>Mached</v>
      </c>
    </row>
    <row r="2761" spans="4:16" x14ac:dyDescent="0.25">
      <c r="D2761" s="6" t="s">
        <v>34</v>
      </c>
      <c r="E2761">
        <v>2015</v>
      </c>
      <c r="F2761" s="6" t="s">
        <v>38</v>
      </c>
      <c r="G2761">
        <v>3</v>
      </c>
      <c r="H2761">
        <v>27</v>
      </c>
      <c r="I2761" s="6" t="s">
        <v>36</v>
      </c>
      <c r="J2761" s="6" t="s">
        <v>37</v>
      </c>
      <c r="K2761">
        <v>5</v>
      </c>
      <c r="M2761" s="1" t="b">
        <f>Employee__2[[#This Row],[Experience]]&gt;1</f>
        <v>1</v>
      </c>
      <c r="N2761" s="1" t="str">
        <f>IF(Employee__2[[#This Row],[City]]="Pune","Yes","No")</f>
        <v>Yes</v>
      </c>
      <c r="O2761" s="1" t="str">
        <f>IF(AND(Employee__2[[#This Row],[Education]]="Bachelors",Employee__2[[#This Row],[City]]="Pune"),"Yes","No")</f>
        <v>Yes</v>
      </c>
      <c r="P2761" s="1" t="str">
        <f>IF(OR(Employee__2[[#This Row],[Age]]&gt;=30,Employee__2[[#This Row],[Gender]]="Male"),"Mached","Not mached")</f>
        <v>Mached</v>
      </c>
    </row>
    <row r="2762" spans="4:16" x14ac:dyDescent="0.25">
      <c r="D2762" s="6" t="s">
        <v>34</v>
      </c>
      <c r="E2762">
        <v>2017</v>
      </c>
      <c r="F2762" s="6" t="s">
        <v>38</v>
      </c>
      <c r="G2762">
        <v>3</v>
      </c>
      <c r="H2762">
        <v>30</v>
      </c>
      <c r="I2762" s="6" t="s">
        <v>39</v>
      </c>
      <c r="J2762" s="6" t="s">
        <v>37</v>
      </c>
      <c r="K2762">
        <v>1</v>
      </c>
      <c r="M2762" s="1" t="b">
        <f>Employee__2[[#This Row],[Experience]]&gt;1</f>
        <v>0</v>
      </c>
      <c r="N2762" s="1" t="str">
        <f>IF(Employee__2[[#This Row],[City]]="Pune","Yes","No")</f>
        <v>Yes</v>
      </c>
      <c r="O2762" s="1" t="str">
        <f>IF(AND(Employee__2[[#This Row],[Education]]="Bachelors",Employee__2[[#This Row],[City]]="Pune"),"Yes","No")</f>
        <v>Yes</v>
      </c>
      <c r="P2762" s="1" t="str">
        <f>IF(OR(Employee__2[[#This Row],[Age]]&gt;=30,Employee__2[[#This Row],[Gender]]="Male"),"Mached","Not mached")</f>
        <v>Mached</v>
      </c>
    </row>
    <row r="2763" spans="4:16" x14ac:dyDescent="0.25">
      <c r="D2763" s="6" t="s">
        <v>43</v>
      </c>
      <c r="E2763">
        <v>2018</v>
      </c>
      <c r="F2763" s="6" t="s">
        <v>40</v>
      </c>
      <c r="G2763">
        <v>3</v>
      </c>
      <c r="H2763">
        <v>30</v>
      </c>
      <c r="I2763" s="6" t="s">
        <v>36</v>
      </c>
      <c r="J2763" s="6" t="s">
        <v>37</v>
      </c>
      <c r="K2763">
        <v>2</v>
      </c>
      <c r="M2763" s="1" t="b">
        <f>Employee__2[[#This Row],[Experience]]&gt;1</f>
        <v>1</v>
      </c>
      <c r="N2763" s="1" t="str">
        <f>IF(Employee__2[[#This Row],[City]]="Pune","Yes","No")</f>
        <v>No</v>
      </c>
      <c r="O2763" s="1" t="str">
        <f>IF(AND(Employee__2[[#This Row],[Education]]="Bachelors",Employee__2[[#This Row],[City]]="Pune"),"Yes","No")</f>
        <v>No</v>
      </c>
      <c r="P2763" s="1" t="str">
        <f>IF(OR(Employee__2[[#This Row],[Age]]&gt;=30,Employee__2[[#This Row],[Gender]]="Male"),"Mached","Not mached")</f>
        <v>Mached</v>
      </c>
    </row>
    <row r="2764" spans="4:16" x14ac:dyDescent="0.25">
      <c r="D2764" s="6" t="s">
        <v>34</v>
      </c>
      <c r="E2764">
        <v>2018</v>
      </c>
      <c r="F2764" s="6" t="s">
        <v>35</v>
      </c>
      <c r="G2764">
        <v>3</v>
      </c>
      <c r="H2764">
        <v>29</v>
      </c>
      <c r="I2764" s="6" t="s">
        <v>36</v>
      </c>
      <c r="J2764" s="6" t="s">
        <v>42</v>
      </c>
      <c r="K2764">
        <v>1</v>
      </c>
      <c r="M2764" s="1" t="b">
        <f>Employee__2[[#This Row],[Experience]]&gt;1</f>
        <v>0</v>
      </c>
      <c r="N2764" s="1" t="str">
        <f>IF(Employee__2[[#This Row],[City]]="Pune","Yes","No")</f>
        <v>No</v>
      </c>
      <c r="O2764" s="1" t="str">
        <f>IF(AND(Employee__2[[#This Row],[Education]]="Bachelors",Employee__2[[#This Row],[City]]="Pune"),"Yes","No")</f>
        <v>No</v>
      </c>
      <c r="P2764" s="1" t="str">
        <f>IF(OR(Employee__2[[#This Row],[Age]]&gt;=30,Employee__2[[#This Row],[Gender]]="Male"),"Mached","Not mached")</f>
        <v>Mached</v>
      </c>
    </row>
    <row r="2765" spans="4:16" x14ac:dyDescent="0.25">
      <c r="D2765" s="6" t="s">
        <v>34</v>
      </c>
      <c r="E2765">
        <v>2013</v>
      </c>
      <c r="F2765" s="6" t="s">
        <v>35</v>
      </c>
      <c r="G2765">
        <v>3</v>
      </c>
      <c r="H2765">
        <v>30</v>
      </c>
      <c r="I2765" s="6" t="s">
        <v>36</v>
      </c>
      <c r="J2765" s="6" t="s">
        <v>42</v>
      </c>
      <c r="K2765">
        <v>0</v>
      </c>
      <c r="M2765" s="1" t="b">
        <f>Employee__2[[#This Row],[Experience]]&gt;1</f>
        <v>0</v>
      </c>
      <c r="N2765" s="1" t="str">
        <f>IF(Employee__2[[#This Row],[City]]="Pune","Yes","No")</f>
        <v>No</v>
      </c>
      <c r="O2765" s="1" t="str">
        <f>IF(AND(Employee__2[[#This Row],[Education]]="Bachelors",Employee__2[[#This Row],[City]]="Pune"),"Yes","No")</f>
        <v>No</v>
      </c>
      <c r="P2765" s="1" t="str">
        <f>IF(OR(Employee__2[[#This Row],[Age]]&gt;=30,Employee__2[[#This Row],[Gender]]="Male"),"Mached","Not mached")</f>
        <v>Mached</v>
      </c>
    </row>
    <row r="2766" spans="4:16" x14ac:dyDescent="0.25">
      <c r="D2766" s="6" t="s">
        <v>34</v>
      </c>
      <c r="E2766">
        <v>2017</v>
      </c>
      <c r="F2766" s="6" t="s">
        <v>35</v>
      </c>
      <c r="G2766">
        <v>3</v>
      </c>
      <c r="H2766">
        <v>27</v>
      </c>
      <c r="I2766" s="6" t="s">
        <v>36</v>
      </c>
      <c r="J2766" s="6" t="s">
        <v>37</v>
      </c>
      <c r="K2766">
        <v>5</v>
      </c>
      <c r="M2766" s="1" t="b">
        <f>Employee__2[[#This Row],[Experience]]&gt;1</f>
        <v>1</v>
      </c>
      <c r="N2766" s="1" t="str">
        <f>IF(Employee__2[[#This Row],[City]]="Pune","Yes","No")</f>
        <v>No</v>
      </c>
      <c r="O2766" s="1" t="str">
        <f>IF(AND(Employee__2[[#This Row],[Education]]="Bachelors",Employee__2[[#This Row],[City]]="Pune"),"Yes","No")</f>
        <v>No</v>
      </c>
      <c r="P2766" s="1" t="str">
        <f>IF(OR(Employee__2[[#This Row],[Age]]&gt;=30,Employee__2[[#This Row],[Gender]]="Male"),"Mached","Not mached")</f>
        <v>Mached</v>
      </c>
    </row>
    <row r="2767" spans="4:16" x14ac:dyDescent="0.25">
      <c r="D2767" s="6" t="s">
        <v>34</v>
      </c>
      <c r="E2767">
        <v>2016</v>
      </c>
      <c r="F2767" s="6" t="s">
        <v>40</v>
      </c>
      <c r="G2767">
        <v>3</v>
      </c>
      <c r="H2767">
        <v>29</v>
      </c>
      <c r="I2767" s="6" t="s">
        <v>39</v>
      </c>
      <c r="J2767" s="6" t="s">
        <v>42</v>
      </c>
      <c r="K2767">
        <v>2</v>
      </c>
      <c r="M2767" s="1" t="b">
        <f>Employee__2[[#This Row],[Experience]]&gt;1</f>
        <v>1</v>
      </c>
      <c r="N2767" s="1" t="str">
        <f>IF(Employee__2[[#This Row],[City]]="Pune","Yes","No")</f>
        <v>No</v>
      </c>
      <c r="O2767" s="1" t="str">
        <f>IF(AND(Employee__2[[#This Row],[Education]]="Bachelors",Employee__2[[#This Row],[City]]="Pune"),"Yes","No")</f>
        <v>No</v>
      </c>
      <c r="P2767" s="1" t="str">
        <f>IF(OR(Employee__2[[#This Row],[Age]]&gt;=30,Employee__2[[#This Row],[Gender]]="Male"),"Mached","Not mached")</f>
        <v>Not mached</v>
      </c>
    </row>
    <row r="2768" spans="4:16" x14ac:dyDescent="0.25">
      <c r="D2768" s="6" t="s">
        <v>34</v>
      </c>
      <c r="E2768">
        <v>2013</v>
      </c>
      <c r="F2768" s="6" t="s">
        <v>38</v>
      </c>
      <c r="G2768">
        <v>3</v>
      </c>
      <c r="H2768">
        <v>28</v>
      </c>
      <c r="I2768" s="6" t="s">
        <v>36</v>
      </c>
      <c r="J2768" s="6" t="s">
        <v>37</v>
      </c>
      <c r="K2768">
        <v>5</v>
      </c>
      <c r="M2768" s="1" t="b">
        <f>Employee__2[[#This Row],[Experience]]&gt;1</f>
        <v>1</v>
      </c>
      <c r="N2768" s="1" t="str">
        <f>IF(Employee__2[[#This Row],[City]]="Pune","Yes","No")</f>
        <v>Yes</v>
      </c>
      <c r="O2768" s="1" t="str">
        <f>IF(AND(Employee__2[[#This Row],[Education]]="Bachelors",Employee__2[[#This Row],[City]]="Pune"),"Yes","No")</f>
        <v>Yes</v>
      </c>
      <c r="P2768" s="1" t="str">
        <f>IF(OR(Employee__2[[#This Row],[Age]]&gt;=30,Employee__2[[#This Row],[Gender]]="Male"),"Mached","Not mached")</f>
        <v>Mached</v>
      </c>
    </row>
    <row r="2769" spans="4:16" x14ac:dyDescent="0.25">
      <c r="D2769" s="6" t="s">
        <v>34</v>
      </c>
      <c r="E2769">
        <v>2014</v>
      </c>
      <c r="F2769" s="6" t="s">
        <v>40</v>
      </c>
      <c r="G2769">
        <v>3</v>
      </c>
      <c r="H2769">
        <v>26</v>
      </c>
      <c r="I2769" s="6" t="s">
        <v>36</v>
      </c>
      <c r="J2769" s="6" t="s">
        <v>37</v>
      </c>
      <c r="K2769">
        <v>4</v>
      </c>
      <c r="M2769" s="1" t="b">
        <f>Employee__2[[#This Row],[Experience]]&gt;1</f>
        <v>1</v>
      </c>
      <c r="N2769" s="1" t="str">
        <f>IF(Employee__2[[#This Row],[City]]="Pune","Yes","No")</f>
        <v>No</v>
      </c>
      <c r="O2769" s="1" t="str">
        <f>IF(AND(Employee__2[[#This Row],[Education]]="Bachelors",Employee__2[[#This Row],[City]]="Pune"),"Yes","No")</f>
        <v>No</v>
      </c>
      <c r="P2769" s="1" t="str">
        <f>IF(OR(Employee__2[[#This Row],[Age]]&gt;=30,Employee__2[[#This Row],[Gender]]="Male"),"Mached","Not mached")</f>
        <v>Mached</v>
      </c>
    </row>
    <row r="2770" spans="4:16" x14ac:dyDescent="0.25">
      <c r="D2770" s="6" t="s">
        <v>34</v>
      </c>
      <c r="E2770">
        <v>2015</v>
      </c>
      <c r="F2770" s="6" t="s">
        <v>38</v>
      </c>
      <c r="G2770">
        <v>2</v>
      </c>
      <c r="H2770">
        <v>30</v>
      </c>
      <c r="I2770" s="6" t="s">
        <v>39</v>
      </c>
      <c r="J2770" s="6" t="s">
        <v>37</v>
      </c>
      <c r="K2770">
        <v>1</v>
      </c>
      <c r="M2770" s="1" t="b">
        <f>Employee__2[[#This Row],[Experience]]&gt;1</f>
        <v>0</v>
      </c>
      <c r="N2770" s="1" t="str">
        <f>IF(Employee__2[[#This Row],[City]]="Pune","Yes","No")</f>
        <v>Yes</v>
      </c>
      <c r="O2770" s="1" t="str">
        <f>IF(AND(Employee__2[[#This Row],[Education]]="Bachelors",Employee__2[[#This Row],[City]]="Pune"),"Yes","No")</f>
        <v>Yes</v>
      </c>
      <c r="P2770" s="1" t="str">
        <f>IF(OR(Employee__2[[#This Row],[Age]]&gt;=30,Employee__2[[#This Row],[Gender]]="Male"),"Mached","Not mached")</f>
        <v>Mached</v>
      </c>
    </row>
    <row r="2771" spans="4:16" x14ac:dyDescent="0.25">
      <c r="D2771" s="6" t="s">
        <v>41</v>
      </c>
      <c r="E2771">
        <v>2013</v>
      </c>
      <c r="F2771" s="6" t="s">
        <v>40</v>
      </c>
      <c r="G2771">
        <v>2</v>
      </c>
      <c r="H2771">
        <v>26</v>
      </c>
      <c r="I2771" s="6" t="s">
        <v>36</v>
      </c>
      <c r="J2771" s="6" t="s">
        <v>37</v>
      </c>
      <c r="K2771">
        <v>4</v>
      </c>
      <c r="M2771" s="1" t="b">
        <f>Employee__2[[#This Row],[Experience]]&gt;1</f>
        <v>1</v>
      </c>
      <c r="N2771" s="1" t="str">
        <f>IF(Employee__2[[#This Row],[City]]="Pune","Yes","No")</f>
        <v>No</v>
      </c>
      <c r="O2771" s="1" t="str">
        <f>IF(AND(Employee__2[[#This Row],[Education]]="Bachelors",Employee__2[[#This Row],[City]]="Pune"),"Yes","No")</f>
        <v>No</v>
      </c>
      <c r="P2771" s="1" t="str">
        <f>IF(OR(Employee__2[[#This Row],[Age]]&gt;=30,Employee__2[[#This Row],[Gender]]="Male"),"Mached","Not mached")</f>
        <v>Mached</v>
      </c>
    </row>
    <row r="2772" spans="4:16" x14ac:dyDescent="0.25">
      <c r="D2772" s="6" t="s">
        <v>34</v>
      </c>
      <c r="E2772">
        <v>2016</v>
      </c>
      <c r="F2772" s="6" t="s">
        <v>35</v>
      </c>
      <c r="G2772">
        <v>3</v>
      </c>
      <c r="H2772">
        <v>26</v>
      </c>
      <c r="I2772" s="6" t="s">
        <v>36</v>
      </c>
      <c r="J2772" s="6" t="s">
        <v>37</v>
      </c>
      <c r="K2772">
        <v>4</v>
      </c>
      <c r="M2772" s="1" t="b">
        <f>Employee__2[[#This Row],[Experience]]&gt;1</f>
        <v>1</v>
      </c>
      <c r="N2772" s="1" t="str">
        <f>IF(Employee__2[[#This Row],[City]]="Pune","Yes","No")</f>
        <v>No</v>
      </c>
      <c r="O2772" s="1" t="str">
        <f>IF(AND(Employee__2[[#This Row],[Education]]="Bachelors",Employee__2[[#This Row],[City]]="Pune"),"Yes","No")</f>
        <v>No</v>
      </c>
      <c r="P2772" s="1" t="str">
        <f>IF(OR(Employee__2[[#This Row],[Age]]&gt;=30,Employee__2[[#This Row],[Gender]]="Male"),"Mached","Not mached")</f>
        <v>Mached</v>
      </c>
    </row>
    <row r="2773" spans="4:16" x14ac:dyDescent="0.25">
      <c r="D2773" s="6" t="s">
        <v>41</v>
      </c>
      <c r="E2773">
        <v>2012</v>
      </c>
      <c r="F2773" s="6" t="s">
        <v>38</v>
      </c>
      <c r="G2773">
        <v>3</v>
      </c>
      <c r="H2773">
        <v>27</v>
      </c>
      <c r="I2773" s="6" t="s">
        <v>36</v>
      </c>
      <c r="J2773" s="6" t="s">
        <v>42</v>
      </c>
      <c r="K2773">
        <v>5</v>
      </c>
      <c r="M2773" s="1" t="b">
        <f>Employee__2[[#This Row],[Experience]]&gt;1</f>
        <v>1</v>
      </c>
      <c r="N2773" s="1" t="str">
        <f>IF(Employee__2[[#This Row],[City]]="Pune","Yes","No")</f>
        <v>Yes</v>
      </c>
      <c r="O2773" s="1" t="str">
        <f>IF(AND(Employee__2[[#This Row],[Education]]="Bachelors",Employee__2[[#This Row],[City]]="Pune"),"Yes","No")</f>
        <v>No</v>
      </c>
      <c r="P2773" s="1" t="str">
        <f>IF(OR(Employee__2[[#This Row],[Age]]&gt;=30,Employee__2[[#This Row],[Gender]]="Male"),"Mached","Not mached")</f>
        <v>Mached</v>
      </c>
    </row>
    <row r="2774" spans="4:16" x14ac:dyDescent="0.25">
      <c r="D2774" s="6" t="s">
        <v>34</v>
      </c>
      <c r="E2774">
        <v>2017</v>
      </c>
      <c r="F2774" s="6" t="s">
        <v>35</v>
      </c>
      <c r="G2774">
        <v>3</v>
      </c>
      <c r="H2774">
        <v>27</v>
      </c>
      <c r="I2774" s="6" t="s">
        <v>39</v>
      </c>
      <c r="J2774" s="6" t="s">
        <v>37</v>
      </c>
      <c r="K2774">
        <v>5</v>
      </c>
      <c r="M2774" s="1" t="b">
        <f>Employee__2[[#This Row],[Experience]]&gt;1</f>
        <v>1</v>
      </c>
      <c r="N2774" s="1" t="str">
        <f>IF(Employee__2[[#This Row],[City]]="Pune","Yes","No")</f>
        <v>No</v>
      </c>
      <c r="O2774" s="1" t="str">
        <f>IF(AND(Employee__2[[#This Row],[Education]]="Bachelors",Employee__2[[#This Row],[City]]="Pune"),"Yes","No")</f>
        <v>No</v>
      </c>
      <c r="P2774" s="1" t="str">
        <f>IF(OR(Employee__2[[#This Row],[Age]]&gt;=30,Employee__2[[#This Row],[Gender]]="Male"),"Mached","Not mached")</f>
        <v>Not mached</v>
      </c>
    </row>
    <row r="2775" spans="4:16" x14ac:dyDescent="0.25">
      <c r="D2775" s="6" t="s">
        <v>34</v>
      </c>
      <c r="E2775">
        <v>2013</v>
      </c>
      <c r="F2775" s="6" t="s">
        <v>35</v>
      </c>
      <c r="G2775">
        <v>3</v>
      </c>
      <c r="H2775">
        <v>30</v>
      </c>
      <c r="I2775" s="6" t="s">
        <v>36</v>
      </c>
      <c r="J2775" s="6" t="s">
        <v>37</v>
      </c>
      <c r="K2775">
        <v>1</v>
      </c>
      <c r="M2775" s="1" t="b">
        <f>Employee__2[[#This Row],[Experience]]&gt;1</f>
        <v>0</v>
      </c>
      <c r="N2775" s="1" t="str">
        <f>IF(Employee__2[[#This Row],[City]]="Pune","Yes","No")</f>
        <v>No</v>
      </c>
      <c r="O2775" s="1" t="str">
        <f>IF(AND(Employee__2[[#This Row],[Education]]="Bachelors",Employee__2[[#This Row],[City]]="Pune"),"Yes","No")</f>
        <v>No</v>
      </c>
      <c r="P2775" s="1" t="str">
        <f>IF(OR(Employee__2[[#This Row],[Age]]&gt;=30,Employee__2[[#This Row],[Gender]]="Male"),"Mached","Not mached")</f>
        <v>Mached</v>
      </c>
    </row>
    <row r="2776" spans="4:16" x14ac:dyDescent="0.25">
      <c r="D2776" s="6" t="s">
        <v>34</v>
      </c>
      <c r="E2776">
        <v>2014</v>
      </c>
      <c r="F2776" s="6" t="s">
        <v>40</v>
      </c>
      <c r="G2776">
        <v>3</v>
      </c>
      <c r="H2776">
        <v>27</v>
      </c>
      <c r="I2776" s="6" t="s">
        <v>36</v>
      </c>
      <c r="J2776" s="6" t="s">
        <v>37</v>
      </c>
      <c r="K2776">
        <v>5</v>
      </c>
      <c r="M2776" s="1" t="b">
        <f>Employee__2[[#This Row],[Experience]]&gt;1</f>
        <v>1</v>
      </c>
      <c r="N2776" s="1" t="str">
        <f>IF(Employee__2[[#This Row],[City]]="Pune","Yes","No")</f>
        <v>No</v>
      </c>
      <c r="O2776" s="1" t="str">
        <f>IF(AND(Employee__2[[#This Row],[Education]]="Bachelors",Employee__2[[#This Row],[City]]="Pune"),"Yes","No")</f>
        <v>No</v>
      </c>
      <c r="P2776" s="1" t="str">
        <f>IF(OR(Employee__2[[#This Row],[Age]]&gt;=30,Employee__2[[#This Row],[Gender]]="Male"),"Mached","Not mached")</f>
        <v>Mached</v>
      </c>
    </row>
    <row r="2777" spans="4:16" x14ac:dyDescent="0.25">
      <c r="D2777" s="6" t="s">
        <v>41</v>
      </c>
      <c r="E2777">
        <v>2013</v>
      </c>
      <c r="F2777" s="6" t="s">
        <v>35</v>
      </c>
      <c r="G2777">
        <v>3</v>
      </c>
      <c r="H2777">
        <v>30</v>
      </c>
      <c r="I2777" s="6" t="s">
        <v>36</v>
      </c>
      <c r="J2777" s="6" t="s">
        <v>37</v>
      </c>
      <c r="K2777">
        <v>1</v>
      </c>
      <c r="M2777" s="1" t="b">
        <f>Employee__2[[#This Row],[Experience]]&gt;1</f>
        <v>0</v>
      </c>
      <c r="N2777" s="1" t="str">
        <f>IF(Employee__2[[#This Row],[City]]="Pune","Yes","No")</f>
        <v>No</v>
      </c>
      <c r="O2777" s="1" t="str">
        <f>IF(AND(Employee__2[[#This Row],[Education]]="Bachelors",Employee__2[[#This Row],[City]]="Pune"),"Yes","No")</f>
        <v>No</v>
      </c>
      <c r="P2777" s="1" t="str">
        <f>IF(OR(Employee__2[[#This Row],[Age]]&gt;=30,Employee__2[[#This Row],[Gender]]="Male"),"Mached","Not mached")</f>
        <v>Mached</v>
      </c>
    </row>
    <row r="2778" spans="4:16" x14ac:dyDescent="0.25">
      <c r="D2778" s="6" t="s">
        <v>34</v>
      </c>
      <c r="E2778">
        <v>2016</v>
      </c>
      <c r="F2778" s="6" t="s">
        <v>35</v>
      </c>
      <c r="G2778">
        <v>3</v>
      </c>
      <c r="H2778">
        <v>29</v>
      </c>
      <c r="I2778" s="6" t="s">
        <v>36</v>
      </c>
      <c r="J2778" s="6" t="s">
        <v>37</v>
      </c>
      <c r="K2778">
        <v>2</v>
      </c>
      <c r="M2778" s="1" t="b">
        <f>Employee__2[[#This Row],[Experience]]&gt;1</f>
        <v>1</v>
      </c>
      <c r="N2778" s="1" t="str">
        <f>IF(Employee__2[[#This Row],[City]]="Pune","Yes","No")</f>
        <v>No</v>
      </c>
      <c r="O2778" s="1" t="str">
        <f>IF(AND(Employee__2[[#This Row],[Education]]="Bachelors",Employee__2[[#This Row],[City]]="Pune"),"Yes","No")</f>
        <v>No</v>
      </c>
      <c r="P2778" s="1" t="str">
        <f>IF(OR(Employee__2[[#This Row],[Age]]&gt;=30,Employee__2[[#This Row],[Gender]]="Male"),"Mached","Not mached")</f>
        <v>Mached</v>
      </c>
    </row>
    <row r="2779" spans="4:16" x14ac:dyDescent="0.25">
      <c r="D2779" s="6" t="s">
        <v>34</v>
      </c>
      <c r="E2779">
        <v>2016</v>
      </c>
      <c r="F2779" s="6" t="s">
        <v>35</v>
      </c>
      <c r="G2779">
        <v>3</v>
      </c>
      <c r="H2779">
        <v>28</v>
      </c>
      <c r="I2779" s="6" t="s">
        <v>36</v>
      </c>
      <c r="J2779" s="6" t="s">
        <v>37</v>
      </c>
      <c r="K2779">
        <v>3</v>
      </c>
      <c r="M2779" s="1" t="b">
        <f>Employee__2[[#This Row],[Experience]]&gt;1</f>
        <v>1</v>
      </c>
      <c r="N2779" s="1" t="str">
        <f>IF(Employee__2[[#This Row],[City]]="Pune","Yes","No")</f>
        <v>No</v>
      </c>
      <c r="O2779" s="1" t="str">
        <f>IF(AND(Employee__2[[#This Row],[Education]]="Bachelors",Employee__2[[#This Row],[City]]="Pune"),"Yes","No")</f>
        <v>No</v>
      </c>
      <c r="P2779" s="1" t="str">
        <f>IF(OR(Employee__2[[#This Row],[Age]]&gt;=30,Employee__2[[#This Row],[Gender]]="Male"),"Mached","Not mached")</f>
        <v>Mached</v>
      </c>
    </row>
    <row r="2780" spans="4:16" x14ac:dyDescent="0.25">
      <c r="D2780" s="6" t="s">
        <v>41</v>
      </c>
      <c r="E2780">
        <v>2017</v>
      </c>
      <c r="F2780" s="6" t="s">
        <v>40</v>
      </c>
      <c r="G2780">
        <v>3</v>
      </c>
      <c r="H2780">
        <v>29</v>
      </c>
      <c r="I2780" s="6" t="s">
        <v>39</v>
      </c>
      <c r="J2780" s="6" t="s">
        <v>37</v>
      </c>
      <c r="K2780">
        <v>2</v>
      </c>
      <c r="M2780" s="1" t="b">
        <f>Employee__2[[#This Row],[Experience]]&gt;1</f>
        <v>1</v>
      </c>
      <c r="N2780" s="1" t="str">
        <f>IF(Employee__2[[#This Row],[City]]="Pune","Yes","No")</f>
        <v>No</v>
      </c>
      <c r="O2780" s="1" t="str">
        <f>IF(AND(Employee__2[[#This Row],[Education]]="Bachelors",Employee__2[[#This Row],[City]]="Pune"),"Yes","No")</f>
        <v>No</v>
      </c>
      <c r="P2780" s="1" t="str">
        <f>IF(OR(Employee__2[[#This Row],[Age]]&gt;=30,Employee__2[[#This Row],[Gender]]="Male"),"Mached","Not mached")</f>
        <v>Not mached</v>
      </c>
    </row>
    <row r="2781" spans="4:16" x14ac:dyDescent="0.25">
      <c r="D2781" s="6" t="s">
        <v>34</v>
      </c>
      <c r="E2781">
        <v>2014</v>
      </c>
      <c r="F2781" s="6" t="s">
        <v>40</v>
      </c>
      <c r="G2781">
        <v>3</v>
      </c>
      <c r="H2781">
        <v>26</v>
      </c>
      <c r="I2781" s="6" t="s">
        <v>36</v>
      </c>
      <c r="J2781" s="6" t="s">
        <v>37</v>
      </c>
      <c r="K2781">
        <v>4</v>
      </c>
      <c r="M2781" s="1" t="b">
        <f>Employee__2[[#This Row],[Experience]]&gt;1</f>
        <v>1</v>
      </c>
      <c r="N2781" s="1" t="str">
        <f>IF(Employee__2[[#This Row],[City]]="Pune","Yes","No")</f>
        <v>No</v>
      </c>
      <c r="O2781" s="1" t="str">
        <f>IF(AND(Employee__2[[#This Row],[Education]]="Bachelors",Employee__2[[#This Row],[City]]="Pune"),"Yes","No")</f>
        <v>No</v>
      </c>
      <c r="P2781" s="1" t="str">
        <f>IF(OR(Employee__2[[#This Row],[Age]]&gt;=30,Employee__2[[#This Row],[Gender]]="Male"),"Mached","Not mached")</f>
        <v>Mached</v>
      </c>
    </row>
    <row r="2782" spans="4:16" x14ac:dyDescent="0.25">
      <c r="D2782" s="6" t="s">
        <v>41</v>
      </c>
      <c r="E2782">
        <v>2018</v>
      </c>
      <c r="F2782" s="6" t="s">
        <v>40</v>
      </c>
      <c r="G2782">
        <v>3</v>
      </c>
      <c r="H2782">
        <v>30</v>
      </c>
      <c r="I2782" s="6" t="s">
        <v>36</v>
      </c>
      <c r="J2782" s="6" t="s">
        <v>37</v>
      </c>
      <c r="K2782">
        <v>2</v>
      </c>
      <c r="M2782" s="1" t="b">
        <f>Employee__2[[#This Row],[Experience]]&gt;1</f>
        <v>1</v>
      </c>
      <c r="N2782" s="1" t="str">
        <f>IF(Employee__2[[#This Row],[City]]="Pune","Yes","No")</f>
        <v>No</v>
      </c>
      <c r="O2782" s="1" t="str">
        <f>IF(AND(Employee__2[[#This Row],[Education]]="Bachelors",Employee__2[[#This Row],[City]]="Pune"),"Yes","No")</f>
        <v>No</v>
      </c>
      <c r="P2782" s="1" t="str">
        <f>IF(OR(Employee__2[[#This Row],[Age]]&gt;=30,Employee__2[[#This Row],[Gender]]="Male"),"Mached","Not mached")</f>
        <v>Mached</v>
      </c>
    </row>
    <row r="2783" spans="4:16" x14ac:dyDescent="0.25">
      <c r="D2783" s="6" t="s">
        <v>41</v>
      </c>
      <c r="E2783">
        <v>2014</v>
      </c>
      <c r="F2783" s="6" t="s">
        <v>38</v>
      </c>
      <c r="G2783">
        <v>3</v>
      </c>
      <c r="H2783">
        <v>27</v>
      </c>
      <c r="I2783" s="6" t="s">
        <v>39</v>
      </c>
      <c r="J2783" s="6" t="s">
        <v>37</v>
      </c>
      <c r="K2783">
        <v>5</v>
      </c>
      <c r="M2783" s="1" t="b">
        <f>Employee__2[[#This Row],[Experience]]&gt;1</f>
        <v>1</v>
      </c>
      <c r="N2783" s="1" t="str">
        <f>IF(Employee__2[[#This Row],[City]]="Pune","Yes","No")</f>
        <v>Yes</v>
      </c>
      <c r="O2783" s="1" t="str">
        <f>IF(AND(Employee__2[[#This Row],[Education]]="Bachelors",Employee__2[[#This Row],[City]]="Pune"),"Yes","No")</f>
        <v>No</v>
      </c>
      <c r="P2783" s="1" t="str">
        <f>IF(OR(Employee__2[[#This Row],[Age]]&gt;=30,Employee__2[[#This Row],[Gender]]="Male"),"Mached","Not mached")</f>
        <v>Not mached</v>
      </c>
    </row>
    <row r="2784" spans="4:16" x14ac:dyDescent="0.25">
      <c r="D2784" s="6" t="s">
        <v>34</v>
      </c>
      <c r="E2784">
        <v>2017</v>
      </c>
      <c r="F2784" s="6" t="s">
        <v>38</v>
      </c>
      <c r="G2784">
        <v>3</v>
      </c>
      <c r="H2784">
        <v>29</v>
      </c>
      <c r="I2784" s="6" t="s">
        <v>36</v>
      </c>
      <c r="J2784" s="6" t="s">
        <v>37</v>
      </c>
      <c r="K2784">
        <v>0</v>
      </c>
      <c r="M2784" s="1" t="b">
        <f>Employee__2[[#This Row],[Experience]]&gt;1</f>
        <v>0</v>
      </c>
      <c r="N2784" s="1" t="str">
        <f>IF(Employee__2[[#This Row],[City]]="Pune","Yes","No")</f>
        <v>Yes</v>
      </c>
      <c r="O2784" s="1" t="str">
        <f>IF(AND(Employee__2[[#This Row],[Education]]="Bachelors",Employee__2[[#This Row],[City]]="Pune"),"Yes","No")</f>
        <v>Yes</v>
      </c>
      <c r="P2784" s="1" t="str">
        <f>IF(OR(Employee__2[[#This Row],[Age]]&gt;=30,Employee__2[[#This Row],[Gender]]="Male"),"Mached","Not mached")</f>
        <v>Mached</v>
      </c>
    </row>
    <row r="2785" spans="4:16" x14ac:dyDescent="0.25">
      <c r="D2785" s="6" t="s">
        <v>41</v>
      </c>
      <c r="E2785">
        <v>2016</v>
      </c>
      <c r="F2785" s="6" t="s">
        <v>40</v>
      </c>
      <c r="G2785">
        <v>3</v>
      </c>
      <c r="H2785">
        <v>30</v>
      </c>
      <c r="I2785" s="6" t="s">
        <v>36</v>
      </c>
      <c r="J2785" s="6" t="s">
        <v>37</v>
      </c>
      <c r="K2785">
        <v>2</v>
      </c>
      <c r="M2785" s="1" t="b">
        <f>Employee__2[[#This Row],[Experience]]&gt;1</f>
        <v>1</v>
      </c>
      <c r="N2785" s="1" t="str">
        <f>IF(Employee__2[[#This Row],[City]]="Pune","Yes","No")</f>
        <v>No</v>
      </c>
      <c r="O2785" s="1" t="str">
        <f>IF(AND(Employee__2[[#This Row],[Education]]="Bachelors",Employee__2[[#This Row],[City]]="Pune"),"Yes","No")</f>
        <v>No</v>
      </c>
      <c r="P2785" s="1" t="str">
        <f>IF(OR(Employee__2[[#This Row],[Age]]&gt;=30,Employee__2[[#This Row],[Gender]]="Male"),"Mached","Not mached")</f>
        <v>Mached</v>
      </c>
    </row>
    <row r="2786" spans="4:16" x14ac:dyDescent="0.25">
      <c r="D2786" s="6" t="s">
        <v>41</v>
      </c>
      <c r="E2786">
        <v>2017</v>
      </c>
      <c r="F2786" s="6" t="s">
        <v>40</v>
      </c>
      <c r="G2786">
        <v>3</v>
      </c>
      <c r="H2786">
        <v>30</v>
      </c>
      <c r="I2786" s="6" t="s">
        <v>36</v>
      </c>
      <c r="J2786" s="6" t="s">
        <v>37</v>
      </c>
      <c r="K2786">
        <v>3</v>
      </c>
      <c r="M2786" s="1" t="b">
        <f>Employee__2[[#This Row],[Experience]]&gt;1</f>
        <v>1</v>
      </c>
      <c r="N2786" s="1" t="str">
        <f>IF(Employee__2[[#This Row],[City]]="Pune","Yes","No")</f>
        <v>No</v>
      </c>
      <c r="O2786" s="1" t="str">
        <f>IF(AND(Employee__2[[#This Row],[Education]]="Bachelors",Employee__2[[#This Row],[City]]="Pune"),"Yes","No")</f>
        <v>No</v>
      </c>
      <c r="P2786" s="1" t="str">
        <f>IF(OR(Employee__2[[#This Row],[Age]]&gt;=30,Employee__2[[#This Row],[Gender]]="Male"),"Mached","Not mached")</f>
        <v>Mached</v>
      </c>
    </row>
    <row r="2787" spans="4:16" x14ac:dyDescent="0.25">
      <c r="D2787" s="6" t="s">
        <v>34</v>
      </c>
      <c r="E2787">
        <v>2013</v>
      </c>
      <c r="F2787" s="6" t="s">
        <v>38</v>
      </c>
      <c r="G2787">
        <v>2</v>
      </c>
      <c r="H2787">
        <v>30</v>
      </c>
      <c r="I2787" s="6" t="s">
        <v>39</v>
      </c>
      <c r="J2787" s="6" t="s">
        <v>37</v>
      </c>
      <c r="K2787">
        <v>1</v>
      </c>
      <c r="M2787" s="1" t="b">
        <f>Employee__2[[#This Row],[Experience]]&gt;1</f>
        <v>0</v>
      </c>
      <c r="N2787" s="1" t="str">
        <f>IF(Employee__2[[#This Row],[City]]="Pune","Yes","No")</f>
        <v>Yes</v>
      </c>
      <c r="O2787" s="1" t="str">
        <f>IF(AND(Employee__2[[#This Row],[Education]]="Bachelors",Employee__2[[#This Row],[City]]="Pune"),"Yes","No")</f>
        <v>Yes</v>
      </c>
      <c r="P2787" s="1" t="str">
        <f>IF(OR(Employee__2[[#This Row],[Age]]&gt;=30,Employee__2[[#This Row],[Gender]]="Male"),"Mached","Not mached")</f>
        <v>Mached</v>
      </c>
    </row>
    <row r="2788" spans="4:16" x14ac:dyDescent="0.25">
      <c r="D2788" s="6" t="s">
        <v>41</v>
      </c>
      <c r="E2788">
        <v>2014</v>
      </c>
      <c r="F2788" s="6" t="s">
        <v>40</v>
      </c>
      <c r="G2788">
        <v>3</v>
      </c>
      <c r="H2788">
        <v>28</v>
      </c>
      <c r="I2788" s="6" t="s">
        <v>39</v>
      </c>
      <c r="J2788" s="6" t="s">
        <v>37</v>
      </c>
      <c r="K2788">
        <v>3</v>
      </c>
      <c r="M2788" s="1" t="b">
        <f>Employee__2[[#This Row],[Experience]]&gt;1</f>
        <v>1</v>
      </c>
      <c r="N2788" s="1" t="str">
        <f>IF(Employee__2[[#This Row],[City]]="Pune","Yes","No")</f>
        <v>No</v>
      </c>
      <c r="O2788" s="1" t="str">
        <f>IF(AND(Employee__2[[#This Row],[Education]]="Bachelors",Employee__2[[#This Row],[City]]="Pune"),"Yes","No")</f>
        <v>No</v>
      </c>
      <c r="P2788" s="1" t="str">
        <f>IF(OR(Employee__2[[#This Row],[Age]]&gt;=30,Employee__2[[#This Row],[Gender]]="Male"),"Mached","Not mached")</f>
        <v>Not mached</v>
      </c>
    </row>
    <row r="2789" spans="4:16" x14ac:dyDescent="0.25">
      <c r="D2789" s="6" t="s">
        <v>34</v>
      </c>
      <c r="E2789">
        <v>2013</v>
      </c>
      <c r="F2789" s="6" t="s">
        <v>38</v>
      </c>
      <c r="G2789">
        <v>3</v>
      </c>
      <c r="H2789">
        <v>26</v>
      </c>
      <c r="I2789" s="6" t="s">
        <v>36</v>
      </c>
      <c r="J2789" s="6" t="s">
        <v>37</v>
      </c>
      <c r="K2789">
        <v>4</v>
      </c>
      <c r="M2789" s="1" t="b">
        <f>Employee__2[[#This Row],[Experience]]&gt;1</f>
        <v>1</v>
      </c>
      <c r="N2789" s="1" t="str">
        <f>IF(Employee__2[[#This Row],[City]]="Pune","Yes","No")</f>
        <v>Yes</v>
      </c>
      <c r="O2789" s="1" t="str">
        <f>IF(AND(Employee__2[[#This Row],[Education]]="Bachelors",Employee__2[[#This Row],[City]]="Pune"),"Yes","No")</f>
        <v>Yes</v>
      </c>
      <c r="P2789" s="1" t="str">
        <f>IF(OR(Employee__2[[#This Row],[Age]]&gt;=30,Employee__2[[#This Row],[Gender]]="Male"),"Mached","Not mached")</f>
        <v>Mached</v>
      </c>
    </row>
    <row r="2790" spans="4:16" x14ac:dyDescent="0.25">
      <c r="D2790" s="6" t="s">
        <v>34</v>
      </c>
      <c r="E2790">
        <v>2017</v>
      </c>
      <c r="F2790" s="6" t="s">
        <v>35</v>
      </c>
      <c r="G2790">
        <v>1</v>
      </c>
      <c r="H2790">
        <v>30</v>
      </c>
      <c r="I2790" s="6" t="s">
        <v>36</v>
      </c>
      <c r="J2790" s="6" t="s">
        <v>37</v>
      </c>
      <c r="K2790">
        <v>2</v>
      </c>
      <c r="M2790" s="1" t="b">
        <f>Employee__2[[#This Row],[Experience]]&gt;1</f>
        <v>1</v>
      </c>
      <c r="N2790" s="1" t="str">
        <f>IF(Employee__2[[#This Row],[City]]="Pune","Yes","No")</f>
        <v>No</v>
      </c>
      <c r="O2790" s="1" t="str">
        <f>IF(AND(Employee__2[[#This Row],[Education]]="Bachelors",Employee__2[[#This Row],[City]]="Pune"),"Yes","No")</f>
        <v>No</v>
      </c>
      <c r="P2790" s="1" t="str">
        <f>IF(OR(Employee__2[[#This Row],[Age]]&gt;=30,Employee__2[[#This Row],[Gender]]="Male"),"Mached","Not mached")</f>
        <v>Mached</v>
      </c>
    </row>
    <row r="2791" spans="4:16" x14ac:dyDescent="0.25">
      <c r="D2791" s="6" t="s">
        <v>34</v>
      </c>
      <c r="E2791">
        <v>2016</v>
      </c>
      <c r="F2791" s="6" t="s">
        <v>35</v>
      </c>
      <c r="G2791">
        <v>3</v>
      </c>
      <c r="H2791">
        <v>28</v>
      </c>
      <c r="I2791" s="6" t="s">
        <v>36</v>
      </c>
      <c r="J2791" s="6" t="s">
        <v>42</v>
      </c>
      <c r="K2791">
        <v>3</v>
      </c>
      <c r="M2791" s="1" t="b">
        <f>Employee__2[[#This Row],[Experience]]&gt;1</f>
        <v>1</v>
      </c>
      <c r="N2791" s="1" t="str">
        <f>IF(Employee__2[[#This Row],[City]]="Pune","Yes","No")</f>
        <v>No</v>
      </c>
      <c r="O2791" s="1" t="str">
        <f>IF(AND(Employee__2[[#This Row],[Education]]="Bachelors",Employee__2[[#This Row],[City]]="Pune"),"Yes","No")</f>
        <v>No</v>
      </c>
      <c r="P2791" s="1" t="str">
        <f>IF(OR(Employee__2[[#This Row],[Age]]&gt;=30,Employee__2[[#This Row],[Gender]]="Male"),"Mached","Not mached")</f>
        <v>Mached</v>
      </c>
    </row>
    <row r="2792" spans="4:16" x14ac:dyDescent="0.25">
      <c r="D2792" s="6" t="s">
        <v>34</v>
      </c>
      <c r="E2792">
        <v>2013</v>
      </c>
      <c r="F2792" s="6" t="s">
        <v>38</v>
      </c>
      <c r="G2792">
        <v>1</v>
      </c>
      <c r="H2792">
        <v>30</v>
      </c>
      <c r="I2792" s="6" t="s">
        <v>39</v>
      </c>
      <c r="J2792" s="6" t="s">
        <v>42</v>
      </c>
      <c r="K2792">
        <v>1</v>
      </c>
      <c r="M2792" s="1" t="b">
        <f>Employee__2[[#This Row],[Experience]]&gt;1</f>
        <v>0</v>
      </c>
      <c r="N2792" s="1" t="str">
        <f>IF(Employee__2[[#This Row],[City]]="Pune","Yes","No")</f>
        <v>Yes</v>
      </c>
      <c r="O2792" s="1" t="str">
        <f>IF(AND(Employee__2[[#This Row],[Education]]="Bachelors",Employee__2[[#This Row],[City]]="Pune"),"Yes","No")</f>
        <v>Yes</v>
      </c>
      <c r="P2792" s="1" t="str">
        <f>IF(OR(Employee__2[[#This Row],[Age]]&gt;=30,Employee__2[[#This Row],[Gender]]="Male"),"Mached","Not mached")</f>
        <v>Mached</v>
      </c>
    </row>
    <row r="2793" spans="4:16" x14ac:dyDescent="0.25">
      <c r="D2793" s="6" t="s">
        <v>34</v>
      </c>
      <c r="E2793">
        <v>2013</v>
      </c>
      <c r="F2793" s="6" t="s">
        <v>35</v>
      </c>
      <c r="G2793">
        <v>3</v>
      </c>
      <c r="H2793">
        <v>30</v>
      </c>
      <c r="I2793" s="6" t="s">
        <v>39</v>
      </c>
      <c r="J2793" s="6" t="s">
        <v>37</v>
      </c>
      <c r="K2793">
        <v>5</v>
      </c>
      <c r="M2793" s="1" t="b">
        <f>Employee__2[[#This Row],[Experience]]&gt;1</f>
        <v>1</v>
      </c>
      <c r="N2793" s="1" t="str">
        <f>IF(Employee__2[[#This Row],[City]]="Pune","Yes","No")</f>
        <v>No</v>
      </c>
      <c r="O2793" s="1" t="str">
        <f>IF(AND(Employee__2[[#This Row],[Education]]="Bachelors",Employee__2[[#This Row],[City]]="Pune"),"Yes","No")</f>
        <v>No</v>
      </c>
      <c r="P2793" s="1" t="str">
        <f>IF(OR(Employee__2[[#This Row],[Age]]&gt;=30,Employee__2[[#This Row],[Gender]]="Male"),"Mached","Not mached")</f>
        <v>Mached</v>
      </c>
    </row>
    <row r="2794" spans="4:16" x14ac:dyDescent="0.25">
      <c r="D2794" s="6" t="s">
        <v>34</v>
      </c>
      <c r="E2794">
        <v>2016</v>
      </c>
      <c r="F2794" s="6" t="s">
        <v>35</v>
      </c>
      <c r="G2794">
        <v>3</v>
      </c>
      <c r="H2794">
        <v>27</v>
      </c>
      <c r="I2794" s="6" t="s">
        <v>36</v>
      </c>
      <c r="J2794" s="6" t="s">
        <v>37</v>
      </c>
      <c r="K2794">
        <v>5</v>
      </c>
      <c r="M2794" s="1" t="b">
        <f>Employee__2[[#This Row],[Experience]]&gt;1</f>
        <v>1</v>
      </c>
      <c r="N2794" s="1" t="str">
        <f>IF(Employee__2[[#This Row],[City]]="Pune","Yes","No")</f>
        <v>No</v>
      </c>
      <c r="O2794" s="1" t="str">
        <f>IF(AND(Employee__2[[#This Row],[Education]]="Bachelors",Employee__2[[#This Row],[City]]="Pune"),"Yes","No")</f>
        <v>No</v>
      </c>
      <c r="P2794" s="1" t="str">
        <f>IF(OR(Employee__2[[#This Row],[Age]]&gt;=30,Employee__2[[#This Row],[Gender]]="Male"),"Mached","Not mached")</f>
        <v>Mached</v>
      </c>
    </row>
    <row r="2795" spans="4:16" x14ac:dyDescent="0.25">
      <c r="D2795" s="6" t="s">
        <v>34</v>
      </c>
      <c r="E2795">
        <v>2015</v>
      </c>
      <c r="F2795" s="6" t="s">
        <v>38</v>
      </c>
      <c r="G2795">
        <v>3</v>
      </c>
      <c r="H2795">
        <v>27</v>
      </c>
      <c r="I2795" s="6" t="s">
        <v>36</v>
      </c>
      <c r="J2795" s="6" t="s">
        <v>37</v>
      </c>
      <c r="K2795">
        <v>5</v>
      </c>
      <c r="M2795" s="1" t="b">
        <f>Employee__2[[#This Row],[Experience]]&gt;1</f>
        <v>1</v>
      </c>
      <c r="N2795" s="1" t="str">
        <f>IF(Employee__2[[#This Row],[City]]="Pune","Yes","No")</f>
        <v>Yes</v>
      </c>
      <c r="O2795" s="1" t="str">
        <f>IF(AND(Employee__2[[#This Row],[Education]]="Bachelors",Employee__2[[#This Row],[City]]="Pune"),"Yes","No")</f>
        <v>Yes</v>
      </c>
      <c r="P2795" s="1" t="str">
        <f>IF(OR(Employee__2[[#This Row],[Age]]&gt;=30,Employee__2[[#This Row],[Gender]]="Male"),"Mached","Not mached")</f>
        <v>Mached</v>
      </c>
    </row>
    <row r="2796" spans="4:16" x14ac:dyDescent="0.25">
      <c r="D2796" s="6" t="s">
        <v>41</v>
      </c>
      <c r="E2796">
        <v>2012</v>
      </c>
      <c r="F2796" s="6" t="s">
        <v>40</v>
      </c>
      <c r="G2796">
        <v>3</v>
      </c>
      <c r="H2796">
        <v>26</v>
      </c>
      <c r="I2796" s="6" t="s">
        <v>39</v>
      </c>
      <c r="J2796" s="6" t="s">
        <v>37</v>
      </c>
      <c r="K2796">
        <v>4</v>
      </c>
      <c r="M2796" s="1" t="b">
        <f>Employee__2[[#This Row],[Experience]]&gt;1</f>
        <v>1</v>
      </c>
      <c r="N2796" s="1" t="str">
        <f>IF(Employee__2[[#This Row],[City]]="Pune","Yes","No")</f>
        <v>No</v>
      </c>
      <c r="O2796" s="1" t="str">
        <f>IF(AND(Employee__2[[#This Row],[Education]]="Bachelors",Employee__2[[#This Row],[City]]="Pune"),"Yes","No")</f>
        <v>No</v>
      </c>
      <c r="P2796" s="1" t="str">
        <f>IF(OR(Employee__2[[#This Row],[Age]]&gt;=30,Employee__2[[#This Row],[Gender]]="Male"),"Mached","Not mached")</f>
        <v>Not mached</v>
      </c>
    </row>
    <row r="2797" spans="4:16" x14ac:dyDescent="0.25">
      <c r="D2797" s="6" t="s">
        <v>34</v>
      </c>
      <c r="E2797">
        <v>2013</v>
      </c>
      <c r="F2797" s="6" t="s">
        <v>38</v>
      </c>
      <c r="G2797">
        <v>2</v>
      </c>
      <c r="H2797">
        <v>26</v>
      </c>
      <c r="I2797" s="6" t="s">
        <v>36</v>
      </c>
      <c r="J2797" s="6" t="s">
        <v>42</v>
      </c>
      <c r="K2797">
        <v>4</v>
      </c>
      <c r="M2797" s="1" t="b">
        <f>Employee__2[[#This Row],[Experience]]&gt;1</f>
        <v>1</v>
      </c>
      <c r="N2797" s="1" t="str">
        <f>IF(Employee__2[[#This Row],[City]]="Pune","Yes","No")</f>
        <v>Yes</v>
      </c>
      <c r="O2797" s="1" t="str">
        <f>IF(AND(Employee__2[[#This Row],[Education]]="Bachelors",Employee__2[[#This Row],[City]]="Pune"),"Yes","No")</f>
        <v>Yes</v>
      </c>
      <c r="P2797" s="1" t="str">
        <f>IF(OR(Employee__2[[#This Row],[Age]]&gt;=30,Employee__2[[#This Row],[Gender]]="Male"),"Mached","Not mached")</f>
        <v>Mached</v>
      </c>
    </row>
    <row r="2798" spans="4:16" x14ac:dyDescent="0.25">
      <c r="D2798" s="6" t="s">
        <v>34</v>
      </c>
      <c r="E2798">
        <v>2018</v>
      </c>
      <c r="F2798" s="6" t="s">
        <v>35</v>
      </c>
      <c r="G2798">
        <v>3</v>
      </c>
      <c r="H2798">
        <v>27</v>
      </c>
      <c r="I2798" s="6" t="s">
        <v>36</v>
      </c>
      <c r="J2798" s="6" t="s">
        <v>37</v>
      </c>
      <c r="K2798">
        <v>5</v>
      </c>
      <c r="M2798" s="1" t="b">
        <f>Employee__2[[#This Row],[Experience]]&gt;1</f>
        <v>1</v>
      </c>
      <c r="N2798" s="1" t="str">
        <f>IF(Employee__2[[#This Row],[City]]="Pune","Yes","No")</f>
        <v>No</v>
      </c>
      <c r="O2798" s="1" t="str">
        <f>IF(AND(Employee__2[[#This Row],[Education]]="Bachelors",Employee__2[[#This Row],[City]]="Pune"),"Yes","No")</f>
        <v>No</v>
      </c>
      <c r="P2798" s="1" t="str">
        <f>IF(OR(Employee__2[[#This Row],[Age]]&gt;=30,Employee__2[[#This Row],[Gender]]="Male"),"Mached","Not mached")</f>
        <v>Mached</v>
      </c>
    </row>
    <row r="2799" spans="4:16" x14ac:dyDescent="0.25">
      <c r="D2799" s="6" t="s">
        <v>43</v>
      </c>
      <c r="E2799">
        <v>2018</v>
      </c>
      <c r="F2799" s="6" t="s">
        <v>40</v>
      </c>
      <c r="G2799">
        <v>2</v>
      </c>
      <c r="H2799">
        <v>30</v>
      </c>
      <c r="I2799" s="6" t="s">
        <v>39</v>
      </c>
      <c r="J2799" s="6" t="s">
        <v>37</v>
      </c>
      <c r="K2799">
        <v>4</v>
      </c>
      <c r="M2799" s="1" t="b">
        <f>Employee__2[[#This Row],[Experience]]&gt;1</f>
        <v>1</v>
      </c>
      <c r="N2799" s="1" t="str">
        <f>IF(Employee__2[[#This Row],[City]]="Pune","Yes","No")</f>
        <v>No</v>
      </c>
      <c r="O2799" s="1" t="str">
        <f>IF(AND(Employee__2[[#This Row],[Education]]="Bachelors",Employee__2[[#This Row],[City]]="Pune"),"Yes","No")</f>
        <v>No</v>
      </c>
      <c r="P2799" s="1" t="str">
        <f>IF(OR(Employee__2[[#This Row],[Age]]&gt;=30,Employee__2[[#This Row],[Gender]]="Male"),"Mached","Not mached")</f>
        <v>Mached</v>
      </c>
    </row>
    <row r="2800" spans="4:16" x14ac:dyDescent="0.25">
      <c r="D2800" s="6" t="s">
        <v>34</v>
      </c>
      <c r="E2800">
        <v>2017</v>
      </c>
      <c r="F2800" s="6" t="s">
        <v>35</v>
      </c>
      <c r="G2800">
        <v>3</v>
      </c>
      <c r="H2800">
        <v>29</v>
      </c>
      <c r="I2800" s="6" t="s">
        <v>36</v>
      </c>
      <c r="J2800" s="6" t="s">
        <v>37</v>
      </c>
      <c r="K2800">
        <v>3</v>
      </c>
      <c r="M2800" s="1" t="b">
        <f>Employee__2[[#This Row],[Experience]]&gt;1</f>
        <v>1</v>
      </c>
      <c r="N2800" s="1" t="str">
        <f>IF(Employee__2[[#This Row],[City]]="Pune","Yes","No")</f>
        <v>No</v>
      </c>
      <c r="O2800" s="1" t="str">
        <f>IF(AND(Employee__2[[#This Row],[Education]]="Bachelors",Employee__2[[#This Row],[City]]="Pune"),"Yes","No")</f>
        <v>No</v>
      </c>
      <c r="P2800" s="1" t="str">
        <f>IF(OR(Employee__2[[#This Row],[Age]]&gt;=30,Employee__2[[#This Row],[Gender]]="Male"),"Mached","Not mached")</f>
        <v>Mached</v>
      </c>
    </row>
    <row r="2801" spans="4:16" x14ac:dyDescent="0.25">
      <c r="D2801" s="6" t="s">
        <v>34</v>
      </c>
      <c r="E2801">
        <v>2013</v>
      </c>
      <c r="F2801" s="6" t="s">
        <v>35</v>
      </c>
      <c r="G2801">
        <v>3</v>
      </c>
      <c r="H2801">
        <v>28</v>
      </c>
      <c r="I2801" s="6" t="s">
        <v>36</v>
      </c>
      <c r="J2801" s="6" t="s">
        <v>37</v>
      </c>
      <c r="K2801">
        <v>1</v>
      </c>
      <c r="M2801" s="1" t="b">
        <f>Employee__2[[#This Row],[Experience]]&gt;1</f>
        <v>0</v>
      </c>
      <c r="N2801" s="1" t="str">
        <f>IF(Employee__2[[#This Row],[City]]="Pune","Yes","No")</f>
        <v>No</v>
      </c>
      <c r="O2801" s="1" t="str">
        <f>IF(AND(Employee__2[[#This Row],[Education]]="Bachelors",Employee__2[[#This Row],[City]]="Pune"),"Yes","No")</f>
        <v>No</v>
      </c>
      <c r="P2801" s="1" t="str">
        <f>IF(OR(Employee__2[[#This Row],[Age]]&gt;=30,Employee__2[[#This Row],[Gender]]="Male"),"Mached","Not mached")</f>
        <v>Mached</v>
      </c>
    </row>
    <row r="2802" spans="4:16" x14ac:dyDescent="0.25">
      <c r="D2802" s="6" t="s">
        <v>34</v>
      </c>
      <c r="E2802">
        <v>2012</v>
      </c>
      <c r="F2802" s="6" t="s">
        <v>35</v>
      </c>
      <c r="G2802">
        <v>3</v>
      </c>
      <c r="H2802">
        <v>28</v>
      </c>
      <c r="I2802" s="6" t="s">
        <v>36</v>
      </c>
      <c r="J2802" s="6" t="s">
        <v>42</v>
      </c>
      <c r="K2802">
        <v>2</v>
      </c>
      <c r="M2802" s="1" t="b">
        <f>Employee__2[[#This Row],[Experience]]&gt;1</f>
        <v>1</v>
      </c>
      <c r="N2802" s="1" t="str">
        <f>IF(Employee__2[[#This Row],[City]]="Pune","Yes","No")</f>
        <v>No</v>
      </c>
      <c r="O2802" s="1" t="str">
        <f>IF(AND(Employee__2[[#This Row],[Education]]="Bachelors",Employee__2[[#This Row],[City]]="Pune"),"Yes","No")</f>
        <v>No</v>
      </c>
      <c r="P2802" s="1" t="str">
        <f>IF(OR(Employee__2[[#This Row],[Age]]&gt;=30,Employee__2[[#This Row],[Gender]]="Male"),"Mached","Not mached")</f>
        <v>Mached</v>
      </c>
    </row>
    <row r="2803" spans="4:16" x14ac:dyDescent="0.25">
      <c r="D2803" s="6" t="s">
        <v>41</v>
      </c>
      <c r="E2803">
        <v>2017</v>
      </c>
      <c r="F2803" s="6" t="s">
        <v>40</v>
      </c>
      <c r="G2803">
        <v>1</v>
      </c>
      <c r="H2803">
        <v>30</v>
      </c>
      <c r="I2803" s="6" t="s">
        <v>36</v>
      </c>
      <c r="J2803" s="6" t="s">
        <v>37</v>
      </c>
      <c r="K2803">
        <v>2</v>
      </c>
      <c r="M2803" s="1" t="b">
        <f>Employee__2[[#This Row],[Experience]]&gt;1</f>
        <v>1</v>
      </c>
      <c r="N2803" s="1" t="str">
        <f>IF(Employee__2[[#This Row],[City]]="Pune","Yes","No")</f>
        <v>No</v>
      </c>
      <c r="O2803" s="1" t="str">
        <f>IF(AND(Employee__2[[#This Row],[Education]]="Bachelors",Employee__2[[#This Row],[City]]="Pune"),"Yes","No")</f>
        <v>No</v>
      </c>
      <c r="P2803" s="1" t="str">
        <f>IF(OR(Employee__2[[#This Row],[Age]]&gt;=30,Employee__2[[#This Row],[Gender]]="Male"),"Mached","Not mached")</f>
        <v>Mached</v>
      </c>
    </row>
    <row r="2804" spans="4:16" x14ac:dyDescent="0.25">
      <c r="D2804" s="6" t="s">
        <v>34</v>
      </c>
      <c r="E2804">
        <v>2017</v>
      </c>
      <c r="F2804" s="6" t="s">
        <v>40</v>
      </c>
      <c r="G2804">
        <v>2</v>
      </c>
      <c r="H2804">
        <v>26</v>
      </c>
      <c r="I2804" s="6" t="s">
        <v>39</v>
      </c>
      <c r="J2804" s="6" t="s">
        <v>37</v>
      </c>
      <c r="K2804">
        <v>4</v>
      </c>
      <c r="M2804" s="1" t="b">
        <f>Employee__2[[#This Row],[Experience]]&gt;1</f>
        <v>1</v>
      </c>
      <c r="N2804" s="1" t="str">
        <f>IF(Employee__2[[#This Row],[City]]="Pune","Yes","No")</f>
        <v>No</v>
      </c>
      <c r="O2804" s="1" t="str">
        <f>IF(AND(Employee__2[[#This Row],[Education]]="Bachelors",Employee__2[[#This Row],[City]]="Pune"),"Yes","No")</f>
        <v>No</v>
      </c>
      <c r="P2804" s="1" t="str">
        <f>IF(OR(Employee__2[[#This Row],[Age]]&gt;=30,Employee__2[[#This Row],[Gender]]="Male"),"Mached","Not mached")</f>
        <v>Not mached</v>
      </c>
    </row>
    <row r="2805" spans="4:16" x14ac:dyDescent="0.25">
      <c r="D2805" s="6" t="s">
        <v>41</v>
      </c>
      <c r="E2805">
        <v>2013</v>
      </c>
      <c r="F2805" s="6" t="s">
        <v>35</v>
      </c>
      <c r="G2805">
        <v>1</v>
      </c>
      <c r="H2805">
        <v>29</v>
      </c>
      <c r="I2805" s="6" t="s">
        <v>39</v>
      </c>
      <c r="J2805" s="6" t="s">
        <v>37</v>
      </c>
      <c r="K2805">
        <v>2</v>
      </c>
      <c r="M2805" s="1" t="b">
        <f>Employee__2[[#This Row],[Experience]]&gt;1</f>
        <v>1</v>
      </c>
      <c r="N2805" s="1" t="str">
        <f>IF(Employee__2[[#This Row],[City]]="Pune","Yes","No")</f>
        <v>No</v>
      </c>
      <c r="O2805" s="1" t="str">
        <f>IF(AND(Employee__2[[#This Row],[Education]]="Bachelors",Employee__2[[#This Row],[City]]="Pune"),"Yes","No")</f>
        <v>No</v>
      </c>
      <c r="P2805" s="1" t="str">
        <f>IF(OR(Employee__2[[#This Row],[Age]]&gt;=30,Employee__2[[#This Row],[Gender]]="Male"),"Mached","Not mached")</f>
        <v>Not mached</v>
      </c>
    </row>
    <row r="2806" spans="4:16" x14ac:dyDescent="0.25">
      <c r="D2806" s="6" t="s">
        <v>34</v>
      </c>
      <c r="E2806">
        <v>2012</v>
      </c>
      <c r="F2806" s="6" t="s">
        <v>38</v>
      </c>
      <c r="G2806">
        <v>3</v>
      </c>
      <c r="H2806">
        <v>29</v>
      </c>
      <c r="I2806" s="6" t="s">
        <v>36</v>
      </c>
      <c r="J2806" s="6" t="s">
        <v>37</v>
      </c>
      <c r="K2806">
        <v>5</v>
      </c>
      <c r="M2806" s="1" t="b">
        <f>Employee__2[[#This Row],[Experience]]&gt;1</f>
        <v>1</v>
      </c>
      <c r="N2806" s="1" t="str">
        <f>IF(Employee__2[[#This Row],[City]]="Pune","Yes","No")</f>
        <v>Yes</v>
      </c>
      <c r="O2806" s="1" t="str">
        <f>IF(AND(Employee__2[[#This Row],[Education]]="Bachelors",Employee__2[[#This Row],[City]]="Pune"),"Yes","No")</f>
        <v>Yes</v>
      </c>
      <c r="P2806" s="1" t="str">
        <f>IF(OR(Employee__2[[#This Row],[Age]]&gt;=30,Employee__2[[#This Row],[Gender]]="Male"),"Mached","Not mached")</f>
        <v>Mached</v>
      </c>
    </row>
    <row r="2807" spans="4:16" x14ac:dyDescent="0.25">
      <c r="D2807" s="6" t="s">
        <v>34</v>
      </c>
      <c r="E2807">
        <v>2014</v>
      </c>
      <c r="F2807" s="6" t="s">
        <v>35</v>
      </c>
      <c r="G2807">
        <v>3</v>
      </c>
      <c r="H2807">
        <v>27</v>
      </c>
      <c r="I2807" s="6" t="s">
        <v>36</v>
      </c>
      <c r="J2807" s="6" t="s">
        <v>37</v>
      </c>
      <c r="K2807">
        <v>5</v>
      </c>
      <c r="M2807" s="1" t="b">
        <f>Employee__2[[#This Row],[Experience]]&gt;1</f>
        <v>1</v>
      </c>
      <c r="N2807" s="1" t="str">
        <f>IF(Employee__2[[#This Row],[City]]="Pune","Yes","No")</f>
        <v>No</v>
      </c>
      <c r="O2807" s="1" t="str">
        <f>IF(AND(Employee__2[[#This Row],[Education]]="Bachelors",Employee__2[[#This Row],[City]]="Pune"),"Yes","No")</f>
        <v>No</v>
      </c>
      <c r="P2807" s="1" t="str">
        <f>IF(OR(Employee__2[[#This Row],[Age]]&gt;=30,Employee__2[[#This Row],[Gender]]="Male"),"Mached","Not mached")</f>
        <v>Mached</v>
      </c>
    </row>
    <row r="2808" spans="4:16" x14ac:dyDescent="0.25">
      <c r="D2808" s="6" t="s">
        <v>34</v>
      </c>
      <c r="E2808">
        <v>2015</v>
      </c>
      <c r="F2808" s="6" t="s">
        <v>35</v>
      </c>
      <c r="G2808">
        <v>3</v>
      </c>
      <c r="H2808">
        <v>29</v>
      </c>
      <c r="I2808" s="6" t="s">
        <v>36</v>
      </c>
      <c r="J2808" s="6" t="s">
        <v>37</v>
      </c>
      <c r="K2808">
        <v>4</v>
      </c>
      <c r="M2808" s="1" t="b">
        <f>Employee__2[[#This Row],[Experience]]&gt;1</f>
        <v>1</v>
      </c>
      <c r="N2808" s="1" t="str">
        <f>IF(Employee__2[[#This Row],[City]]="Pune","Yes","No")</f>
        <v>No</v>
      </c>
      <c r="O2808" s="1" t="str">
        <f>IF(AND(Employee__2[[#This Row],[Education]]="Bachelors",Employee__2[[#This Row],[City]]="Pune"),"Yes","No")</f>
        <v>No</v>
      </c>
      <c r="P2808" s="1" t="str">
        <f>IF(OR(Employee__2[[#This Row],[Age]]&gt;=30,Employee__2[[#This Row],[Gender]]="Male"),"Mached","Not mached")</f>
        <v>Mached</v>
      </c>
    </row>
    <row r="2809" spans="4:16" x14ac:dyDescent="0.25">
      <c r="D2809" s="6" t="s">
        <v>34</v>
      </c>
      <c r="E2809">
        <v>2014</v>
      </c>
      <c r="F2809" s="6" t="s">
        <v>35</v>
      </c>
      <c r="G2809">
        <v>3</v>
      </c>
      <c r="H2809">
        <v>29</v>
      </c>
      <c r="I2809" s="6" t="s">
        <v>36</v>
      </c>
      <c r="J2809" s="6" t="s">
        <v>37</v>
      </c>
      <c r="K2809">
        <v>3</v>
      </c>
      <c r="M2809" s="1" t="b">
        <f>Employee__2[[#This Row],[Experience]]&gt;1</f>
        <v>1</v>
      </c>
      <c r="N2809" s="1" t="str">
        <f>IF(Employee__2[[#This Row],[City]]="Pune","Yes","No")</f>
        <v>No</v>
      </c>
      <c r="O2809" s="1" t="str">
        <f>IF(AND(Employee__2[[#This Row],[Education]]="Bachelors",Employee__2[[#This Row],[City]]="Pune"),"Yes","No")</f>
        <v>No</v>
      </c>
      <c r="P2809" s="1" t="str">
        <f>IF(OR(Employee__2[[#This Row],[Age]]&gt;=30,Employee__2[[#This Row],[Gender]]="Male"),"Mached","Not mached")</f>
        <v>Mached</v>
      </c>
    </row>
    <row r="2810" spans="4:16" x14ac:dyDescent="0.25">
      <c r="D2810" s="6" t="s">
        <v>34</v>
      </c>
      <c r="E2810">
        <v>2018</v>
      </c>
      <c r="F2810" s="6" t="s">
        <v>35</v>
      </c>
      <c r="G2810">
        <v>3</v>
      </c>
      <c r="H2810">
        <v>28</v>
      </c>
      <c r="I2810" s="6" t="s">
        <v>36</v>
      </c>
      <c r="J2810" s="6" t="s">
        <v>37</v>
      </c>
      <c r="K2810">
        <v>0</v>
      </c>
      <c r="M2810" s="1" t="b">
        <f>Employee__2[[#This Row],[Experience]]&gt;1</f>
        <v>0</v>
      </c>
      <c r="N2810" s="1" t="str">
        <f>IF(Employee__2[[#This Row],[City]]="Pune","Yes","No")</f>
        <v>No</v>
      </c>
      <c r="O2810" s="1" t="str">
        <f>IF(AND(Employee__2[[#This Row],[Education]]="Bachelors",Employee__2[[#This Row],[City]]="Pune"),"Yes","No")</f>
        <v>No</v>
      </c>
      <c r="P2810" s="1" t="str">
        <f>IF(OR(Employee__2[[#This Row],[Age]]&gt;=30,Employee__2[[#This Row],[Gender]]="Male"),"Mached","Not mached")</f>
        <v>Mached</v>
      </c>
    </row>
    <row r="2811" spans="4:16" x14ac:dyDescent="0.25">
      <c r="D2811" s="6" t="s">
        <v>34</v>
      </c>
      <c r="E2811">
        <v>2012</v>
      </c>
      <c r="F2811" s="6" t="s">
        <v>35</v>
      </c>
      <c r="G2811">
        <v>3</v>
      </c>
      <c r="H2811">
        <v>27</v>
      </c>
      <c r="I2811" s="6" t="s">
        <v>36</v>
      </c>
      <c r="J2811" s="6" t="s">
        <v>37</v>
      </c>
      <c r="K2811">
        <v>5</v>
      </c>
      <c r="M2811" s="1" t="b">
        <f>Employee__2[[#This Row],[Experience]]&gt;1</f>
        <v>1</v>
      </c>
      <c r="N2811" s="1" t="str">
        <f>IF(Employee__2[[#This Row],[City]]="Pune","Yes","No")</f>
        <v>No</v>
      </c>
      <c r="O2811" s="1" t="str">
        <f>IF(AND(Employee__2[[#This Row],[Education]]="Bachelors",Employee__2[[#This Row],[City]]="Pune"),"Yes","No")</f>
        <v>No</v>
      </c>
      <c r="P2811" s="1" t="str">
        <f>IF(OR(Employee__2[[#This Row],[Age]]&gt;=30,Employee__2[[#This Row],[Gender]]="Male"),"Mached","Not mached")</f>
        <v>Mached</v>
      </c>
    </row>
    <row r="2812" spans="4:16" x14ac:dyDescent="0.25">
      <c r="D2812" s="6" t="s">
        <v>34</v>
      </c>
      <c r="E2812">
        <v>2017</v>
      </c>
      <c r="F2812" s="6" t="s">
        <v>40</v>
      </c>
      <c r="G2812">
        <v>2</v>
      </c>
      <c r="H2812">
        <v>26</v>
      </c>
      <c r="I2812" s="6" t="s">
        <v>36</v>
      </c>
      <c r="J2812" s="6" t="s">
        <v>37</v>
      </c>
      <c r="K2812">
        <v>4</v>
      </c>
      <c r="M2812" s="1" t="b">
        <f>Employee__2[[#This Row],[Experience]]&gt;1</f>
        <v>1</v>
      </c>
      <c r="N2812" s="1" t="str">
        <f>IF(Employee__2[[#This Row],[City]]="Pune","Yes","No")</f>
        <v>No</v>
      </c>
      <c r="O2812" s="1" t="str">
        <f>IF(AND(Employee__2[[#This Row],[Education]]="Bachelors",Employee__2[[#This Row],[City]]="Pune"),"Yes","No")</f>
        <v>No</v>
      </c>
      <c r="P2812" s="1" t="str">
        <f>IF(OR(Employee__2[[#This Row],[Age]]&gt;=30,Employee__2[[#This Row],[Gender]]="Male"),"Mached","Not mached")</f>
        <v>Mached</v>
      </c>
    </row>
    <row r="2813" spans="4:16" x14ac:dyDescent="0.25">
      <c r="D2813" s="6" t="s">
        <v>34</v>
      </c>
      <c r="E2813">
        <v>2014</v>
      </c>
      <c r="F2813" s="6" t="s">
        <v>38</v>
      </c>
      <c r="G2813">
        <v>2</v>
      </c>
      <c r="H2813">
        <v>29</v>
      </c>
      <c r="I2813" s="6" t="s">
        <v>39</v>
      </c>
      <c r="J2813" s="6" t="s">
        <v>37</v>
      </c>
      <c r="K2813">
        <v>1</v>
      </c>
      <c r="M2813" s="1" t="b">
        <f>Employee__2[[#This Row],[Experience]]&gt;1</f>
        <v>0</v>
      </c>
      <c r="N2813" s="1" t="str">
        <f>IF(Employee__2[[#This Row],[City]]="Pune","Yes","No")</f>
        <v>Yes</v>
      </c>
      <c r="O2813" s="1" t="str">
        <f>IF(AND(Employee__2[[#This Row],[Education]]="Bachelors",Employee__2[[#This Row],[City]]="Pune"),"Yes","No")</f>
        <v>Yes</v>
      </c>
      <c r="P2813" s="1" t="str">
        <f>IF(OR(Employee__2[[#This Row],[Age]]&gt;=30,Employee__2[[#This Row],[Gender]]="Male"),"Mached","Not mached")</f>
        <v>Not mached</v>
      </c>
    </row>
    <row r="2814" spans="4:16" x14ac:dyDescent="0.25">
      <c r="D2814" s="6" t="s">
        <v>34</v>
      </c>
      <c r="E2814">
        <v>2017</v>
      </c>
      <c r="F2814" s="6" t="s">
        <v>35</v>
      </c>
      <c r="G2814">
        <v>3</v>
      </c>
      <c r="H2814">
        <v>29</v>
      </c>
      <c r="I2814" s="6" t="s">
        <v>36</v>
      </c>
      <c r="J2814" s="6" t="s">
        <v>37</v>
      </c>
      <c r="K2814">
        <v>4</v>
      </c>
      <c r="M2814" s="1" t="b">
        <f>Employee__2[[#This Row],[Experience]]&gt;1</f>
        <v>1</v>
      </c>
      <c r="N2814" s="1" t="str">
        <f>IF(Employee__2[[#This Row],[City]]="Pune","Yes","No")</f>
        <v>No</v>
      </c>
      <c r="O2814" s="1" t="str">
        <f>IF(AND(Employee__2[[#This Row],[Education]]="Bachelors",Employee__2[[#This Row],[City]]="Pune"),"Yes","No")</f>
        <v>No</v>
      </c>
      <c r="P2814" s="1" t="str">
        <f>IF(OR(Employee__2[[#This Row],[Age]]&gt;=30,Employee__2[[#This Row],[Gender]]="Male"),"Mached","Not mached")</f>
        <v>Mached</v>
      </c>
    </row>
    <row r="2815" spans="4:16" x14ac:dyDescent="0.25">
      <c r="D2815" s="6" t="s">
        <v>34</v>
      </c>
      <c r="E2815">
        <v>2015</v>
      </c>
      <c r="F2815" s="6" t="s">
        <v>38</v>
      </c>
      <c r="G2815">
        <v>2</v>
      </c>
      <c r="H2815">
        <v>28</v>
      </c>
      <c r="I2815" s="6" t="s">
        <v>39</v>
      </c>
      <c r="J2815" s="6" t="s">
        <v>37</v>
      </c>
      <c r="K2815">
        <v>3</v>
      </c>
      <c r="M2815" s="1" t="b">
        <f>Employee__2[[#This Row],[Experience]]&gt;1</f>
        <v>1</v>
      </c>
      <c r="N2815" s="1" t="str">
        <f>IF(Employee__2[[#This Row],[City]]="Pune","Yes","No")</f>
        <v>Yes</v>
      </c>
      <c r="O2815" s="1" t="str">
        <f>IF(AND(Employee__2[[#This Row],[Education]]="Bachelors",Employee__2[[#This Row],[City]]="Pune"),"Yes","No")</f>
        <v>Yes</v>
      </c>
      <c r="P2815" s="1" t="str">
        <f>IF(OR(Employee__2[[#This Row],[Age]]&gt;=30,Employee__2[[#This Row],[Gender]]="Male"),"Mached","Not mached")</f>
        <v>Not mached</v>
      </c>
    </row>
    <row r="2816" spans="4:16" x14ac:dyDescent="0.25">
      <c r="D2816" s="6" t="s">
        <v>34</v>
      </c>
      <c r="E2816">
        <v>2017</v>
      </c>
      <c r="F2816" s="6" t="s">
        <v>35</v>
      </c>
      <c r="G2816">
        <v>3</v>
      </c>
      <c r="H2816">
        <v>28</v>
      </c>
      <c r="I2816" s="6" t="s">
        <v>36</v>
      </c>
      <c r="J2816" s="6" t="s">
        <v>37</v>
      </c>
      <c r="K2816">
        <v>5</v>
      </c>
      <c r="M2816" s="1" t="b">
        <f>Employee__2[[#This Row],[Experience]]&gt;1</f>
        <v>1</v>
      </c>
      <c r="N2816" s="1" t="str">
        <f>IF(Employee__2[[#This Row],[City]]="Pune","Yes","No")</f>
        <v>No</v>
      </c>
      <c r="O2816" s="1" t="str">
        <f>IF(AND(Employee__2[[#This Row],[Education]]="Bachelors",Employee__2[[#This Row],[City]]="Pune"),"Yes","No")</f>
        <v>No</v>
      </c>
      <c r="P2816" s="1" t="str">
        <f>IF(OR(Employee__2[[#This Row],[Age]]&gt;=30,Employee__2[[#This Row],[Gender]]="Male"),"Mached","Not mached")</f>
        <v>Mached</v>
      </c>
    </row>
    <row r="2817" spans="4:16" x14ac:dyDescent="0.25">
      <c r="D2817" s="6" t="s">
        <v>34</v>
      </c>
      <c r="E2817">
        <v>2017</v>
      </c>
      <c r="F2817" s="6" t="s">
        <v>35</v>
      </c>
      <c r="G2817">
        <v>3</v>
      </c>
      <c r="H2817">
        <v>29</v>
      </c>
      <c r="I2817" s="6" t="s">
        <v>36</v>
      </c>
      <c r="J2817" s="6" t="s">
        <v>37</v>
      </c>
      <c r="K2817">
        <v>0</v>
      </c>
      <c r="M2817" s="1" t="b">
        <f>Employee__2[[#This Row],[Experience]]&gt;1</f>
        <v>0</v>
      </c>
      <c r="N2817" s="1" t="str">
        <f>IF(Employee__2[[#This Row],[City]]="Pune","Yes","No")</f>
        <v>No</v>
      </c>
      <c r="O2817" s="1" t="str">
        <f>IF(AND(Employee__2[[#This Row],[Education]]="Bachelors",Employee__2[[#This Row],[City]]="Pune"),"Yes","No")</f>
        <v>No</v>
      </c>
      <c r="P2817" s="1" t="str">
        <f>IF(OR(Employee__2[[#This Row],[Age]]&gt;=30,Employee__2[[#This Row],[Gender]]="Male"),"Mached","Not mached")</f>
        <v>Mached</v>
      </c>
    </row>
    <row r="2818" spans="4:16" x14ac:dyDescent="0.25">
      <c r="D2818" s="6" t="s">
        <v>34</v>
      </c>
      <c r="E2818">
        <v>2017</v>
      </c>
      <c r="F2818" s="6" t="s">
        <v>35</v>
      </c>
      <c r="G2818">
        <v>3</v>
      </c>
      <c r="H2818">
        <v>30</v>
      </c>
      <c r="I2818" s="6" t="s">
        <v>36</v>
      </c>
      <c r="J2818" s="6" t="s">
        <v>37</v>
      </c>
      <c r="K2818">
        <v>2</v>
      </c>
      <c r="M2818" s="1" t="b">
        <f>Employee__2[[#This Row],[Experience]]&gt;1</f>
        <v>1</v>
      </c>
      <c r="N2818" s="1" t="str">
        <f>IF(Employee__2[[#This Row],[City]]="Pune","Yes","No")</f>
        <v>No</v>
      </c>
      <c r="O2818" s="1" t="str">
        <f>IF(AND(Employee__2[[#This Row],[Education]]="Bachelors",Employee__2[[#This Row],[City]]="Pune"),"Yes","No")</f>
        <v>No</v>
      </c>
      <c r="P2818" s="1" t="str">
        <f>IF(OR(Employee__2[[#This Row],[Age]]&gt;=30,Employee__2[[#This Row],[Gender]]="Male"),"Mached","Not mached")</f>
        <v>Mached</v>
      </c>
    </row>
    <row r="2819" spans="4:16" x14ac:dyDescent="0.25">
      <c r="D2819" s="6" t="s">
        <v>34</v>
      </c>
      <c r="E2819">
        <v>2017</v>
      </c>
      <c r="F2819" s="6" t="s">
        <v>40</v>
      </c>
      <c r="G2819">
        <v>2</v>
      </c>
      <c r="H2819">
        <v>26</v>
      </c>
      <c r="I2819" s="6" t="s">
        <v>39</v>
      </c>
      <c r="J2819" s="6" t="s">
        <v>37</v>
      </c>
      <c r="K2819">
        <v>4</v>
      </c>
      <c r="M2819" s="1" t="b">
        <f>Employee__2[[#This Row],[Experience]]&gt;1</f>
        <v>1</v>
      </c>
      <c r="N2819" s="1" t="str">
        <f>IF(Employee__2[[#This Row],[City]]="Pune","Yes","No")</f>
        <v>No</v>
      </c>
      <c r="O2819" s="1" t="str">
        <f>IF(AND(Employee__2[[#This Row],[Education]]="Bachelors",Employee__2[[#This Row],[City]]="Pune"),"Yes","No")</f>
        <v>No</v>
      </c>
      <c r="P2819" s="1" t="str">
        <f>IF(OR(Employee__2[[#This Row],[Age]]&gt;=30,Employee__2[[#This Row],[Gender]]="Male"),"Mached","Not mached")</f>
        <v>Not mached</v>
      </c>
    </row>
    <row r="2820" spans="4:16" x14ac:dyDescent="0.25">
      <c r="D2820" s="6" t="s">
        <v>41</v>
      </c>
      <c r="E2820">
        <v>2017</v>
      </c>
      <c r="F2820" s="6" t="s">
        <v>40</v>
      </c>
      <c r="G2820">
        <v>2</v>
      </c>
      <c r="H2820">
        <v>30</v>
      </c>
      <c r="I2820" s="6" t="s">
        <v>39</v>
      </c>
      <c r="J2820" s="6" t="s">
        <v>37</v>
      </c>
      <c r="K2820">
        <v>2</v>
      </c>
      <c r="M2820" s="1" t="b">
        <f>Employee__2[[#This Row],[Experience]]&gt;1</f>
        <v>1</v>
      </c>
      <c r="N2820" s="1" t="str">
        <f>IF(Employee__2[[#This Row],[City]]="Pune","Yes","No")</f>
        <v>No</v>
      </c>
      <c r="O2820" s="1" t="str">
        <f>IF(AND(Employee__2[[#This Row],[Education]]="Bachelors",Employee__2[[#This Row],[City]]="Pune"),"Yes","No")</f>
        <v>No</v>
      </c>
      <c r="P2820" s="1" t="str">
        <f>IF(OR(Employee__2[[#This Row],[Age]]&gt;=30,Employee__2[[#This Row],[Gender]]="Male"),"Mached","Not mached")</f>
        <v>Mached</v>
      </c>
    </row>
    <row r="2821" spans="4:16" x14ac:dyDescent="0.25">
      <c r="D2821" s="6" t="s">
        <v>34</v>
      </c>
      <c r="E2821">
        <v>2015</v>
      </c>
      <c r="F2821" s="6" t="s">
        <v>38</v>
      </c>
      <c r="G2821">
        <v>2</v>
      </c>
      <c r="H2821">
        <v>29</v>
      </c>
      <c r="I2821" s="6" t="s">
        <v>39</v>
      </c>
      <c r="J2821" s="6" t="s">
        <v>37</v>
      </c>
      <c r="K2821">
        <v>4</v>
      </c>
      <c r="M2821" s="1" t="b">
        <f>Employee__2[[#This Row],[Experience]]&gt;1</f>
        <v>1</v>
      </c>
      <c r="N2821" s="1" t="str">
        <f>IF(Employee__2[[#This Row],[City]]="Pune","Yes","No")</f>
        <v>Yes</v>
      </c>
      <c r="O2821" s="1" t="str">
        <f>IF(AND(Employee__2[[#This Row],[Education]]="Bachelors",Employee__2[[#This Row],[City]]="Pune"),"Yes","No")</f>
        <v>Yes</v>
      </c>
      <c r="P2821" s="1" t="str">
        <f>IF(OR(Employee__2[[#This Row],[Age]]&gt;=30,Employee__2[[#This Row],[Gender]]="Male"),"Mached","Not mached")</f>
        <v>Not mached</v>
      </c>
    </row>
    <row r="2822" spans="4:16" x14ac:dyDescent="0.25">
      <c r="D2822" s="6" t="s">
        <v>34</v>
      </c>
      <c r="E2822">
        <v>2014</v>
      </c>
      <c r="F2822" s="6" t="s">
        <v>38</v>
      </c>
      <c r="G2822">
        <v>3</v>
      </c>
      <c r="H2822">
        <v>29</v>
      </c>
      <c r="I2822" s="6" t="s">
        <v>39</v>
      </c>
      <c r="J2822" s="6" t="s">
        <v>37</v>
      </c>
      <c r="K2822">
        <v>1</v>
      </c>
      <c r="M2822" s="1" t="b">
        <f>Employee__2[[#This Row],[Experience]]&gt;1</f>
        <v>0</v>
      </c>
      <c r="N2822" s="1" t="str">
        <f>IF(Employee__2[[#This Row],[City]]="Pune","Yes","No")</f>
        <v>Yes</v>
      </c>
      <c r="O2822" s="1" t="str">
        <f>IF(AND(Employee__2[[#This Row],[Education]]="Bachelors",Employee__2[[#This Row],[City]]="Pune"),"Yes","No")</f>
        <v>Yes</v>
      </c>
      <c r="P2822" s="1" t="str">
        <f>IF(OR(Employee__2[[#This Row],[Age]]&gt;=30,Employee__2[[#This Row],[Gender]]="Male"),"Mached","Not mached")</f>
        <v>Not mached</v>
      </c>
    </row>
    <row r="2823" spans="4:16" x14ac:dyDescent="0.25">
      <c r="D2823" s="6" t="s">
        <v>34</v>
      </c>
      <c r="E2823">
        <v>2012</v>
      </c>
      <c r="F2823" s="6" t="s">
        <v>35</v>
      </c>
      <c r="G2823">
        <v>3</v>
      </c>
      <c r="H2823">
        <v>28</v>
      </c>
      <c r="I2823" s="6" t="s">
        <v>36</v>
      </c>
      <c r="J2823" s="6" t="s">
        <v>37</v>
      </c>
      <c r="K2823">
        <v>2</v>
      </c>
      <c r="M2823" s="1" t="b">
        <f>Employee__2[[#This Row],[Experience]]&gt;1</f>
        <v>1</v>
      </c>
      <c r="N2823" s="1" t="str">
        <f>IF(Employee__2[[#This Row],[City]]="Pune","Yes","No")</f>
        <v>No</v>
      </c>
      <c r="O2823" s="1" t="str">
        <f>IF(AND(Employee__2[[#This Row],[Education]]="Bachelors",Employee__2[[#This Row],[City]]="Pune"),"Yes","No")</f>
        <v>No</v>
      </c>
      <c r="P2823" s="1" t="str">
        <f>IF(OR(Employee__2[[#This Row],[Age]]&gt;=30,Employee__2[[#This Row],[Gender]]="Male"),"Mached","Not mached")</f>
        <v>Mached</v>
      </c>
    </row>
    <row r="2824" spans="4:16" x14ac:dyDescent="0.25">
      <c r="D2824" s="6" t="s">
        <v>34</v>
      </c>
      <c r="E2824">
        <v>2012</v>
      </c>
      <c r="F2824" s="6" t="s">
        <v>35</v>
      </c>
      <c r="G2824">
        <v>3</v>
      </c>
      <c r="H2824">
        <v>28</v>
      </c>
      <c r="I2824" s="6" t="s">
        <v>39</v>
      </c>
      <c r="J2824" s="6" t="s">
        <v>37</v>
      </c>
      <c r="K2824">
        <v>4</v>
      </c>
      <c r="M2824" s="1" t="b">
        <f>Employee__2[[#This Row],[Experience]]&gt;1</f>
        <v>1</v>
      </c>
      <c r="N2824" s="1" t="str">
        <f>IF(Employee__2[[#This Row],[City]]="Pune","Yes","No")</f>
        <v>No</v>
      </c>
      <c r="O2824" s="1" t="str">
        <f>IF(AND(Employee__2[[#This Row],[Education]]="Bachelors",Employee__2[[#This Row],[City]]="Pune"),"Yes","No")</f>
        <v>No</v>
      </c>
      <c r="P2824" s="1" t="str">
        <f>IF(OR(Employee__2[[#This Row],[Age]]&gt;=30,Employee__2[[#This Row],[Gender]]="Male"),"Mached","Not mached")</f>
        <v>Not mached</v>
      </c>
    </row>
    <row r="2825" spans="4:16" x14ac:dyDescent="0.25">
      <c r="D2825" s="6" t="s">
        <v>34</v>
      </c>
      <c r="E2825">
        <v>2017</v>
      </c>
      <c r="F2825" s="6" t="s">
        <v>35</v>
      </c>
      <c r="G2825">
        <v>3</v>
      </c>
      <c r="H2825">
        <v>29</v>
      </c>
      <c r="I2825" s="6" t="s">
        <v>39</v>
      </c>
      <c r="J2825" s="6" t="s">
        <v>37</v>
      </c>
      <c r="K2825">
        <v>5</v>
      </c>
      <c r="M2825" s="1" t="b">
        <f>Employee__2[[#This Row],[Experience]]&gt;1</f>
        <v>1</v>
      </c>
      <c r="N2825" s="1" t="str">
        <f>IF(Employee__2[[#This Row],[City]]="Pune","Yes","No")</f>
        <v>No</v>
      </c>
      <c r="O2825" s="1" t="str">
        <f>IF(AND(Employee__2[[#This Row],[Education]]="Bachelors",Employee__2[[#This Row],[City]]="Pune"),"Yes","No")</f>
        <v>No</v>
      </c>
      <c r="P2825" s="1" t="str">
        <f>IF(OR(Employee__2[[#This Row],[Age]]&gt;=30,Employee__2[[#This Row],[Gender]]="Male"),"Mached","Not mached")</f>
        <v>Not mached</v>
      </c>
    </row>
    <row r="2826" spans="4:16" x14ac:dyDescent="0.25">
      <c r="D2826" s="6" t="s">
        <v>34</v>
      </c>
      <c r="E2826">
        <v>2015</v>
      </c>
      <c r="F2826" s="6" t="s">
        <v>35</v>
      </c>
      <c r="G2826">
        <v>3</v>
      </c>
      <c r="H2826">
        <v>30</v>
      </c>
      <c r="I2826" s="6" t="s">
        <v>36</v>
      </c>
      <c r="J2826" s="6" t="s">
        <v>42</v>
      </c>
      <c r="K2826">
        <v>3</v>
      </c>
      <c r="M2826" s="1" t="b">
        <f>Employee__2[[#This Row],[Experience]]&gt;1</f>
        <v>1</v>
      </c>
      <c r="N2826" s="1" t="str">
        <f>IF(Employee__2[[#This Row],[City]]="Pune","Yes","No")</f>
        <v>No</v>
      </c>
      <c r="O2826" s="1" t="str">
        <f>IF(AND(Employee__2[[#This Row],[Education]]="Bachelors",Employee__2[[#This Row],[City]]="Pune"),"Yes","No")</f>
        <v>No</v>
      </c>
      <c r="P2826" s="1" t="str">
        <f>IF(OR(Employee__2[[#This Row],[Age]]&gt;=30,Employee__2[[#This Row],[Gender]]="Male"),"Mached","Not mached")</f>
        <v>Mached</v>
      </c>
    </row>
    <row r="2827" spans="4:16" x14ac:dyDescent="0.25">
      <c r="D2827" s="6" t="s">
        <v>41</v>
      </c>
      <c r="E2827">
        <v>2012</v>
      </c>
      <c r="F2827" s="6" t="s">
        <v>38</v>
      </c>
      <c r="G2827">
        <v>3</v>
      </c>
      <c r="H2827">
        <v>26</v>
      </c>
      <c r="I2827" s="6" t="s">
        <v>36</v>
      </c>
      <c r="J2827" s="6" t="s">
        <v>37</v>
      </c>
      <c r="K2827">
        <v>4</v>
      </c>
      <c r="M2827" s="1" t="b">
        <f>Employee__2[[#This Row],[Experience]]&gt;1</f>
        <v>1</v>
      </c>
      <c r="N2827" s="1" t="str">
        <f>IF(Employee__2[[#This Row],[City]]="Pune","Yes","No")</f>
        <v>Yes</v>
      </c>
      <c r="O2827" s="1" t="str">
        <f>IF(AND(Employee__2[[#This Row],[Education]]="Bachelors",Employee__2[[#This Row],[City]]="Pune"),"Yes","No")</f>
        <v>No</v>
      </c>
      <c r="P2827" s="1" t="str">
        <f>IF(OR(Employee__2[[#This Row],[Age]]&gt;=30,Employee__2[[#This Row],[Gender]]="Male"),"Mached","Not mached")</f>
        <v>Mached</v>
      </c>
    </row>
    <row r="2828" spans="4:16" x14ac:dyDescent="0.25">
      <c r="D2828" s="6" t="s">
        <v>34</v>
      </c>
      <c r="E2828">
        <v>2018</v>
      </c>
      <c r="F2828" s="6" t="s">
        <v>35</v>
      </c>
      <c r="G2828">
        <v>3</v>
      </c>
      <c r="H2828">
        <v>28</v>
      </c>
      <c r="I2828" s="6" t="s">
        <v>36</v>
      </c>
      <c r="J2828" s="6" t="s">
        <v>37</v>
      </c>
      <c r="K2828">
        <v>5</v>
      </c>
      <c r="M2828" s="1" t="b">
        <f>Employee__2[[#This Row],[Experience]]&gt;1</f>
        <v>1</v>
      </c>
      <c r="N2828" s="1" t="str">
        <f>IF(Employee__2[[#This Row],[City]]="Pune","Yes","No")</f>
        <v>No</v>
      </c>
      <c r="O2828" s="1" t="str">
        <f>IF(AND(Employee__2[[#This Row],[Education]]="Bachelors",Employee__2[[#This Row],[City]]="Pune"),"Yes","No")</f>
        <v>No</v>
      </c>
      <c r="P2828" s="1" t="str">
        <f>IF(OR(Employee__2[[#This Row],[Age]]&gt;=30,Employee__2[[#This Row],[Gender]]="Male"),"Mached","Not mached")</f>
        <v>Mached</v>
      </c>
    </row>
    <row r="2829" spans="4:16" x14ac:dyDescent="0.25">
      <c r="D2829" s="6" t="s">
        <v>34</v>
      </c>
      <c r="E2829">
        <v>2017</v>
      </c>
      <c r="F2829" s="6" t="s">
        <v>40</v>
      </c>
      <c r="G2829">
        <v>3</v>
      </c>
      <c r="H2829">
        <v>30</v>
      </c>
      <c r="I2829" s="6" t="s">
        <v>36</v>
      </c>
      <c r="J2829" s="6" t="s">
        <v>37</v>
      </c>
      <c r="K2829">
        <v>5</v>
      </c>
      <c r="M2829" s="1" t="b">
        <f>Employee__2[[#This Row],[Experience]]&gt;1</f>
        <v>1</v>
      </c>
      <c r="N2829" s="1" t="str">
        <f>IF(Employee__2[[#This Row],[City]]="Pune","Yes","No")</f>
        <v>No</v>
      </c>
      <c r="O2829" s="1" t="str">
        <f>IF(AND(Employee__2[[#This Row],[Education]]="Bachelors",Employee__2[[#This Row],[City]]="Pune"),"Yes","No")</f>
        <v>No</v>
      </c>
      <c r="P2829" s="1" t="str">
        <f>IF(OR(Employee__2[[#This Row],[Age]]&gt;=30,Employee__2[[#This Row],[Gender]]="Male"),"Mached","Not mached")</f>
        <v>Mached</v>
      </c>
    </row>
    <row r="2830" spans="4:16" x14ac:dyDescent="0.25">
      <c r="D2830" s="6" t="s">
        <v>34</v>
      </c>
      <c r="E2830">
        <v>2012</v>
      </c>
      <c r="F2830" s="6" t="s">
        <v>40</v>
      </c>
      <c r="G2830">
        <v>3</v>
      </c>
      <c r="H2830">
        <v>27</v>
      </c>
      <c r="I2830" s="6" t="s">
        <v>39</v>
      </c>
      <c r="J2830" s="6" t="s">
        <v>37</v>
      </c>
      <c r="K2830">
        <v>5</v>
      </c>
      <c r="M2830" s="1" t="b">
        <f>Employee__2[[#This Row],[Experience]]&gt;1</f>
        <v>1</v>
      </c>
      <c r="N2830" s="1" t="str">
        <f>IF(Employee__2[[#This Row],[City]]="Pune","Yes","No")</f>
        <v>No</v>
      </c>
      <c r="O2830" s="1" t="str">
        <f>IF(AND(Employee__2[[#This Row],[Education]]="Bachelors",Employee__2[[#This Row],[City]]="Pune"),"Yes","No")</f>
        <v>No</v>
      </c>
      <c r="P2830" s="1" t="str">
        <f>IF(OR(Employee__2[[#This Row],[Age]]&gt;=30,Employee__2[[#This Row],[Gender]]="Male"),"Mached","Not mached")</f>
        <v>Not mached</v>
      </c>
    </row>
    <row r="2831" spans="4:16" x14ac:dyDescent="0.25">
      <c r="D2831" s="6" t="s">
        <v>34</v>
      </c>
      <c r="E2831">
        <v>2017</v>
      </c>
      <c r="F2831" s="6" t="s">
        <v>40</v>
      </c>
      <c r="G2831">
        <v>3</v>
      </c>
      <c r="H2831">
        <v>26</v>
      </c>
      <c r="I2831" s="6" t="s">
        <v>39</v>
      </c>
      <c r="J2831" s="6" t="s">
        <v>37</v>
      </c>
      <c r="K2831">
        <v>4</v>
      </c>
      <c r="M2831" s="1" t="b">
        <f>Employee__2[[#This Row],[Experience]]&gt;1</f>
        <v>1</v>
      </c>
      <c r="N2831" s="1" t="str">
        <f>IF(Employee__2[[#This Row],[City]]="Pune","Yes","No")</f>
        <v>No</v>
      </c>
      <c r="O2831" s="1" t="str">
        <f>IF(AND(Employee__2[[#This Row],[Education]]="Bachelors",Employee__2[[#This Row],[City]]="Pune"),"Yes","No")</f>
        <v>No</v>
      </c>
      <c r="P2831" s="1" t="str">
        <f>IF(OR(Employee__2[[#This Row],[Age]]&gt;=30,Employee__2[[#This Row],[Gender]]="Male"),"Mached","Not mached")</f>
        <v>Not mached</v>
      </c>
    </row>
    <row r="2832" spans="4:16" x14ac:dyDescent="0.25">
      <c r="D2832" s="6" t="s">
        <v>34</v>
      </c>
      <c r="E2832">
        <v>2014</v>
      </c>
      <c r="F2832" s="6" t="s">
        <v>35</v>
      </c>
      <c r="G2832">
        <v>3</v>
      </c>
      <c r="H2832">
        <v>27</v>
      </c>
      <c r="I2832" s="6" t="s">
        <v>36</v>
      </c>
      <c r="J2832" s="6" t="s">
        <v>42</v>
      </c>
      <c r="K2832">
        <v>5</v>
      </c>
      <c r="M2832" s="1" t="b">
        <f>Employee__2[[#This Row],[Experience]]&gt;1</f>
        <v>1</v>
      </c>
      <c r="N2832" s="1" t="str">
        <f>IF(Employee__2[[#This Row],[City]]="Pune","Yes","No")</f>
        <v>No</v>
      </c>
      <c r="O2832" s="1" t="str">
        <f>IF(AND(Employee__2[[#This Row],[Education]]="Bachelors",Employee__2[[#This Row],[City]]="Pune"),"Yes","No")</f>
        <v>No</v>
      </c>
      <c r="P2832" s="1" t="str">
        <f>IF(OR(Employee__2[[#This Row],[Age]]&gt;=30,Employee__2[[#This Row],[Gender]]="Male"),"Mached","Not mached")</f>
        <v>Mached</v>
      </c>
    </row>
    <row r="2833" spans="4:16" x14ac:dyDescent="0.25">
      <c r="D2833" s="6" t="s">
        <v>34</v>
      </c>
      <c r="E2833">
        <v>2014</v>
      </c>
      <c r="F2833" s="6" t="s">
        <v>35</v>
      </c>
      <c r="G2833">
        <v>3</v>
      </c>
      <c r="H2833">
        <v>30</v>
      </c>
      <c r="I2833" s="6" t="s">
        <v>36</v>
      </c>
      <c r="J2833" s="6" t="s">
        <v>37</v>
      </c>
      <c r="K2833">
        <v>0</v>
      </c>
      <c r="M2833" s="1" t="b">
        <f>Employee__2[[#This Row],[Experience]]&gt;1</f>
        <v>0</v>
      </c>
      <c r="N2833" s="1" t="str">
        <f>IF(Employee__2[[#This Row],[City]]="Pune","Yes","No")</f>
        <v>No</v>
      </c>
      <c r="O2833" s="1" t="str">
        <f>IF(AND(Employee__2[[#This Row],[Education]]="Bachelors",Employee__2[[#This Row],[City]]="Pune"),"Yes","No")</f>
        <v>No</v>
      </c>
      <c r="P2833" s="1" t="str">
        <f>IF(OR(Employee__2[[#This Row],[Age]]&gt;=30,Employee__2[[#This Row],[Gender]]="Male"),"Mached","Not mached")</f>
        <v>Mached</v>
      </c>
    </row>
    <row r="2834" spans="4:16" x14ac:dyDescent="0.25">
      <c r="D2834" s="6" t="s">
        <v>34</v>
      </c>
      <c r="E2834">
        <v>2014</v>
      </c>
      <c r="F2834" s="6" t="s">
        <v>40</v>
      </c>
      <c r="G2834">
        <v>3</v>
      </c>
      <c r="H2834">
        <v>30</v>
      </c>
      <c r="I2834" s="6" t="s">
        <v>39</v>
      </c>
      <c r="J2834" s="6" t="s">
        <v>37</v>
      </c>
      <c r="K2834">
        <v>2</v>
      </c>
      <c r="M2834" s="1" t="b">
        <f>Employee__2[[#This Row],[Experience]]&gt;1</f>
        <v>1</v>
      </c>
      <c r="N2834" s="1" t="str">
        <f>IF(Employee__2[[#This Row],[City]]="Pune","Yes","No")</f>
        <v>No</v>
      </c>
      <c r="O2834" s="1" t="str">
        <f>IF(AND(Employee__2[[#This Row],[Education]]="Bachelors",Employee__2[[#This Row],[City]]="Pune"),"Yes","No")</f>
        <v>No</v>
      </c>
      <c r="P2834" s="1" t="str">
        <f>IF(OR(Employee__2[[#This Row],[Age]]&gt;=30,Employee__2[[#This Row],[Gender]]="Male"),"Mached","Not mached")</f>
        <v>Mached</v>
      </c>
    </row>
    <row r="2835" spans="4:16" x14ac:dyDescent="0.25">
      <c r="D2835" s="6" t="s">
        <v>34</v>
      </c>
      <c r="E2835">
        <v>2012</v>
      </c>
      <c r="F2835" s="6" t="s">
        <v>40</v>
      </c>
      <c r="G2835">
        <v>3</v>
      </c>
      <c r="H2835">
        <v>29</v>
      </c>
      <c r="I2835" s="6" t="s">
        <v>39</v>
      </c>
      <c r="J2835" s="6" t="s">
        <v>37</v>
      </c>
      <c r="K2835">
        <v>5</v>
      </c>
      <c r="M2835" s="1" t="b">
        <f>Employee__2[[#This Row],[Experience]]&gt;1</f>
        <v>1</v>
      </c>
      <c r="N2835" s="1" t="str">
        <f>IF(Employee__2[[#This Row],[City]]="Pune","Yes","No")</f>
        <v>No</v>
      </c>
      <c r="O2835" s="1" t="str">
        <f>IF(AND(Employee__2[[#This Row],[Education]]="Bachelors",Employee__2[[#This Row],[City]]="Pune"),"Yes","No")</f>
        <v>No</v>
      </c>
      <c r="P2835" s="1" t="str">
        <f>IF(OR(Employee__2[[#This Row],[Age]]&gt;=30,Employee__2[[#This Row],[Gender]]="Male"),"Mached","Not mached")</f>
        <v>Not mached</v>
      </c>
    </row>
    <row r="2836" spans="4:16" x14ac:dyDescent="0.25">
      <c r="D2836" s="6" t="s">
        <v>34</v>
      </c>
      <c r="E2836">
        <v>2014</v>
      </c>
      <c r="F2836" s="6" t="s">
        <v>38</v>
      </c>
      <c r="G2836">
        <v>3</v>
      </c>
      <c r="H2836">
        <v>26</v>
      </c>
      <c r="I2836" s="6" t="s">
        <v>36</v>
      </c>
      <c r="J2836" s="6" t="s">
        <v>37</v>
      </c>
      <c r="K2836">
        <v>4</v>
      </c>
      <c r="M2836" s="1" t="b">
        <f>Employee__2[[#This Row],[Experience]]&gt;1</f>
        <v>1</v>
      </c>
      <c r="N2836" s="1" t="str">
        <f>IF(Employee__2[[#This Row],[City]]="Pune","Yes","No")</f>
        <v>Yes</v>
      </c>
      <c r="O2836" s="1" t="str">
        <f>IF(AND(Employee__2[[#This Row],[Education]]="Bachelors",Employee__2[[#This Row],[City]]="Pune"),"Yes","No")</f>
        <v>Yes</v>
      </c>
      <c r="P2836" s="1" t="str">
        <f>IF(OR(Employee__2[[#This Row],[Age]]&gt;=30,Employee__2[[#This Row],[Gender]]="Male"),"Mached","Not mached")</f>
        <v>Mached</v>
      </c>
    </row>
    <row r="2837" spans="4:16" x14ac:dyDescent="0.25">
      <c r="D2837" s="6" t="s">
        <v>34</v>
      </c>
      <c r="E2837">
        <v>2015</v>
      </c>
      <c r="F2837" s="6" t="s">
        <v>35</v>
      </c>
      <c r="G2837">
        <v>3</v>
      </c>
      <c r="H2837">
        <v>27</v>
      </c>
      <c r="I2837" s="6" t="s">
        <v>36</v>
      </c>
      <c r="J2837" s="6" t="s">
        <v>37</v>
      </c>
      <c r="K2837">
        <v>5</v>
      </c>
      <c r="M2837" s="1" t="b">
        <f>Employee__2[[#This Row],[Experience]]&gt;1</f>
        <v>1</v>
      </c>
      <c r="N2837" s="1" t="str">
        <f>IF(Employee__2[[#This Row],[City]]="Pune","Yes","No")</f>
        <v>No</v>
      </c>
      <c r="O2837" s="1" t="str">
        <f>IF(AND(Employee__2[[#This Row],[Education]]="Bachelors",Employee__2[[#This Row],[City]]="Pune"),"Yes","No")</f>
        <v>No</v>
      </c>
      <c r="P2837" s="1" t="str">
        <f>IF(OR(Employee__2[[#This Row],[Age]]&gt;=30,Employee__2[[#This Row],[Gender]]="Male"),"Mached","Not mached")</f>
        <v>Mached</v>
      </c>
    </row>
    <row r="2838" spans="4:16" x14ac:dyDescent="0.25">
      <c r="D2838" s="6" t="s">
        <v>34</v>
      </c>
      <c r="E2838">
        <v>2017</v>
      </c>
      <c r="F2838" s="6" t="s">
        <v>38</v>
      </c>
      <c r="G2838">
        <v>2</v>
      </c>
      <c r="H2838">
        <v>29</v>
      </c>
      <c r="I2838" s="6" t="s">
        <v>39</v>
      </c>
      <c r="J2838" s="6" t="s">
        <v>37</v>
      </c>
      <c r="K2838">
        <v>4</v>
      </c>
      <c r="M2838" s="1" t="b">
        <f>Employee__2[[#This Row],[Experience]]&gt;1</f>
        <v>1</v>
      </c>
      <c r="N2838" s="1" t="str">
        <f>IF(Employee__2[[#This Row],[City]]="Pune","Yes","No")</f>
        <v>Yes</v>
      </c>
      <c r="O2838" s="1" t="str">
        <f>IF(AND(Employee__2[[#This Row],[Education]]="Bachelors",Employee__2[[#This Row],[City]]="Pune"),"Yes","No")</f>
        <v>Yes</v>
      </c>
      <c r="P2838" s="1" t="str">
        <f>IF(OR(Employee__2[[#This Row],[Age]]&gt;=30,Employee__2[[#This Row],[Gender]]="Male"),"Mached","Not mached")</f>
        <v>Not mached</v>
      </c>
    </row>
    <row r="2839" spans="4:16" x14ac:dyDescent="0.25">
      <c r="D2839" s="6" t="s">
        <v>41</v>
      </c>
      <c r="E2839">
        <v>2016</v>
      </c>
      <c r="F2839" s="6" t="s">
        <v>38</v>
      </c>
      <c r="G2839">
        <v>3</v>
      </c>
      <c r="H2839">
        <v>29</v>
      </c>
      <c r="I2839" s="6" t="s">
        <v>36</v>
      </c>
      <c r="J2839" s="6" t="s">
        <v>37</v>
      </c>
      <c r="K2839">
        <v>4</v>
      </c>
      <c r="M2839" s="1" t="b">
        <f>Employee__2[[#This Row],[Experience]]&gt;1</f>
        <v>1</v>
      </c>
      <c r="N2839" s="1" t="str">
        <f>IF(Employee__2[[#This Row],[City]]="Pune","Yes","No")</f>
        <v>Yes</v>
      </c>
      <c r="O2839" s="1" t="str">
        <f>IF(AND(Employee__2[[#This Row],[Education]]="Bachelors",Employee__2[[#This Row],[City]]="Pune"),"Yes","No")</f>
        <v>No</v>
      </c>
      <c r="P2839" s="1" t="str">
        <f>IF(OR(Employee__2[[#This Row],[Age]]&gt;=30,Employee__2[[#This Row],[Gender]]="Male"),"Mached","Not mached")</f>
        <v>Mached</v>
      </c>
    </row>
    <row r="2840" spans="4:16" x14ac:dyDescent="0.25">
      <c r="D2840" s="6" t="s">
        <v>34</v>
      </c>
      <c r="E2840">
        <v>2017</v>
      </c>
      <c r="F2840" s="6" t="s">
        <v>35</v>
      </c>
      <c r="G2840">
        <v>3</v>
      </c>
      <c r="H2840">
        <v>26</v>
      </c>
      <c r="I2840" s="6" t="s">
        <v>36</v>
      </c>
      <c r="J2840" s="6" t="s">
        <v>37</v>
      </c>
      <c r="K2840">
        <v>4</v>
      </c>
      <c r="M2840" s="1" t="b">
        <f>Employee__2[[#This Row],[Experience]]&gt;1</f>
        <v>1</v>
      </c>
      <c r="N2840" s="1" t="str">
        <f>IF(Employee__2[[#This Row],[City]]="Pune","Yes","No")</f>
        <v>No</v>
      </c>
      <c r="O2840" s="1" t="str">
        <f>IF(AND(Employee__2[[#This Row],[Education]]="Bachelors",Employee__2[[#This Row],[City]]="Pune"),"Yes","No")</f>
        <v>No</v>
      </c>
      <c r="P2840" s="1" t="str">
        <f>IF(OR(Employee__2[[#This Row],[Age]]&gt;=30,Employee__2[[#This Row],[Gender]]="Male"),"Mached","Not mached")</f>
        <v>Mached</v>
      </c>
    </row>
    <row r="2841" spans="4:16" x14ac:dyDescent="0.25">
      <c r="D2841" s="6" t="s">
        <v>41</v>
      </c>
      <c r="E2841">
        <v>2017</v>
      </c>
      <c r="F2841" s="6" t="s">
        <v>40</v>
      </c>
      <c r="G2841">
        <v>3</v>
      </c>
      <c r="H2841">
        <v>26</v>
      </c>
      <c r="I2841" s="6" t="s">
        <v>39</v>
      </c>
      <c r="J2841" s="6" t="s">
        <v>37</v>
      </c>
      <c r="K2841">
        <v>4</v>
      </c>
      <c r="M2841" s="1" t="b">
        <f>Employee__2[[#This Row],[Experience]]&gt;1</f>
        <v>1</v>
      </c>
      <c r="N2841" s="1" t="str">
        <f>IF(Employee__2[[#This Row],[City]]="Pune","Yes","No")</f>
        <v>No</v>
      </c>
      <c r="O2841" s="1" t="str">
        <f>IF(AND(Employee__2[[#This Row],[Education]]="Bachelors",Employee__2[[#This Row],[City]]="Pune"),"Yes","No")</f>
        <v>No</v>
      </c>
      <c r="P2841" s="1" t="str">
        <f>IF(OR(Employee__2[[#This Row],[Age]]&gt;=30,Employee__2[[#This Row],[Gender]]="Male"),"Mached","Not mached")</f>
        <v>Not mached</v>
      </c>
    </row>
    <row r="2842" spans="4:16" x14ac:dyDescent="0.25">
      <c r="D2842" s="6" t="s">
        <v>41</v>
      </c>
      <c r="E2842">
        <v>2012</v>
      </c>
      <c r="F2842" s="6" t="s">
        <v>40</v>
      </c>
      <c r="G2842">
        <v>3</v>
      </c>
      <c r="H2842">
        <v>29</v>
      </c>
      <c r="I2842" s="6" t="s">
        <v>36</v>
      </c>
      <c r="J2842" s="6" t="s">
        <v>37</v>
      </c>
      <c r="K2842">
        <v>2</v>
      </c>
      <c r="M2842" s="1" t="b">
        <f>Employee__2[[#This Row],[Experience]]&gt;1</f>
        <v>1</v>
      </c>
      <c r="N2842" s="1" t="str">
        <f>IF(Employee__2[[#This Row],[City]]="Pune","Yes","No")</f>
        <v>No</v>
      </c>
      <c r="O2842" s="1" t="str">
        <f>IF(AND(Employee__2[[#This Row],[Education]]="Bachelors",Employee__2[[#This Row],[City]]="Pune"),"Yes","No")</f>
        <v>No</v>
      </c>
      <c r="P2842" s="1" t="str">
        <f>IF(OR(Employee__2[[#This Row],[Age]]&gt;=30,Employee__2[[#This Row],[Gender]]="Male"),"Mached","Not mached")</f>
        <v>Mached</v>
      </c>
    </row>
    <row r="2843" spans="4:16" x14ac:dyDescent="0.25">
      <c r="D2843" s="6" t="s">
        <v>34</v>
      </c>
      <c r="E2843">
        <v>2013</v>
      </c>
      <c r="F2843" s="6" t="s">
        <v>35</v>
      </c>
      <c r="G2843">
        <v>3</v>
      </c>
      <c r="H2843">
        <v>27</v>
      </c>
      <c r="I2843" s="6" t="s">
        <v>36</v>
      </c>
      <c r="J2843" s="6" t="s">
        <v>37</v>
      </c>
      <c r="K2843">
        <v>5</v>
      </c>
      <c r="M2843" s="1" t="b">
        <f>Employee__2[[#This Row],[Experience]]&gt;1</f>
        <v>1</v>
      </c>
      <c r="N2843" s="1" t="str">
        <f>IF(Employee__2[[#This Row],[City]]="Pune","Yes","No")</f>
        <v>No</v>
      </c>
      <c r="O2843" s="1" t="str">
        <f>IF(AND(Employee__2[[#This Row],[Education]]="Bachelors",Employee__2[[#This Row],[City]]="Pune"),"Yes","No")</f>
        <v>No</v>
      </c>
      <c r="P2843" s="1" t="str">
        <f>IF(OR(Employee__2[[#This Row],[Age]]&gt;=30,Employee__2[[#This Row],[Gender]]="Male"),"Mached","Not mached")</f>
        <v>Mached</v>
      </c>
    </row>
    <row r="2844" spans="4:16" x14ac:dyDescent="0.25">
      <c r="D2844" s="6" t="s">
        <v>34</v>
      </c>
      <c r="E2844">
        <v>2012</v>
      </c>
      <c r="F2844" s="6" t="s">
        <v>38</v>
      </c>
      <c r="G2844">
        <v>3</v>
      </c>
      <c r="H2844">
        <v>26</v>
      </c>
      <c r="I2844" s="6" t="s">
        <v>36</v>
      </c>
      <c r="J2844" s="6" t="s">
        <v>37</v>
      </c>
      <c r="K2844">
        <v>4</v>
      </c>
      <c r="M2844" s="1" t="b">
        <f>Employee__2[[#This Row],[Experience]]&gt;1</f>
        <v>1</v>
      </c>
      <c r="N2844" s="1" t="str">
        <f>IF(Employee__2[[#This Row],[City]]="Pune","Yes","No")</f>
        <v>Yes</v>
      </c>
      <c r="O2844" s="1" t="str">
        <f>IF(AND(Employee__2[[#This Row],[Education]]="Bachelors",Employee__2[[#This Row],[City]]="Pune"),"Yes","No")</f>
        <v>Yes</v>
      </c>
      <c r="P2844" s="1" t="str">
        <f>IF(OR(Employee__2[[#This Row],[Age]]&gt;=30,Employee__2[[#This Row],[Gender]]="Male"),"Mached","Not mached")</f>
        <v>Mached</v>
      </c>
    </row>
    <row r="2845" spans="4:16" x14ac:dyDescent="0.25">
      <c r="D2845" s="6" t="s">
        <v>34</v>
      </c>
      <c r="E2845">
        <v>2017</v>
      </c>
      <c r="F2845" s="6" t="s">
        <v>35</v>
      </c>
      <c r="G2845">
        <v>3</v>
      </c>
      <c r="H2845">
        <v>28</v>
      </c>
      <c r="I2845" s="6" t="s">
        <v>39</v>
      </c>
      <c r="J2845" s="6" t="s">
        <v>37</v>
      </c>
      <c r="K2845">
        <v>2</v>
      </c>
      <c r="M2845" s="1" t="b">
        <f>Employee__2[[#This Row],[Experience]]&gt;1</f>
        <v>1</v>
      </c>
      <c r="N2845" s="1" t="str">
        <f>IF(Employee__2[[#This Row],[City]]="Pune","Yes","No")</f>
        <v>No</v>
      </c>
      <c r="O2845" s="1" t="str">
        <f>IF(AND(Employee__2[[#This Row],[Education]]="Bachelors",Employee__2[[#This Row],[City]]="Pune"),"Yes","No")</f>
        <v>No</v>
      </c>
      <c r="P2845" s="1" t="str">
        <f>IF(OR(Employee__2[[#This Row],[Age]]&gt;=30,Employee__2[[#This Row],[Gender]]="Male"),"Mached","Not mached")</f>
        <v>Not mached</v>
      </c>
    </row>
    <row r="2846" spans="4:16" x14ac:dyDescent="0.25">
      <c r="D2846" s="6" t="s">
        <v>34</v>
      </c>
      <c r="E2846">
        <v>2013</v>
      </c>
      <c r="F2846" s="6" t="s">
        <v>40</v>
      </c>
      <c r="G2846">
        <v>3</v>
      </c>
      <c r="H2846">
        <v>30</v>
      </c>
      <c r="I2846" s="6" t="s">
        <v>39</v>
      </c>
      <c r="J2846" s="6" t="s">
        <v>37</v>
      </c>
      <c r="K2846">
        <v>3</v>
      </c>
      <c r="M2846" s="1" t="b">
        <f>Employee__2[[#This Row],[Experience]]&gt;1</f>
        <v>1</v>
      </c>
      <c r="N2846" s="1" t="str">
        <f>IF(Employee__2[[#This Row],[City]]="Pune","Yes","No")</f>
        <v>No</v>
      </c>
      <c r="O2846" s="1" t="str">
        <f>IF(AND(Employee__2[[#This Row],[Education]]="Bachelors",Employee__2[[#This Row],[City]]="Pune"),"Yes","No")</f>
        <v>No</v>
      </c>
      <c r="P2846" s="1" t="str">
        <f>IF(OR(Employee__2[[#This Row],[Age]]&gt;=30,Employee__2[[#This Row],[Gender]]="Male"),"Mached","Not mached")</f>
        <v>Mached</v>
      </c>
    </row>
    <row r="2847" spans="4:16" x14ac:dyDescent="0.25">
      <c r="D2847" s="6" t="s">
        <v>41</v>
      </c>
      <c r="E2847">
        <v>2017</v>
      </c>
      <c r="F2847" s="6" t="s">
        <v>38</v>
      </c>
      <c r="G2847">
        <v>2</v>
      </c>
      <c r="H2847">
        <v>26</v>
      </c>
      <c r="I2847" s="6" t="s">
        <v>39</v>
      </c>
      <c r="J2847" s="6" t="s">
        <v>37</v>
      </c>
      <c r="K2847">
        <v>4</v>
      </c>
      <c r="M2847" s="1" t="b">
        <f>Employee__2[[#This Row],[Experience]]&gt;1</f>
        <v>1</v>
      </c>
      <c r="N2847" s="1" t="str">
        <f>IF(Employee__2[[#This Row],[City]]="Pune","Yes","No")</f>
        <v>Yes</v>
      </c>
      <c r="O2847" s="1" t="str">
        <f>IF(AND(Employee__2[[#This Row],[Education]]="Bachelors",Employee__2[[#This Row],[City]]="Pune"),"Yes","No")</f>
        <v>No</v>
      </c>
      <c r="P2847" s="1" t="str">
        <f>IF(OR(Employee__2[[#This Row],[Age]]&gt;=30,Employee__2[[#This Row],[Gender]]="Male"),"Mached","Not mached")</f>
        <v>Not mached</v>
      </c>
    </row>
    <row r="2848" spans="4:16" x14ac:dyDescent="0.25">
      <c r="D2848" s="6" t="s">
        <v>34</v>
      </c>
      <c r="E2848">
        <v>2013</v>
      </c>
      <c r="F2848" s="6" t="s">
        <v>35</v>
      </c>
      <c r="G2848">
        <v>3</v>
      </c>
      <c r="H2848">
        <v>26</v>
      </c>
      <c r="I2848" s="6" t="s">
        <v>39</v>
      </c>
      <c r="J2848" s="6" t="s">
        <v>37</v>
      </c>
      <c r="K2848">
        <v>4</v>
      </c>
      <c r="M2848" s="1" t="b">
        <f>Employee__2[[#This Row],[Experience]]&gt;1</f>
        <v>1</v>
      </c>
      <c r="N2848" s="1" t="str">
        <f>IF(Employee__2[[#This Row],[City]]="Pune","Yes","No")</f>
        <v>No</v>
      </c>
      <c r="O2848" s="1" t="str">
        <f>IF(AND(Employee__2[[#This Row],[Education]]="Bachelors",Employee__2[[#This Row],[City]]="Pune"),"Yes","No")</f>
        <v>No</v>
      </c>
      <c r="P2848" s="1" t="str">
        <f>IF(OR(Employee__2[[#This Row],[Age]]&gt;=30,Employee__2[[#This Row],[Gender]]="Male"),"Mached","Not mached")</f>
        <v>Not mached</v>
      </c>
    </row>
    <row r="2849" spans="4:16" x14ac:dyDescent="0.25">
      <c r="D2849" s="6" t="s">
        <v>41</v>
      </c>
      <c r="E2849">
        <v>2017</v>
      </c>
      <c r="F2849" s="6" t="s">
        <v>40</v>
      </c>
      <c r="G2849">
        <v>2</v>
      </c>
      <c r="H2849">
        <v>28</v>
      </c>
      <c r="I2849" s="6" t="s">
        <v>39</v>
      </c>
      <c r="J2849" s="6" t="s">
        <v>37</v>
      </c>
      <c r="K2849">
        <v>2</v>
      </c>
      <c r="M2849" s="1" t="b">
        <f>Employee__2[[#This Row],[Experience]]&gt;1</f>
        <v>1</v>
      </c>
      <c r="N2849" s="1" t="str">
        <f>IF(Employee__2[[#This Row],[City]]="Pune","Yes","No")</f>
        <v>No</v>
      </c>
      <c r="O2849" s="1" t="str">
        <f>IF(AND(Employee__2[[#This Row],[Education]]="Bachelors",Employee__2[[#This Row],[City]]="Pune"),"Yes","No")</f>
        <v>No</v>
      </c>
      <c r="P2849" s="1" t="str">
        <f>IF(OR(Employee__2[[#This Row],[Age]]&gt;=30,Employee__2[[#This Row],[Gender]]="Male"),"Mached","Not mached")</f>
        <v>Not mached</v>
      </c>
    </row>
    <row r="2850" spans="4:16" x14ac:dyDescent="0.25">
      <c r="D2850" s="6" t="s">
        <v>34</v>
      </c>
      <c r="E2850">
        <v>2017</v>
      </c>
      <c r="F2850" s="6" t="s">
        <v>40</v>
      </c>
      <c r="G2850">
        <v>2</v>
      </c>
      <c r="H2850">
        <v>27</v>
      </c>
      <c r="I2850" s="6" t="s">
        <v>36</v>
      </c>
      <c r="J2850" s="6" t="s">
        <v>37</v>
      </c>
      <c r="K2850">
        <v>5</v>
      </c>
      <c r="M2850" s="1" t="b">
        <f>Employee__2[[#This Row],[Experience]]&gt;1</f>
        <v>1</v>
      </c>
      <c r="N2850" s="1" t="str">
        <f>IF(Employee__2[[#This Row],[City]]="Pune","Yes","No")</f>
        <v>No</v>
      </c>
      <c r="O2850" s="1" t="str">
        <f>IF(AND(Employee__2[[#This Row],[Education]]="Bachelors",Employee__2[[#This Row],[City]]="Pune"),"Yes","No")</f>
        <v>No</v>
      </c>
      <c r="P2850" s="1" t="str">
        <f>IF(OR(Employee__2[[#This Row],[Age]]&gt;=30,Employee__2[[#This Row],[Gender]]="Male"),"Mached","Not mached")</f>
        <v>Mached</v>
      </c>
    </row>
    <row r="2851" spans="4:16" x14ac:dyDescent="0.25">
      <c r="D2851" s="6" t="s">
        <v>43</v>
      </c>
      <c r="E2851">
        <v>2018</v>
      </c>
      <c r="F2851" s="6" t="s">
        <v>35</v>
      </c>
      <c r="G2851">
        <v>3</v>
      </c>
      <c r="H2851">
        <v>27</v>
      </c>
      <c r="I2851" s="6" t="s">
        <v>36</v>
      </c>
      <c r="J2851" s="6" t="s">
        <v>37</v>
      </c>
      <c r="K2851">
        <v>5</v>
      </c>
      <c r="M2851" s="1" t="b">
        <f>Employee__2[[#This Row],[Experience]]&gt;1</f>
        <v>1</v>
      </c>
      <c r="N2851" s="1" t="str">
        <f>IF(Employee__2[[#This Row],[City]]="Pune","Yes","No")</f>
        <v>No</v>
      </c>
      <c r="O2851" s="1" t="str">
        <f>IF(AND(Employee__2[[#This Row],[Education]]="Bachelors",Employee__2[[#This Row],[City]]="Pune"),"Yes","No")</f>
        <v>No</v>
      </c>
      <c r="P2851" s="1" t="str">
        <f>IF(OR(Employee__2[[#This Row],[Age]]&gt;=30,Employee__2[[#This Row],[Gender]]="Male"),"Mached","Not mached")</f>
        <v>Mached</v>
      </c>
    </row>
    <row r="2852" spans="4:16" x14ac:dyDescent="0.25">
      <c r="D2852" s="6" t="s">
        <v>34</v>
      </c>
      <c r="E2852">
        <v>2013</v>
      </c>
      <c r="F2852" s="6" t="s">
        <v>35</v>
      </c>
      <c r="G2852">
        <v>3</v>
      </c>
      <c r="H2852">
        <v>30</v>
      </c>
      <c r="I2852" s="6" t="s">
        <v>39</v>
      </c>
      <c r="J2852" s="6" t="s">
        <v>37</v>
      </c>
      <c r="K2852">
        <v>1</v>
      </c>
      <c r="M2852" s="1" t="b">
        <f>Employee__2[[#This Row],[Experience]]&gt;1</f>
        <v>0</v>
      </c>
      <c r="N2852" s="1" t="str">
        <f>IF(Employee__2[[#This Row],[City]]="Pune","Yes","No")</f>
        <v>No</v>
      </c>
      <c r="O2852" s="1" t="str">
        <f>IF(AND(Employee__2[[#This Row],[Education]]="Bachelors",Employee__2[[#This Row],[City]]="Pune"),"Yes","No")</f>
        <v>No</v>
      </c>
      <c r="P2852" s="1" t="str">
        <f>IF(OR(Employee__2[[#This Row],[Age]]&gt;=30,Employee__2[[#This Row],[Gender]]="Male"),"Mached","Not mached")</f>
        <v>Mached</v>
      </c>
    </row>
    <row r="2853" spans="4:16" x14ac:dyDescent="0.25">
      <c r="D2853" s="6" t="s">
        <v>41</v>
      </c>
      <c r="E2853">
        <v>2013</v>
      </c>
      <c r="F2853" s="6" t="s">
        <v>40</v>
      </c>
      <c r="G2853">
        <v>3</v>
      </c>
      <c r="H2853">
        <v>30</v>
      </c>
      <c r="I2853" s="6" t="s">
        <v>36</v>
      </c>
      <c r="J2853" s="6" t="s">
        <v>37</v>
      </c>
      <c r="K2853">
        <v>0</v>
      </c>
      <c r="M2853" s="1" t="b">
        <f>Employee__2[[#This Row],[Experience]]&gt;1</f>
        <v>0</v>
      </c>
      <c r="N2853" s="1" t="str">
        <f>IF(Employee__2[[#This Row],[City]]="Pune","Yes","No")</f>
        <v>No</v>
      </c>
      <c r="O2853" s="1" t="str">
        <f>IF(AND(Employee__2[[#This Row],[Education]]="Bachelors",Employee__2[[#This Row],[City]]="Pune"),"Yes","No")</f>
        <v>No</v>
      </c>
      <c r="P2853" s="1" t="str">
        <f>IF(OR(Employee__2[[#This Row],[Age]]&gt;=30,Employee__2[[#This Row],[Gender]]="Male"),"Mached","Not mached")</f>
        <v>Mached</v>
      </c>
    </row>
    <row r="2854" spans="4:16" x14ac:dyDescent="0.25">
      <c r="D2854" s="6" t="s">
        <v>41</v>
      </c>
      <c r="E2854">
        <v>2018</v>
      </c>
      <c r="F2854" s="6" t="s">
        <v>40</v>
      </c>
      <c r="G2854">
        <v>3</v>
      </c>
      <c r="H2854">
        <v>26</v>
      </c>
      <c r="I2854" s="6" t="s">
        <v>39</v>
      </c>
      <c r="J2854" s="6" t="s">
        <v>37</v>
      </c>
      <c r="K2854">
        <v>4</v>
      </c>
      <c r="M2854" s="1" t="b">
        <f>Employee__2[[#This Row],[Experience]]&gt;1</f>
        <v>1</v>
      </c>
      <c r="N2854" s="1" t="str">
        <f>IF(Employee__2[[#This Row],[City]]="Pune","Yes","No")</f>
        <v>No</v>
      </c>
      <c r="O2854" s="1" t="str">
        <f>IF(AND(Employee__2[[#This Row],[Education]]="Bachelors",Employee__2[[#This Row],[City]]="Pune"),"Yes","No")</f>
        <v>No</v>
      </c>
      <c r="P2854" s="1" t="str">
        <f>IF(OR(Employee__2[[#This Row],[Age]]&gt;=30,Employee__2[[#This Row],[Gender]]="Male"),"Mached","Not mached")</f>
        <v>Not mached</v>
      </c>
    </row>
    <row r="2855" spans="4:16" x14ac:dyDescent="0.25">
      <c r="D2855" s="6" t="s">
        <v>41</v>
      </c>
      <c r="E2855">
        <v>2015</v>
      </c>
      <c r="F2855" s="6" t="s">
        <v>40</v>
      </c>
      <c r="G2855">
        <v>3</v>
      </c>
      <c r="H2855">
        <v>30</v>
      </c>
      <c r="I2855" s="6" t="s">
        <v>36</v>
      </c>
      <c r="J2855" s="6" t="s">
        <v>37</v>
      </c>
      <c r="K2855">
        <v>2</v>
      </c>
      <c r="M2855" s="1" t="b">
        <f>Employee__2[[#This Row],[Experience]]&gt;1</f>
        <v>1</v>
      </c>
      <c r="N2855" s="1" t="str">
        <f>IF(Employee__2[[#This Row],[City]]="Pune","Yes","No")</f>
        <v>No</v>
      </c>
      <c r="O2855" s="1" t="str">
        <f>IF(AND(Employee__2[[#This Row],[Education]]="Bachelors",Employee__2[[#This Row],[City]]="Pune"),"Yes","No")</f>
        <v>No</v>
      </c>
      <c r="P2855" s="1" t="str">
        <f>IF(OR(Employee__2[[#This Row],[Age]]&gt;=30,Employee__2[[#This Row],[Gender]]="Male"),"Mached","Not mached")</f>
        <v>Mached</v>
      </c>
    </row>
    <row r="2856" spans="4:16" x14ac:dyDescent="0.25">
      <c r="D2856" s="6" t="s">
        <v>34</v>
      </c>
      <c r="E2856">
        <v>2012</v>
      </c>
      <c r="F2856" s="6" t="s">
        <v>35</v>
      </c>
      <c r="G2856">
        <v>3</v>
      </c>
      <c r="H2856">
        <v>29</v>
      </c>
      <c r="I2856" s="6" t="s">
        <v>36</v>
      </c>
      <c r="J2856" s="6" t="s">
        <v>37</v>
      </c>
      <c r="K2856">
        <v>4</v>
      </c>
      <c r="M2856" s="1" t="b">
        <f>Employee__2[[#This Row],[Experience]]&gt;1</f>
        <v>1</v>
      </c>
      <c r="N2856" s="1" t="str">
        <f>IF(Employee__2[[#This Row],[City]]="Pune","Yes","No")</f>
        <v>No</v>
      </c>
      <c r="O2856" s="1" t="str">
        <f>IF(AND(Employee__2[[#This Row],[Education]]="Bachelors",Employee__2[[#This Row],[City]]="Pune"),"Yes","No")</f>
        <v>No</v>
      </c>
      <c r="P2856" s="1" t="str">
        <f>IF(OR(Employee__2[[#This Row],[Age]]&gt;=30,Employee__2[[#This Row],[Gender]]="Male"),"Mached","Not mached")</f>
        <v>Mached</v>
      </c>
    </row>
    <row r="2857" spans="4:16" x14ac:dyDescent="0.25">
      <c r="D2857" s="6" t="s">
        <v>34</v>
      </c>
      <c r="E2857">
        <v>2018</v>
      </c>
      <c r="F2857" s="6" t="s">
        <v>35</v>
      </c>
      <c r="G2857">
        <v>3</v>
      </c>
      <c r="H2857">
        <v>27</v>
      </c>
      <c r="I2857" s="6" t="s">
        <v>36</v>
      </c>
      <c r="J2857" s="6" t="s">
        <v>42</v>
      </c>
      <c r="K2857">
        <v>5</v>
      </c>
      <c r="M2857" s="1" t="b">
        <f>Employee__2[[#This Row],[Experience]]&gt;1</f>
        <v>1</v>
      </c>
      <c r="N2857" s="1" t="str">
        <f>IF(Employee__2[[#This Row],[City]]="Pune","Yes","No")</f>
        <v>No</v>
      </c>
      <c r="O2857" s="1" t="str">
        <f>IF(AND(Employee__2[[#This Row],[Education]]="Bachelors",Employee__2[[#This Row],[City]]="Pune"),"Yes","No")</f>
        <v>No</v>
      </c>
      <c r="P2857" s="1" t="str">
        <f>IF(OR(Employee__2[[#This Row],[Age]]&gt;=30,Employee__2[[#This Row],[Gender]]="Male"),"Mached","Not mached")</f>
        <v>Mached</v>
      </c>
    </row>
    <row r="2858" spans="4:16" x14ac:dyDescent="0.25">
      <c r="D2858" s="6" t="s">
        <v>41</v>
      </c>
      <c r="E2858">
        <v>2017</v>
      </c>
      <c r="F2858" s="6" t="s">
        <v>38</v>
      </c>
      <c r="G2858">
        <v>2</v>
      </c>
      <c r="H2858">
        <v>28</v>
      </c>
      <c r="I2858" s="6" t="s">
        <v>36</v>
      </c>
      <c r="J2858" s="6" t="s">
        <v>37</v>
      </c>
      <c r="K2858">
        <v>5</v>
      </c>
      <c r="M2858" s="1" t="b">
        <f>Employee__2[[#This Row],[Experience]]&gt;1</f>
        <v>1</v>
      </c>
      <c r="N2858" s="1" t="str">
        <f>IF(Employee__2[[#This Row],[City]]="Pune","Yes","No")</f>
        <v>Yes</v>
      </c>
      <c r="O2858" s="1" t="str">
        <f>IF(AND(Employee__2[[#This Row],[Education]]="Bachelors",Employee__2[[#This Row],[City]]="Pune"),"Yes","No")</f>
        <v>No</v>
      </c>
      <c r="P2858" s="1" t="str">
        <f>IF(OR(Employee__2[[#This Row],[Age]]&gt;=30,Employee__2[[#This Row],[Gender]]="Male"),"Mached","Not mached")</f>
        <v>Mached</v>
      </c>
    </row>
    <row r="2859" spans="4:16" x14ac:dyDescent="0.25">
      <c r="D2859" s="6" t="s">
        <v>34</v>
      </c>
      <c r="E2859">
        <v>2016</v>
      </c>
      <c r="F2859" s="6" t="s">
        <v>38</v>
      </c>
      <c r="G2859">
        <v>2</v>
      </c>
      <c r="H2859">
        <v>29</v>
      </c>
      <c r="I2859" s="6" t="s">
        <v>36</v>
      </c>
      <c r="J2859" s="6" t="s">
        <v>37</v>
      </c>
      <c r="K2859">
        <v>3</v>
      </c>
      <c r="M2859" s="1" t="b">
        <f>Employee__2[[#This Row],[Experience]]&gt;1</f>
        <v>1</v>
      </c>
      <c r="N2859" s="1" t="str">
        <f>IF(Employee__2[[#This Row],[City]]="Pune","Yes","No")</f>
        <v>Yes</v>
      </c>
      <c r="O2859" s="1" t="str">
        <f>IF(AND(Employee__2[[#This Row],[Education]]="Bachelors",Employee__2[[#This Row],[City]]="Pune"),"Yes","No")</f>
        <v>Yes</v>
      </c>
      <c r="P2859" s="1" t="str">
        <f>IF(OR(Employee__2[[#This Row],[Age]]&gt;=30,Employee__2[[#This Row],[Gender]]="Male"),"Mached","Not mached")</f>
        <v>Mached</v>
      </c>
    </row>
    <row r="2860" spans="4:16" x14ac:dyDescent="0.25">
      <c r="D2860" s="6" t="s">
        <v>34</v>
      </c>
      <c r="E2860">
        <v>2015</v>
      </c>
      <c r="F2860" s="6" t="s">
        <v>38</v>
      </c>
      <c r="G2860">
        <v>2</v>
      </c>
      <c r="H2860">
        <v>27</v>
      </c>
      <c r="I2860" s="6" t="s">
        <v>39</v>
      </c>
      <c r="J2860" s="6" t="s">
        <v>42</v>
      </c>
      <c r="K2860">
        <v>5</v>
      </c>
      <c r="M2860" s="1" t="b">
        <f>Employee__2[[#This Row],[Experience]]&gt;1</f>
        <v>1</v>
      </c>
      <c r="N2860" s="1" t="str">
        <f>IF(Employee__2[[#This Row],[City]]="Pune","Yes","No")</f>
        <v>Yes</v>
      </c>
      <c r="O2860" s="1" t="str">
        <f>IF(AND(Employee__2[[#This Row],[Education]]="Bachelors",Employee__2[[#This Row],[City]]="Pune"),"Yes","No")</f>
        <v>Yes</v>
      </c>
      <c r="P2860" s="1" t="str">
        <f>IF(OR(Employee__2[[#This Row],[Age]]&gt;=30,Employee__2[[#This Row],[Gender]]="Male"),"Mached","Not mached")</f>
        <v>Not mached</v>
      </c>
    </row>
    <row r="2861" spans="4:16" x14ac:dyDescent="0.25">
      <c r="D2861" s="6" t="s">
        <v>34</v>
      </c>
      <c r="E2861">
        <v>2014</v>
      </c>
      <c r="F2861" s="6" t="s">
        <v>35</v>
      </c>
      <c r="G2861">
        <v>3</v>
      </c>
      <c r="H2861">
        <v>29</v>
      </c>
      <c r="I2861" s="6" t="s">
        <v>36</v>
      </c>
      <c r="J2861" s="6" t="s">
        <v>37</v>
      </c>
      <c r="K2861">
        <v>4</v>
      </c>
      <c r="M2861" s="1" t="b">
        <f>Employee__2[[#This Row],[Experience]]&gt;1</f>
        <v>1</v>
      </c>
      <c r="N2861" s="1" t="str">
        <f>IF(Employee__2[[#This Row],[City]]="Pune","Yes","No")</f>
        <v>No</v>
      </c>
      <c r="O2861" s="1" t="str">
        <f>IF(AND(Employee__2[[#This Row],[Education]]="Bachelors",Employee__2[[#This Row],[City]]="Pune"),"Yes","No")</f>
        <v>No</v>
      </c>
      <c r="P2861" s="1" t="str">
        <f>IF(OR(Employee__2[[#This Row],[Age]]&gt;=30,Employee__2[[#This Row],[Gender]]="Male"),"Mached","Not mached")</f>
        <v>Mached</v>
      </c>
    </row>
    <row r="2862" spans="4:16" x14ac:dyDescent="0.25">
      <c r="D2862" s="6" t="s">
        <v>34</v>
      </c>
      <c r="E2862">
        <v>2014</v>
      </c>
      <c r="F2862" s="6" t="s">
        <v>35</v>
      </c>
      <c r="G2862">
        <v>3</v>
      </c>
      <c r="H2862">
        <v>27</v>
      </c>
      <c r="I2862" s="6" t="s">
        <v>36</v>
      </c>
      <c r="J2862" s="6" t="s">
        <v>37</v>
      </c>
      <c r="K2862">
        <v>5</v>
      </c>
      <c r="M2862" s="1" t="b">
        <f>Employee__2[[#This Row],[Experience]]&gt;1</f>
        <v>1</v>
      </c>
      <c r="N2862" s="1" t="str">
        <f>IF(Employee__2[[#This Row],[City]]="Pune","Yes","No")</f>
        <v>No</v>
      </c>
      <c r="O2862" s="1" t="str">
        <f>IF(AND(Employee__2[[#This Row],[Education]]="Bachelors",Employee__2[[#This Row],[City]]="Pune"),"Yes","No")</f>
        <v>No</v>
      </c>
      <c r="P2862" s="1" t="str">
        <f>IF(OR(Employee__2[[#This Row],[Age]]&gt;=30,Employee__2[[#This Row],[Gender]]="Male"),"Mached","Not mached")</f>
        <v>Mached</v>
      </c>
    </row>
    <row r="2863" spans="4:16" x14ac:dyDescent="0.25">
      <c r="D2863" s="6" t="s">
        <v>34</v>
      </c>
      <c r="E2863">
        <v>2018</v>
      </c>
      <c r="F2863" s="6" t="s">
        <v>38</v>
      </c>
      <c r="G2863">
        <v>3</v>
      </c>
      <c r="H2863">
        <v>28</v>
      </c>
      <c r="I2863" s="6" t="s">
        <v>36</v>
      </c>
      <c r="J2863" s="6" t="s">
        <v>37</v>
      </c>
      <c r="K2863">
        <v>5</v>
      </c>
      <c r="M2863" s="1" t="b">
        <f>Employee__2[[#This Row],[Experience]]&gt;1</f>
        <v>1</v>
      </c>
      <c r="N2863" s="1" t="str">
        <f>IF(Employee__2[[#This Row],[City]]="Pune","Yes","No")</f>
        <v>Yes</v>
      </c>
      <c r="O2863" s="1" t="str">
        <f>IF(AND(Employee__2[[#This Row],[Education]]="Bachelors",Employee__2[[#This Row],[City]]="Pune"),"Yes","No")</f>
        <v>Yes</v>
      </c>
      <c r="P2863" s="1" t="str">
        <f>IF(OR(Employee__2[[#This Row],[Age]]&gt;=30,Employee__2[[#This Row],[Gender]]="Male"),"Mached","Not mached")</f>
        <v>Mached</v>
      </c>
    </row>
    <row r="2864" spans="4:16" x14ac:dyDescent="0.25">
      <c r="D2864" s="6" t="s">
        <v>34</v>
      </c>
      <c r="E2864">
        <v>2012</v>
      </c>
      <c r="F2864" s="6" t="s">
        <v>35</v>
      </c>
      <c r="G2864">
        <v>3</v>
      </c>
      <c r="H2864">
        <v>28</v>
      </c>
      <c r="I2864" s="6" t="s">
        <v>39</v>
      </c>
      <c r="J2864" s="6" t="s">
        <v>37</v>
      </c>
      <c r="K2864">
        <v>0</v>
      </c>
      <c r="M2864" s="1" t="b">
        <f>Employee__2[[#This Row],[Experience]]&gt;1</f>
        <v>0</v>
      </c>
      <c r="N2864" s="1" t="str">
        <f>IF(Employee__2[[#This Row],[City]]="Pune","Yes","No")</f>
        <v>No</v>
      </c>
      <c r="O2864" s="1" t="str">
        <f>IF(AND(Employee__2[[#This Row],[Education]]="Bachelors",Employee__2[[#This Row],[City]]="Pune"),"Yes","No")</f>
        <v>No</v>
      </c>
      <c r="P2864" s="1" t="str">
        <f>IF(OR(Employee__2[[#This Row],[Age]]&gt;=30,Employee__2[[#This Row],[Gender]]="Male"),"Mached","Not mached")</f>
        <v>Not mached</v>
      </c>
    </row>
    <row r="2865" spans="4:16" x14ac:dyDescent="0.25">
      <c r="D2865" s="6" t="s">
        <v>41</v>
      </c>
      <c r="E2865">
        <v>2017</v>
      </c>
      <c r="F2865" s="6" t="s">
        <v>38</v>
      </c>
      <c r="G2865">
        <v>2</v>
      </c>
      <c r="H2865">
        <v>28</v>
      </c>
      <c r="I2865" s="6" t="s">
        <v>36</v>
      </c>
      <c r="J2865" s="6" t="s">
        <v>37</v>
      </c>
      <c r="K2865">
        <v>2</v>
      </c>
      <c r="M2865" s="1" t="b">
        <f>Employee__2[[#This Row],[Experience]]&gt;1</f>
        <v>1</v>
      </c>
      <c r="N2865" s="1" t="str">
        <f>IF(Employee__2[[#This Row],[City]]="Pune","Yes","No")</f>
        <v>Yes</v>
      </c>
      <c r="O2865" s="1" t="str">
        <f>IF(AND(Employee__2[[#This Row],[Education]]="Bachelors",Employee__2[[#This Row],[City]]="Pune"),"Yes","No")</f>
        <v>No</v>
      </c>
      <c r="P2865" s="1" t="str">
        <f>IF(OR(Employee__2[[#This Row],[Age]]&gt;=30,Employee__2[[#This Row],[Gender]]="Male"),"Mached","Not mached")</f>
        <v>Mached</v>
      </c>
    </row>
    <row r="2866" spans="4:16" x14ac:dyDescent="0.25">
      <c r="D2866" s="6" t="s">
        <v>41</v>
      </c>
      <c r="E2866">
        <v>2015</v>
      </c>
      <c r="F2866" s="6" t="s">
        <v>38</v>
      </c>
      <c r="G2866">
        <v>2</v>
      </c>
      <c r="H2866">
        <v>27</v>
      </c>
      <c r="I2866" s="6" t="s">
        <v>39</v>
      </c>
      <c r="J2866" s="6" t="s">
        <v>37</v>
      </c>
      <c r="K2866">
        <v>5</v>
      </c>
      <c r="M2866" s="1" t="b">
        <f>Employee__2[[#This Row],[Experience]]&gt;1</f>
        <v>1</v>
      </c>
      <c r="N2866" s="1" t="str">
        <f>IF(Employee__2[[#This Row],[City]]="Pune","Yes","No")</f>
        <v>Yes</v>
      </c>
      <c r="O2866" s="1" t="str">
        <f>IF(AND(Employee__2[[#This Row],[Education]]="Bachelors",Employee__2[[#This Row],[City]]="Pune"),"Yes","No")</f>
        <v>No</v>
      </c>
      <c r="P2866" s="1" t="str">
        <f>IF(OR(Employee__2[[#This Row],[Age]]&gt;=30,Employee__2[[#This Row],[Gender]]="Male"),"Mached","Not mached")</f>
        <v>Not mached</v>
      </c>
    </row>
    <row r="2867" spans="4:16" x14ac:dyDescent="0.25">
      <c r="D2867" s="6" t="s">
        <v>34</v>
      </c>
      <c r="E2867">
        <v>2013</v>
      </c>
      <c r="F2867" s="6" t="s">
        <v>35</v>
      </c>
      <c r="G2867">
        <v>3</v>
      </c>
      <c r="H2867">
        <v>26</v>
      </c>
      <c r="I2867" s="6" t="s">
        <v>39</v>
      </c>
      <c r="J2867" s="6" t="s">
        <v>37</v>
      </c>
      <c r="K2867">
        <v>4</v>
      </c>
      <c r="M2867" s="1" t="b">
        <f>Employee__2[[#This Row],[Experience]]&gt;1</f>
        <v>1</v>
      </c>
      <c r="N2867" s="1" t="str">
        <f>IF(Employee__2[[#This Row],[City]]="Pune","Yes","No")</f>
        <v>No</v>
      </c>
      <c r="O2867" s="1" t="str">
        <f>IF(AND(Employee__2[[#This Row],[Education]]="Bachelors",Employee__2[[#This Row],[City]]="Pune"),"Yes","No")</f>
        <v>No</v>
      </c>
      <c r="P2867" s="1" t="str">
        <f>IF(OR(Employee__2[[#This Row],[Age]]&gt;=30,Employee__2[[#This Row],[Gender]]="Male"),"Mached","Not mached")</f>
        <v>Not mached</v>
      </c>
    </row>
    <row r="2868" spans="4:16" x14ac:dyDescent="0.25">
      <c r="D2868" s="6" t="s">
        <v>34</v>
      </c>
      <c r="E2868">
        <v>2014</v>
      </c>
      <c r="F2868" s="6" t="s">
        <v>38</v>
      </c>
      <c r="G2868">
        <v>3</v>
      </c>
      <c r="H2868">
        <v>29</v>
      </c>
      <c r="I2868" s="6" t="s">
        <v>39</v>
      </c>
      <c r="J2868" s="6" t="s">
        <v>37</v>
      </c>
      <c r="K2868">
        <v>4</v>
      </c>
      <c r="M2868" s="1" t="b">
        <f>Employee__2[[#This Row],[Experience]]&gt;1</f>
        <v>1</v>
      </c>
      <c r="N2868" s="1" t="str">
        <f>IF(Employee__2[[#This Row],[City]]="Pune","Yes","No")</f>
        <v>Yes</v>
      </c>
      <c r="O2868" s="1" t="str">
        <f>IF(AND(Employee__2[[#This Row],[Education]]="Bachelors",Employee__2[[#This Row],[City]]="Pune"),"Yes","No")</f>
        <v>Yes</v>
      </c>
      <c r="P2868" s="1" t="str">
        <f>IF(OR(Employee__2[[#This Row],[Age]]&gt;=30,Employee__2[[#This Row],[Gender]]="Male"),"Mached","Not mached")</f>
        <v>Not mached</v>
      </c>
    </row>
    <row r="2869" spans="4:16" x14ac:dyDescent="0.25">
      <c r="D2869" s="6" t="s">
        <v>41</v>
      </c>
      <c r="E2869">
        <v>2016</v>
      </c>
      <c r="F2869" s="6" t="s">
        <v>40</v>
      </c>
      <c r="G2869">
        <v>3</v>
      </c>
      <c r="H2869">
        <v>30</v>
      </c>
      <c r="I2869" s="6" t="s">
        <v>36</v>
      </c>
      <c r="J2869" s="6" t="s">
        <v>37</v>
      </c>
      <c r="K2869">
        <v>3</v>
      </c>
      <c r="M2869" s="1" t="b">
        <f>Employee__2[[#This Row],[Experience]]&gt;1</f>
        <v>1</v>
      </c>
      <c r="N2869" s="1" t="str">
        <f>IF(Employee__2[[#This Row],[City]]="Pune","Yes","No")</f>
        <v>No</v>
      </c>
      <c r="O2869" s="1" t="str">
        <f>IF(AND(Employee__2[[#This Row],[Education]]="Bachelors",Employee__2[[#This Row],[City]]="Pune"),"Yes","No")</f>
        <v>No</v>
      </c>
      <c r="P2869" s="1" t="str">
        <f>IF(OR(Employee__2[[#This Row],[Age]]&gt;=30,Employee__2[[#This Row],[Gender]]="Male"),"Mached","Not mached")</f>
        <v>Mached</v>
      </c>
    </row>
    <row r="2870" spans="4:16" x14ac:dyDescent="0.25">
      <c r="D2870" s="6" t="s">
        <v>34</v>
      </c>
      <c r="E2870">
        <v>2014</v>
      </c>
      <c r="F2870" s="6" t="s">
        <v>38</v>
      </c>
      <c r="G2870">
        <v>1</v>
      </c>
      <c r="H2870">
        <v>26</v>
      </c>
      <c r="I2870" s="6" t="s">
        <v>39</v>
      </c>
      <c r="J2870" s="6" t="s">
        <v>37</v>
      </c>
      <c r="K2870">
        <v>4</v>
      </c>
      <c r="M2870" s="1" t="b">
        <f>Employee__2[[#This Row],[Experience]]&gt;1</f>
        <v>1</v>
      </c>
      <c r="N2870" s="1" t="str">
        <f>IF(Employee__2[[#This Row],[City]]="Pune","Yes","No")</f>
        <v>Yes</v>
      </c>
      <c r="O2870" s="1" t="str">
        <f>IF(AND(Employee__2[[#This Row],[Education]]="Bachelors",Employee__2[[#This Row],[City]]="Pune"),"Yes","No")</f>
        <v>Yes</v>
      </c>
      <c r="P2870" s="1" t="str">
        <f>IF(OR(Employee__2[[#This Row],[Age]]&gt;=30,Employee__2[[#This Row],[Gender]]="Male"),"Mached","Not mached")</f>
        <v>Not mached</v>
      </c>
    </row>
    <row r="2871" spans="4:16" x14ac:dyDescent="0.25">
      <c r="D2871" s="6" t="s">
        <v>34</v>
      </c>
      <c r="E2871">
        <v>2012</v>
      </c>
      <c r="F2871" s="6" t="s">
        <v>38</v>
      </c>
      <c r="G2871">
        <v>2</v>
      </c>
      <c r="H2871">
        <v>27</v>
      </c>
      <c r="I2871" s="6" t="s">
        <v>39</v>
      </c>
      <c r="J2871" s="6" t="s">
        <v>37</v>
      </c>
      <c r="K2871">
        <v>5</v>
      </c>
      <c r="M2871" s="1" t="b">
        <f>Employee__2[[#This Row],[Experience]]&gt;1</f>
        <v>1</v>
      </c>
      <c r="N2871" s="1" t="str">
        <f>IF(Employee__2[[#This Row],[City]]="Pune","Yes","No")</f>
        <v>Yes</v>
      </c>
      <c r="O2871" s="1" t="str">
        <f>IF(AND(Employee__2[[#This Row],[Education]]="Bachelors",Employee__2[[#This Row],[City]]="Pune"),"Yes","No")</f>
        <v>Yes</v>
      </c>
      <c r="P2871" s="1" t="str">
        <f>IF(OR(Employee__2[[#This Row],[Age]]&gt;=30,Employee__2[[#This Row],[Gender]]="Male"),"Mached","Not mached")</f>
        <v>Not mached</v>
      </c>
    </row>
    <row r="2872" spans="4:16" x14ac:dyDescent="0.25">
      <c r="D2872" s="6" t="s">
        <v>34</v>
      </c>
      <c r="E2872">
        <v>2017</v>
      </c>
      <c r="F2872" s="6" t="s">
        <v>38</v>
      </c>
      <c r="G2872">
        <v>3</v>
      </c>
      <c r="H2872">
        <v>30</v>
      </c>
      <c r="I2872" s="6" t="s">
        <v>36</v>
      </c>
      <c r="J2872" s="6" t="s">
        <v>37</v>
      </c>
      <c r="K2872">
        <v>0</v>
      </c>
      <c r="M2872" s="1" t="b">
        <f>Employee__2[[#This Row],[Experience]]&gt;1</f>
        <v>0</v>
      </c>
      <c r="N2872" s="1" t="str">
        <f>IF(Employee__2[[#This Row],[City]]="Pune","Yes","No")</f>
        <v>Yes</v>
      </c>
      <c r="O2872" s="1" t="str">
        <f>IF(AND(Employee__2[[#This Row],[Education]]="Bachelors",Employee__2[[#This Row],[City]]="Pune"),"Yes","No")</f>
        <v>Yes</v>
      </c>
      <c r="P2872" s="1" t="str">
        <f>IF(OR(Employee__2[[#This Row],[Age]]&gt;=30,Employee__2[[#This Row],[Gender]]="Male"),"Mached","Not mached")</f>
        <v>Mached</v>
      </c>
    </row>
    <row r="2873" spans="4:16" x14ac:dyDescent="0.25">
      <c r="D2873" s="6" t="s">
        <v>34</v>
      </c>
      <c r="E2873">
        <v>2013</v>
      </c>
      <c r="F2873" s="6" t="s">
        <v>38</v>
      </c>
      <c r="G2873">
        <v>3</v>
      </c>
      <c r="H2873">
        <v>27</v>
      </c>
      <c r="I2873" s="6" t="s">
        <v>36</v>
      </c>
      <c r="J2873" s="6" t="s">
        <v>37</v>
      </c>
      <c r="K2873">
        <v>5</v>
      </c>
      <c r="M2873" s="1" t="b">
        <f>Employee__2[[#This Row],[Experience]]&gt;1</f>
        <v>1</v>
      </c>
      <c r="N2873" s="1" t="str">
        <f>IF(Employee__2[[#This Row],[City]]="Pune","Yes","No")</f>
        <v>Yes</v>
      </c>
      <c r="O2873" s="1" t="str">
        <f>IF(AND(Employee__2[[#This Row],[Education]]="Bachelors",Employee__2[[#This Row],[City]]="Pune"),"Yes","No")</f>
        <v>Yes</v>
      </c>
      <c r="P2873" s="1" t="str">
        <f>IF(OR(Employee__2[[#This Row],[Age]]&gt;=30,Employee__2[[#This Row],[Gender]]="Male"),"Mached","Not mached")</f>
        <v>Mached</v>
      </c>
    </row>
    <row r="2874" spans="4:16" x14ac:dyDescent="0.25">
      <c r="D2874" s="6" t="s">
        <v>34</v>
      </c>
      <c r="E2874">
        <v>2017</v>
      </c>
      <c r="F2874" s="6" t="s">
        <v>40</v>
      </c>
      <c r="G2874">
        <v>2</v>
      </c>
      <c r="H2874">
        <v>30</v>
      </c>
      <c r="I2874" s="6" t="s">
        <v>36</v>
      </c>
      <c r="J2874" s="6" t="s">
        <v>37</v>
      </c>
      <c r="K2874">
        <v>4</v>
      </c>
      <c r="M2874" s="1" t="b">
        <f>Employee__2[[#This Row],[Experience]]&gt;1</f>
        <v>1</v>
      </c>
      <c r="N2874" s="1" t="str">
        <f>IF(Employee__2[[#This Row],[City]]="Pune","Yes","No")</f>
        <v>No</v>
      </c>
      <c r="O2874" s="1" t="str">
        <f>IF(AND(Employee__2[[#This Row],[Education]]="Bachelors",Employee__2[[#This Row],[City]]="Pune"),"Yes","No")</f>
        <v>No</v>
      </c>
      <c r="P2874" s="1" t="str">
        <f>IF(OR(Employee__2[[#This Row],[Age]]&gt;=30,Employee__2[[#This Row],[Gender]]="Male"),"Mached","Not mached")</f>
        <v>Mached</v>
      </c>
    </row>
    <row r="2875" spans="4:16" x14ac:dyDescent="0.25">
      <c r="D2875" s="6" t="s">
        <v>34</v>
      </c>
      <c r="E2875">
        <v>2017</v>
      </c>
      <c r="F2875" s="6" t="s">
        <v>40</v>
      </c>
      <c r="G2875">
        <v>2</v>
      </c>
      <c r="H2875">
        <v>28</v>
      </c>
      <c r="I2875" s="6" t="s">
        <v>39</v>
      </c>
      <c r="J2875" s="6" t="s">
        <v>37</v>
      </c>
      <c r="K2875">
        <v>4</v>
      </c>
      <c r="M2875" s="1" t="b">
        <f>Employee__2[[#This Row],[Experience]]&gt;1</f>
        <v>1</v>
      </c>
      <c r="N2875" s="1" t="str">
        <f>IF(Employee__2[[#This Row],[City]]="Pune","Yes","No")</f>
        <v>No</v>
      </c>
      <c r="O2875" s="1" t="str">
        <f>IF(AND(Employee__2[[#This Row],[Education]]="Bachelors",Employee__2[[#This Row],[City]]="Pune"),"Yes","No")</f>
        <v>No</v>
      </c>
      <c r="P2875" s="1" t="str">
        <f>IF(OR(Employee__2[[#This Row],[Age]]&gt;=30,Employee__2[[#This Row],[Gender]]="Male"),"Mached","Not mached")</f>
        <v>Not mached</v>
      </c>
    </row>
    <row r="2876" spans="4:16" x14ac:dyDescent="0.25">
      <c r="D2876" s="6" t="s">
        <v>43</v>
      </c>
      <c r="E2876">
        <v>2016</v>
      </c>
      <c r="F2876" s="6" t="s">
        <v>35</v>
      </c>
      <c r="G2876">
        <v>3</v>
      </c>
      <c r="H2876">
        <v>30</v>
      </c>
      <c r="I2876" s="6" t="s">
        <v>39</v>
      </c>
      <c r="J2876" s="6" t="s">
        <v>37</v>
      </c>
      <c r="K2876">
        <v>5</v>
      </c>
      <c r="M2876" s="1" t="b">
        <f>Employee__2[[#This Row],[Experience]]&gt;1</f>
        <v>1</v>
      </c>
      <c r="N2876" s="1" t="str">
        <f>IF(Employee__2[[#This Row],[City]]="Pune","Yes","No")</f>
        <v>No</v>
      </c>
      <c r="O2876" s="1" t="str">
        <f>IF(AND(Employee__2[[#This Row],[Education]]="Bachelors",Employee__2[[#This Row],[City]]="Pune"),"Yes","No")</f>
        <v>No</v>
      </c>
      <c r="P2876" s="1" t="str">
        <f>IF(OR(Employee__2[[#This Row],[Age]]&gt;=30,Employee__2[[#This Row],[Gender]]="Male"),"Mached","Not mached")</f>
        <v>Mached</v>
      </c>
    </row>
    <row r="2877" spans="4:16" x14ac:dyDescent="0.25">
      <c r="D2877" s="6" t="s">
        <v>34</v>
      </c>
      <c r="E2877">
        <v>2018</v>
      </c>
      <c r="F2877" s="6" t="s">
        <v>35</v>
      </c>
      <c r="G2877">
        <v>3</v>
      </c>
      <c r="H2877">
        <v>28</v>
      </c>
      <c r="I2877" s="6" t="s">
        <v>36</v>
      </c>
      <c r="J2877" s="6" t="s">
        <v>37</v>
      </c>
      <c r="K2877">
        <v>1</v>
      </c>
      <c r="M2877" s="1" t="b">
        <f>Employee__2[[#This Row],[Experience]]&gt;1</f>
        <v>0</v>
      </c>
      <c r="N2877" s="1" t="str">
        <f>IF(Employee__2[[#This Row],[City]]="Pune","Yes","No")</f>
        <v>No</v>
      </c>
      <c r="O2877" s="1" t="str">
        <f>IF(AND(Employee__2[[#This Row],[Education]]="Bachelors",Employee__2[[#This Row],[City]]="Pune"),"Yes","No")</f>
        <v>No</v>
      </c>
      <c r="P2877" s="1" t="str">
        <f>IF(OR(Employee__2[[#This Row],[Age]]&gt;=30,Employee__2[[#This Row],[Gender]]="Male"),"Mached","Not mached")</f>
        <v>Mached</v>
      </c>
    </row>
    <row r="2878" spans="4:16" x14ac:dyDescent="0.25">
      <c r="D2878" s="6" t="s">
        <v>34</v>
      </c>
      <c r="E2878">
        <v>2017</v>
      </c>
      <c r="F2878" s="6" t="s">
        <v>38</v>
      </c>
      <c r="G2878">
        <v>2</v>
      </c>
      <c r="H2878">
        <v>29</v>
      </c>
      <c r="I2878" s="6" t="s">
        <v>36</v>
      </c>
      <c r="J2878" s="6" t="s">
        <v>37</v>
      </c>
      <c r="K2878">
        <v>3</v>
      </c>
      <c r="M2878" s="1" t="b">
        <f>Employee__2[[#This Row],[Experience]]&gt;1</f>
        <v>1</v>
      </c>
      <c r="N2878" s="1" t="str">
        <f>IF(Employee__2[[#This Row],[City]]="Pune","Yes","No")</f>
        <v>Yes</v>
      </c>
      <c r="O2878" s="1" t="str">
        <f>IF(AND(Employee__2[[#This Row],[Education]]="Bachelors",Employee__2[[#This Row],[City]]="Pune"),"Yes","No")</f>
        <v>Yes</v>
      </c>
      <c r="P2878" s="1" t="str">
        <f>IF(OR(Employee__2[[#This Row],[Age]]&gt;=30,Employee__2[[#This Row],[Gender]]="Male"),"Mached","Not mached")</f>
        <v>Mached</v>
      </c>
    </row>
    <row r="2879" spans="4:16" x14ac:dyDescent="0.25">
      <c r="D2879" s="6" t="s">
        <v>34</v>
      </c>
      <c r="E2879">
        <v>2017</v>
      </c>
      <c r="F2879" s="6" t="s">
        <v>40</v>
      </c>
      <c r="G2879">
        <v>2</v>
      </c>
      <c r="H2879">
        <v>30</v>
      </c>
      <c r="I2879" s="6" t="s">
        <v>36</v>
      </c>
      <c r="J2879" s="6" t="s">
        <v>37</v>
      </c>
      <c r="K2879">
        <v>1</v>
      </c>
      <c r="M2879" s="1" t="b">
        <f>Employee__2[[#This Row],[Experience]]&gt;1</f>
        <v>0</v>
      </c>
      <c r="N2879" s="1" t="str">
        <f>IF(Employee__2[[#This Row],[City]]="Pune","Yes","No")</f>
        <v>No</v>
      </c>
      <c r="O2879" s="1" t="str">
        <f>IF(AND(Employee__2[[#This Row],[Education]]="Bachelors",Employee__2[[#This Row],[City]]="Pune"),"Yes","No")</f>
        <v>No</v>
      </c>
      <c r="P2879" s="1" t="str">
        <f>IF(OR(Employee__2[[#This Row],[Age]]&gt;=30,Employee__2[[#This Row],[Gender]]="Male"),"Mached","Not mached")</f>
        <v>Mached</v>
      </c>
    </row>
    <row r="2880" spans="4:16" x14ac:dyDescent="0.25">
      <c r="D2880" s="6" t="s">
        <v>34</v>
      </c>
      <c r="E2880">
        <v>2015</v>
      </c>
      <c r="F2880" s="6" t="s">
        <v>35</v>
      </c>
      <c r="G2880">
        <v>3</v>
      </c>
      <c r="H2880">
        <v>27</v>
      </c>
      <c r="I2880" s="6" t="s">
        <v>36</v>
      </c>
      <c r="J2880" s="6" t="s">
        <v>37</v>
      </c>
      <c r="K2880">
        <v>5</v>
      </c>
      <c r="M2880" s="1" t="b">
        <f>Employee__2[[#This Row],[Experience]]&gt;1</f>
        <v>1</v>
      </c>
      <c r="N2880" s="1" t="str">
        <f>IF(Employee__2[[#This Row],[City]]="Pune","Yes","No")</f>
        <v>No</v>
      </c>
      <c r="O2880" s="1" t="str">
        <f>IF(AND(Employee__2[[#This Row],[Education]]="Bachelors",Employee__2[[#This Row],[City]]="Pune"),"Yes","No")</f>
        <v>No</v>
      </c>
      <c r="P2880" s="1" t="str">
        <f>IF(OR(Employee__2[[#This Row],[Age]]&gt;=30,Employee__2[[#This Row],[Gender]]="Male"),"Mached","Not mached")</f>
        <v>Mached</v>
      </c>
    </row>
    <row r="2881" spans="4:16" x14ac:dyDescent="0.25">
      <c r="D2881" s="6" t="s">
        <v>34</v>
      </c>
      <c r="E2881">
        <v>2013</v>
      </c>
      <c r="F2881" s="6" t="s">
        <v>38</v>
      </c>
      <c r="G2881">
        <v>3</v>
      </c>
      <c r="H2881">
        <v>30</v>
      </c>
      <c r="I2881" s="6" t="s">
        <v>36</v>
      </c>
      <c r="J2881" s="6" t="s">
        <v>37</v>
      </c>
      <c r="K2881">
        <v>0</v>
      </c>
      <c r="M2881" s="1" t="b">
        <f>Employee__2[[#This Row],[Experience]]&gt;1</f>
        <v>0</v>
      </c>
      <c r="N2881" s="1" t="str">
        <f>IF(Employee__2[[#This Row],[City]]="Pune","Yes","No")</f>
        <v>Yes</v>
      </c>
      <c r="O2881" s="1" t="str">
        <f>IF(AND(Employee__2[[#This Row],[Education]]="Bachelors",Employee__2[[#This Row],[City]]="Pune"),"Yes","No")</f>
        <v>Yes</v>
      </c>
      <c r="P2881" s="1" t="str">
        <f>IF(OR(Employee__2[[#This Row],[Age]]&gt;=30,Employee__2[[#This Row],[Gender]]="Male"),"Mached","Not mached")</f>
        <v>Mached</v>
      </c>
    </row>
    <row r="2882" spans="4:16" x14ac:dyDescent="0.25">
      <c r="D2882" s="6" t="s">
        <v>34</v>
      </c>
      <c r="E2882">
        <v>2018</v>
      </c>
      <c r="F2882" s="6" t="s">
        <v>35</v>
      </c>
      <c r="G2882">
        <v>3</v>
      </c>
      <c r="H2882">
        <v>26</v>
      </c>
      <c r="I2882" s="6" t="s">
        <v>36</v>
      </c>
      <c r="J2882" s="6" t="s">
        <v>42</v>
      </c>
      <c r="K2882">
        <v>4</v>
      </c>
      <c r="M2882" s="1" t="b">
        <f>Employee__2[[#This Row],[Experience]]&gt;1</f>
        <v>1</v>
      </c>
      <c r="N2882" s="1" t="str">
        <f>IF(Employee__2[[#This Row],[City]]="Pune","Yes","No")</f>
        <v>No</v>
      </c>
      <c r="O2882" s="1" t="str">
        <f>IF(AND(Employee__2[[#This Row],[Education]]="Bachelors",Employee__2[[#This Row],[City]]="Pune"),"Yes","No")</f>
        <v>No</v>
      </c>
      <c r="P2882" s="1" t="str">
        <f>IF(OR(Employee__2[[#This Row],[Age]]&gt;=30,Employee__2[[#This Row],[Gender]]="Male"),"Mached","Not mached")</f>
        <v>Mached</v>
      </c>
    </row>
    <row r="2883" spans="4:16" x14ac:dyDescent="0.25">
      <c r="D2883" s="6" t="s">
        <v>34</v>
      </c>
      <c r="E2883">
        <v>2015</v>
      </c>
      <c r="F2883" s="6" t="s">
        <v>40</v>
      </c>
      <c r="G2883">
        <v>3</v>
      </c>
      <c r="H2883">
        <v>28</v>
      </c>
      <c r="I2883" s="6" t="s">
        <v>39</v>
      </c>
      <c r="J2883" s="6" t="s">
        <v>37</v>
      </c>
      <c r="K2883">
        <v>3</v>
      </c>
      <c r="M2883" s="1" t="b">
        <f>Employee__2[[#This Row],[Experience]]&gt;1</f>
        <v>1</v>
      </c>
      <c r="N2883" s="1" t="str">
        <f>IF(Employee__2[[#This Row],[City]]="Pune","Yes","No")</f>
        <v>No</v>
      </c>
      <c r="O2883" s="1" t="str">
        <f>IF(AND(Employee__2[[#This Row],[Education]]="Bachelors",Employee__2[[#This Row],[City]]="Pune"),"Yes","No")</f>
        <v>No</v>
      </c>
      <c r="P2883" s="1" t="str">
        <f>IF(OR(Employee__2[[#This Row],[Age]]&gt;=30,Employee__2[[#This Row],[Gender]]="Male"),"Mached","Not mached")</f>
        <v>Not mached</v>
      </c>
    </row>
    <row r="2884" spans="4:16" x14ac:dyDescent="0.25">
      <c r="D2884" s="6" t="s">
        <v>41</v>
      </c>
      <c r="E2884">
        <v>2017</v>
      </c>
      <c r="F2884" s="6" t="s">
        <v>40</v>
      </c>
      <c r="G2884">
        <v>2</v>
      </c>
      <c r="H2884">
        <v>26</v>
      </c>
      <c r="I2884" s="6" t="s">
        <v>39</v>
      </c>
      <c r="J2884" s="6" t="s">
        <v>42</v>
      </c>
      <c r="K2884">
        <v>4</v>
      </c>
      <c r="M2884" s="1" t="b">
        <f>Employee__2[[#This Row],[Experience]]&gt;1</f>
        <v>1</v>
      </c>
      <c r="N2884" s="1" t="str">
        <f>IF(Employee__2[[#This Row],[City]]="Pune","Yes","No")</f>
        <v>No</v>
      </c>
      <c r="O2884" s="1" t="str">
        <f>IF(AND(Employee__2[[#This Row],[Education]]="Bachelors",Employee__2[[#This Row],[City]]="Pune"),"Yes","No")</f>
        <v>No</v>
      </c>
      <c r="P2884" s="1" t="str">
        <f>IF(OR(Employee__2[[#This Row],[Age]]&gt;=30,Employee__2[[#This Row],[Gender]]="Male"),"Mached","Not mached")</f>
        <v>Not mached</v>
      </c>
    </row>
    <row r="2885" spans="4:16" x14ac:dyDescent="0.25">
      <c r="D2885" s="6" t="s">
        <v>34</v>
      </c>
      <c r="E2885">
        <v>2016</v>
      </c>
      <c r="F2885" s="6" t="s">
        <v>38</v>
      </c>
      <c r="G2885">
        <v>2</v>
      </c>
      <c r="H2885">
        <v>30</v>
      </c>
      <c r="I2885" s="6" t="s">
        <v>39</v>
      </c>
      <c r="J2885" s="6" t="s">
        <v>37</v>
      </c>
      <c r="K2885">
        <v>1</v>
      </c>
      <c r="M2885" s="1" t="b">
        <f>Employee__2[[#This Row],[Experience]]&gt;1</f>
        <v>0</v>
      </c>
      <c r="N2885" s="1" t="str">
        <f>IF(Employee__2[[#This Row],[City]]="Pune","Yes","No")</f>
        <v>Yes</v>
      </c>
      <c r="O2885" s="1" t="str">
        <f>IF(AND(Employee__2[[#This Row],[Education]]="Bachelors",Employee__2[[#This Row],[City]]="Pune"),"Yes","No")</f>
        <v>Yes</v>
      </c>
      <c r="P2885" s="1" t="str">
        <f>IF(OR(Employee__2[[#This Row],[Age]]&gt;=30,Employee__2[[#This Row],[Gender]]="Male"),"Mached","Not mached")</f>
        <v>Mached</v>
      </c>
    </row>
    <row r="2886" spans="4:16" x14ac:dyDescent="0.25">
      <c r="D2886" s="6" t="s">
        <v>41</v>
      </c>
      <c r="E2886">
        <v>2014</v>
      </c>
      <c r="F2886" s="6" t="s">
        <v>40</v>
      </c>
      <c r="G2886">
        <v>3</v>
      </c>
      <c r="H2886">
        <v>28</v>
      </c>
      <c r="I2886" s="6" t="s">
        <v>36</v>
      </c>
      <c r="J2886" s="6" t="s">
        <v>37</v>
      </c>
      <c r="K2886">
        <v>0</v>
      </c>
      <c r="M2886" s="1" t="b">
        <f>Employee__2[[#This Row],[Experience]]&gt;1</f>
        <v>0</v>
      </c>
      <c r="N2886" s="1" t="str">
        <f>IF(Employee__2[[#This Row],[City]]="Pune","Yes","No")</f>
        <v>No</v>
      </c>
      <c r="O2886" s="1" t="str">
        <f>IF(AND(Employee__2[[#This Row],[Education]]="Bachelors",Employee__2[[#This Row],[City]]="Pune"),"Yes","No")</f>
        <v>No</v>
      </c>
      <c r="P2886" s="1" t="str">
        <f>IF(OR(Employee__2[[#This Row],[Age]]&gt;=30,Employee__2[[#This Row],[Gender]]="Male"),"Mached","Not mached")</f>
        <v>Mached</v>
      </c>
    </row>
    <row r="2887" spans="4:16" x14ac:dyDescent="0.25">
      <c r="D2887" s="6" t="s">
        <v>34</v>
      </c>
      <c r="E2887">
        <v>2015</v>
      </c>
      <c r="F2887" s="6" t="s">
        <v>35</v>
      </c>
      <c r="G2887">
        <v>3</v>
      </c>
      <c r="H2887">
        <v>28</v>
      </c>
      <c r="I2887" s="6" t="s">
        <v>36</v>
      </c>
      <c r="J2887" s="6" t="s">
        <v>37</v>
      </c>
      <c r="K2887">
        <v>2</v>
      </c>
      <c r="M2887" s="1" t="b">
        <f>Employee__2[[#This Row],[Experience]]&gt;1</f>
        <v>1</v>
      </c>
      <c r="N2887" s="1" t="str">
        <f>IF(Employee__2[[#This Row],[City]]="Pune","Yes","No")</f>
        <v>No</v>
      </c>
      <c r="O2887" s="1" t="str">
        <f>IF(AND(Employee__2[[#This Row],[Education]]="Bachelors",Employee__2[[#This Row],[City]]="Pune"),"Yes","No")</f>
        <v>No</v>
      </c>
      <c r="P2887" s="1" t="str">
        <f>IF(OR(Employee__2[[#This Row],[Age]]&gt;=30,Employee__2[[#This Row],[Gender]]="Male"),"Mached","Not mached")</f>
        <v>Mached</v>
      </c>
    </row>
    <row r="2888" spans="4:16" x14ac:dyDescent="0.25">
      <c r="D2888" s="6" t="s">
        <v>41</v>
      </c>
      <c r="E2888">
        <v>2015</v>
      </c>
      <c r="F2888" s="6" t="s">
        <v>38</v>
      </c>
      <c r="G2888">
        <v>2</v>
      </c>
      <c r="H2888">
        <v>30</v>
      </c>
      <c r="I2888" s="6" t="s">
        <v>39</v>
      </c>
      <c r="J2888" s="6" t="s">
        <v>37</v>
      </c>
      <c r="K2888">
        <v>1</v>
      </c>
      <c r="M2888" s="1" t="b">
        <f>Employee__2[[#This Row],[Experience]]&gt;1</f>
        <v>0</v>
      </c>
      <c r="N2888" s="1" t="str">
        <f>IF(Employee__2[[#This Row],[City]]="Pune","Yes","No")</f>
        <v>Yes</v>
      </c>
      <c r="O2888" s="1" t="str">
        <f>IF(AND(Employee__2[[#This Row],[Education]]="Bachelors",Employee__2[[#This Row],[City]]="Pune"),"Yes","No")</f>
        <v>No</v>
      </c>
      <c r="P2888" s="1" t="str">
        <f>IF(OR(Employee__2[[#This Row],[Age]]&gt;=30,Employee__2[[#This Row],[Gender]]="Male"),"Mached","Not mached")</f>
        <v>Mached</v>
      </c>
    </row>
    <row r="2889" spans="4:16" x14ac:dyDescent="0.25">
      <c r="D2889" s="6" t="s">
        <v>41</v>
      </c>
      <c r="E2889">
        <v>2017</v>
      </c>
      <c r="F2889" s="6" t="s">
        <v>40</v>
      </c>
      <c r="G2889">
        <v>2</v>
      </c>
      <c r="H2889">
        <v>27</v>
      </c>
      <c r="I2889" s="6" t="s">
        <v>39</v>
      </c>
      <c r="J2889" s="6" t="s">
        <v>37</v>
      </c>
      <c r="K2889">
        <v>5</v>
      </c>
      <c r="M2889" s="1" t="b">
        <f>Employee__2[[#This Row],[Experience]]&gt;1</f>
        <v>1</v>
      </c>
      <c r="N2889" s="1" t="str">
        <f>IF(Employee__2[[#This Row],[City]]="Pune","Yes","No")</f>
        <v>No</v>
      </c>
      <c r="O2889" s="1" t="str">
        <f>IF(AND(Employee__2[[#This Row],[Education]]="Bachelors",Employee__2[[#This Row],[City]]="Pune"),"Yes","No")</f>
        <v>No</v>
      </c>
      <c r="P2889" s="1" t="str">
        <f>IF(OR(Employee__2[[#This Row],[Age]]&gt;=30,Employee__2[[#This Row],[Gender]]="Male"),"Mached","Not mached")</f>
        <v>Not mached</v>
      </c>
    </row>
    <row r="2890" spans="4:16" x14ac:dyDescent="0.25">
      <c r="D2890" s="6" t="s">
        <v>34</v>
      </c>
      <c r="E2890">
        <v>2014</v>
      </c>
      <c r="F2890" s="6" t="s">
        <v>35</v>
      </c>
      <c r="G2890">
        <v>3</v>
      </c>
      <c r="H2890">
        <v>26</v>
      </c>
      <c r="I2890" s="6" t="s">
        <v>36</v>
      </c>
      <c r="J2890" s="6" t="s">
        <v>37</v>
      </c>
      <c r="K2890">
        <v>4</v>
      </c>
      <c r="M2890" s="1" t="b">
        <f>Employee__2[[#This Row],[Experience]]&gt;1</f>
        <v>1</v>
      </c>
      <c r="N2890" s="1" t="str">
        <f>IF(Employee__2[[#This Row],[City]]="Pune","Yes","No")</f>
        <v>No</v>
      </c>
      <c r="O2890" s="1" t="str">
        <f>IF(AND(Employee__2[[#This Row],[Education]]="Bachelors",Employee__2[[#This Row],[City]]="Pune"),"Yes","No")</f>
        <v>No</v>
      </c>
      <c r="P2890" s="1" t="str">
        <f>IF(OR(Employee__2[[#This Row],[Age]]&gt;=30,Employee__2[[#This Row],[Gender]]="Male"),"Mached","Not mached")</f>
        <v>Mached</v>
      </c>
    </row>
    <row r="2891" spans="4:16" x14ac:dyDescent="0.25">
      <c r="D2891" s="6" t="s">
        <v>34</v>
      </c>
      <c r="E2891">
        <v>2013</v>
      </c>
      <c r="F2891" s="6" t="s">
        <v>38</v>
      </c>
      <c r="G2891">
        <v>3</v>
      </c>
      <c r="H2891">
        <v>27</v>
      </c>
      <c r="I2891" s="6" t="s">
        <v>36</v>
      </c>
      <c r="J2891" s="6" t="s">
        <v>37</v>
      </c>
      <c r="K2891">
        <v>5</v>
      </c>
      <c r="M2891" s="1" t="b">
        <f>Employee__2[[#This Row],[Experience]]&gt;1</f>
        <v>1</v>
      </c>
      <c r="N2891" s="1" t="str">
        <f>IF(Employee__2[[#This Row],[City]]="Pune","Yes","No")</f>
        <v>Yes</v>
      </c>
      <c r="O2891" s="1" t="str">
        <f>IF(AND(Employee__2[[#This Row],[Education]]="Bachelors",Employee__2[[#This Row],[City]]="Pune"),"Yes","No")</f>
        <v>Yes</v>
      </c>
      <c r="P2891" s="1" t="str">
        <f>IF(OR(Employee__2[[#This Row],[Age]]&gt;=30,Employee__2[[#This Row],[Gender]]="Male"),"Mached","Not mached")</f>
        <v>Mached</v>
      </c>
    </row>
    <row r="2892" spans="4:16" x14ac:dyDescent="0.25">
      <c r="D2892" s="6" t="s">
        <v>34</v>
      </c>
      <c r="E2892">
        <v>2016</v>
      </c>
      <c r="F2892" s="6" t="s">
        <v>35</v>
      </c>
      <c r="G2892">
        <v>3</v>
      </c>
      <c r="H2892">
        <v>30</v>
      </c>
      <c r="I2892" s="6" t="s">
        <v>36</v>
      </c>
      <c r="J2892" s="6" t="s">
        <v>37</v>
      </c>
      <c r="K2892">
        <v>1</v>
      </c>
      <c r="M2892" s="1" t="b">
        <f>Employee__2[[#This Row],[Experience]]&gt;1</f>
        <v>0</v>
      </c>
      <c r="N2892" s="1" t="str">
        <f>IF(Employee__2[[#This Row],[City]]="Pune","Yes","No")</f>
        <v>No</v>
      </c>
      <c r="O2892" s="1" t="str">
        <f>IF(AND(Employee__2[[#This Row],[Education]]="Bachelors",Employee__2[[#This Row],[City]]="Pune"),"Yes","No")</f>
        <v>No</v>
      </c>
      <c r="P2892" s="1" t="str">
        <f>IF(OR(Employee__2[[#This Row],[Age]]&gt;=30,Employee__2[[#This Row],[Gender]]="Male"),"Mached","Not mached")</f>
        <v>Mached</v>
      </c>
    </row>
    <row r="2893" spans="4:16" x14ac:dyDescent="0.25">
      <c r="D2893" s="6" t="s">
        <v>41</v>
      </c>
      <c r="E2893">
        <v>2017</v>
      </c>
      <c r="F2893" s="6" t="s">
        <v>40</v>
      </c>
      <c r="G2893">
        <v>3</v>
      </c>
      <c r="H2893">
        <v>29</v>
      </c>
      <c r="I2893" s="6" t="s">
        <v>36</v>
      </c>
      <c r="J2893" s="6" t="s">
        <v>37</v>
      </c>
      <c r="K2893">
        <v>2</v>
      </c>
      <c r="M2893" s="1" t="b">
        <f>Employee__2[[#This Row],[Experience]]&gt;1</f>
        <v>1</v>
      </c>
      <c r="N2893" s="1" t="str">
        <f>IF(Employee__2[[#This Row],[City]]="Pune","Yes","No")</f>
        <v>No</v>
      </c>
      <c r="O2893" s="1" t="str">
        <f>IF(AND(Employee__2[[#This Row],[Education]]="Bachelors",Employee__2[[#This Row],[City]]="Pune"),"Yes","No")</f>
        <v>No</v>
      </c>
      <c r="P2893" s="1" t="str">
        <f>IF(OR(Employee__2[[#This Row],[Age]]&gt;=30,Employee__2[[#This Row],[Gender]]="Male"),"Mached","Not mached")</f>
        <v>Mached</v>
      </c>
    </row>
    <row r="2894" spans="4:16" x14ac:dyDescent="0.25">
      <c r="D2894" s="6" t="s">
        <v>34</v>
      </c>
      <c r="E2894">
        <v>2012</v>
      </c>
      <c r="F2894" s="6" t="s">
        <v>35</v>
      </c>
      <c r="G2894">
        <v>3</v>
      </c>
      <c r="H2894">
        <v>30</v>
      </c>
      <c r="I2894" s="6" t="s">
        <v>39</v>
      </c>
      <c r="J2894" s="6" t="s">
        <v>37</v>
      </c>
      <c r="K2894">
        <v>1</v>
      </c>
      <c r="M2894" s="1" t="b">
        <f>Employee__2[[#This Row],[Experience]]&gt;1</f>
        <v>0</v>
      </c>
      <c r="N2894" s="1" t="str">
        <f>IF(Employee__2[[#This Row],[City]]="Pune","Yes","No")</f>
        <v>No</v>
      </c>
      <c r="O2894" s="1" t="str">
        <f>IF(AND(Employee__2[[#This Row],[Education]]="Bachelors",Employee__2[[#This Row],[City]]="Pune"),"Yes","No")</f>
        <v>No</v>
      </c>
      <c r="P2894" s="1" t="str">
        <f>IF(OR(Employee__2[[#This Row],[Age]]&gt;=30,Employee__2[[#This Row],[Gender]]="Male"),"Mached","Not mached")</f>
        <v>Mached</v>
      </c>
    </row>
    <row r="2895" spans="4:16" x14ac:dyDescent="0.25">
      <c r="D2895" s="6" t="s">
        <v>34</v>
      </c>
      <c r="E2895">
        <v>2018</v>
      </c>
      <c r="F2895" s="6" t="s">
        <v>35</v>
      </c>
      <c r="G2895">
        <v>3</v>
      </c>
      <c r="H2895">
        <v>29</v>
      </c>
      <c r="I2895" s="6" t="s">
        <v>36</v>
      </c>
      <c r="J2895" s="6" t="s">
        <v>37</v>
      </c>
      <c r="K2895">
        <v>3</v>
      </c>
      <c r="M2895" s="1" t="b">
        <f>Employee__2[[#This Row],[Experience]]&gt;1</f>
        <v>1</v>
      </c>
      <c r="N2895" s="1" t="str">
        <f>IF(Employee__2[[#This Row],[City]]="Pune","Yes","No")</f>
        <v>No</v>
      </c>
      <c r="O2895" s="1" t="str">
        <f>IF(AND(Employee__2[[#This Row],[Education]]="Bachelors",Employee__2[[#This Row],[City]]="Pune"),"Yes","No")</f>
        <v>No</v>
      </c>
      <c r="P2895" s="1" t="str">
        <f>IF(OR(Employee__2[[#This Row],[Age]]&gt;=30,Employee__2[[#This Row],[Gender]]="Male"),"Mached","Not mached")</f>
        <v>Mached</v>
      </c>
    </row>
    <row r="2896" spans="4:16" x14ac:dyDescent="0.25">
      <c r="D2896" s="6" t="s">
        <v>41</v>
      </c>
      <c r="E2896">
        <v>2018</v>
      </c>
      <c r="F2896" s="6" t="s">
        <v>38</v>
      </c>
      <c r="G2896">
        <v>3</v>
      </c>
      <c r="H2896">
        <v>29</v>
      </c>
      <c r="I2896" s="6" t="s">
        <v>36</v>
      </c>
      <c r="J2896" s="6" t="s">
        <v>37</v>
      </c>
      <c r="K2896">
        <v>2</v>
      </c>
      <c r="M2896" s="1" t="b">
        <f>Employee__2[[#This Row],[Experience]]&gt;1</f>
        <v>1</v>
      </c>
      <c r="N2896" s="1" t="str">
        <f>IF(Employee__2[[#This Row],[City]]="Pune","Yes","No")</f>
        <v>Yes</v>
      </c>
      <c r="O2896" s="1" t="str">
        <f>IF(AND(Employee__2[[#This Row],[Education]]="Bachelors",Employee__2[[#This Row],[City]]="Pune"),"Yes","No")</f>
        <v>No</v>
      </c>
      <c r="P2896" s="1" t="str">
        <f>IF(OR(Employee__2[[#This Row],[Age]]&gt;=30,Employee__2[[#This Row],[Gender]]="Male"),"Mached","Not mached")</f>
        <v>Mached</v>
      </c>
    </row>
    <row r="2897" spans="4:16" x14ac:dyDescent="0.25">
      <c r="D2897" s="6" t="s">
        <v>34</v>
      </c>
      <c r="E2897">
        <v>2016</v>
      </c>
      <c r="F2897" s="6" t="s">
        <v>35</v>
      </c>
      <c r="G2897">
        <v>3</v>
      </c>
      <c r="H2897">
        <v>27</v>
      </c>
      <c r="I2897" s="6" t="s">
        <v>39</v>
      </c>
      <c r="J2897" s="6" t="s">
        <v>37</v>
      </c>
      <c r="K2897">
        <v>5</v>
      </c>
      <c r="M2897" s="1" t="b">
        <f>Employee__2[[#This Row],[Experience]]&gt;1</f>
        <v>1</v>
      </c>
      <c r="N2897" s="1" t="str">
        <f>IF(Employee__2[[#This Row],[City]]="Pune","Yes","No")</f>
        <v>No</v>
      </c>
      <c r="O2897" s="1" t="str">
        <f>IF(AND(Employee__2[[#This Row],[Education]]="Bachelors",Employee__2[[#This Row],[City]]="Pune"),"Yes","No")</f>
        <v>No</v>
      </c>
      <c r="P2897" s="1" t="str">
        <f>IF(OR(Employee__2[[#This Row],[Age]]&gt;=30,Employee__2[[#This Row],[Gender]]="Male"),"Mached","Not mached")</f>
        <v>Not mached</v>
      </c>
    </row>
    <row r="2898" spans="4:16" x14ac:dyDescent="0.25">
      <c r="D2898" s="6" t="s">
        <v>34</v>
      </c>
      <c r="E2898">
        <v>2017</v>
      </c>
      <c r="F2898" s="6" t="s">
        <v>40</v>
      </c>
      <c r="G2898">
        <v>2</v>
      </c>
      <c r="H2898">
        <v>28</v>
      </c>
      <c r="I2898" s="6" t="s">
        <v>36</v>
      </c>
      <c r="J2898" s="6" t="s">
        <v>37</v>
      </c>
      <c r="K2898">
        <v>2</v>
      </c>
      <c r="M2898" s="1" t="b">
        <f>Employee__2[[#This Row],[Experience]]&gt;1</f>
        <v>1</v>
      </c>
      <c r="N2898" s="1" t="str">
        <f>IF(Employee__2[[#This Row],[City]]="Pune","Yes","No")</f>
        <v>No</v>
      </c>
      <c r="O2898" s="1" t="str">
        <f>IF(AND(Employee__2[[#This Row],[Education]]="Bachelors",Employee__2[[#This Row],[City]]="Pune"),"Yes","No")</f>
        <v>No</v>
      </c>
      <c r="P2898" s="1" t="str">
        <f>IF(OR(Employee__2[[#This Row],[Age]]&gt;=30,Employee__2[[#This Row],[Gender]]="Male"),"Mached","Not mached")</f>
        <v>Mached</v>
      </c>
    </row>
    <row r="2899" spans="4:16" x14ac:dyDescent="0.25">
      <c r="D2899" s="6" t="s">
        <v>34</v>
      </c>
      <c r="E2899">
        <v>2016</v>
      </c>
      <c r="F2899" s="6" t="s">
        <v>35</v>
      </c>
      <c r="G2899">
        <v>3</v>
      </c>
      <c r="H2899">
        <v>29</v>
      </c>
      <c r="I2899" s="6" t="s">
        <v>39</v>
      </c>
      <c r="J2899" s="6" t="s">
        <v>37</v>
      </c>
      <c r="K2899">
        <v>0</v>
      </c>
      <c r="M2899" s="1" t="b">
        <f>Employee__2[[#This Row],[Experience]]&gt;1</f>
        <v>0</v>
      </c>
      <c r="N2899" s="1" t="str">
        <f>IF(Employee__2[[#This Row],[City]]="Pune","Yes","No")</f>
        <v>No</v>
      </c>
      <c r="O2899" s="1" t="str">
        <f>IF(AND(Employee__2[[#This Row],[Education]]="Bachelors",Employee__2[[#This Row],[City]]="Pune"),"Yes","No")</f>
        <v>No</v>
      </c>
      <c r="P2899" s="1" t="str">
        <f>IF(OR(Employee__2[[#This Row],[Age]]&gt;=30,Employee__2[[#This Row],[Gender]]="Male"),"Mached","Not mached")</f>
        <v>Not mached</v>
      </c>
    </row>
    <row r="2900" spans="4:16" x14ac:dyDescent="0.25">
      <c r="D2900" s="6" t="s">
        <v>34</v>
      </c>
      <c r="E2900">
        <v>2016</v>
      </c>
      <c r="F2900" s="6" t="s">
        <v>40</v>
      </c>
      <c r="G2900">
        <v>1</v>
      </c>
      <c r="H2900">
        <v>29</v>
      </c>
      <c r="I2900" s="6" t="s">
        <v>39</v>
      </c>
      <c r="J2900" s="6" t="s">
        <v>37</v>
      </c>
      <c r="K2900">
        <v>1</v>
      </c>
      <c r="M2900" s="1" t="b">
        <f>Employee__2[[#This Row],[Experience]]&gt;1</f>
        <v>0</v>
      </c>
      <c r="N2900" s="1" t="str">
        <f>IF(Employee__2[[#This Row],[City]]="Pune","Yes","No")</f>
        <v>No</v>
      </c>
      <c r="O2900" s="1" t="str">
        <f>IF(AND(Employee__2[[#This Row],[Education]]="Bachelors",Employee__2[[#This Row],[City]]="Pune"),"Yes","No")</f>
        <v>No</v>
      </c>
      <c r="P2900" s="1" t="str">
        <f>IF(OR(Employee__2[[#This Row],[Age]]&gt;=30,Employee__2[[#This Row],[Gender]]="Male"),"Mached","Not mached")</f>
        <v>Not mached</v>
      </c>
    </row>
    <row r="2901" spans="4:16" x14ac:dyDescent="0.25">
      <c r="D2901" s="6" t="s">
        <v>34</v>
      </c>
      <c r="E2901">
        <v>2015</v>
      </c>
      <c r="F2901" s="6" t="s">
        <v>38</v>
      </c>
      <c r="G2901">
        <v>2</v>
      </c>
      <c r="H2901">
        <v>28</v>
      </c>
      <c r="I2901" s="6" t="s">
        <v>39</v>
      </c>
      <c r="J2901" s="6" t="s">
        <v>37</v>
      </c>
      <c r="K2901">
        <v>0</v>
      </c>
      <c r="M2901" s="1" t="b">
        <f>Employee__2[[#This Row],[Experience]]&gt;1</f>
        <v>0</v>
      </c>
      <c r="N2901" s="1" t="str">
        <f>IF(Employee__2[[#This Row],[City]]="Pune","Yes","No")</f>
        <v>Yes</v>
      </c>
      <c r="O2901" s="1" t="str">
        <f>IF(AND(Employee__2[[#This Row],[Education]]="Bachelors",Employee__2[[#This Row],[City]]="Pune"),"Yes","No")</f>
        <v>Yes</v>
      </c>
      <c r="P2901" s="1" t="str">
        <f>IF(OR(Employee__2[[#This Row],[Age]]&gt;=30,Employee__2[[#This Row],[Gender]]="Male"),"Mached","Not mached")</f>
        <v>Not mached</v>
      </c>
    </row>
    <row r="2902" spans="4:16" x14ac:dyDescent="0.25">
      <c r="D2902" s="6" t="s">
        <v>34</v>
      </c>
      <c r="E2902">
        <v>2012</v>
      </c>
      <c r="F2902" s="6" t="s">
        <v>35</v>
      </c>
      <c r="G2902">
        <v>3</v>
      </c>
      <c r="H2902">
        <v>29</v>
      </c>
      <c r="I2902" s="6" t="s">
        <v>36</v>
      </c>
      <c r="J2902" s="6" t="s">
        <v>42</v>
      </c>
      <c r="K2902">
        <v>2</v>
      </c>
      <c r="M2902" s="1" t="b">
        <f>Employee__2[[#This Row],[Experience]]&gt;1</f>
        <v>1</v>
      </c>
      <c r="N2902" s="1" t="str">
        <f>IF(Employee__2[[#This Row],[City]]="Pune","Yes","No")</f>
        <v>No</v>
      </c>
      <c r="O2902" s="1" t="str">
        <f>IF(AND(Employee__2[[#This Row],[Education]]="Bachelors",Employee__2[[#This Row],[City]]="Pune"),"Yes","No")</f>
        <v>No</v>
      </c>
      <c r="P2902" s="1" t="str">
        <f>IF(OR(Employee__2[[#This Row],[Age]]&gt;=30,Employee__2[[#This Row],[Gender]]="Male"),"Mached","Not mached")</f>
        <v>Mached</v>
      </c>
    </row>
    <row r="2903" spans="4:16" x14ac:dyDescent="0.25">
      <c r="D2903" s="6" t="s">
        <v>43</v>
      </c>
      <c r="E2903">
        <v>2014</v>
      </c>
      <c r="F2903" s="6" t="s">
        <v>35</v>
      </c>
      <c r="G2903">
        <v>3</v>
      </c>
      <c r="H2903">
        <v>27</v>
      </c>
      <c r="I2903" s="6" t="s">
        <v>36</v>
      </c>
      <c r="J2903" s="6" t="s">
        <v>37</v>
      </c>
      <c r="K2903">
        <v>5</v>
      </c>
      <c r="M2903" s="1" t="b">
        <f>Employee__2[[#This Row],[Experience]]&gt;1</f>
        <v>1</v>
      </c>
      <c r="N2903" s="1" t="str">
        <f>IF(Employee__2[[#This Row],[City]]="Pune","Yes","No")</f>
        <v>No</v>
      </c>
      <c r="O2903" s="1" t="str">
        <f>IF(AND(Employee__2[[#This Row],[Education]]="Bachelors",Employee__2[[#This Row],[City]]="Pune"),"Yes","No")</f>
        <v>No</v>
      </c>
      <c r="P2903" s="1" t="str">
        <f>IF(OR(Employee__2[[#This Row],[Age]]&gt;=30,Employee__2[[#This Row],[Gender]]="Male"),"Mached","Not mached")</f>
        <v>Mached</v>
      </c>
    </row>
    <row r="2904" spans="4:16" x14ac:dyDescent="0.25">
      <c r="D2904" s="6" t="s">
        <v>34</v>
      </c>
      <c r="E2904">
        <v>2013</v>
      </c>
      <c r="F2904" s="6" t="s">
        <v>35</v>
      </c>
      <c r="G2904">
        <v>3</v>
      </c>
      <c r="H2904">
        <v>27</v>
      </c>
      <c r="I2904" s="6" t="s">
        <v>36</v>
      </c>
      <c r="J2904" s="6" t="s">
        <v>42</v>
      </c>
      <c r="K2904">
        <v>5</v>
      </c>
      <c r="M2904" s="1" t="b">
        <f>Employee__2[[#This Row],[Experience]]&gt;1</f>
        <v>1</v>
      </c>
      <c r="N2904" s="1" t="str">
        <f>IF(Employee__2[[#This Row],[City]]="Pune","Yes","No")</f>
        <v>No</v>
      </c>
      <c r="O2904" s="1" t="str">
        <f>IF(AND(Employee__2[[#This Row],[Education]]="Bachelors",Employee__2[[#This Row],[City]]="Pune"),"Yes","No")</f>
        <v>No</v>
      </c>
      <c r="P2904" s="1" t="str">
        <f>IF(OR(Employee__2[[#This Row],[Age]]&gt;=30,Employee__2[[#This Row],[Gender]]="Male"),"Mached","Not mached")</f>
        <v>Mached</v>
      </c>
    </row>
    <row r="2905" spans="4:16" x14ac:dyDescent="0.25">
      <c r="D2905" s="6" t="s">
        <v>34</v>
      </c>
      <c r="E2905">
        <v>2018</v>
      </c>
      <c r="F2905" s="6" t="s">
        <v>35</v>
      </c>
      <c r="G2905">
        <v>3</v>
      </c>
      <c r="H2905">
        <v>29</v>
      </c>
      <c r="I2905" s="6" t="s">
        <v>39</v>
      </c>
      <c r="J2905" s="6" t="s">
        <v>37</v>
      </c>
      <c r="K2905">
        <v>3</v>
      </c>
      <c r="M2905" s="1" t="b">
        <f>Employee__2[[#This Row],[Experience]]&gt;1</f>
        <v>1</v>
      </c>
      <c r="N2905" s="1" t="str">
        <f>IF(Employee__2[[#This Row],[City]]="Pune","Yes","No")</f>
        <v>No</v>
      </c>
      <c r="O2905" s="1" t="str">
        <f>IF(AND(Employee__2[[#This Row],[Education]]="Bachelors",Employee__2[[#This Row],[City]]="Pune"),"Yes","No")</f>
        <v>No</v>
      </c>
      <c r="P2905" s="1" t="str">
        <f>IF(OR(Employee__2[[#This Row],[Age]]&gt;=30,Employee__2[[#This Row],[Gender]]="Male"),"Mached","Not mached")</f>
        <v>Not mached</v>
      </c>
    </row>
    <row r="2906" spans="4:16" x14ac:dyDescent="0.25">
      <c r="D2906" s="6" t="s">
        <v>41</v>
      </c>
      <c r="E2906">
        <v>2017</v>
      </c>
      <c r="F2906" s="6" t="s">
        <v>40</v>
      </c>
      <c r="G2906">
        <v>2</v>
      </c>
      <c r="H2906">
        <v>30</v>
      </c>
      <c r="I2906" s="6" t="s">
        <v>36</v>
      </c>
      <c r="J2906" s="6" t="s">
        <v>37</v>
      </c>
      <c r="K2906">
        <v>2</v>
      </c>
      <c r="M2906" s="1" t="b">
        <f>Employee__2[[#This Row],[Experience]]&gt;1</f>
        <v>1</v>
      </c>
      <c r="N2906" s="1" t="str">
        <f>IF(Employee__2[[#This Row],[City]]="Pune","Yes","No")</f>
        <v>No</v>
      </c>
      <c r="O2906" s="1" t="str">
        <f>IF(AND(Employee__2[[#This Row],[Education]]="Bachelors",Employee__2[[#This Row],[City]]="Pune"),"Yes","No")</f>
        <v>No</v>
      </c>
      <c r="P2906" s="1" t="str">
        <f>IF(OR(Employee__2[[#This Row],[Age]]&gt;=30,Employee__2[[#This Row],[Gender]]="Male"),"Mached","Not mached")</f>
        <v>Mached</v>
      </c>
    </row>
    <row r="2907" spans="4:16" x14ac:dyDescent="0.25">
      <c r="D2907" s="6" t="s">
        <v>41</v>
      </c>
      <c r="E2907">
        <v>2016</v>
      </c>
      <c r="F2907" s="6" t="s">
        <v>40</v>
      </c>
      <c r="G2907">
        <v>3</v>
      </c>
      <c r="H2907">
        <v>29</v>
      </c>
      <c r="I2907" s="6" t="s">
        <v>39</v>
      </c>
      <c r="J2907" s="6" t="s">
        <v>37</v>
      </c>
      <c r="K2907">
        <v>1</v>
      </c>
      <c r="M2907" s="1" t="b">
        <f>Employee__2[[#This Row],[Experience]]&gt;1</f>
        <v>0</v>
      </c>
      <c r="N2907" s="1" t="str">
        <f>IF(Employee__2[[#This Row],[City]]="Pune","Yes","No")</f>
        <v>No</v>
      </c>
      <c r="O2907" s="1" t="str">
        <f>IF(AND(Employee__2[[#This Row],[Education]]="Bachelors",Employee__2[[#This Row],[City]]="Pune"),"Yes","No")</f>
        <v>No</v>
      </c>
      <c r="P2907" s="1" t="str">
        <f>IF(OR(Employee__2[[#This Row],[Age]]&gt;=30,Employee__2[[#This Row],[Gender]]="Male"),"Mached","Not mached")</f>
        <v>Not mached</v>
      </c>
    </row>
    <row r="2908" spans="4:16" x14ac:dyDescent="0.25">
      <c r="D2908" s="6" t="s">
        <v>34</v>
      </c>
      <c r="E2908">
        <v>2012</v>
      </c>
      <c r="F2908" s="6" t="s">
        <v>35</v>
      </c>
      <c r="G2908">
        <v>3</v>
      </c>
      <c r="H2908">
        <v>26</v>
      </c>
      <c r="I2908" s="6" t="s">
        <v>36</v>
      </c>
      <c r="J2908" s="6" t="s">
        <v>37</v>
      </c>
      <c r="K2908">
        <v>4</v>
      </c>
      <c r="M2908" s="1" t="b">
        <f>Employee__2[[#This Row],[Experience]]&gt;1</f>
        <v>1</v>
      </c>
      <c r="N2908" s="1" t="str">
        <f>IF(Employee__2[[#This Row],[City]]="Pune","Yes","No")</f>
        <v>No</v>
      </c>
      <c r="O2908" s="1" t="str">
        <f>IF(AND(Employee__2[[#This Row],[Education]]="Bachelors",Employee__2[[#This Row],[City]]="Pune"),"Yes","No")</f>
        <v>No</v>
      </c>
      <c r="P2908" s="1" t="str">
        <f>IF(OR(Employee__2[[#This Row],[Age]]&gt;=30,Employee__2[[#This Row],[Gender]]="Male"),"Mached","Not mached")</f>
        <v>Mached</v>
      </c>
    </row>
    <row r="2909" spans="4:16" x14ac:dyDescent="0.25">
      <c r="D2909" s="6" t="s">
        <v>34</v>
      </c>
      <c r="E2909">
        <v>2015</v>
      </c>
      <c r="F2909" s="6" t="s">
        <v>38</v>
      </c>
      <c r="G2909">
        <v>3</v>
      </c>
      <c r="H2909">
        <v>28</v>
      </c>
      <c r="I2909" s="6" t="s">
        <v>36</v>
      </c>
      <c r="J2909" s="6" t="s">
        <v>37</v>
      </c>
      <c r="K2909">
        <v>5</v>
      </c>
      <c r="M2909" s="1" t="b">
        <f>Employee__2[[#This Row],[Experience]]&gt;1</f>
        <v>1</v>
      </c>
      <c r="N2909" s="1" t="str">
        <f>IF(Employee__2[[#This Row],[City]]="Pune","Yes","No")</f>
        <v>Yes</v>
      </c>
      <c r="O2909" s="1" t="str">
        <f>IF(AND(Employee__2[[#This Row],[Education]]="Bachelors",Employee__2[[#This Row],[City]]="Pune"),"Yes","No")</f>
        <v>Yes</v>
      </c>
      <c r="P2909" s="1" t="str">
        <f>IF(OR(Employee__2[[#This Row],[Age]]&gt;=30,Employee__2[[#This Row],[Gender]]="Male"),"Mached","Not mached")</f>
        <v>Mached</v>
      </c>
    </row>
    <row r="2910" spans="4:16" x14ac:dyDescent="0.25">
      <c r="D2910" s="6" t="s">
        <v>34</v>
      </c>
      <c r="E2910">
        <v>2017</v>
      </c>
      <c r="F2910" s="6" t="s">
        <v>40</v>
      </c>
      <c r="G2910">
        <v>2</v>
      </c>
      <c r="H2910">
        <v>29</v>
      </c>
      <c r="I2910" s="6" t="s">
        <v>39</v>
      </c>
      <c r="J2910" s="6" t="s">
        <v>37</v>
      </c>
      <c r="K2910">
        <v>5</v>
      </c>
      <c r="M2910" s="1" t="b">
        <f>Employee__2[[#This Row],[Experience]]&gt;1</f>
        <v>1</v>
      </c>
      <c r="N2910" s="1" t="str">
        <f>IF(Employee__2[[#This Row],[City]]="Pune","Yes","No")</f>
        <v>No</v>
      </c>
      <c r="O2910" s="1" t="str">
        <f>IF(AND(Employee__2[[#This Row],[Education]]="Bachelors",Employee__2[[#This Row],[City]]="Pune"),"Yes","No")</f>
        <v>No</v>
      </c>
      <c r="P2910" s="1" t="str">
        <f>IF(OR(Employee__2[[#This Row],[Age]]&gt;=30,Employee__2[[#This Row],[Gender]]="Male"),"Mached","Not mached")</f>
        <v>Not mached</v>
      </c>
    </row>
    <row r="2911" spans="4:16" x14ac:dyDescent="0.25">
      <c r="D2911" s="6" t="s">
        <v>34</v>
      </c>
      <c r="E2911">
        <v>2014</v>
      </c>
      <c r="F2911" s="6" t="s">
        <v>35</v>
      </c>
      <c r="G2911">
        <v>3</v>
      </c>
      <c r="H2911">
        <v>30</v>
      </c>
      <c r="I2911" s="6" t="s">
        <v>36</v>
      </c>
      <c r="J2911" s="6" t="s">
        <v>37</v>
      </c>
      <c r="K2911">
        <v>0</v>
      </c>
      <c r="M2911" s="1" t="b">
        <f>Employee__2[[#This Row],[Experience]]&gt;1</f>
        <v>0</v>
      </c>
      <c r="N2911" s="1" t="str">
        <f>IF(Employee__2[[#This Row],[City]]="Pune","Yes","No")</f>
        <v>No</v>
      </c>
      <c r="O2911" s="1" t="str">
        <f>IF(AND(Employee__2[[#This Row],[Education]]="Bachelors",Employee__2[[#This Row],[City]]="Pune"),"Yes","No")</f>
        <v>No</v>
      </c>
      <c r="P2911" s="1" t="str">
        <f>IF(OR(Employee__2[[#This Row],[Age]]&gt;=30,Employee__2[[#This Row],[Gender]]="Male"),"Mached","Not mached")</f>
        <v>Mached</v>
      </c>
    </row>
    <row r="2912" spans="4:16" x14ac:dyDescent="0.25">
      <c r="D2912" s="6" t="s">
        <v>34</v>
      </c>
      <c r="E2912">
        <v>2017</v>
      </c>
      <c r="F2912" s="6" t="s">
        <v>35</v>
      </c>
      <c r="G2912">
        <v>3</v>
      </c>
      <c r="H2912">
        <v>30</v>
      </c>
      <c r="I2912" s="6" t="s">
        <v>36</v>
      </c>
      <c r="J2912" s="6" t="s">
        <v>37</v>
      </c>
      <c r="K2912">
        <v>0</v>
      </c>
      <c r="M2912" s="1" t="b">
        <f>Employee__2[[#This Row],[Experience]]&gt;1</f>
        <v>0</v>
      </c>
      <c r="N2912" s="1" t="str">
        <f>IF(Employee__2[[#This Row],[City]]="Pune","Yes","No")</f>
        <v>No</v>
      </c>
      <c r="O2912" s="1" t="str">
        <f>IF(AND(Employee__2[[#This Row],[Education]]="Bachelors",Employee__2[[#This Row],[City]]="Pune"),"Yes","No")</f>
        <v>No</v>
      </c>
      <c r="P2912" s="1" t="str">
        <f>IF(OR(Employee__2[[#This Row],[Age]]&gt;=30,Employee__2[[#This Row],[Gender]]="Male"),"Mached","Not mached")</f>
        <v>Mached</v>
      </c>
    </row>
    <row r="2913" spans="4:16" x14ac:dyDescent="0.25">
      <c r="D2913" s="6" t="s">
        <v>34</v>
      </c>
      <c r="E2913">
        <v>2014</v>
      </c>
      <c r="F2913" s="6" t="s">
        <v>38</v>
      </c>
      <c r="G2913">
        <v>3</v>
      </c>
      <c r="H2913">
        <v>28</v>
      </c>
      <c r="I2913" s="6" t="s">
        <v>36</v>
      </c>
      <c r="J2913" s="6" t="s">
        <v>37</v>
      </c>
      <c r="K2913">
        <v>2</v>
      </c>
      <c r="M2913" s="1" t="b">
        <f>Employee__2[[#This Row],[Experience]]&gt;1</f>
        <v>1</v>
      </c>
      <c r="N2913" s="1" t="str">
        <f>IF(Employee__2[[#This Row],[City]]="Pune","Yes","No")</f>
        <v>Yes</v>
      </c>
      <c r="O2913" s="1" t="str">
        <f>IF(AND(Employee__2[[#This Row],[Education]]="Bachelors",Employee__2[[#This Row],[City]]="Pune"),"Yes","No")</f>
        <v>Yes</v>
      </c>
      <c r="P2913" s="1" t="str">
        <f>IF(OR(Employee__2[[#This Row],[Age]]&gt;=30,Employee__2[[#This Row],[Gender]]="Male"),"Mached","Not mached")</f>
        <v>Mached</v>
      </c>
    </row>
    <row r="2914" spans="4:16" x14ac:dyDescent="0.25">
      <c r="D2914" s="6" t="s">
        <v>34</v>
      </c>
      <c r="E2914">
        <v>2013</v>
      </c>
      <c r="F2914" s="6" t="s">
        <v>40</v>
      </c>
      <c r="G2914">
        <v>3</v>
      </c>
      <c r="H2914">
        <v>28</v>
      </c>
      <c r="I2914" s="6" t="s">
        <v>39</v>
      </c>
      <c r="J2914" s="6" t="s">
        <v>37</v>
      </c>
      <c r="K2914">
        <v>1</v>
      </c>
      <c r="M2914" s="1" t="b">
        <f>Employee__2[[#This Row],[Experience]]&gt;1</f>
        <v>0</v>
      </c>
      <c r="N2914" s="1" t="str">
        <f>IF(Employee__2[[#This Row],[City]]="Pune","Yes","No")</f>
        <v>No</v>
      </c>
      <c r="O2914" s="1" t="str">
        <f>IF(AND(Employee__2[[#This Row],[Education]]="Bachelors",Employee__2[[#This Row],[City]]="Pune"),"Yes","No")</f>
        <v>No</v>
      </c>
      <c r="P2914" s="1" t="str">
        <f>IF(OR(Employee__2[[#This Row],[Age]]&gt;=30,Employee__2[[#This Row],[Gender]]="Male"),"Mached","Not mached")</f>
        <v>Not mached</v>
      </c>
    </row>
    <row r="2915" spans="4:16" x14ac:dyDescent="0.25">
      <c r="D2915" s="6" t="s">
        <v>34</v>
      </c>
      <c r="E2915">
        <v>2016</v>
      </c>
      <c r="F2915" s="6" t="s">
        <v>40</v>
      </c>
      <c r="G2915">
        <v>3</v>
      </c>
      <c r="H2915">
        <v>26</v>
      </c>
      <c r="I2915" s="6" t="s">
        <v>39</v>
      </c>
      <c r="J2915" s="6" t="s">
        <v>37</v>
      </c>
      <c r="K2915">
        <v>4</v>
      </c>
      <c r="M2915" s="1" t="b">
        <f>Employee__2[[#This Row],[Experience]]&gt;1</f>
        <v>1</v>
      </c>
      <c r="N2915" s="1" t="str">
        <f>IF(Employee__2[[#This Row],[City]]="Pune","Yes","No")</f>
        <v>No</v>
      </c>
      <c r="O2915" s="1" t="str">
        <f>IF(AND(Employee__2[[#This Row],[Education]]="Bachelors",Employee__2[[#This Row],[City]]="Pune"),"Yes","No")</f>
        <v>No</v>
      </c>
      <c r="P2915" s="1" t="str">
        <f>IF(OR(Employee__2[[#This Row],[Age]]&gt;=30,Employee__2[[#This Row],[Gender]]="Male"),"Mached","Not mached")</f>
        <v>Not mached</v>
      </c>
    </row>
    <row r="2916" spans="4:16" x14ac:dyDescent="0.25">
      <c r="D2916" s="6" t="s">
        <v>34</v>
      </c>
      <c r="E2916">
        <v>2012</v>
      </c>
      <c r="F2916" s="6" t="s">
        <v>40</v>
      </c>
      <c r="G2916">
        <v>3</v>
      </c>
      <c r="H2916">
        <v>28</v>
      </c>
      <c r="I2916" s="6" t="s">
        <v>39</v>
      </c>
      <c r="J2916" s="6" t="s">
        <v>37</v>
      </c>
      <c r="K2916">
        <v>0</v>
      </c>
      <c r="M2916" s="1" t="b">
        <f>Employee__2[[#This Row],[Experience]]&gt;1</f>
        <v>0</v>
      </c>
      <c r="N2916" s="1" t="str">
        <f>IF(Employee__2[[#This Row],[City]]="Pune","Yes","No")</f>
        <v>No</v>
      </c>
      <c r="O2916" s="1" t="str">
        <f>IF(AND(Employee__2[[#This Row],[Education]]="Bachelors",Employee__2[[#This Row],[City]]="Pune"),"Yes","No")</f>
        <v>No</v>
      </c>
      <c r="P2916" s="1" t="str">
        <f>IF(OR(Employee__2[[#This Row],[Age]]&gt;=30,Employee__2[[#This Row],[Gender]]="Male"),"Mached","Not mached")</f>
        <v>Not mached</v>
      </c>
    </row>
    <row r="2917" spans="4:16" x14ac:dyDescent="0.25">
      <c r="D2917" s="6" t="s">
        <v>34</v>
      </c>
      <c r="E2917">
        <v>2017</v>
      </c>
      <c r="F2917" s="6" t="s">
        <v>35</v>
      </c>
      <c r="G2917">
        <v>3</v>
      </c>
      <c r="H2917">
        <v>29</v>
      </c>
      <c r="I2917" s="6" t="s">
        <v>36</v>
      </c>
      <c r="J2917" s="6" t="s">
        <v>37</v>
      </c>
      <c r="K2917">
        <v>0</v>
      </c>
      <c r="M2917" s="1" t="b">
        <f>Employee__2[[#This Row],[Experience]]&gt;1</f>
        <v>0</v>
      </c>
      <c r="N2917" s="1" t="str">
        <f>IF(Employee__2[[#This Row],[City]]="Pune","Yes","No")</f>
        <v>No</v>
      </c>
      <c r="O2917" s="1" t="str">
        <f>IF(AND(Employee__2[[#This Row],[Education]]="Bachelors",Employee__2[[#This Row],[City]]="Pune"),"Yes","No")</f>
        <v>No</v>
      </c>
      <c r="P2917" s="1" t="str">
        <f>IF(OR(Employee__2[[#This Row],[Age]]&gt;=30,Employee__2[[#This Row],[Gender]]="Male"),"Mached","Not mached")</f>
        <v>Mached</v>
      </c>
    </row>
    <row r="2918" spans="4:16" x14ac:dyDescent="0.25">
      <c r="D2918" s="6" t="s">
        <v>34</v>
      </c>
      <c r="E2918">
        <v>2018</v>
      </c>
      <c r="F2918" s="6" t="s">
        <v>35</v>
      </c>
      <c r="G2918">
        <v>3</v>
      </c>
      <c r="H2918">
        <v>27</v>
      </c>
      <c r="I2918" s="6" t="s">
        <v>36</v>
      </c>
      <c r="J2918" s="6" t="s">
        <v>37</v>
      </c>
      <c r="K2918">
        <v>5</v>
      </c>
      <c r="M2918" s="1" t="b">
        <f>Employee__2[[#This Row],[Experience]]&gt;1</f>
        <v>1</v>
      </c>
      <c r="N2918" s="1" t="str">
        <f>IF(Employee__2[[#This Row],[City]]="Pune","Yes","No")</f>
        <v>No</v>
      </c>
      <c r="O2918" s="1" t="str">
        <f>IF(AND(Employee__2[[#This Row],[Education]]="Bachelors",Employee__2[[#This Row],[City]]="Pune"),"Yes","No")</f>
        <v>No</v>
      </c>
      <c r="P2918" s="1" t="str">
        <f>IF(OR(Employee__2[[#This Row],[Age]]&gt;=30,Employee__2[[#This Row],[Gender]]="Male"),"Mached","Not mached")</f>
        <v>Mached</v>
      </c>
    </row>
    <row r="2919" spans="4:16" x14ac:dyDescent="0.25">
      <c r="D2919" s="6" t="s">
        <v>41</v>
      </c>
      <c r="E2919">
        <v>2017</v>
      </c>
      <c r="F2919" s="6" t="s">
        <v>40</v>
      </c>
      <c r="G2919">
        <v>2</v>
      </c>
      <c r="H2919">
        <v>26</v>
      </c>
      <c r="I2919" s="6" t="s">
        <v>36</v>
      </c>
      <c r="J2919" s="6" t="s">
        <v>37</v>
      </c>
      <c r="K2919">
        <v>4</v>
      </c>
      <c r="M2919" s="1" t="b">
        <f>Employee__2[[#This Row],[Experience]]&gt;1</f>
        <v>1</v>
      </c>
      <c r="N2919" s="1" t="str">
        <f>IF(Employee__2[[#This Row],[City]]="Pune","Yes","No")</f>
        <v>No</v>
      </c>
      <c r="O2919" s="1" t="str">
        <f>IF(AND(Employee__2[[#This Row],[Education]]="Bachelors",Employee__2[[#This Row],[City]]="Pune"),"Yes","No")</f>
        <v>No</v>
      </c>
      <c r="P2919" s="1" t="str">
        <f>IF(OR(Employee__2[[#This Row],[Age]]&gt;=30,Employee__2[[#This Row],[Gender]]="Male"),"Mached","Not mached")</f>
        <v>Mached</v>
      </c>
    </row>
    <row r="2920" spans="4:16" x14ac:dyDescent="0.25">
      <c r="D2920" s="6" t="s">
        <v>34</v>
      </c>
      <c r="E2920">
        <v>2017</v>
      </c>
      <c r="F2920" s="6" t="s">
        <v>40</v>
      </c>
      <c r="G2920">
        <v>3</v>
      </c>
      <c r="H2920">
        <v>26</v>
      </c>
      <c r="I2920" s="6" t="s">
        <v>39</v>
      </c>
      <c r="J2920" s="6" t="s">
        <v>37</v>
      </c>
      <c r="K2920">
        <v>4</v>
      </c>
      <c r="M2920" s="1" t="b">
        <f>Employee__2[[#This Row],[Experience]]&gt;1</f>
        <v>1</v>
      </c>
      <c r="N2920" s="1" t="str">
        <f>IF(Employee__2[[#This Row],[City]]="Pune","Yes","No")</f>
        <v>No</v>
      </c>
      <c r="O2920" s="1" t="str">
        <f>IF(AND(Employee__2[[#This Row],[Education]]="Bachelors",Employee__2[[#This Row],[City]]="Pune"),"Yes","No")</f>
        <v>No</v>
      </c>
      <c r="P2920" s="1" t="str">
        <f>IF(OR(Employee__2[[#This Row],[Age]]&gt;=30,Employee__2[[#This Row],[Gender]]="Male"),"Mached","Not mached")</f>
        <v>Not mached</v>
      </c>
    </row>
    <row r="2921" spans="4:16" x14ac:dyDescent="0.25">
      <c r="D2921" s="6" t="s">
        <v>34</v>
      </c>
      <c r="E2921">
        <v>2013</v>
      </c>
      <c r="F2921" s="6" t="s">
        <v>35</v>
      </c>
      <c r="G2921">
        <v>3</v>
      </c>
      <c r="H2921">
        <v>27</v>
      </c>
      <c r="I2921" s="6" t="s">
        <v>36</v>
      </c>
      <c r="J2921" s="6" t="s">
        <v>37</v>
      </c>
      <c r="K2921">
        <v>5</v>
      </c>
      <c r="M2921" s="1" t="b">
        <f>Employee__2[[#This Row],[Experience]]&gt;1</f>
        <v>1</v>
      </c>
      <c r="N2921" s="1" t="str">
        <f>IF(Employee__2[[#This Row],[City]]="Pune","Yes","No")</f>
        <v>No</v>
      </c>
      <c r="O2921" s="1" t="str">
        <f>IF(AND(Employee__2[[#This Row],[Education]]="Bachelors",Employee__2[[#This Row],[City]]="Pune"),"Yes","No")</f>
        <v>No</v>
      </c>
      <c r="P2921" s="1" t="str">
        <f>IF(OR(Employee__2[[#This Row],[Age]]&gt;=30,Employee__2[[#This Row],[Gender]]="Male"),"Mached","Not mached")</f>
        <v>Mached</v>
      </c>
    </row>
    <row r="2922" spans="4:16" x14ac:dyDescent="0.25">
      <c r="D2922" s="6" t="s">
        <v>34</v>
      </c>
      <c r="E2922">
        <v>2014</v>
      </c>
      <c r="F2922" s="6" t="s">
        <v>35</v>
      </c>
      <c r="G2922">
        <v>3</v>
      </c>
      <c r="H2922">
        <v>26</v>
      </c>
      <c r="I2922" s="6" t="s">
        <v>36</v>
      </c>
      <c r="J2922" s="6" t="s">
        <v>37</v>
      </c>
      <c r="K2922">
        <v>4</v>
      </c>
      <c r="M2922" s="1" t="b">
        <f>Employee__2[[#This Row],[Experience]]&gt;1</f>
        <v>1</v>
      </c>
      <c r="N2922" s="1" t="str">
        <f>IF(Employee__2[[#This Row],[City]]="Pune","Yes","No")</f>
        <v>No</v>
      </c>
      <c r="O2922" s="1" t="str">
        <f>IF(AND(Employee__2[[#This Row],[Education]]="Bachelors",Employee__2[[#This Row],[City]]="Pune"),"Yes","No")</f>
        <v>No</v>
      </c>
      <c r="P2922" s="1" t="str">
        <f>IF(OR(Employee__2[[#This Row],[Age]]&gt;=30,Employee__2[[#This Row],[Gender]]="Male"),"Mached","Not mached")</f>
        <v>Mached</v>
      </c>
    </row>
    <row r="2923" spans="4:16" x14ac:dyDescent="0.25">
      <c r="D2923" s="6" t="s">
        <v>34</v>
      </c>
      <c r="E2923">
        <v>2013</v>
      </c>
      <c r="F2923" s="6" t="s">
        <v>38</v>
      </c>
      <c r="G2923">
        <v>2</v>
      </c>
      <c r="H2923">
        <v>29</v>
      </c>
      <c r="I2923" s="6" t="s">
        <v>39</v>
      </c>
      <c r="J2923" s="6" t="s">
        <v>37</v>
      </c>
      <c r="K2923">
        <v>0</v>
      </c>
      <c r="M2923" s="1" t="b">
        <f>Employee__2[[#This Row],[Experience]]&gt;1</f>
        <v>0</v>
      </c>
      <c r="N2923" s="1" t="str">
        <f>IF(Employee__2[[#This Row],[City]]="Pune","Yes","No")</f>
        <v>Yes</v>
      </c>
      <c r="O2923" s="1" t="str">
        <f>IF(AND(Employee__2[[#This Row],[Education]]="Bachelors",Employee__2[[#This Row],[City]]="Pune"),"Yes","No")</f>
        <v>Yes</v>
      </c>
      <c r="P2923" s="1" t="str">
        <f>IF(OR(Employee__2[[#This Row],[Age]]&gt;=30,Employee__2[[#This Row],[Gender]]="Male"),"Mached","Not mached")</f>
        <v>Not mached</v>
      </c>
    </row>
    <row r="2924" spans="4:16" x14ac:dyDescent="0.25">
      <c r="D2924" s="6" t="s">
        <v>34</v>
      </c>
      <c r="E2924">
        <v>2013</v>
      </c>
      <c r="F2924" s="6" t="s">
        <v>38</v>
      </c>
      <c r="G2924">
        <v>2</v>
      </c>
      <c r="H2924">
        <v>28</v>
      </c>
      <c r="I2924" s="6" t="s">
        <v>39</v>
      </c>
      <c r="J2924" s="6" t="s">
        <v>37</v>
      </c>
      <c r="K2924">
        <v>4</v>
      </c>
      <c r="M2924" s="1" t="b">
        <f>Employee__2[[#This Row],[Experience]]&gt;1</f>
        <v>1</v>
      </c>
      <c r="N2924" s="1" t="str">
        <f>IF(Employee__2[[#This Row],[City]]="Pune","Yes","No")</f>
        <v>Yes</v>
      </c>
      <c r="O2924" s="1" t="str">
        <f>IF(AND(Employee__2[[#This Row],[Education]]="Bachelors",Employee__2[[#This Row],[City]]="Pune"),"Yes","No")</f>
        <v>Yes</v>
      </c>
      <c r="P2924" s="1" t="str">
        <f>IF(OR(Employee__2[[#This Row],[Age]]&gt;=30,Employee__2[[#This Row],[Gender]]="Male"),"Mached","Not mached")</f>
        <v>Not mached</v>
      </c>
    </row>
    <row r="2925" spans="4:16" x14ac:dyDescent="0.25">
      <c r="D2925" s="6" t="s">
        <v>34</v>
      </c>
      <c r="E2925">
        <v>2017</v>
      </c>
      <c r="F2925" s="6" t="s">
        <v>35</v>
      </c>
      <c r="G2925">
        <v>3</v>
      </c>
      <c r="H2925">
        <v>26</v>
      </c>
      <c r="I2925" s="6" t="s">
        <v>36</v>
      </c>
      <c r="J2925" s="6" t="s">
        <v>37</v>
      </c>
      <c r="K2925">
        <v>4</v>
      </c>
      <c r="M2925" s="1" t="b">
        <f>Employee__2[[#This Row],[Experience]]&gt;1</f>
        <v>1</v>
      </c>
      <c r="N2925" s="1" t="str">
        <f>IF(Employee__2[[#This Row],[City]]="Pune","Yes","No")</f>
        <v>No</v>
      </c>
      <c r="O2925" s="1" t="str">
        <f>IF(AND(Employee__2[[#This Row],[Education]]="Bachelors",Employee__2[[#This Row],[City]]="Pune"),"Yes","No")</f>
        <v>No</v>
      </c>
      <c r="P2925" s="1" t="str">
        <f>IF(OR(Employee__2[[#This Row],[Age]]&gt;=30,Employee__2[[#This Row],[Gender]]="Male"),"Mached","Not mached")</f>
        <v>Mached</v>
      </c>
    </row>
    <row r="2926" spans="4:16" x14ac:dyDescent="0.25">
      <c r="D2926" s="6" t="s">
        <v>34</v>
      </c>
      <c r="E2926">
        <v>2015</v>
      </c>
      <c r="F2926" s="6" t="s">
        <v>38</v>
      </c>
      <c r="G2926">
        <v>2</v>
      </c>
      <c r="H2926">
        <v>28</v>
      </c>
      <c r="I2926" s="6" t="s">
        <v>39</v>
      </c>
      <c r="J2926" s="6" t="s">
        <v>37</v>
      </c>
      <c r="K2926">
        <v>0</v>
      </c>
      <c r="M2926" s="1" t="b">
        <f>Employee__2[[#This Row],[Experience]]&gt;1</f>
        <v>0</v>
      </c>
      <c r="N2926" s="1" t="str">
        <f>IF(Employee__2[[#This Row],[City]]="Pune","Yes","No")</f>
        <v>Yes</v>
      </c>
      <c r="O2926" s="1" t="str">
        <f>IF(AND(Employee__2[[#This Row],[Education]]="Bachelors",Employee__2[[#This Row],[City]]="Pune"),"Yes","No")</f>
        <v>Yes</v>
      </c>
      <c r="P2926" s="1" t="str">
        <f>IF(OR(Employee__2[[#This Row],[Age]]&gt;=30,Employee__2[[#This Row],[Gender]]="Male"),"Mached","Not mached")</f>
        <v>Not mached</v>
      </c>
    </row>
    <row r="2927" spans="4:16" x14ac:dyDescent="0.25">
      <c r="D2927" s="6" t="s">
        <v>34</v>
      </c>
      <c r="E2927">
        <v>2017</v>
      </c>
      <c r="F2927" s="6" t="s">
        <v>35</v>
      </c>
      <c r="G2927">
        <v>3</v>
      </c>
      <c r="H2927">
        <v>29</v>
      </c>
      <c r="I2927" s="6" t="s">
        <v>36</v>
      </c>
      <c r="J2927" s="6" t="s">
        <v>37</v>
      </c>
      <c r="K2927">
        <v>1</v>
      </c>
      <c r="M2927" s="1" t="b">
        <f>Employee__2[[#This Row],[Experience]]&gt;1</f>
        <v>0</v>
      </c>
      <c r="N2927" s="1" t="str">
        <f>IF(Employee__2[[#This Row],[City]]="Pune","Yes","No")</f>
        <v>No</v>
      </c>
      <c r="O2927" s="1" t="str">
        <f>IF(AND(Employee__2[[#This Row],[Education]]="Bachelors",Employee__2[[#This Row],[City]]="Pune"),"Yes","No")</f>
        <v>No</v>
      </c>
      <c r="P2927" s="1" t="str">
        <f>IF(OR(Employee__2[[#This Row],[Age]]&gt;=30,Employee__2[[#This Row],[Gender]]="Male"),"Mached","Not mached")</f>
        <v>Mached</v>
      </c>
    </row>
    <row r="2928" spans="4:16" x14ac:dyDescent="0.25">
      <c r="D2928" s="6" t="s">
        <v>34</v>
      </c>
      <c r="E2928">
        <v>2013</v>
      </c>
      <c r="F2928" s="6" t="s">
        <v>35</v>
      </c>
      <c r="G2928">
        <v>3</v>
      </c>
      <c r="H2928">
        <v>29</v>
      </c>
      <c r="I2928" s="6" t="s">
        <v>39</v>
      </c>
      <c r="J2928" s="6" t="s">
        <v>37</v>
      </c>
      <c r="K2928">
        <v>3</v>
      </c>
      <c r="M2928" s="1" t="b">
        <f>Employee__2[[#This Row],[Experience]]&gt;1</f>
        <v>1</v>
      </c>
      <c r="N2928" s="1" t="str">
        <f>IF(Employee__2[[#This Row],[City]]="Pune","Yes","No")</f>
        <v>No</v>
      </c>
      <c r="O2928" s="1" t="str">
        <f>IF(AND(Employee__2[[#This Row],[Education]]="Bachelors",Employee__2[[#This Row],[City]]="Pune"),"Yes","No")</f>
        <v>No</v>
      </c>
      <c r="P2928" s="1" t="str">
        <f>IF(OR(Employee__2[[#This Row],[Age]]&gt;=30,Employee__2[[#This Row],[Gender]]="Male"),"Mached","Not mached")</f>
        <v>Not mached</v>
      </c>
    </row>
    <row r="2929" spans="4:16" x14ac:dyDescent="0.25">
      <c r="D2929" s="6" t="s">
        <v>34</v>
      </c>
      <c r="E2929">
        <v>2015</v>
      </c>
      <c r="F2929" s="6" t="s">
        <v>35</v>
      </c>
      <c r="G2929">
        <v>3</v>
      </c>
      <c r="H2929">
        <v>29</v>
      </c>
      <c r="I2929" s="6" t="s">
        <v>36</v>
      </c>
      <c r="J2929" s="6" t="s">
        <v>37</v>
      </c>
      <c r="K2929">
        <v>5</v>
      </c>
      <c r="M2929" s="1" t="b">
        <f>Employee__2[[#This Row],[Experience]]&gt;1</f>
        <v>1</v>
      </c>
      <c r="N2929" s="1" t="str">
        <f>IF(Employee__2[[#This Row],[City]]="Pune","Yes","No")</f>
        <v>No</v>
      </c>
      <c r="O2929" s="1" t="str">
        <f>IF(AND(Employee__2[[#This Row],[Education]]="Bachelors",Employee__2[[#This Row],[City]]="Pune"),"Yes","No")</f>
        <v>No</v>
      </c>
      <c r="P2929" s="1" t="str">
        <f>IF(OR(Employee__2[[#This Row],[Age]]&gt;=30,Employee__2[[#This Row],[Gender]]="Male"),"Mached","Not mached")</f>
        <v>Mached</v>
      </c>
    </row>
    <row r="2930" spans="4:16" x14ac:dyDescent="0.25">
      <c r="D2930" s="6" t="s">
        <v>34</v>
      </c>
      <c r="E2930">
        <v>2017</v>
      </c>
      <c r="F2930" s="6" t="s">
        <v>40</v>
      </c>
      <c r="G2930">
        <v>3</v>
      </c>
      <c r="H2930">
        <v>30</v>
      </c>
      <c r="I2930" s="6" t="s">
        <v>39</v>
      </c>
      <c r="J2930" s="6" t="s">
        <v>37</v>
      </c>
      <c r="K2930">
        <v>3</v>
      </c>
      <c r="M2930" s="1" t="b">
        <f>Employee__2[[#This Row],[Experience]]&gt;1</f>
        <v>1</v>
      </c>
      <c r="N2930" s="1" t="str">
        <f>IF(Employee__2[[#This Row],[City]]="Pune","Yes","No")</f>
        <v>No</v>
      </c>
      <c r="O2930" s="1" t="str">
        <f>IF(AND(Employee__2[[#This Row],[Education]]="Bachelors",Employee__2[[#This Row],[City]]="Pune"),"Yes","No")</f>
        <v>No</v>
      </c>
      <c r="P2930" s="1" t="str">
        <f>IF(OR(Employee__2[[#This Row],[Age]]&gt;=30,Employee__2[[#This Row],[Gender]]="Male"),"Mached","Not mached")</f>
        <v>Mached</v>
      </c>
    </row>
    <row r="2931" spans="4:16" x14ac:dyDescent="0.25">
      <c r="D2931" s="6" t="s">
        <v>34</v>
      </c>
      <c r="E2931">
        <v>2015</v>
      </c>
      <c r="F2931" s="6" t="s">
        <v>38</v>
      </c>
      <c r="G2931">
        <v>3</v>
      </c>
      <c r="H2931">
        <v>29</v>
      </c>
      <c r="I2931" s="6" t="s">
        <v>36</v>
      </c>
      <c r="J2931" s="6" t="s">
        <v>37</v>
      </c>
      <c r="K2931">
        <v>0</v>
      </c>
      <c r="M2931" s="1" t="b">
        <f>Employee__2[[#This Row],[Experience]]&gt;1</f>
        <v>0</v>
      </c>
      <c r="N2931" s="1" t="str">
        <f>IF(Employee__2[[#This Row],[City]]="Pune","Yes","No")</f>
        <v>Yes</v>
      </c>
      <c r="O2931" s="1" t="str">
        <f>IF(AND(Employee__2[[#This Row],[Education]]="Bachelors",Employee__2[[#This Row],[City]]="Pune"),"Yes","No")</f>
        <v>Yes</v>
      </c>
      <c r="P2931" s="1" t="str">
        <f>IF(OR(Employee__2[[#This Row],[Age]]&gt;=30,Employee__2[[#This Row],[Gender]]="Male"),"Mached","Not mached")</f>
        <v>Mached</v>
      </c>
    </row>
    <row r="2932" spans="4:16" x14ac:dyDescent="0.25">
      <c r="D2932" s="6" t="s">
        <v>34</v>
      </c>
      <c r="E2932">
        <v>2013</v>
      </c>
      <c r="F2932" s="6" t="s">
        <v>35</v>
      </c>
      <c r="G2932">
        <v>3</v>
      </c>
      <c r="H2932">
        <v>27</v>
      </c>
      <c r="I2932" s="6" t="s">
        <v>39</v>
      </c>
      <c r="J2932" s="6" t="s">
        <v>42</v>
      </c>
      <c r="K2932">
        <v>5</v>
      </c>
      <c r="M2932" s="1" t="b">
        <f>Employee__2[[#This Row],[Experience]]&gt;1</f>
        <v>1</v>
      </c>
      <c r="N2932" s="1" t="str">
        <f>IF(Employee__2[[#This Row],[City]]="Pune","Yes","No")</f>
        <v>No</v>
      </c>
      <c r="O2932" s="1" t="str">
        <f>IF(AND(Employee__2[[#This Row],[Education]]="Bachelors",Employee__2[[#This Row],[City]]="Pune"),"Yes","No")</f>
        <v>No</v>
      </c>
      <c r="P2932" s="1" t="str">
        <f>IF(OR(Employee__2[[#This Row],[Age]]&gt;=30,Employee__2[[#This Row],[Gender]]="Male"),"Mached","Not mached")</f>
        <v>Not mached</v>
      </c>
    </row>
    <row r="2933" spans="4:16" x14ac:dyDescent="0.25">
      <c r="D2933" s="6" t="s">
        <v>34</v>
      </c>
      <c r="E2933">
        <v>2016</v>
      </c>
      <c r="F2933" s="6" t="s">
        <v>35</v>
      </c>
      <c r="G2933">
        <v>3</v>
      </c>
      <c r="H2933">
        <v>26</v>
      </c>
      <c r="I2933" s="6" t="s">
        <v>36</v>
      </c>
      <c r="J2933" s="6" t="s">
        <v>37</v>
      </c>
      <c r="K2933">
        <v>4</v>
      </c>
      <c r="M2933" s="1" t="b">
        <f>Employee__2[[#This Row],[Experience]]&gt;1</f>
        <v>1</v>
      </c>
      <c r="N2933" s="1" t="str">
        <f>IF(Employee__2[[#This Row],[City]]="Pune","Yes","No")</f>
        <v>No</v>
      </c>
      <c r="O2933" s="1" t="str">
        <f>IF(AND(Employee__2[[#This Row],[Education]]="Bachelors",Employee__2[[#This Row],[City]]="Pune"),"Yes","No")</f>
        <v>No</v>
      </c>
      <c r="P2933" s="1" t="str">
        <f>IF(OR(Employee__2[[#This Row],[Age]]&gt;=30,Employee__2[[#This Row],[Gender]]="Male"),"Mached","Not mached")</f>
        <v>Mached</v>
      </c>
    </row>
    <row r="2934" spans="4:16" x14ac:dyDescent="0.25">
      <c r="D2934" s="6" t="s">
        <v>34</v>
      </c>
      <c r="E2934">
        <v>2014</v>
      </c>
      <c r="F2934" s="6" t="s">
        <v>35</v>
      </c>
      <c r="G2934">
        <v>3</v>
      </c>
      <c r="H2934">
        <v>27</v>
      </c>
      <c r="I2934" s="6" t="s">
        <v>36</v>
      </c>
      <c r="J2934" s="6" t="s">
        <v>37</v>
      </c>
      <c r="K2934">
        <v>5</v>
      </c>
      <c r="M2934" s="1" t="b">
        <f>Employee__2[[#This Row],[Experience]]&gt;1</f>
        <v>1</v>
      </c>
      <c r="N2934" s="1" t="str">
        <f>IF(Employee__2[[#This Row],[City]]="Pune","Yes","No")</f>
        <v>No</v>
      </c>
      <c r="O2934" s="1" t="str">
        <f>IF(AND(Employee__2[[#This Row],[Education]]="Bachelors",Employee__2[[#This Row],[City]]="Pune"),"Yes","No")</f>
        <v>No</v>
      </c>
      <c r="P2934" s="1" t="str">
        <f>IF(OR(Employee__2[[#This Row],[Age]]&gt;=30,Employee__2[[#This Row],[Gender]]="Male"),"Mached","Not mached")</f>
        <v>Mached</v>
      </c>
    </row>
    <row r="2935" spans="4:16" x14ac:dyDescent="0.25">
      <c r="D2935" s="6" t="s">
        <v>34</v>
      </c>
      <c r="E2935">
        <v>2012</v>
      </c>
      <c r="F2935" s="6" t="s">
        <v>35</v>
      </c>
      <c r="G2935">
        <v>3</v>
      </c>
      <c r="H2935">
        <v>28</v>
      </c>
      <c r="I2935" s="6" t="s">
        <v>36</v>
      </c>
      <c r="J2935" s="6" t="s">
        <v>37</v>
      </c>
      <c r="K2935">
        <v>2</v>
      </c>
      <c r="M2935" s="1" t="b">
        <f>Employee__2[[#This Row],[Experience]]&gt;1</f>
        <v>1</v>
      </c>
      <c r="N2935" s="1" t="str">
        <f>IF(Employee__2[[#This Row],[City]]="Pune","Yes","No")</f>
        <v>No</v>
      </c>
      <c r="O2935" s="1" t="str">
        <f>IF(AND(Employee__2[[#This Row],[Education]]="Bachelors",Employee__2[[#This Row],[City]]="Pune"),"Yes","No")</f>
        <v>No</v>
      </c>
      <c r="P2935" s="1" t="str">
        <f>IF(OR(Employee__2[[#This Row],[Age]]&gt;=30,Employee__2[[#This Row],[Gender]]="Male"),"Mached","Not mached")</f>
        <v>Mached</v>
      </c>
    </row>
    <row r="2936" spans="4:16" x14ac:dyDescent="0.25">
      <c r="D2936" s="6" t="s">
        <v>34</v>
      </c>
      <c r="E2936">
        <v>2017</v>
      </c>
      <c r="F2936" s="6" t="s">
        <v>35</v>
      </c>
      <c r="G2936">
        <v>3</v>
      </c>
      <c r="H2936">
        <v>27</v>
      </c>
      <c r="I2936" s="6" t="s">
        <v>36</v>
      </c>
      <c r="J2936" s="6" t="s">
        <v>37</v>
      </c>
      <c r="K2936">
        <v>5</v>
      </c>
      <c r="M2936" s="1" t="b">
        <f>Employee__2[[#This Row],[Experience]]&gt;1</f>
        <v>1</v>
      </c>
      <c r="N2936" s="1" t="str">
        <f>IF(Employee__2[[#This Row],[City]]="Pune","Yes","No")</f>
        <v>No</v>
      </c>
      <c r="O2936" s="1" t="str">
        <f>IF(AND(Employee__2[[#This Row],[Education]]="Bachelors",Employee__2[[#This Row],[City]]="Pune"),"Yes","No")</f>
        <v>No</v>
      </c>
      <c r="P2936" s="1" t="str">
        <f>IF(OR(Employee__2[[#This Row],[Age]]&gt;=30,Employee__2[[#This Row],[Gender]]="Male"),"Mached","Not mached")</f>
        <v>Mached</v>
      </c>
    </row>
    <row r="2937" spans="4:16" x14ac:dyDescent="0.25">
      <c r="D2937" s="6" t="s">
        <v>34</v>
      </c>
      <c r="E2937">
        <v>2018</v>
      </c>
      <c r="F2937" s="6" t="s">
        <v>35</v>
      </c>
      <c r="G2937">
        <v>3</v>
      </c>
      <c r="H2937">
        <v>29</v>
      </c>
      <c r="I2937" s="6" t="s">
        <v>36</v>
      </c>
      <c r="J2937" s="6" t="s">
        <v>37</v>
      </c>
      <c r="K2937">
        <v>0</v>
      </c>
      <c r="M2937" s="1" t="b">
        <f>Employee__2[[#This Row],[Experience]]&gt;1</f>
        <v>0</v>
      </c>
      <c r="N2937" s="1" t="str">
        <f>IF(Employee__2[[#This Row],[City]]="Pune","Yes","No")</f>
        <v>No</v>
      </c>
      <c r="O2937" s="1" t="str">
        <f>IF(AND(Employee__2[[#This Row],[Education]]="Bachelors",Employee__2[[#This Row],[City]]="Pune"),"Yes","No")</f>
        <v>No</v>
      </c>
      <c r="P2937" s="1" t="str">
        <f>IF(OR(Employee__2[[#This Row],[Age]]&gt;=30,Employee__2[[#This Row],[Gender]]="Male"),"Mached","Not mached")</f>
        <v>Mached</v>
      </c>
    </row>
    <row r="2938" spans="4:16" x14ac:dyDescent="0.25">
      <c r="D2938" s="6" t="s">
        <v>34</v>
      </c>
      <c r="E2938">
        <v>2017</v>
      </c>
      <c r="F2938" s="6" t="s">
        <v>35</v>
      </c>
      <c r="G2938">
        <v>1</v>
      </c>
      <c r="H2938">
        <v>29</v>
      </c>
      <c r="I2938" s="6" t="s">
        <v>39</v>
      </c>
      <c r="J2938" s="6" t="s">
        <v>37</v>
      </c>
      <c r="K2938">
        <v>5</v>
      </c>
      <c r="M2938" s="1" t="b">
        <f>Employee__2[[#This Row],[Experience]]&gt;1</f>
        <v>1</v>
      </c>
      <c r="N2938" s="1" t="str">
        <f>IF(Employee__2[[#This Row],[City]]="Pune","Yes","No")</f>
        <v>No</v>
      </c>
      <c r="O2938" s="1" t="str">
        <f>IF(AND(Employee__2[[#This Row],[Education]]="Bachelors",Employee__2[[#This Row],[City]]="Pune"),"Yes","No")</f>
        <v>No</v>
      </c>
      <c r="P2938" s="1" t="str">
        <f>IF(OR(Employee__2[[#This Row],[Age]]&gt;=30,Employee__2[[#This Row],[Gender]]="Male"),"Mached","Not mached")</f>
        <v>Not mached</v>
      </c>
    </row>
    <row r="2939" spans="4:16" x14ac:dyDescent="0.25">
      <c r="D2939" s="6" t="s">
        <v>34</v>
      </c>
      <c r="E2939">
        <v>2017</v>
      </c>
      <c r="F2939" s="6" t="s">
        <v>35</v>
      </c>
      <c r="G2939">
        <v>3</v>
      </c>
      <c r="H2939">
        <v>27</v>
      </c>
      <c r="I2939" s="6" t="s">
        <v>36</v>
      </c>
      <c r="J2939" s="6" t="s">
        <v>37</v>
      </c>
      <c r="K2939">
        <v>5</v>
      </c>
      <c r="M2939" s="1" t="b">
        <f>Employee__2[[#This Row],[Experience]]&gt;1</f>
        <v>1</v>
      </c>
      <c r="N2939" s="1" t="str">
        <f>IF(Employee__2[[#This Row],[City]]="Pune","Yes","No")</f>
        <v>No</v>
      </c>
      <c r="O2939" s="1" t="str">
        <f>IF(AND(Employee__2[[#This Row],[Education]]="Bachelors",Employee__2[[#This Row],[City]]="Pune"),"Yes","No")</f>
        <v>No</v>
      </c>
      <c r="P2939" s="1" t="str">
        <f>IF(OR(Employee__2[[#This Row],[Age]]&gt;=30,Employee__2[[#This Row],[Gender]]="Male"),"Mached","Not mached")</f>
        <v>Mached</v>
      </c>
    </row>
    <row r="2940" spans="4:16" x14ac:dyDescent="0.25">
      <c r="D2940" s="6" t="s">
        <v>41</v>
      </c>
      <c r="E2940">
        <v>2017</v>
      </c>
      <c r="F2940" s="6" t="s">
        <v>35</v>
      </c>
      <c r="G2940">
        <v>2</v>
      </c>
      <c r="H2940">
        <v>27</v>
      </c>
      <c r="I2940" s="6" t="s">
        <v>36</v>
      </c>
      <c r="J2940" s="6" t="s">
        <v>37</v>
      </c>
      <c r="K2940">
        <v>5</v>
      </c>
      <c r="M2940" s="1" t="b">
        <f>Employee__2[[#This Row],[Experience]]&gt;1</f>
        <v>1</v>
      </c>
      <c r="N2940" s="1" t="str">
        <f>IF(Employee__2[[#This Row],[City]]="Pune","Yes","No")</f>
        <v>No</v>
      </c>
      <c r="O2940" s="1" t="str">
        <f>IF(AND(Employee__2[[#This Row],[Education]]="Bachelors",Employee__2[[#This Row],[City]]="Pune"),"Yes","No")</f>
        <v>No</v>
      </c>
      <c r="P2940" s="1" t="str">
        <f>IF(OR(Employee__2[[#This Row],[Age]]&gt;=30,Employee__2[[#This Row],[Gender]]="Male"),"Mached","Not mached")</f>
        <v>Mached</v>
      </c>
    </row>
    <row r="2941" spans="4:16" x14ac:dyDescent="0.25">
      <c r="D2941" s="6" t="s">
        <v>41</v>
      </c>
      <c r="E2941">
        <v>2014</v>
      </c>
      <c r="F2941" s="6" t="s">
        <v>40</v>
      </c>
      <c r="G2941">
        <v>3</v>
      </c>
      <c r="H2941">
        <v>28</v>
      </c>
      <c r="I2941" s="6" t="s">
        <v>39</v>
      </c>
      <c r="J2941" s="6" t="s">
        <v>37</v>
      </c>
      <c r="K2941">
        <v>2</v>
      </c>
      <c r="M2941" s="1" t="b">
        <f>Employee__2[[#This Row],[Experience]]&gt;1</f>
        <v>1</v>
      </c>
      <c r="N2941" s="1" t="str">
        <f>IF(Employee__2[[#This Row],[City]]="Pune","Yes","No")</f>
        <v>No</v>
      </c>
      <c r="O2941" s="1" t="str">
        <f>IF(AND(Employee__2[[#This Row],[Education]]="Bachelors",Employee__2[[#This Row],[City]]="Pune"),"Yes","No")</f>
        <v>No</v>
      </c>
      <c r="P2941" s="1" t="str">
        <f>IF(OR(Employee__2[[#This Row],[Age]]&gt;=30,Employee__2[[#This Row],[Gender]]="Male"),"Mached","Not mached")</f>
        <v>Not mached</v>
      </c>
    </row>
    <row r="2942" spans="4:16" x14ac:dyDescent="0.25">
      <c r="D2942" s="6" t="s">
        <v>34</v>
      </c>
      <c r="E2942">
        <v>2012</v>
      </c>
      <c r="F2942" s="6" t="s">
        <v>40</v>
      </c>
      <c r="G2942">
        <v>3</v>
      </c>
      <c r="H2942">
        <v>27</v>
      </c>
      <c r="I2942" s="6" t="s">
        <v>39</v>
      </c>
      <c r="J2942" s="6" t="s">
        <v>37</v>
      </c>
      <c r="K2942">
        <v>5</v>
      </c>
      <c r="M2942" s="1" t="b">
        <f>Employee__2[[#This Row],[Experience]]&gt;1</f>
        <v>1</v>
      </c>
      <c r="N2942" s="1" t="str">
        <f>IF(Employee__2[[#This Row],[City]]="Pune","Yes","No")</f>
        <v>No</v>
      </c>
      <c r="O2942" s="1" t="str">
        <f>IF(AND(Employee__2[[#This Row],[Education]]="Bachelors",Employee__2[[#This Row],[City]]="Pune"),"Yes","No")</f>
        <v>No</v>
      </c>
      <c r="P2942" s="1" t="str">
        <f>IF(OR(Employee__2[[#This Row],[Age]]&gt;=30,Employee__2[[#This Row],[Gender]]="Male"),"Mached","Not mached")</f>
        <v>Not mached</v>
      </c>
    </row>
    <row r="2943" spans="4:16" x14ac:dyDescent="0.25">
      <c r="D2943" s="6" t="s">
        <v>34</v>
      </c>
      <c r="E2943">
        <v>2012</v>
      </c>
      <c r="F2943" s="6" t="s">
        <v>35</v>
      </c>
      <c r="G2943">
        <v>3</v>
      </c>
      <c r="H2943">
        <v>28</v>
      </c>
      <c r="I2943" s="6" t="s">
        <v>36</v>
      </c>
      <c r="J2943" s="6" t="s">
        <v>37</v>
      </c>
      <c r="K2943">
        <v>0</v>
      </c>
      <c r="M2943" s="1" t="b">
        <f>Employee__2[[#This Row],[Experience]]&gt;1</f>
        <v>0</v>
      </c>
      <c r="N2943" s="1" t="str">
        <f>IF(Employee__2[[#This Row],[City]]="Pune","Yes","No")</f>
        <v>No</v>
      </c>
      <c r="O2943" s="1" t="str">
        <f>IF(AND(Employee__2[[#This Row],[Education]]="Bachelors",Employee__2[[#This Row],[City]]="Pune"),"Yes","No")</f>
        <v>No</v>
      </c>
      <c r="P2943" s="1" t="str">
        <f>IF(OR(Employee__2[[#This Row],[Age]]&gt;=30,Employee__2[[#This Row],[Gender]]="Male"),"Mached","Not mached")</f>
        <v>Mached</v>
      </c>
    </row>
    <row r="2944" spans="4:16" x14ac:dyDescent="0.25">
      <c r="D2944" s="6" t="s">
        <v>41</v>
      </c>
      <c r="E2944">
        <v>2017</v>
      </c>
      <c r="F2944" s="6" t="s">
        <v>38</v>
      </c>
      <c r="G2944">
        <v>2</v>
      </c>
      <c r="H2944">
        <v>27</v>
      </c>
      <c r="I2944" s="6" t="s">
        <v>36</v>
      </c>
      <c r="J2944" s="6" t="s">
        <v>37</v>
      </c>
      <c r="K2944">
        <v>5</v>
      </c>
      <c r="M2944" s="1" t="b">
        <f>Employee__2[[#This Row],[Experience]]&gt;1</f>
        <v>1</v>
      </c>
      <c r="N2944" s="1" t="str">
        <f>IF(Employee__2[[#This Row],[City]]="Pune","Yes","No")</f>
        <v>Yes</v>
      </c>
      <c r="O2944" s="1" t="str">
        <f>IF(AND(Employee__2[[#This Row],[Education]]="Bachelors",Employee__2[[#This Row],[City]]="Pune"),"Yes","No")</f>
        <v>No</v>
      </c>
      <c r="P2944" s="1" t="str">
        <f>IF(OR(Employee__2[[#This Row],[Age]]&gt;=30,Employee__2[[#This Row],[Gender]]="Male"),"Mached","Not mached")</f>
        <v>Mached</v>
      </c>
    </row>
    <row r="2945" spans="4:16" x14ac:dyDescent="0.25">
      <c r="D2945" s="6" t="s">
        <v>34</v>
      </c>
      <c r="E2945">
        <v>2013</v>
      </c>
      <c r="F2945" s="6" t="s">
        <v>35</v>
      </c>
      <c r="G2945">
        <v>3</v>
      </c>
      <c r="H2945">
        <v>26</v>
      </c>
      <c r="I2945" s="6" t="s">
        <v>36</v>
      </c>
      <c r="J2945" s="6" t="s">
        <v>37</v>
      </c>
      <c r="K2945">
        <v>4</v>
      </c>
      <c r="M2945" s="1" t="b">
        <f>Employee__2[[#This Row],[Experience]]&gt;1</f>
        <v>1</v>
      </c>
      <c r="N2945" s="1" t="str">
        <f>IF(Employee__2[[#This Row],[City]]="Pune","Yes","No")</f>
        <v>No</v>
      </c>
      <c r="O2945" s="1" t="str">
        <f>IF(AND(Employee__2[[#This Row],[Education]]="Bachelors",Employee__2[[#This Row],[City]]="Pune"),"Yes","No")</f>
        <v>No</v>
      </c>
      <c r="P2945" s="1" t="str">
        <f>IF(OR(Employee__2[[#This Row],[Age]]&gt;=30,Employee__2[[#This Row],[Gender]]="Male"),"Mached","Not mached")</f>
        <v>Mached</v>
      </c>
    </row>
    <row r="2946" spans="4:16" x14ac:dyDescent="0.25">
      <c r="D2946" s="6" t="s">
        <v>34</v>
      </c>
      <c r="E2946">
        <v>2013</v>
      </c>
      <c r="F2946" s="6" t="s">
        <v>40</v>
      </c>
      <c r="G2946">
        <v>3</v>
      </c>
      <c r="H2946">
        <v>27</v>
      </c>
      <c r="I2946" s="6" t="s">
        <v>39</v>
      </c>
      <c r="J2946" s="6" t="s">
        <v>37</v>
      </c>
      <c r="K2946">
        <v>5</v>
      </c>
      <c r="M2946" s="1" t="b">
        <f>Employee__2[[#This Row],[Experience]]&gt;1</f>
        <v>1</v>
      </c>
      <c r="N2946" s="1" t="str">
        <f>IF(Employee__2[[#This Row],[City]]="Pune","Yes","No")</f>
        <v>No</v>
      </c>
      <c r="O2946" s="1" t="str">
        <f>IF(AND(Employee__2[[#This Row],[Education]]="Bachelors",Employee__2[[#This Row],[City]]="Pune"),"Yes","No")</f>
        <v>No</v>
      </c>
      <c r="P2946" s="1" t="str">
        <f>IF(OR(Employee__2[[#This Row],[Age]]&gt;=30,Employee__2[[#This Row],[Gender]]="Male"),"Mached","Not mached")</f>
        <v>Not mached</v>
      </c>
    </row>
    <row r="2947" spans="4:16" x14ac:dyDescent="0.25">
      <c r="D2947" s="6" t="s">
        <v>34</v>
      </c>
      <c r="E2947">
        <v>2013</v>
      </c>
      <c r="F2947" s="6" t="s">
        <v>35</v>
      </c>
      <c r="G2947">
        <v>2</v>
      </c>
      <c r="H2947">
        <v>26</v>
      </c>
      <c r="I2947" s="6" t="s">
        <v>39</v>
      </c>
      <c r="J2947" s="6" t="s">
        <v>37</v>
      </c>
      <c r="K2947">
        <v>4</v>
      </c>
      <c r="M2947" s="1" t="b">
        <f>Employee__2[[#This Row],[Experience]]&gt;1</f>
        <v>1</v>
      </c>
      <c r="N2947" s="1" t="str">
        <f>IF(Employee__2[[#This Row],[City]]="Pune","Yes","No")</f>
        <v>No</v>
      </c>
      <c r="O2947" s="1" t="str">
        <f>IF(AND(Employee__2[[#This Row],[Education]]="Bachelors",Employee__2[[#This Row],[City]]="Pune"),"Yes","No")</f>
        <v>No</v>
      </c>
      <c r="P2947" s="1" t="str">
        <f>IF(OR(Employee__2[[#This Row],[Age]]&gt;=30,Employee__2[[#This Row],[Gender]]="Male"),"Mached","Not mached")</f>
        <v>Not mached</v>
      </c>
    </row>
    <row r="2948" spans="4:16" x14ac:dyDescent="0.25">
      <c r="D2948" s="6" t="s">
        <v>34</v>
      </c>
      <c r="E2948">
        <v>2012</v>
      </c>
      <c r="F2948" s="6" t="s">
        <v>38</v>
      </c>
      <c r="G2948">
        <v>2</v>
      </c>
      <c r="H2948">
        <v>27</v>
      </c>
      <c r="I2948" s="6" t="s">
        <v>39</v>
      </c>
      <c r="J2948" s="6" t="s">
        <v>37</v>
      </c>
      <c r="K2948">
        <v>5</v>
      </c>
      <c r="M2948" s="1" t="b">
        <f>Employee__2[[#This Row],[Experience]]&gt;1</f>
        <v>1</v>
      </c>
      <c r="N2948" s="1" t="str">
        <f>IF(Employee__2[[#This Row],[City]]="Pune","Yes","No")</f>
        <v>Yes</v>
      </c>
      <c r="O2948" s="1" t="str">
        <f>IF(AND(Employee__2[[#This Row],[Education]]="Bachelors",Employee__2[[#This Row],[City]]="Pune"),"Yes","No")</f>
        <v>Yes</v>
      </c>
      <c r="P2948" s="1" t="str">
        <f>IF(OR(Employee__2[[#This Row],[Age]]&gt;=30,Employee__2[[#This Row],[Gender]]="Male"),"Mached","Not mached")</f>
        <v>Not mached</v>
      </c>
    </row>
    <row r="2949" spans="4:16" x14ac:dyDescent="0.25">
      <c r="D2949" s="6" t="s">
        <v>34</v>
      </c>
      <c r="E2949">
        <v>2016</v>
      </c>
      <c r="F2949" s="6" t="s">
        <v>38</v>
      </c>
      <c r="G2949">
        <v>3</v>
      </c>
      <c r="H2949">
        <v>26</v>
      </c>
      <c r="I2949" s="6" t="s">
        <v>39</v>
      </c>
      <c r="J2949" s="6" t="s">
        <v>37</v>
      </c>
      <c r="K2949">
        <v>4</v>
      </c>
      <c r="M2949" s="1" t="b">
        <f>Employee__2[[#This Row],[Experience]]&gt;1</f>
        <v>1</v>
      </c>
      <c r="N2949" s="1" t="str">
        <f>IF(Employee__2[[#This Row],[City]]="Pune","Yes","No")</f>
        <v>Yes</v>
      </c>
      <c r="O2949" s="1" t="str">
        <f>IF(AND(Employee__2[[#This Row],[Education]]="Bachelors",Employee__2[[#This Row],[City]]="Pune"),"Yes","No")</f>
        <v>Yes</v>
      </c>
      <c r="P2949" s="1" t="str">
        <f>IF(OR(Employee__2[[#This Row],[Age]]&gt;=30,Employee__2[[#This Row],[Gender]]="Male"),"Mached","Not mached")</f>
        <v>Not mached</v>
      </c>
    </row>
    <row r="2950" spans="4:16" x14ac:dyDescent="0.25">
      <c r="D2950" s="6" t="s">
        <v>34</v>
      </c>
      <c r="E2950">
        <v>2017</v>
      </c>
      <c r="F2950" s="6" t="s">
        <v>40</v>
      </c>
      <c r="G2950">
        <v>2</v>
      </c>
      <c r="H2950">
        <v>27</v>
      </c>
      <c r="I2950" s="6" t="s">
        <v>36</v>
      </c>
      <c r="J2950" s="6" t="s">
        <v>37</v>
      </c>
      <c r="K2950">
        <v>5</v>
      </c>
      <c r="M2950" s="1" t="b">
        <f>Employee__2[[#This Row],[Experience]]&gt;1</f>
        <v>1</v>
      </c>
      <c r="N2950" s="1" t="str">
        <f>IF(Employee__2[[#This Row],[City]]="Pune","Yes","No")</f>
        <v>No</v>
      </c>
      <c r="O2950" s="1" t="str">
        <f>IF(AND(Employee__2[[#This Row],[Education]]="Bachelors",Employee__2[[#This Row],[City]]="Pune"),"Yes","No")</f>
        <v>No</v>
      </c>
      <c r="P2950" s="1" t="str">
        <f>IF(OR(Employee__2[[#This Row],[Age]]&gt;=30,Employee__2[[#This Row],[Gender]]="Male"),"Mached","Not mached")</f>
        <v>Mached</v>
      </c>
    </row>
    <row r="2951" spans="4:16" x14ac:dyDescent="0.25">
      <c r="D2951" s="6" t="s">
        <v>34</v>
      </c>
      <c r="E2951">
        <v>2012</v>
      </c>
      <c r="F2951" s="6" t="s">
        <v>35</v>
      </c>
      <c r="G2951">
        <v>3</v>
      </c>
      <c r="H2951">
        <v>28</v>
      </c>
      <c r="I2951" s="6" t="s">
        <v>39</v>
      </c>
      <c r="J2951" s="6" t="s">
        <v>37</v>
      </c>
      <c r="K2951">
        <v>3</v>
      </c>
      <c r="M2951" s="1" t="b">
        <f>Employee__2[[#This Row],[Experience]]&gt;1</f>
        <v>1</v>
      </c>
      <c r="N2951" s="1" t="str">
        <f>IF(Employee__2[[#This Row],[City]]="Pune","Yes","No")</f>
        <v>No</v>
      </c>
      <c r="O2951" s="1" t="str">
        <f>IF(AND(Employee__2[[#This Row],[Education]]="Bachelors",Employee__2[[#This Row],[City]]="Pune"),"Yes","No")</f>
        <v>No</v>
      </c>
      <c r="P2951" s="1" t="str">
        <f>IF(OR(Employee__2[[#This Row],[Age]]&gt;=30,Employee__2[[#This Row],[Gender]]="Male"),"Mached","Not mached")</f>
        <v>Not mached</v>
      </c>
    </row>
    <row r="2952" spans="4:16" x14ac:dyDescent="0.25">
      <c r="D2952" s="6" t="s">
        <v>34</v>
      </c>
      <c r="E2952">
        <v>2015</v>
      </c>
      <c r="F2952" s="6" t="s">
        <v>35</v>
      </c>
      <c r="G2952">
        <v>3</v>
      </c>
      <c r="H2952">
        <v>26</v>
      </c>
      <c r="I2952" s="6" t="s">
        <v>36</v>
      </c>
      <c r="J2952" s="6" t="s">
        <v>37</v>
      </c>
      <c r="K2952">
        <v>4</v>
      </c>
      <c r="M2952" s="1" t="b">
        <f>Employee__2[[#This Row],[Experience]]&gt;1</f>
        <v>1</v>
      </c>
      <c r="N2952" s="1" t="str">
        <f>IF(Employee__2[[#This Row],[City]]="Pune","Yes","No")</f>
        <v>No</v>
      </c>
      <c r="O2952" s="1" t="str">
        <f>IF(AND(Employee__2[[#This Row],[Education]]="Bachelors",Employee__2[[#This Row],[City]]="Pune"),"Yes","No")</f>
        <v>No</v>
      </c>
      <c r="P2952" s="1" t="str">
        <f>IF(OR(Employee__2[[#This Row],[Age]]&gt;=30,Employee__2[[#This Row],[Gender]]="Male"),"Mached","Not mached")</f>
        <v>Mached</v>
      </c>
    </row>
    <row r="2953" spans="4:16" x14ac:dyDescent="0.25">
      <c r="D2953" s="6" t="s">
        <v>41</v>
      </c>
      <c r="E2953">
        <v>2017</v>
      </c>
      <c r="F2953" s="6" t="s">
        <v>40</v>
      </c>
      <c r="G2953">
        <v>3</v>
      </c>
      <c r="H2953">
        <v>27</v>
      </c>
      <c r="I2953" s="6" t="s">
        <v>36</v>
      </c>
      <c r="J2953" s="6" t="s">
        <v>37</v>
      </c>
      <c r="K2953">
        <v>5</v>
      </c>
      <c r="M2953" s="1" t="b">
        <f>Employee__2[[#This Row],[Experience]]&gt;1</f>
        <v>1</v>
      </c>
      <c r="N2953" s="1" t="str">
        <f>IF(Employee__2[[#This Row],[City]]="Pune","Yes","No")</f>
        <v>No</v>
      </c>
      <c r="O2953" s="1" t="str">
        <f>IF(AND(Employee__2[[#This Row],[Education]]="Bachelors",Employee__2[[#This Row],[City]]="Pune"),"Yes","No")</f>
        <v>No</v>
      </c>
      <c r="P2953" s="1" t="str">
        <f>IF(OR(Employee__2[[#This Row],[Age]]&gt;=30,Employee__2[[#This Row],[Gender]]="Male"),"Mached","Not mached")</f>
        <v>Mached</v>
      </c>
    </row>
    <row r="2954" spans="4:16" x14ac:dyDescent="0.25">
      <c r="D2954" s="6" t="s">
        <v>34</v>
      </c>
      <c r="E2954">
        <v>2013</v>
      </c>
      <c r="F2954" s="6" t="s">
        <v>38</v>
      </c>
      <c r="G2954">
        <v>2</v>
      </c>
      <c r="H2954">
        <v>30</v>
      </c>
      <c r="I2954" s="6" t="s">
        <v>39</v>
      </c>
      <c r="J2954" s="6" t="s">
        <v>37</v>
      </c>
      <c r="K2954">
        <v>5</v>
      </c>
      <c r="M2954" s="1" t="b">
        <f>Employee__2[[#This Row],[Experience]]&gt;1</f>
        <v>1</v>
      </c>
      <c r="N2954" s="1" t="str">
        <f>IF(Employee__2[[#This Row],[City]]="Pune","Yes","No")</f>
        <v>Yes</v>
      </c>
      <c r="O2954" s="1" t="str">
        <f>IF(AND(Employee__2[[#This Row],[Education]]="Bachelors",Employee__2[[#This Row],[City]]="Pune"),"Yes","No")</f>
        <v>Yes</v>
      </c>
      <c r="P2954" s="1" t="str">
        <f>IF(OR(Employee__2[[#This Row],[Age]]&gt;=30,Employee__2[[#This Row],[Gender]]="Male"),"Mached","Not mached")</f>
        <v>Mached</v>
      </c>
    </row>
    <row r="2955" spans="4:16" x14ac:dyDescent="0.25">
      <c r="D2955" s="6" t="s">
        <v>34</v>
      </c>
      <c r="E2955">
        <v>2013</v>
      </c>
      <c r="F2955" s="6" t="s">
        <v>38</v>
      </c>
      <c r="G2955">
        <v>3</v>
      </c>
      <c r="H2955">
        <v>28</v>
      </c>
      <c r="I2955" s="6" t="s">
        <v>36</v>
      </c>
      <c r="J2955" s="6" t="s">
        <v>37</v>
      </c>
      <c r="K2955">
        <v>0</v>
      </c>
      <c r="M2955" s="1" t="b">
        <f>Employee__2[[#This Row],[Experience]]&gt;1</f>
        <v>0</v>
      </c>
      <c r="N2955" s="1" t="str">
        <f>IF(Employee__2[[#This Row],[City]]="Pune","Yes","No")</f>
        <v>Yes</v>
      </c>
      <c r="O2955" s="1" t="str">
        <f>IF(AND(Employee__2[[#This Row],[Education]]="Bachelors",Employee__2[[#This Row],[City]]="Pune"),"Yes","No")</f>
        <v>Yes</v>
      </c>
      <c r="P2955" s="1" t="str">
        <f>IF(OR(Employee__2[[#This Row],[Age]]&gt;=30,Employee__2[[#This Row],[Gender]]="Male"),"Mached","Not mached")</f>
        <v>Mached</v>
      </c>
    </row>
    <row r="2956" spans="4:16" x14ac:dyDescent="0.25">
      <c r="D2956" s="6" t="s">
        <v>34</v>
      </c>
      <c r="E2956">
        <v>2012</v>
      </c>
      <c r="F2956" s="6" t="s">
        <v>38</v>
      </c>
      <c r="G2956">
        <v>3</v>
      </c>
      <c r="H2956">
        <v>26</v>
      </c>
      <c r="I2956" s="6" t="s">
        <v>36</v>
      </c>
      <c r="J2956" s="6" t="s">
        <v>37</v>
      </c>
      <c r="K2956">
        <v>4</v>
      </c>
      <c r="M2956" s="1" t="b">
        <f>Employee__2[[#This Row],[Experience]]&gt;1</f>
        <v>1</v>
      </c>
      <c r="N2956" s="1" t="str">
        <f>IF(Employee__2[[#This Row],[City]]="Pune","Yes","No")</f>
        <v>Yes</v>
      </c>
      <c r="O2956" s="1" t="str">
        <f>IF(AND(Employee__2[[#This Row],[Education]]="Bachelors",Employee__2[[#This Row],[City]]="Pune"),"Yes","No")</f>
        <v>Yes</v>
      </c>
      <c r="P2956" s="1" t="str">
        <f>IF(OR(Employee__2[[#This Row],[Age]]&gt;=30,Employee__2[[#This Row],[Gender]]="Male"),"Mached","Not mached")</f>
        <v>Mached</v>
      </c>
    </row>
    <row r="2957" spans="4:16" x14ac:dyDescent="0.25">
      <c r="D2957" s="6" t="s">
        <v>34</v>
      </c>
      <c r="E2957">
        <v>2016</v>
      </c>
      <c r="F2957" s="6" t="s">
        <v>35</v>
      </c>
      <c r="G2957">
        <v>3</v>
      </c>
      <c r="H2957">
        <v>28</v>
      </c>
      <c r="I2957" s="6" t="s">
        <v>36</v>
      </c>
      <c r="J2957" s="6" t="s">
        <v>37</v>
      </c>
      <c r="K2957">
        <v>3</v>
      </c>
      <c r="M2957" s="1" t="b">
        <f>Employee__2[[#This Row],[Experience]]&gt;1</f>
        <v>1</v>
      </c>
      <c r="N2957" s="1" t="str">
        <f>IF(Employee__2[[#This Row],[City]]="Pune","Yes","No")</f>
        <v>No</v>
      </c>
      <c r="O2957" s="1" t="str">
        <f>IF(AND(Employee__2[[#This Row],[Education]]="Bachelors",Employee__2[[#This Row],[City]]="Pune"),"Yes","No")</f>
        <v>No</v>
      </c>
      <c r="P2957" s="1" t="str">
        <f>IF(OR(Employee__2[[#This Row],[Age]]&gt;=30,Employee__2[[#This Row],[Gender]]="Male"),"Mached","Not mached")</f>
        <v>Mached</v>
      </c>
    </row>
    <row r="2958" spans="4:16" x14ac:dyDescent="0.25">
      <c r="D2958" s="6" t="s">
        <v>41</v>
      </c>
      <c r="E2958">
        <v>2015</v>
      </c>
      <c r="F2958" s="6" t="s">
        <v>38</v>
      </c>
      <c r="G2958">
        <v>3</v>
      </c>
      <c r="H2958">
        <v>26</v>
      </c>
      <c r="I2958" s="6" t="s">
        <v>36</v>
      </c>
      <c r="J2958" s="6" t="s">
        <v>37</v>
      </c>
      <c r="K2958">
        <v>4</v>
      </c>
      <c r="M2958" s="1" t="b">
        <f>Employee__2[[#This Row],[Experience]]&gt;1</f>
        <v>1</v>
      </c>
      <c r="N2958" s="1" t="str">
        <f>IF(Employee__2[[#This Row],[City]]="Pune","Yes","No")</f>
        <v>Yes</v>
      </c>
      <c r="O2958" s="1" t="str">
        <f>IF(AND(Employee__2[[#This Row],[Education]]="Bachelors",Employee__2[[#This Row],[City]]="Pune"),"Yes","No")</f>
        <v>No</v>
      </c>
      <c r="P2958" s="1" t="str">
        <f>IF(OR(Employee__2[[#This Row],[Age]]&gt;=30,Employee__2[[#This Row],[Gender]]="Male"),"Mached","Not mached")</f>
        <v>Mached</v>
      </c>
    </row>
    <row r="2959" spans="4:16" x14ac:dyDescent="0.25">
      <c r="D2959" s="6" t="s">
        <v>34</v>
      </c>
      <c r="E2959">
        <v>2017</v>
      </c>
      <c r="F2959" s="6" t="s">
        <v>40</v>
      </c>
      <c r="G2959">
        <v>2</v>
      </c>
      <c r="H2959">
        <v>26</v>
      </c>
      <c r="I2959" s="6" t="s">
        <v>39</v>
      </c>
      <c r="J2959" s="6" t="s">
        <v>37</v>
      </c>
      <c r="K2959">
        <v>4</v>
      </c>
      <c r="M2959" s="1" t="b">
        <f>Employee__2[[#This Row],[Experience]]&gt;1</f>
        <v>1</v>
      </c>
      <c r="N2959" s="1" t="str">
        <f>IF(Employee__2[[#This Row],[City]]="Pune","Yes","No")</f>
        <v>No</v>
      </c>
      <c r="O2959" s="1" t="str">
        <f>IF(AND(Employee__2[[#This Row],[Education]]="Bachelors",Employee__2[[#This Row],[City]]="Pune"),"Yes","No")</f>
        <v>No</v>
      </c>
      <c r="P2959" s="1" t="str">
        <f>IF(OR(Employee__2[[#This Row],[Age]]&gt;=30,Employee__2[[#This Row],[Gender]]="Male"),"Mached","Not mached")</f>
        <v>Not mached</v>
      </c>
    </row>
    <row r="2960" spans="4:16" x14ac:dyDescent="0.25">
      <c r="D2960" s="6" t="s">
        <v>41</v>
      </c>
      <c r="E2960">
        <v>2017</v>
      </c>
      <c r="F2960" s="6" t="s">
        <v>35</v>
      </c>
      <c r="G2960">
        <v>2</v>
      </c>
      <c r="H2960">
        <v>26</v>
      </c>
      <c r="I2960" s="6" t="s">
        <v>36</v>
      </c>
      <c r="J2960" s="6" t="s">
        <v>37</v>
      </c>
      <c r="K2960">
        <v>4</v>
      </c>
      <c r="M2960" s="1" t="b">
        <f>Employee__2[[#This Row],[Experience]]&gt;1</f>
        <v>1</v>
      </c>
      <c r="N2960" s="1" t="str">
        <f>IF(Employee__2[[#This Row],[City]]="Pune","Yes","No")</f>
        <v>No</v>
      </c>
      <c r="O2960" s="1" t="str">
        <f>IF(AND(Employee__2[[#This Row],[Education]]="Bachelors",Employee__2[[#This Row],[City]]="Pune"),"Yes","No")</f>
        <v>No</v>
      </c>
      <c r="P2960" s="1" t="str">
        <f>IF(OR(Employee__2[[#This Row],[Age]]&gt;=30,Employee__2[[#This Row],[Gender]]="Male"),"Mached","Not mached")</f>
        <v>Mached</v>
      </c>
    </row>
    <row r="2961" spans="4:16" x14ac:dyDescent="0.25">
      <c r="D2961" s="6" t="s">
        <v>34</v>
      </c>
      <c r="E2961">
        <v>2014</v>
      </c>
      <c r="F2961" s="6" t="s">
        <v>35</v>
      </c>
      <c r="G2961">
        <v>3</v>
      </c>
      <c r="H2961">
        <v>30</v>
      </c>
      <c r="I2961" s="6" t="s">
        <v>39</v>
      </c>
      <c r="J2961" s="6" t="s">
        <v>37</v>
      </c>
      <c r="K2961">
        <v>2</v>
      </c>
      <c r="M2961" s="1" t="b">
        <f>Employee__2[[#This Row],[Experience]]&gt;1</f>
        <v>1</v>
      </c>
      <c r="N2961" s="1" t="str">
        <f>IF(Employee__2[[#This Row],[City]]="Pune","Yes","No")</f>
        <v>No</v>
      </c>
      <c r="O2961" s="1" t="str">
        <f>IF(AND(Employee__2[[#This Row],[Education]]="Bachelors",Employee__2[[#This Row],[City]]="Pune"),"Yes","No")</f>
        <v>No</v>
      </c>
      <c r="P2961" s="1" t="str">
        <f>IF(OR(Employee__2[[#This Row],[Age]]&gt;=30,Employee__2[[#This Row],[Gender]]="Male"),"Mached","Not mached")</f>
        <v>Mached</v>
      </c>
    </row>
    <row r="2962" spans="4:16" x14ac:dyDescent="0.25">
      <c r="D2962" s="6" t="s">
        <v>34</v>
      </c>
      <c r="E2962">
        <v>2014</v>
      </c>
      <c r="F2962" s="6" t="s">
        <v>35</v>
      </c>
      <c r="G2962">
        <v>3</v>
      </c>
      <c r="H2962">
        <v>29</v>
      </c>
      <c r="I2962" s="6" t="s">
        <v>39</v>
      </c>
      <c r="J2962" s="6" t="s">
        <v>37</v>
      </c>
      <c r="K2962">
        <v>2</v>
      </c>
      <c r="M2962" s="1" t="b">
        <f>Employee__2[[#This Row],[Experience]]&gt;1</f>
        <v>1</v>
      </c>
      <c r="N2962" s="1" t="str">
        <f>IF(Employee__2[[#This Row],[City]]="Pune","Yes","No")</f>
        <v>No</v>
      </c>
      <c r="O2962" s="1" t="str">
        <f>IF(AND(Employee__2[[#This Row],[Education]]="Bachelors",Employee__2[[#This Row],[City]]="Pune"),"Yes","No")</f>
        <v>No</v>
      </c>
      <c r="P2962" s="1" t="str">
        <f>IF(OR(Employee__2[[#This Row],[Age]]&gt;=30,Employee__2[[#This Row],[Gender]]="Male"),"Mached","Not mached")</f>
        <v>Not mached</v>
      </c>
    </row>
    <row r="2963" spans="4:16" x14ac:dyDescent="0.25">
      <c r="D2963" s="6" t="s">
        <v>34</v>
      </c>
      <c r="E2963">
        <v>2017</v>
      </c>
      <c r="F2963" s="6" t="s">
        <v>38</v>
      </c>
      <c r="G2963">
        <v>3</v>
      </c>
      <c r="H2963">
        <v>26</v>
      </c>
      <c r="I2963" s="6" t="s">
        <v>36</v>
      </c>
      <c r="J2963" s="6" t="s">
        <v>42</v>
      </c>
      <c r="K2963">
        <v>4</v>
      </c>
      <c r="M2963" s="1" t="b">
        <f>Employee__2[[#This Row],[Experience]]&gt;1</f>
        <v>1</v>
      </c>
      <c r="N2963" s="1" t="str">
        <f>IF(Employee__2[[#This Row],[City]]="Pune","Yes","No")</f>
        <v>Yes</v>
      </c>
      <c r="O2963" s="1" t="str">
        <f>IF(AND(Employee__2[[#This Row],[Education]]="Bachelors",Employee__2[[#This Row],[City]]="Pune"),"Yes","No")</f>
        <v>Yes</v>
      </c>
      <c r="P2963" s="1" t="str">
        <f>IF(OR(Employee__2[[#This Row],[Age]]&gt;=30,Employee__2[[#This Row],[Gender]]="Male"),"Mached","Not mached")</f>
        <v>Mached</v>
      </c>
    </row>
    <row r="2964" spans="4:16" x14ac:dyDescent="0.25">
      <c r="D2964" s="6" t="s">
        <v>34</v>
      </c>
      <c r="E2964">
        <v>2013</v>
      </c>
      <c r="F2964" s="6" t="s">
        <v>35</v>
      </c>
      <c r="G2964">
        <v>3</v>
      </c>
      <c r="H2964">
        <v>28</v>
      </c>
      <c r="I2964" s="6" t="s">
        <v>36</v>
      </c>
      <c r="J2964" s="6" t="s">
        <v>37</v>
      </c>
      <c r="K2964">
        <v>0</v>
      </c>
      <c r="M2964" s="1" t="b">
        <f>Employee__2[[#This Row],[Experience]]&gt;1</f>
        <v>0</v>
      </c>
      <c r="N2964" s="1" t="str">
        <f>IF(Employee__2[[#This Row],[City]]="Pune","Yes","No")</f>
        <v>No</v>
      </c>
      <c r="O2964" s="1" t="str">
        <f>IF(AND(Employee__2[[#This Row],[Education]]="Bachelors",Employee__2[[#This Row],[City]]="Pune"),"Yes","No")</f>
        <v>No</v>
      </c>
      <c r="P2964" s="1" t="str">
        <f>IF(OR(Employee__2[[#This Row],[Age]]&gt;=30,Employee__2[[#This Row],[Gender]]="Male"),"Mached","Not mached")</f>
        <v>Mached</v>
      </c>
    </row>
    <row r="2965" spans="4:16" x14ac:dyDescent="0.25">
      <c r="D2965" s="6" t="s">
        <v>34</v>
      </c>
      <c r="E2965">
        <v>2018</v>
      </c>
      <c r="F2965" s="6" t="s">
        <v>35</v>
      </c>
      <c r="G2965">
        <v>3</v>
      </c>
      <c r="H2965">
        <v>29</v>
      </c>
      <c r="I2965" s="6" t="s">
        <v>36</v>
      </c>
      <c r="J2965" s="6" t="s">
        <v>37</v>
      </c>
      <c r="K2965">
        <v>1</v>
      </c>
      <c r="M2965" s="1" t="b">
        <f>Employee__2[[#This Row],[Experience]]&gt;1</f>
        <v>0</v>
      </c>
      <c r="N2965" s="1" t="str">
        <f>IF(Employee__2[[#This Row],[City]]="Pune","Yes","No")</f>
        <v>No</v>
      </c>
      <c r="O2965" s="1" t="str">
        <f>IF(AND(Employee__2[[#This Row],[Education]]="Bachelors",Employee__2[[#This Row],[City]]="Pune"),"Yes","No")</f>
        <v>No</v>
      </c>
      <c r="P2965" s="1" t="str">
        <f>IF(OR(Employee__2[[#This Row],[Age]]&gt;=30,Employee__2[[#This Row],[Gender]]="Male"),"Mached","Not mached")</f>
        <v>Mached</v>
      </c>
    </row>
    <row r="2966" spans="4:16" x14ac:dyDescent="0.25">
      <c r="D2966" s="6" t="s">
        <v>34</v>
      </c>
      <c r="E2966">
        <v>2016</v>
      </c>
      <c r="F2966" s="6" t="s">
        <v>35</v>
      </c>
      <c r="G2966">
        <v>3</v>
      </c>
      <c r="H2966">
        <v>30</v>
      </c>
      <c r="I2966" s="6" t="s">
        <v>39</v>
      </c>
      <c r="J2966" s="6" t="s">
        <v>37</v>
      </c>
      <c r="K2966">
        <v>3</v>
      </c>
      <c r="M2966" s="1" t="b">
        <f>Employee__2[[#This Row],[Experience]]&gt;1</f>
        <v>1</v>
      </c>
      <c r="N2966" s="1" t="str">
        <f>IF(Employee__2[[#This Row],[City]]="Pune","Yes","No")</f>
        <v>No</v>
      </c>
      <c r="O2966" s="1" t="str">
        <f>IF(AND(Employee__2[[#This Row],[Education]]="Bachelors",Employee__2[[#This Row],[City]]="Pune"),"Yes","No")</f>
        <v>No</v>
      </c>
      <c r="P2966" s="1" t="str">
        <f>IF(OR(Employee__2[[#This Row],[Age]]&gt;=30,Employee__2[[#This Row],[Gender]]="Male"),"Mached","Not mached")</f>
        <v>Mached</v>
      </c>
    </row>
    <row r="2967" spans="4:16" x14ac:dyDescent="0.25">
      <c r="D2967" s="6" t="s">
        <v>34</v>
      </c>
      <c r="E2967">
        <v>2017</v>
      </c>
      <c r="F2967" s="6" t="s">
        <v>35</v>
      </c>
      <c r="G2967">
        <v>3</v>
      </c>
      <c r="H2967">
        <v>30</v>
      </c>
      <c r="I2967" s="6" t="s">
        <v>36</v>
      </c>
      <c r="J2967" s="6" t="s">
        <v>37</v>
      </c>
      <c r="K2967">
        <v>0</v>
      </c>
      <c r="M2967" s="1" t="b">
        <f>Employee__2[[#This Row],[Experience]]&gt;1</f>
        <v>0</v>
      </c>
      <c r="N2967" s="1" t="str">
        <f>IF(Employee__2[[#This Row],[City]]="Pune","Yes","No")</f>
        <v>No</v>
      </c>
      <c r="O2967" s="1" t="str">
        <f>IF(AND(Employee__2[[#This Row],[Education]]="Bachelors",Employee__2[[#This Row],[City]]="Pune"),"Yes","No")</f>
        <v>No</v>
      </c>
      <c r="P2967" s="1" t="str">
        <f>IF(OR(Employee__2[[#This Row],[Age]]&gt;=30,Employee__2[[#This Row],[Gender]]="Male"),"Mached","Not mached")</f>
        <v>Mached</v>
      </c>
    </row>
    <row r="2968" spans="4:16" x14ac:dyDescent="0.25">
      <c r="D2968" s="6" t="s">
        <v>43</v>
      </c>
      <c r="E2968">
        <v>2015</v>
      </c>
      <c r="F2968" s="6" t="s">
        <v>40</v>
      </c>
      <c r="G2968">
        <v>3</v>
      </c>
      <c r="H2968">
        <v>29</v>
      </c>
      <c r="I2968" s="6" t="s">
        <v>36</v>
      </c>
      <c r="J2968" s="6" t="s">
        <v>37</v>
      </c>
      <c r="K2968">
        <v>4</v>
      </c>
      <c r="M2968" s="1" t="b">
        <f>Employee__2[[#This Row],[Experience]]&gt;1</f>
        <v>1</v>
      </c>
      <c r="N2968" s="1" t="str">
        <f>IF(Employee__2[[#This Row],[City]]="Pune","Yes","No")</f>
        <v>No</v>
      </c>
      <c r="O2968" s="1" t="str">
        <f>IF(AND(Employee__2[[#This Row],[Education]]="Bachelors",Employee__2[[#This Row],[City]]="Pune"),"Yes","No")</f>
        <v>No</v>
      </c>
      <c r="P2968" s="1" t="str">
        <f>IF(OR(Employee__2[[#This Row],[Age]]&gt;=30,Employee__2[[#This Row],[Gender]]="Male"),"Mached","Not mached")</f>
        <v>Mached</v>
      </c>
    </row>
    <row r="2969" spans="4:16" x14ac:dyDescent="0.25">
      <c r="D2969" s="6" t="s">
        <v>34</v>
      </c>
      <c r="E2969">
        <v>2017</v>
      </c>
      <c r="F2969" s="6" t="s">
        <v>40</v>
      </c>
      <c r="G2969">
        <v>2</v>
      </c>
      <c r="H2969">
        <v>26</v>
      </c>
      <c r="I2969" s="6" t="s">
        <v>39</v>
      </c>
      <c r="J2969" s="6" t="s">
        <v>37</v>
      </c>
      <c r="K2969">
        <v>4</v>
      </c>
      <c r="M2969" s="1" t="b">
        <f>Employee__2[[#This Row],[Experience]]&gt;1</f>
        <v>1</v>
      </c>
      <c r="N2969" s="1" t="str">
        <f>IF(Employee__2[[#This Row],[City]]="Pune","Yes","No")</f>
        <v>No</v>
      </c>
      <c r="O2969" s="1" t="str">
        <f>IF(AND(Employee__2[[#This Row],[Education]]="Bachelors",Employee__2[[#This Row],[City]]="Pune"),"Yes","No")</f>
        <v>No</v>
      </c>
      <c r="P2969" s="1" t="str">
        <f>IF(OR(Employee__2[[#This Row],[Age]]&gt;=30,Employee__2[[#This Row],[Gender]]="Male"),"Mached","Not mached")</f>
        <v>Not mached</v>
      </c>
    </row>
    <row r="2970" spans="4:16" x14ac:dyDescent="0.25">
      <c r="D2970" s="6" t="s">
        <v>34</v>
      </c>
      <c r="E2970">
        <v>2013</v>
      </c>
      <c r="F2970" s="6" t="s">
        <v>35</v>
      </c>
      <c r="G2970">
        <v>3</v>
      </c>
      <c r="H2970">
        <v>26</v>
      </c>
      <c r="I2970" s="6" t="s">
        <v>39</v>
      </c>
      <c r="J2970" s="6" t="s">
        <v>37</v>
      </c>
      <c r="K2970">
        <v>4</v>
      </c>
      <c r="M2970" s="1" t="b">
        <f>Employee__2[[#This Row],[Experience]]&gt;1</f>
        <v>1</v>
      </c>
      <c r="N2970" s="1" t="str">
        <f>IF(Employee__2[[#This Row],[City]]="Pune","Yes","No")</f>
        <v>No</v>
      </c>
      <c r="O2970" s="1" t="str">
        <f>IF(AND(Employee__2[[#This Row],[Education]]="Bachelors",Employee__2[[#This Row],[City]]="Pune"),"Yes","No")</f>
        <v>No</v>
      </c>
      <c r="P2970" s="1" t="str">
        <f>IF(OR(Employee__2[[#This Row],[Age]]&gt;=30,Employee__2[[#This Row],[Gender]]="Male"),"Mached","Not mached")</f>
        <v>Not mached</v>
      </c>
    </row>
    <row r="2971" spans="4:16" x14ac:dyDescent="0.25">
      <c r="D2971" s="6" t="s">
        <v>34</v>
      </c>
      <c r="E2971">
        <v>2014</v>
      </c>
      <c r="F2971" s="6" t="s">
        <v>35</v>
      </c>
      <c r="G2971">
        <v>1</v>
      </c>
      <c r="H2971">
        <v>28</v>
      </c>
      <c r="I2971" s="6" t="s">
        <v>39</v>
      </c>
      <c r="J2971" s="6" t="s">
        <v>37</v>
      </c>
      <c r="K2971">
        <v>5</v>
      </c>
      <c r="M2971" s="1" t="b">
        <f>Employee__2[[#This Row],[Experience]]&gt;1</f>
        <v>1</v>
      </c>
      <c r="N2971" s="1" t="str">
        <f>IF(Employee__2[[#This Row],[City]]="Pune","Yes","No")</f>
        <v>No</v>
      </c>
      <c r="O2971" s="1" t="str">
        <f>IF(AND(Employee__2[[#This Row],[Education]]="Bachelors",Employee__2[[#This Row],[City]]="Pune"),"Yes","No")</f>
        <v>No</v>
      </c>
      <c r="P2971" s="1" t="str">
        <f>IF(OR(Employee__2[[#This Row],[Age]]&gt;=30,Employee__2[[#This Row],[Gender]]="Male"),"Mached","Not mached")</f>
        <v>Not mached</v>
      </c>
    </row>
    <row r="2972" spans="4:16" x14ac:dyDescent="0.25">
      <c r="D2972" s="6" t="s">
        <v>34</v>
      </c>
      <c r="E2972">
        <v>2014</v>
      </c>
      <c r="F2972" s="6" t="s">
        <v>38</v>
      </c>
      <c r="G2972">
        <v>3</v>
      </c>
      <c r="H2972">
        <v>30</v>
      </c>
      <c r="I2972" s="6" t="s">
        <v>36</v>
      </c>
      <c r="J2972" s="6" t="s">
        <v>37</v>
      </c>
      <c r="K2972">
        <v>0</v>
      </c>
      <c r="M2972" s="1" t="b">
        <f>Employee__2[[#This Row],[Experience]]&gt;1</f>
        <v>0</v>
      </c>
      <c r="N2972" s="1" t="str">
        <f>IF(Employee__2[[#This Row],[City]]="Pune","Yes","No")</f>
        <v>Yes</v>
      </c>
      <c r="O2972" s="1" t="str">
        <f>IF(AND(Employee__2[[#This Row],[Education]]="Bachelors",Employee__2[[#This Row],[City]]="Pune"),"Yes","No")</f>
        <v>Yes</v>
      </c>
      <c r="P2972" s="1" t="str">
        <f>IF(OR(Employee__2[[#This Row],[Age]]&gt;=30,Employee__2[[#This Row],[Gender]]="Male"),"Mached","Not mached")</f>
        <v>Mached</v>
      </c>
    </row>
    <row r="2973" spans="4:16" x14ac:dyDescent="0.25">
      <c r="D2973" s="6" t="s">
        <v>41</v>
      </c>
      <c r="E2973">
        <v>2012</v>
      </c>
      <c r="F2973" s="6" t="s">
        <v>35</v>
      </c>
      <c r="G2973">
        <v>3</v>
      </c>
      <c r="H2973">
        <v>26</v>
      </c>
      <c r="I2973" s="6" t="s">
        <v>39</v>
      </c>
      <c r="J2973" s="6" t="s">
        <v>37</v>
      </c>
      <c r="K2973">
        <v>4</v>
      </c>
      <c r="M2973" s="1" t="b">
        <f>Employee__2[[#This Row],[Experience]]&gt;1</f>
        <v>1</v>
      </c>
      <c r="N2973" s="1" t="str">
        <f>IF(Employee__2[[#This Row],[City]]="Pune","Yes","No")</f>
        <v>No</v>
      </c>
      <c r="O2973" s="1" t="str">
        <f>IF(AND(Employee__2[[#This Row],[Education]]="Bachelors",Employee__2[[#This Row],[City]]="Pune"),"Yes","No")</f>
        <v>No</v>
      </c>
      <c r="P2973" s="1" t="str">
        <f>IF(OR(Employee__2[[#This Row],[Age]]&gt;=30,Employee__2[[#This Row],[Gender]]="Male"),"Mached","Not mached")</f>
        <v>Not mached</v>
      </c>
    </row>
    <row r="2974" spans="4:16" x14ac:dyDescent="0.25">
      <c r="D2974" s="6" t="s">
        <v>34</v>
      </c>
      <c r="E2974">
        <v>2013</v>
      </c>
      <c r="F2974" s="6" t="s">
        <v>40</v>
      </c>
      <c r="G2974">
        <v>2</v>
      </c>
      <c r="H2974">
        <v>26</v>
      </c>
      <c r="I2974" s="6" t="s">
        <v>39</v>
      </c>
      <c r="J2974" s="6" t="s">
        <v>37</v>
      </c>
      <c r="K2974">
        <v>4</v>
      </c>
      <c r="M2974" s="1" t="b">
        <f>Employee__2[[#This Row],[Experience]]&gt;1</f>
        <v>1</v>
      </c>
      <c r="N2974" s="1" t="str">
        <f>IF(Employee__2[[#This Row],[City]]="Pune","Yes","No")</f>
        <v>No</v>
      </c>
      <c r="O2974" s="1" t="str">
        <f>IF(AND(Employee__2[[#This Row],[Education]]="Bachelors",Employee__2[[#This Row],[City]]="Pune"),"Yes","No")</f>
        <v>No</v>
      </c>
      <c r="P2974" s="1" t="str">
        <f>IF(OR(Employee__2[[#This Row],[Age]]&gt;=30,Employee__2[[#This Row],[Gender]]="Male"),"Mached","Not mached")</f>
        <v>Not mached</v>
      </c>
    </row>
    <row r="2975" spans="4:16" x14ac:dyDescent="0.25">
      <c r="D2975" s="6" t="s">
        <v>34</v>
      </c>
      <c r="E2975">
        <v>2015</v>
      </c>
      <c r="F2975" s="6" t="s">
        <v>35</v>
      </c>
      <c r="G2975">
        <v>3</v>
      </c>
      <c r="H2975">
        <v>26</v>
      </c>
      <c r="I2975" s="6" t="s">
        <v>36</v>
      </c>
      <c r="J2975" s="6" t="s">
        <v>37</v>
      </c>
      <c r="K2975">
        <v>4</v>
      </c>
      <c r="M2975" s="1" t="b">
        <f>Employee__2[[#This Row],[Experience]]&gt;1</f>
        <v>1</v>
      </c>
      <c r="N2975" s="1" t="str">
        <f>IF(Employee__2[[#This Row],[City]]="Pune","Yes","No")</f>
        <v>No</v>
      </c>
      <c r="O2975" s="1" t="str">
        <f>IF(AND(Employee__2[[#This Row],[Education]]="Bachelors",Employee__2[[#This Row],[City]]="Pune"),"Yes","No")</f>
        <v>No</v>
      </c>
      <c r="P2975" s="1" t="str">
        <f>IF(OR(Employee__2[[#This Row],[Age]]&gt;=30,Employee__2[[#This Row],[Gender]]="Male"),"Mached","Not mached")</f>
        <v>Mached</v>
      </c>
    </row>
    <row r="2976" spans="4:16" x14ac:dyDescent="0.25">
      <c r="D2976" s="6" t="s">
        <v>34</v>
      </c>
      <c r="E2976">
        <v>2016</v>
      </c>
      <c r="F2976" s="6" t="s">
        <v>40</v>
      </c>
      <c r="G2976">
        <v>3</v>
      </c>
      <c r="H2976">
        <v>29</v>
      </c>
      <c r="I2976" s="6" t="s">
        <v>39</v>
      </c>
      <c r="J2976" s="6" t="s">
        <v>37</v>
      </c>
      <c r="K2976">
        <v>0</v>
      </c>
      <c r="M2976" s="1" t="b">
        <f>Employee__2[[#This Row],[Experience]]&gt;1</f>
        <v>0</v>
      </c>
      <c r="N2976" s="1" t="str">
        <f>IF(Employee__2[[#This Row],[City]]="Pune","Yes","No")</f>
        <v>No</v>
      </c>
      <c r="O2976" s="1" t="str">
        <f>IF(AND(Employee__2[[#This Row],[Education]]="Bachelors",Employee__2[[#This Row],[City]]="Pune"),"Yes","No")</f>
        <v>No</v>
      </c>
      <c r="P2976" s="1" t="str">
        <f>IF(OR(Employee__2[[#This Row],[Age]]&gt;=30,Employee__2[[#This Row],[Gender]]="Male"),"Mached","Not mached")</f>
        <v>Not mached</v>
      </c>
    </row>
    <row r="2977" spans="4:16" x14ac:dyDescent="0.25">
      <c r="D2977" s="6" t="s">
        <v>34</v>
      </c>
      <c r="E2977">
        <v>2015</v>
      </c>
      <c r="F2977" s="6" t="s">
        <v>35</v>
      </c>
      <c r="G2977">
        <v>3</v>
      </c>
      <c r="H2977">
        <v>27</v>
      </c>
      <c r="I2977" s="6" t="s">
        <v>39</v>
      </c>
      <c r="J2977" s="6" t="s">
        <v>37</v>
      </c>
      <c r="K2977">
        <v>5</v>
      </c>
      <c r="M2977" s="1" t="b">
        <f>Employee__2[[#This Row],[Experience]]&gt;1</f>
        <v>1</v>
      </c>
      <c r="N2977" s="1" t="str">
        <f>IF(Employee__2[[#This Row],[City]]="Pune","Yes","No")</f>
        <v>No</v>
      </c>
      <c r="O2977" s="1" t="str">
        <f>IF(AND(Employee__2[[#This Row],[Education]]="Bachelors",Employee__2[[#This Row],[City]]="Pune"),"Yes","No")</f>
        <v>No</v>
      </c>
      <c r="P2977" s="1" t="str">
        <f>IF(OR(Employee__2[[#This Row],[Age]]&gt;=30,Employee__2[[#This Row],[Gender]]="Male"),"Mached","Not mached")</f>
        <v>Not mached</v>
      </c>
    </row>
    <row r="2978" spans="4:16" x14ac:dyDescent="0.25">
      <c r="D2978" s="6" t="s">
        <v>41</v>
      </c>
      <c r="E2978">
        <v>2018</v>
      </c>
      <c r="F2978" s="6" t="s">
        <v>40</v>
      </c>
      <c r="G2978">
        <v>3</v>
      </c>
      <c r="H2978">
        <v>28</v>
      </c>
      <c r="I2978" s="6" t="s">
        <v>39</v>
      </c>
      <c r="J2978" s="6" t="s">
        <v>37</v>
      </c>
      <c r="K2978">
        <v>2</v>
      </c>
      <c r="M2978" s="1" t="b">
        <f>Employee__2[[#This Row],[Experience]]&gt;1</f>
        <v>1</v>
      </c>
      <c r="N2978" s="1" t="str">
        <f>IF(Employee__2[[#This Row],[City]]="Pune","Yes","No")</f>
        <v>No</v>
      </c>
      <c r="O2978" s="1" t="str">
        <f>IF(AND(Employee__2[[#This Row],[Education]]="Bachelors",Employee__2[[#This Row],[City]]="Pune"),"Yes","No")</f>
        <v>No</v>
      </c>
      <c r="P2978" s="1" t="str">
        <f>IF(OR(Employee__2[[#This Row],[Age]]&gt;=30,Employee__2[[#This Row],[Gender]]="Male"),"Mached","Not mached")</f>
        <v>Not mached</v>
      </c>
    </row>
    <row r="2979" spans="4:16" x14ac:dyDescent="0.25">
      <c r="D2979" s="6" t="s">
        <v>43</v>
      </c>
      <c r="E2979">
        <v>2015</v>
      </c>
      <c r="F2979" s="6" t="s">
        <v>40</v>
      </c>
      <c r="G2979">
        <v>2</v>
      </c>
      <c r="H2979">
        <v>27</v>
      </c>
      <c r="I2979" s="6" t="s">
        <v>39</v>
      </c>
      <c r="J2979" s="6" t="s">
        <v>37</v>
      </c>
      <c r="K2979">
        <v>5</v>
      </c>
      <c r="M2979" s="1" t="b">
        <f>Employee__2[[#This Row],[Experience]]&gt;1</f>
        <v>1</v>
      </c>
      <c r="N2979" s="1" t="str">
        <f>IF(Employee__2[[#This Row],[City]]="Pune","Yes","No")</f>
        <v>No</v>
      </c>
      <c r="O2979" s="1" t="str">
        <f>IF(AND(Employee__2[[#This Row],[Education]]="Bachelors",Employee__2[[#This Row],[City]]="Pune"),"Yes","No")</f>
        <v>No</v>
      </c>
      <c r="P2979" s="1" t="str">
        <f>IF(OR(Employee__2[[#This Row],[Age]]&gt;=30,Employee__2[[#This Row],[Gender]]="Male"),"Mached","Not mached")</f>
        <v>Not mached</v>
      </c>
    </row>
    <row r="2980" spans="4:16" x14ac:dyDescent="0.25">
      <c r="D2980" s="6" t="s">
        <v>41</v>
      </c>
      <c r="E2980">
        <v>2013</v>
      </c>
      <c r="F2980" s="6" t="s">
        <v>38</v>
      </c>
      <c r="G2980">
        <v>1</v>
      </c>
      <c r="H2980">
        <v>30</v>
      </c>
      <c r="I2980" s="6" t="s">
        <v>36</v>
      </c>
      <c r="J2980" s="6" t="s">
        <v>37</v>
      </c>
      <c r="K2980">
        <v>1</v>
      </c>
      <c r="M2980" s="1" t="b">
        <f>Employee__2[[#This Row],[Experience]]&gt;1</f>
        <v>0</v>
      </c>
      <c r="N2980" s="1" t="str">
        <f>IF(Employee__2[[#This Row],[City]]="Pune","Yes","No")</f>
        <v>Yes</v>
      </c>
      <c r="O2980" s="1" t="str">
        <f>IF(AND(Employee__2[[#This Row],[Education]]="Bachelors",Employee__2[[#This Row],[City]]="Pune"),"Yes","No")</f>
        <v>No</v>
      </c>
      <c r="P2980" s="1" t="str">
        <f>IF(OR(Employee__2[[#This Row],[Age]]&gt;=30,Employee__2[[#This Row],[Gender]]="Male"),"Mached","Not mached")</f>
        <v>Mached</v>
      </c>
    </row>
    <row r="2981" spans="4:16" x14ac:dyDescent="0.25">
      <c r="D2981" s="6" t="s">
        <v>34</v>
      </c>
      <c r="E2981">
        <v>2012</v>
      </c>
      <c r="F2981" s="6" t="s">
        <v>38</v>
      </c>
      <c r="G2981">
        <v>3</v>
      </c>
      <c r="H2981">
        <v>26</v>
      </c>
      <c r="I2981" s="6" t="s">
        <v>36</v>
      </c>
      <c r="J2981" s="6" t="s">
        <v>37</v>
      </c>
      <c r="K2981">
        <v>4</v>
      </c>
      <c r="M2981" s="1" t="b">
        <f>Employee__2[[#This Row],[Experience]]&gt;1</f>
        <v>1</v>
      </c>
      <c r="N2981" s="1" t="str">
        <f>IF(Employee__2[[#This Row],[City]]="Pune","Yes","No")</f>
        <v>Yes</v>
      </c>
      <c r="O2981" s="1" t="str">
        <f>IF(AND(Employee__2[[#This Row],[Education]]="Bachelors",Employee__2[[#This Row],[City]]="Pune"),"Yes","No")</f>
        <v>Yes</v>
      </c>
      <c r="P2981" s="1" t="str">
        <f>IF(OR(Employee__2[[#This Row],[Age]]&gt;=30,Employee__2[[#This Row],[Gender]]="Male"),"Mached","Not mached")</f>
        <v>Mached</v>
      </c>
    </row>
    <row r="2982" spans="4:16" x14ac:dyDescent="0.25">
      <c r="D2982" s="6" t="s">
        <v>34</v>
      </c>
      <c r="E2982">
        <v>2015</v>
      </c>
      <c r="F2982" s="6" t="s">
        <v>38</v>
      </c>
      <c r="G2982">
        <v>2</v>
      </c>
      <c r="H2982">
        <v>26</v>
      </c>
      <c r="I2982" s="6" t="s">
        <v>39</v>
      </c>
      <c r="J2982" s="6" t="s">
        <v>42</v>
      </c>
      <c r="K2982">
        <v>4</v>
      </c>
      <c r="M2982" s="1" t="b">
        <f>Employee__2[[#This Row],[Experience]]&gt;1</f>
        <v>1</v>
      </c>
      <c r="N2982" s="1" t="str">
        <f>IF(Employee__2[[#This Row],[City]]="Pune","Yes","No")</f>
        <v>Yes</v>
      </c>
      <c r="O2982" s="1" t="str">
        <f>IF(AND(Employee__2[[#This Row],[Education]]="Bachelors",Employee__2[[#This Row],[City]]="Pune"),"Yes","No")</f>
        <v>Yes</v>
      </c>
      <c r="P2982" s="1" t="str">
        <f>IF(OR(Employee__2[[#This Row],[Age]]&gt;=30,Employee__2[[#This Row],[Gender]]="Male"),"Mached","Not mached")</f>
        <v>Not mached</v>
      </c>
    </row>
    <row r="2983" spans="4:16" x14ac:dyDescent="0.25">
      <c r="D2983" s="6" t="s">
        <v>34</v>
      </c>
      <c r="E2983">
        <v>2018</v>
      </c>
      <c r="F2983" s="6" t="s">
        <v>40</v>
      </c>
      <c r="G2983">
        <v>3</v>
      </c>
      <c r="H2983">
        <v>30</v>
      </c>
      <c r="I2983" s="6" t="s">
        <v>39</v>
      </c>
      <c r="J2983" s="6" t="s">
        <v>42</v>
      </c>
      <c r="K2983">
        <v>3</v>
      </c>
      <c r="M2983" s="1" t="b">
        <f>Employee__2[[#This Row],[Experience]]&gt;1</f>
        <v>1</v>
      </c>
      <c r="N2983" s="1" t="str">
        <f>IF(Employee__2[[#This Row],[City]]="Pune","Yes","No")</f>
        <v>No</v>
      </c>
      <c r="O2983" s="1" t="str">
        <f>IF(AND(Employee__2[[#This Row],[Education]]="Bachelors",Employee__2[[#This Row],[City]]="Pune"),"Yes","No")</f>
        <v>No</v>
      </c>
      <c r="P2983" s="1" t="str">
        <f>IF(OR(Employee__2[[#This Row],[Age]]&gt;=30,Employee__2[[#This Row],[Gender]]="Male"),"Mached","Not mached")</f>
        <v>Mached</v>
      </c>
    </row>
    <row r="2984" spans="4:16" x14ac:dyDescent="0.25">
      <c r="D2984" s="6" t="s">
        <v>43</v>
      </c>
      <c r="E2984">
        <v>2013</v>
      </c>
      <c r="F2984" s="6" t="s">
        <v>40</v>
      </c>
      <c r="G2984">
        <v>3</v>
      </c>
      <c r="H2984">
        <v>30</v>
      </c>
      <c r="I2984" s="6" t="s">
        <v>36</v>
      </c>
      <c r="J2984" s="6" t="s">
        <v>37</v>
      </c>
      <c r="K2984">
        <v>5</v>
      </c>
      <c r="M2984" s="1" t="b">
        <f>Employee__2[[#This Row],[Experience]]&gt;1</f>
        <v>1</v>
      </c>
      <c r="N2984" s="1" t="str">
        <f>IF(Employee__2[[#This Row],[City]]="Pune","Yes","No")</f>
        <v>No</v>
      </c>
      <c r="O2984" s="1" t="str">
        <f>IF(AND(Employee__2[[#This Row],[Education]]="Bachelors",Employee__2[[#This Row],[City]]="Pune"),"Yes","No")</f>
        <v>No</v>
      </c>
      <c r="P2984" s="1" t="str">
        <f>IF(OR(Employee__2[[#This Row],[Age]]&gt;=30,Employee__2[[#This Row],[Gender]]="Male"),"Mached","Not mached")</f>
        <v>Mached</v>
      </c>
    </row>
    <row r="2985" spans="4:16" x14ac:dyDescent="0.25">
      <c r="D2985" s="6" t="s">
        <v>34</v>
      </c>
      <c r="E2985">
        <v>2013</v>
      </c>
      <c r="F2985" s="6" t="s">
        <v>35</v>
      </c>
      <c r="G2985">
        <v>3</v>
      </c>
      <c r="H2985">
        <v>28</v>
      </c>
      <c r="I2985" s="6" t="s">
        <v>36</v>
      </c>
      <c r="J2985" s="6" t="s">
        <v>37</v>
      </c>
      <c r="K2985">
        <v>0</v>
      </c>
      <c r="M2985" s="1" t="b">
        <f>Employee__2[[#This Row],[Experience]]&gt;1</f>
        <v>0</v>
      </c>
      <c r="N2985" s="1" t="str">
        <f>IF(Employee__2[[#This Row],[City]]="Pune","Yes","No")</f>
        <v>No</v>
      </c>
      <c r="O2985" s="1" t="str">
        <f>IF(AND(Employee__2[[#This Row],[Education]]="Bachelors",Employee__2[[#This Row],[City]]="Pune"),"Yes","No")</f>
        <v>No</v>
      </c>
      <c r="P2985" s="1" t="str">
        <f>IF(OR(Employee__2[[#This Row],[Age]]&gt;=30,Employee__2[[#This Row],[Gender]]="Male"),"Mached","Not mached")</f>
        <v>Mached</v>
      </c>
    </row>
    <row r="2986" spans="4:16" x14ac:dyDescent="0.25">
      <c r="D2986" s="6" t="s">
        <v>41</v>
      </c>
      <c r="E2986">
        <v>2014</v>
      </c>
      <c r="F2986" s="6" t="s">
        <v>40</v>
      </c>
      <c r="G2986">
        <v>3</v>
      </c>
      <c r="H2986">
        <v>26</v>
      </c>
      <c r="I2986" s="6" t="s">
        <v>36</v>
      </c>
      <c r="J2986" s="6" t="s">
        <v>42</v>
      </c>
      <c r="K2986">
        <v>4</v>
      </c>
      <c r="M2986" s="1" t="b">
        <f>Employee__2[[#This Row],[Experience]]&gt;1</f>
        <v>1</v>
      </c>
      <c r="N2986" s="1" t="str">
        <f>IF(Employee__2[[#This Row],[City]]="Pune","Yes","No")</f>
        <v>No</v>
      </c>
      <c r="O2986" s="1" t="str">
        <f>IF(AND(Employee__2[[#This Row],[Education]]="Bachelors",Employee__2[[#This Row],[City]]="Pune"),"Yes","No")</f>
        <v>No</v>
      </c>
      <c r="P2986" s="1" t="str">
        <f>IF(OR(Employee__2[[#This Row],[Age]]&gt;=30,Employee__2[[#This Row],[Gender]]="Male"),"Mached","Not mached")</f>
        <v>Mached</v>
      </c>
    </row>
    <row r="2987" spans="4:16" x14ac:dyDescent="0.25">
      <c r="D2987" s="6" t="s">
        <v>34</v>
      </c>
      <c r="E2987">
        <v>2017</v>
      </c>
      <c r="F2987" s="6" t="s">
        <v>35</v>
      </c>
      <c r="G2987">
        <v>3</v>
      </c>
      <c r="H2987">
        <v>29</v>
      </c>
      <c r="I2987" s="6" t="s">
        <v>36</v>
      </c>
      <c r="J2987" s="6" t="s">
        <v>37</v>
      </c>
      <c r="K2987">
        <v>1</v>
      </c>
      <c r="M2987" s="1" t="b">
        <f>Employee__2[[#This Row],[Experience]]&gt;1</f>
        <v>0</v>
      </c>
      <c r="N2987" s="1" t="str">
        <f>IF(Employee__2[[#This Row],[City]]="Pune","Yes","No")</f>
        <v>No</v>
      </c>
      <c r="O2987" s="1" t="str">
        <f>IF(AND(Employee__2[[#This Row],[Education]]="Bachelors",Employee__2[[#This Row],[City]]="Pune"),"Yes","No")</f>
        <v>No</v>
      </c>
      <c r="P2987" s="1" t="str">
        <f>IF(OR(Employee__2[[#This Row],[Age]]&gt;=30,Employee__2[[#This Row],[Gender]]="Male"),"Mached","Not mached")</f>
        <v>Mached</v>
      </c>
    </row>
    <row r="2988" spans="4:16" x14ac:dyDescent="0.25">
      <c r="D2988" s="6" t="s">
        <v>34</v>
      </c>
      <c r="E2988">
        <v>2013</v>
      </c>
      <c r="F2988" s="6" t="s">
        <v>35</v>
      </c>
      <c r="G2988">
        <v>3</v>
      </c>
      <c r="H2988">
        <v>26</v>
      </c>
      <c r="I2988" s="6" t="s">
        <v>36</v>
      </c>
      <c r="J2988" s="6" t="s">
        <v>37</v>
      </c>
      <c r="K2988">
        <v>4</v>
      </c>
      <c r="M2988" s="1" t="b">
        <f>Employee__2[[#This Row],[Experience]]&gt;1</f>
        <v>1</v>
      </c>
      <c r="N2988" s="1" t="str">
        <f>IF(Employee__2[[#This Row],[City]]="Pune","Yes","No")</f>
        <v>No</v>
      </c>
      <c r="O2988" s="1" t="str">
        <f>IF(AND(Employee__2[[#This Row],[Education]]="Bachelors",Employee__2[[#This Row],[City]]="Pune"),"Yes","No")</f>
        <v>No</v>
      </c>
      <c r="P2988" s="1" t="str">
        <f>IF(OR(Employee__2[[#This Row],[Age]]&gt;=30,Employee__2[[#This Row],[Gender]]="Male"),"Mached","Not mached")</f>
        <v>Mached</v>
      </c>
    </row>
    <row r="2989" spans="4:16" x14ac:dyDescent="0.25">
      <c r="D2989" s="6" t="s">
        <v>34</v>
      </c>
      <c r="E2989">
        <v>2012</v>
      </c>
      <c r="F2989" s="6" t="s">
        <v>38</v>
      </c>
      <c r="G2989">
        <v>3</v>
      </c>
      <c r="H2989">
        <v>26</v>
      </c>
      <c r="I2989" s="6" t="s">
        <v>36</v>
      </c>
      <c r="J2989" s="6" t="s">
        <v>37</v>
      </c>
      <c r="K2989">
        <v>4</v>
      </c>
      <c r="M2989" s="1" t="b">
        <f>Employee__2[[#This Row],[Experience]]&gt;1</f>
        <v>1</v>
      </c>
      <c r="N2989" s="1" t="str">
        <f>IF(Employee__2[[#This Row],[City]]="Pune","Yes","No")</f>
        <v>Yes</v>
      </c>
      <c r="O2989" s="1" t="str">
        <f>IF(AND(Employee__2[[#This Row],[Education]]="Bachelors",Employee__2[[#This Row],[City]]="Pune"),"Yes","No")</f>
        <v>Yes</v>
      </c>
      <c r="P2989" s="1" t="str">
        <f>IF(OR(Employee__2[[#This Row],[Age]]&gt;=30,Employee__2[[#This Row],[Gender]]="Male"),"Mached","Not mached")</f>
        <v>Mached</v>
      </c>
    </row>
    <row r="2990" spans="4:16" x14ac:dyDescent="0.25">
      <c r="D2990" s="6" t="s">
        <v>34</v>
      </c>
      <c r="E2990">
        <v>2014</v>
      </c>
      <c r="F2990" s="6" t="s">
        <v>38</v>
      </c>
      <c r="G2990">
        <v>3</v>
      </c>
      <c r="H2990">
        <v>26</v>
      </c>
      <c r="I2990" s="6" t="s">
        <v>36</v>
      </c>
      <c r="J2990" s="6" t="s">
        <v>37</v>
      </c>
      <c r="K2990">
        <v>4</v>
      </c>
      <c r="M2990" s="1" t="b">
        <f>Employee__2[[#This Row],[Experience]]&gt;1</f>
        <v>1</v>
      </c>
      <c r="N2990" s="1" t="str">
        <f>IF(Employee__2[[#This Row],[City]]="Pune","Yes","No")</f>
        <v>Yes</v>
      </c>
      <c r="O2990" s="1" t="str">
        <f>IF(AND(Employee__2[[#This Row],[Education]]="Bachelors",Employee__2[[#This Row],[City]]="Pune"),"Yes","No")</f>
        <v>Yes</v>
      </c>
      <c r="P2990" s="1" t="str">
        <f>IF(OR(Employee__2[[#This Row],[Age]]&gt;=30,Employee__2[[#This Row],[Gender]]="Male"),"Mached","Not mached")</f>
        <v>Mached</v>
      </c>
    </row>
    <row r="2991" spans="4:16" x14ac:dyDescent="0.25">
      <c r="D2991" s="6" t="s">
        <v>34</v>
      </c>
      <c r="E2991">
        <v>2015</v>
      </c>
      <c r="F2991" s="6" t="s">
        <v>38</v>
      </c>
      <c r="G2991">
        <v>3</v>
      </c>
      <c r="H2991">
        <v>29</v>
      </c>
      <c r="I2991" s="6" t="s">
        <v>36</v>
      </c>
      <c r="J2991" s="6" t="s">
        <v>37</v>
      </c>
      <c r="K2991">
        <v>0</v>
      </c>
      <c r="M2991" s="1" t="b">
        <f>Employee__2[[#This Row],[Experience]]&gt;1</f>
        <v>0</v>
      </c>
      <c r="N2991" s="1" t="str">
        <f>IF(Employee__2[[#This Row],[City]]="Pune","Yes","No")</f>
        <v>Yes</v>
      </c>
      <c r="O2991" s="1" t="str">
        <f>IF(AND(Employee__2[[#This Row],[Education]]="Bachelors",Employee__2[[#This Row],[City]]="Pune"),"Yes","No")</f>
        <v>Yes</v>
      </c>
      <c r="P2991" s="1" t="str">
        <f>IF(OR(Employee__2[[#This Row],[Age]]&gt;=30,Employee__2[[#This Row],[Gender]]="Male"),"Mached","Not mached")</f>
        <v>Mached</v>
      </c>
    </row>
    <row r="2992" spans="4:16" x14ac:dyDescent="0.25">
      <c r="D2992" s="6" t="s">
        <v>34</v>
      </c>
      <c r="E2992">
        <v>2014</v>
      </c>
      <c r="F2992" s="6" t="s">
        <v>35</v>
      </c>
      <c r="G2992">
        <v>1</v>
      </c>
      <c r="H2992">
        <v>26</v>
      </c>
      <c r="I2992" s="6" t="s">
        <v>36</v>
      </c>
      <c r="J2992" s="6" t="s">
        <v>37</v>
      </c>
      <c r="K2992">
        <v>4</v>
      </c>
      <c r="M2992" s="1" t="b">
        <f>Employee__2[[#This Row],[Experience]]&gt;1</f>
        <v>1</v>
      </c>
      <c r="N2992" s="1" t="str">
        <f>IF(Employee__2[[#This Row],[City]]="Pune","Yes","No")</f>
        <v>No</v>
      </c>
      <c r="O2992" s="1" t="str">
        <f>IF(AND(Employee__2[[#This Row],[Education]]="Bachelors",Employee__2[[#This Row],[City]]="Pune"),"Yes","No")</f>
        <v>No</v>
      </c>
      <c r="P2992" s="1" t="str">
        <f>IF(OR(Employee__2[[#This Row],[Age]]&gt;=30,Employee__2[[#This Row],[Gender]]="Male"),"Mached","Not mached")</f>
        <v>Mached</v>
      </c>
    </row>
    <row r="2993" spans="4:16" x14ac:dyDescent="0.25">
      <c r="D2993" s="6" t="s">
        <v>34</v>
      </c>
      <c r="E2993">
        <v>2018</v>
      </c>
      <c r="F2993" s="6" t="s">
        <v>35</v>
      </c>
      <c r="G2993">
        <v>3</v>
      </c>
      <c r="H2993">
        <v>36</v>
      </c>
      <c r="I2993" s="6" t="s">
        <v>36</v>
      </c>
      <c r="J2993" s="6" t="s">
        <v>37</v>
      </c>
      <c r="K2993">
        <v>2</v>
      </c>
      <c r="M2993" s="1" t="b">
        <f>Employee__2[[#This Row],[Experience]]&gt;1</f>
        <v>1</v>
      </c>
      <c r="N2993" s="1" t="str">
        <f>IF(Employee__2[[#This Row],[City]]="Pune","Yes","No")</f>
        <v>No</v>
      </c>
      <c r="O2993" s="1" t="str">
        <f>IF(AND(Employee__2[[#This Row],[Education]]="Bachelors",Employee__2[[#This Row],[City]]="Pune"),"Yes","No")</f>
        <v>No</v>
      </c>
      <c r="P2993" s="1" t="str">
        <f>IF(OR(Employee__2[[#This Row],[Age]]&gt;=30,Employee__2[[#This Row],[Gender]]="Male"),"Mached","Not mached")</f>
        <v>Mached</v>
      </c>
    </row>
    <row r="2994" spans="4:16" x14ac:dyDescent="0.25">
      <c r="D2994" s="6" t="s">
        <v>34</v>
      </c>
      <c r="E2994">
        <v>2018</v>
      </c>
      <c r="F2994" s="6" t="s">
        <v>35</v>
      </c>
      <c r="G2994">
        <v>3</v>
      </c>
      <c r="H2994">
        <v>37</v>
      </c>
      <c r="I2994" s="6" t="s">
        <v>36</v>
      </c>
      <c r="J2994" s="6" t="s">
        <v>37</v>
      </c>
      <c r="K2994">
        <v>4</v>
      </c>
      <c r="M2994" s="1" t="b">
        <f>Employee__2[[#This Row],[Experience]]&gt;1</f>
        <v>1</v>
      </c>
      <c r="N2994" s="1" t="str">
        <f>IF(Employee__2[[#This Row],[City]]="Pune","Yes","No")</f>
        <v>No</v>
      </c>
      <c r="O2994" s="1" t="str">
        <f>IF(AND(Employee__2[[#This Row],[Education]]="Bachelors",Employee__2[[#This Row],[City]]="Pune"),"Yes","No")</f>
        <v>No</v>
      </c>
      <c r="P2994" s="1" t="str">
        <f>IF(OR(Employee__2[[#This Row],[Age]]&gt;=30,Employee__2[[#This Row],[Gender]]="Male"),"Mached","Not mached")</f>
        <v>Mached</v>
      </c>
    </row>
    <row r="2995" spans="4:16" x14ac:dyDescent="0.25">
      <c r="D2995" s="6" t="s">
        <v>34</v>
      </c>
      <c r="E2995">
        <v>2015</v>
      </c>
      <c r="F2995" s="6" t="s">
        <v>38</v>
      </c>
      <c r="G2995">
        <v>3</v>
      </c>
      <c r="H2995">
        <v>35</v>
      </c>
      <c r="I2995" s="6" t="s">
        <v>39</v>
      </c>
      <c r="J2995" s="6" t="s">
        <v>37</v>
      </c>
      <c r="K2995">
        <v>0</v>
      </c>
      <c r="M2995" s="1" t="b">
        <f>Employee__2[[#This Row],[Experience]]&gt;1</f>
        <v>0</v>
      </c>
      <c r="N2995" s="1" t="str">
        <f>IF(Employee__2[[#This Row],[City]]="Pune","Yes","No")</f>
        <v>Yes</v>
      </c>
      <c r="O2995" s="1" t="str">
        <f>IF(AND(Employee__2[[#This Row],[Education]]="Bachelors",Employee__2[[#This Row],[City]]="Pune"),"Yes","No")</f>
        <v>Yes</v>
      </c>
      <c r="P2995" s="1" t="str">
        <f>IF(OR(Employee__2[[#This Row],[Age]]&gt;=30,Employee__2[[#This Row],[Gender]]="Male"),"Mached","Not mached")</f>
        <v>Mached</v>
      </c>
    </row>
    <row r="2996" spans="4:16" x14ac:dyDescent="0.25">
      <c r="D2996" s="6" t="s">
        <v>34</v>
      </c>
      <c r="E2996">
        <v>2013</v>
      </c>
      <c r="F2996" s="6" t="s">
        <v>38</v>
      </c>
      <c r="G2996">
        <v>2</v>
      </c>
      <c r="H2996">
        <v>32</v>
      </c>
      <c r="I2996" s="6" t="s">
        <v>39</v>
      </c>
      <c r="J2996" s="6" t="s">
        <v>37</v>
      </c>
      <c r="K2996">
        <v>4</v>
      </c>
      <c r="M2996" s="1" t="b">
        <f>Employee__2[[#This Row],[Experience]]&gt;1</f>
        <v>1</v>
      </c>
      <c r="N2996" s="1" t="str">
        <f>IF(Employee__2[[#This Row],[City]]="Pune","Yes","No")</f>
        <v>Yes</v>
      </c>
      <c r="O2996" s="1" t="str">
        <f>IF(AND(Employee__2[[#This Row],[Education]]="Bachelors",Employee__2[[#This Row],[City]]="Pune"),"Yes","No")</f>
        <v>Yes</v>
      </c>
      <c r="P2996" s="1" t="str">
        <f>IF(OR(Employee__2[[#This Row],[Age]]&gt;=30,Employee__2[[#This Row],[Gender]]="Male"),"Mached","Not mached")</f>
        <v>Mached</v>
      </c>
    </row>
    <row r="2997" spans="4:16" x14ac:dyDescent="0.25">
      <c r="D2997" s="6" t="s">
        <v>34</v>
      </c>
      <c r="E2997">
        <v>2013</v>
      </c>
      <c r="F2997" s="6" t="s">
        <v>38</v>
      </c>
      <c r="G2997">
        <v>1</v>
      </c>
      <c r="H2997">
        <v>39</v>
      </c>
      <c r="I2997" s="6" t="s">
        <v>39</v>
      </c>
      <c r="J2997" s="6" t="s">
        <v>37</v>
      </c>
      <c r="K2997">
        <v>0</v>
      </c>
      <c r="M2997" s="1" t="b">
        <f>Employee__2[[#This Row],[Experience]]&gt;1</f>
        <v>0</v>
      </c>
      <c r="N2997" s="1" t="str">
        <f>IF(Employee__2[[#This Row],[City]]="Pune","Yes","No")</f>
        <v>Yes</v>
      </c>
      <c r="O2997" s="1" t="str">
        <f>IF(AND(Employee__2[[#This Row],[Education]]="Bachelors",Employee__2[[#This Row],[City]]="Pune"),"Yes","No")</f>
        <v>Yes</v>
      </c>
      <c r="P2997" s="1" t="str">
        <f>IF(OR(Employee__2[[#This Row],[Age]]&gt;=30,Employee__2[[#This Row],[Gender]]="Male"),"Mached","Not mached")</f>
        <v>Mached</v>
      </c>
    </row>
    <row r="2998" spans="4:16" x14ac:dyDescent="0.25">
      <c r="D2998" s="6" t="s">
        <v>34</v>
      </c>
      <c r="E2998">
        <v>2018</v>
      </c>
      <c r="F2998" s="6" t="s">
        <v>38</v>
      </c>
      <c r="G2998">
        <v>3</v>
      </c>
      <c r="H2998">
        <v>32</v>
      </c>
      <c r="I2998" s="6" t="s">
        <v>36</v>
      </c>
      <c r="J2998" s="6" t="s">
        <v>37</v>
      </c>
      <c r="K2998">
        <v>1</v>
      </c>
      <c r="M2998" s="1" t="b">
        <f>Employee__2[[#This Row],[Experience]]&gt;1</f>
        <v>0</v>
      </c>
      <c r="N2998" s="1" t="str">
        <f>IF(Employee__2[[#This Row],[City]]="Pune","Yes","No")</f>
        <v>Yes</v>
      </c>
      <c r="O2998" s="1" t="str">
        <f>IF(AND(Employee__2[[#This Row],[Education]]="Bachelors",Employee__2[[#This Row],[City]]="Pune"),"Yes","No")</f>
        <v>Yes</v>
      </c>
      <c r="P2998" s="1" t="str">
        <f>IF(OR(Employee__2[[#This Row],[Age]]&gt;=30,Employee__2[[#This Row],[Gender]]="Male"),"Mached","Not mached")</f>
        <v>Mached</v>
      </c>
    </row>
    <row r="2999" spans="4:16" x14ac:dyDescent="0.25">
      <c r="D2999" s="6" t="s">
        <v>43</v>
      </c>
      <c r="E2999">
        <v>2012</v>
      </c>
      <c r="F2999" s="6" t="s">
        <v>40</v>
      </c>
      <c r="G2999">
        <v>3</v>
      </c>
      <c r="H2999">
        <v>37</v>
      </c>
      <c r="I2999" s="6" t="s">
        <v>39</v>
      </c>
      <c r="J2999" s="6" t="s">
        <v>37</v>
      </c>
      <c r="K2999">
        <v>5</v>
      </c>
      <c r="M2999" s="1" t="b">
        <f>Employee__2[[#This Row],[Experience]]&gt;1</f>
        <v>1</v>
      </c>
      <c r="N2999" s="1" t="str">
        <f>IF(Employee__2[[#This Row],[City]]="Pune","Yes","No")</f>
        <v>No</v>
      </c>
      <c r="O2999" s="1" t="str">
        <f>IF(AND(Employee__2[[#This Row],[Education]]="Bachelors",Employee__2[[#This Row],[City]]="Pune"),"Yes","No")</f>
        <v>No</v>
      </c>
      <c r="P2999" s="1" t="str">
        <f>IF(OR(Employee__2[[#This Row],[Age]]&gt;=30,Employee__2[[#This Row],[Gender]]="Male"),"Mached","Not mached")</f>
        <v>Mached</v>
      </c>
    </row>
    <row r="3000" spans="4:16" x14ac:dyDescent="0.25">
      <c r="D3000" s="6" t="s">
        <v>34</v>
      </c>
      <c r="E3000">
        <v>2012</v>
      </c>
      <c r="F3000" s="6" t="s">
        <v>38</v>
      </c>
      <c r="G3000">
        <v>3</v>
      </c>
      <c r="H3000">
        <v>31</v>
      </c>
      <c r="I3000" s="6" t="s">
        <v>36</v>
      </c>
      <c r="J3000" s="6" t="s">
        <v>37</v>
      </c>
      <c r="K3000">
        <v>4</v>
      </c>
      <c r="M3000" s="1" t="b">
        <f>Employee__2[[#This Row],[Experience]]&gt;1</f>
        <v>1</v>
      </c>
      <c r="N3000" s="1" t="str">
        <f>IF(Employee__2[[#This Row],[City]]="Pune","Yes","No")</f>
        <v>Yes</v>
      </c>
      <c r="O3000" s="1" t="str">
        <f>IF(AND(Employee__2[[#This Row],[Education]]="Bachelors",Employee__2[[#This Row],[City]]="Pune"),"Yes","No")</f>
        <v>Yes</v>
      </c>
      <c r="P3000" s="1" t="str">
        <f>IF(OR(Employee__2[[#This Row],[Age]]&gt;=30,Employee__2[[#This Row],[Gender]]="Male"),"Mached","Not mached")</f>
        <v>Mached</v>
      </c>
    </row>
    <row r="3001" spans="4:16" x14ac:dyDescent="0.25">
      <c r="D3001" s="6" t="s">
        <v>34</v>
      </c>
      <c r="E3001">
        <v>2018</v>
      </c>
      <c r="F3001" s="6" t="s">
        <v>38</v>
      </c>
      <c r="G3001">
        <v>3</v>
      </c>
      <c r="H3001">
        <v>31</v>
      </c>
      <c r="I3001" s="6" t="s">
        <v>36</v>
      </c>
      <c r="J3001" s="6" t="s">
        <v>37</v>
      </c>
      <c r="K3001">
        <v>1</v>
      </c>
      <c r="M3001" s="1" t="b">
        <f>Employee__2[[#This Row],[Experience]]&gt;1</f>
        <v>0</v>
      </c>
      <c r="N3001" s="1" t="str">
        <f>IF(Employee__2[[#This Row],[City]]="Pune","Yes","No")</f>
        <v>Yes</v>
      </c>
      <c r="O3001" s="1" t="str">
        <f>IF(AND(Employee__2[[#This Row],[Education]]="Bachelors",Employee__2[[#This Row],[City]]="Pune"),"Yes","No")</f>
        <v>Yes</v>
      </c>
      <c r="P3001" s="1" t="str">
        <f>IF(OR(Employee__2[[#This Row],[Age]]&gt;=30,Employee__2[[#This Row],[Gender]]="Male"),"Mached","Not mached")</f>
        <v>Mached</v>
      </c>
    </row>
    <row r="3002" spans="4:16" x14ac:dyDescent="0.25">
      <c r="D3002" s="6" t="s">
        <v>34</v>
      </c>
      <c r="E3002">
        <v>2017</v>
      </c>
      <c r="F3002" s="6" t="s">
        <v>35</v>
      </c>
      <c r="G3002">
        <v>3</v>
      </c>
      <c r="H3002">
        <v>33</v>
      </c>
      <c r="I3002" s="6" t="s">
        <v>36</v>
      </c>
      <c r="J3002" s="6" t="s">
        <v>37</v>
      </c>
      <c r="K3002">
        <v>2</v>
      </c>
      <c r="M3002" s="1" t="b">
        <f>Employee__2[[#This Row],[Experience]]&gt;1</f>
        <v>1</v>
      </c>
      <c r="N3002" s="1" t="str">
        <f>IF(Employee__2[[#This Row],[City]]="Pune","Yes","No")</f>
        <v>No</v>
      </c>
      <c r="O3002" s="1" t="str">
        <f>IF(AND(Employee__2[[#This Row],[Education]]="Bachelors",Employee__2[[#This Row],[City]]="Pune"),"Yes","No")</f>
        <v>No</v>
      </c>
      <c r="P3002" s="1" t="str">
        <f>IF(OR(Employee__2[[#This Row],[Age]]&gt;=30,Employee__2[[#This Row],[Gender]]="Male"),"Mached","Not mached")</f>
        <v>Mached</v>
      </c>
    </row>
    <row r="3003" spans="4:16" x14ac:dyDescent="0.25">
      <c r="D3003" s="6" t="s">
        <v>41</v>
      </c>
      <c r="E3003">
        <v>2017</v>
      </c>
      <c r="F3003" s="6" t="s">
        <v>38</v>
      </c>
      <c r="G3003">
        <v>2</v>
      </c>
      <c r="H3003">
        <v>37</v>
      </c>
      <c r="I3003" s="6" t="s">
        <v>36</v>
      </c>
      <c r="J3003" s="6" t="s">
        <v>37</v>
      </c>
      <c r="K3003">
        <v>2</v>
      </c>
      <c r="M3003" s="1" t="b">
        <f>Employee__2[[#This Row],[Experience]]&gt;1</f>
        <v>1</v>
      </c>
      <c r="N3003" s="1" t="str">
        <f>IF(Employee__2[[#This Row],[City]]="Pune","Yes","No")</f>
        <v>Yes</v>
      </c>
      <c r="O3003" s="1" t="str">
        <f>IF(AND(Employee__2[[#This Row],[Education]]="Bachelors",Employee__2[[#This Row],[City]]="Pune"),"Yes","No")</f>
        <v>No</v>
      </c>
      <c r="P3003" s="1" t="str">
        <f>IF(OR(Employee__2[[#This Row],[Age]]&gt;=30,Employee__2[[#This Row],[Gender]]="Male"),"Mached","Not mached")</f>
        <v>Mached</v>
      </c>
    </row>
    <row r="3004" spans="4:16" x14ac:dyDescent="0.25">
      <c r="D3004" s="6" t="s">
        <v>34</v>
      </c>
      <c r="E3004">
        <v>2014</v>
      </c>
      <c r="F3004" s="6" t="s">
        <v>38</v>
      </c>
      <c r="G3004">
        <v>3</v>
      </c>
      <c r="H3004">
        <v>31</v>
      </c>
      <c r="I3004" s="6" t="s">
        <v>36</v>
      </c>
      <c r="J3004" s="6" t="s">
        <v>42</v>
      </c>
      <c r="K3004">
        <v>1</v>
      </c>
      <c r="M3004" s="1" t="b">
        <f>Employee__2[[#This Row],[Experience]]&gt;1</f>
        <v>0</v>
      </c>
      <c r="N3004" s="1" t="str">
        <f>IF(Employee__2[[#This Row],[City]]="Pune","Yes","No")</f>
        <v>Yes</v>
      </c>
      <c r="O3004" s="1" t="str">
        <f>IF(AND(Employee__2[[#This Row],[Education]]="Bachelors",Employee__2[[#This Row],[City]]="Pune"),"Yes","No")</f>
        <v>Yes</v>
      </c>
      <c r="P3004" s="1" t="str">
        <f>IF(OR(Employee__2[[#This Row],[Age]]&gt;=30,Employee__2[[#This Row],[Gender]]="Male"),"Mached","Not mached")</f>
        <v>Mached</v>
      </c>
    </row>
    <row r="3005" spans="4:16" x14ac:dyDescent="0.25">
      <c r="D3005" s="6" t="s">
        <v>41</v>
      </c>
      <c r="E3005">
        <v>2017</v>
      </c>
      <c r="F3005" s="6" t="s">
        <v>35</v>
      </c>
      <c r="G3005">
        <v>3</v>
      </c>
      <c r="H3005">
        <v>40</v>
      </c>
      <c r="I3005" s="6" t="s">
        <v>39</v>
      </c>
      <c r="J3005" s="6" t="s">
        <v>37</v>
      </c>
      <c r="K3005">
        <v>4</v>
      </c>
      <c r="M3005" s="1" t="b">
        <f>Employee__2[[#This Row],[Experience]]&gt;1</f>
        <v>1</v>
      </c>
      <c r="N3005" s="1" t="str">
        <f>IF(Employee__2[[#This Row],[City]]="Pune","Yes","No")</f>
        <v>No</v>
      </c>
      <c r="O3005" s="1" t="str">
        <f>IF(AND(Employee__2[[#This Row],[Education]]="Bachelors",Employee__2[[#This Row],[City]]="Pune"),"Yes","No")</f>
        <v>No</v>
      </c>
      <c r="P3005" s="1" t="str">
        <f>IF(OR(Employee__2[[#This Row],[Age]]&gt;=30,Employee__2[[#This Row],[Gender]]="Male"),"Mached","Not mached")</f>
        <v>Mached</v>
      </c>
    </row>
    <row r="3006" spans="4:16" x14ac:dyDescent="0.25">
      <c r="D3006" s="6" t="s">
        <v>34</v>
      </c>
      <c r="E3006">
        <v>2017</v>
      </c>
      <c r="F3006" s="6" t="s">
        <v>40</v>
      </c>
      <c r="G3006">
        <v>2</v>
      </c>
      <c r="H3006">
        <v>32</v>
      </c>
      <c r="I3006" s="6" t="s">
        <v>36</v>
      </c>
      <c r="J3006" s="6" t="s">
        <v>37</v>
      </c>
      <c r="K3006">
        <v>0</v>
      </c>
      <c r="M3006" s="1" t="b">
        <f>Employee__2[[#This Row],[Experience]]&gt;1</f>
        <v>0</v>
      </c>
      <c r="N3006" s="1" t="str">
        <f>IF(Employee__2[[#This Row],[City]]="Pune","Yes","No")</f>
        <v>No</v>
      </c>
      <c r="O3006" s="1" t="str">
        <f>IF(AND(Employee__2[[#This Row],[Education]]="Bachelors",Employee__2[[#This Row],[City]]="Pune"),"Yes","No")</f>
        <v>No</v>
      </c>
      <c r="P3006" s="1" t="str">
        <f>IF(OR(Employee__2[[#This Row],[Age]]&gt;=30,Employee__2[[#This Row],[Gender]]="Male"),"Mached","Not mached")</f>
        <v>Mached</v>
      </c>
    </row>
    <row r="3007" spans="4:16" x14ac:dyDescent="0.25">
      <c r="D3007" s="6" t="s">
        <v>34</v>
      </c>
      <c r="E3007">
        <v>2016</v>
      </c>
      <c r="F3007" s="6" t="s">
        <v>35</v>
      </c>
      <c r="G3007">
        <v>3</v>
      </c>
      <c r="H3007">
        <v>41</v>
      </c>
      <c r="I3007" s="6" t="s">
        <v>36</v>
      </c>
      <c r="J3007" s="6" t="s">
        <v>37</v>
      </c>
      <c r="K3007">
        <v>0</v>
      </c>
      <c r="M3007" s="1" t="b">
        <f>Employee__2[[#This Row],[Experience]]&gt;1</f>
        <v>0</v>
      </c>
      <c r="N3007" s="1" t="str">
        <f>IF(Employee__2[[#This Row],[City]]="Pune","Yes","No")</f>
        <v>No</v>
      </c>
      <c r="O3007" s="1" t="str">
        <f>IF(AND(Employee__2[[#This Row],[Education]]="Bachelors",Employee__2[[#This Row],[City]]="Pune"),"Yes","No")</f>
        <v>No</v>
      </c>
      <c r="P3007" s="1" t="str">
        <f>IF(OR(Employee__2[[#This Row],[Age]]&gt;=30,Employee__2[[#This Row],[Gender]]="Male"),"Mached","Not mached")</f>
        <v>Mached</v>
      </c>
    </row>
    <row r="3008" spans="4:16" x14ac:dyDescent="0.25">
      <c r="D3008" s="6" t="s">
        <v>34</v>
      </c>
      <c r="E3008">
        <v>2018</v>
      </c>
      <c r="F3008" s="6" t="s">
        <v>35</v>
      </c>
      <c r="G3008">
        <v>3</v>
      </c>
      <c r="H3008">
        <v>35</v>
      </c>
      <c r="I3008" s="6" t="s">
        <v>39</v>
      </c>
      <c r="J3008" s="6" t="s">
        <v>42</v>
      </c>
      <c r="K3008">
        <v>5</v>
      </c>
      <c r="M3008" s="1" t="b">
        <f>Employee__2[[#This Row],[Experience]]&gt;1</f>
        <v>1</v>
      </c>
      <c r="N3008" s="1" t="str">
        <f>IF(Employee__2[[#This Row],[City]]="Pune","Yes","No")</f>
        <v>No</v>
      </c>
      <c r="O3008" s="1" t="str">
        <f>IF(AND(Employee__2[[#This Row],[Education]]="Bachelors",Employee__2[[#This Row],[City]]="Pune"),"Yes","No")</f>
        <v>No</v>
      </c>
      <c r="P3008" s="1" t="str">
        <f>IF(OR(Employee__2[[#This Row],[Age]]&gt;=30,Employee__2[[#This Row],[Gender]]="Male"),"Mached","Not mached")</f>
        <v>Mached</v>
      </c>
    </row>
    <row r="3009" spans="4:16" x14ac:dyDescent="0.25">
      <c r="D3009" s="6" t="s">
        <v>34</v>
      </c>
      <c r="E3009">
        <v>2014</v>
      </c>
      <c r="F3009" s="6" t="s">
        <v>38</v>
      </c>
      <c r="G3009">
        <v>3</v>
      </c>
      <c r="H3009">
        <v>34</v>
      </c>
      <c r="I3009" s="6" t="s">
        <v>36</v>
      </c>
      <c r="J3009" s="6" t="s">
        <v>37</v>
      </c>
      <c r="K3009">
        <v>3</v>
      </c>
      <c r="M3009" s="1" t="b">
        <f>Employee__2[[#This Row],[Experience]]&gt;1</f>
        <v>1</v>
      </c>
      <c r="N3009" s="1" t="str">
        <f>IF(Employee__2[[#This Row],[City]]="Pune","Yes","No")</f>
        <v>Yes</v>
      </c>
      <c r="O3009" s="1" t="str">
        <f>IF(AND(Employee__2[[#This Row],[Education]]="Bachelors",Employee__2[[#This Row],[City]]="Pune"),"Yes","No")</f>
        <v>Yes</v>
      </c>
      <c r="P3009" s="1" t="str">
        <f>IF(OR(Employee__2[[#This Row],[Age]]&gt;=30,Employee__2[[#This Row],[Gender]]="Male"),"Mached","Not mached")</f>
        <v>Mached</v>
      </c>
    </row>
    <row r="3010" spans="4:16" x14ac:dyDescent="0.25">
      <c r="D3010" s="6" t="s">
        <v>34</v>
      </c>
      <c r="E3010">
        <v>2017</v>
      </c>
      <c r="F3010" s="6" t="s">
        <v>35</v>
      </c>
      <c r="G3010">
        <v>3</v>
      </c>
      <c r="H3010">
        <v>31</v>
      </c>
      <c r="I3010" s="6" t="s">
        <v>36</v>
      </c>
      <c r="J3010" s="6" t="s">
        <v>37</v>
      </c>
      <c r="K3010">
        <v>0</v>
      </c>
      <c r="M3010" s="1" t="b">
        <f>Employee__2[[#This Row],[Experience]]&gt;1</f>
        <v>0</v>
      </c>
      <c r="N3010" s="1" t="str">
        <f>IF(Employee__2[[#This Row],[City]]="Pune","Yes","No")</f>
        <v>No</v>
      </c>
      <c r="O3010" s="1" t="str">
        <f>IF(AND(Employee__2[[#This Row],[Education]]="Bachelors",Employee__2[[#This Row],[City]]="Pune"),"Yes","No")</f>
        <v>No</v>
      </c>
      <c r="P3010" s="1" t="str">
        <f>IF(OR(Employee__2[[#This Row],[Age]]&gt;=30,Employee__2[[#This Row],[Gender]]="Male"),"Mached","Not mached")</f>
        <v>Mached</v>
      </c>
    </row>
    <row r="3011" spans="4:16" x14ac:dyDescent="0.25">
      <c r="D3011" s="6" t="s">
        <v>41</v>
      </c>
      <c r="E3011">
        <v>2017</v>
      </c>
      <c r="F3011" s="6" t="s">
        <v>35</v>
      </c>
      <c r="G3011">
        <v>3</v>
      </c>
      <c r="H3011">
        <v>41</v>
      </c>
      <c r="I3011" s="6" t="s">
        <v>39</v>
      </c>
      <c r="J3011" s="6" t="s">
        <v>37</v>
      </c>
      <c r="K3011">
        <v>2</v>
      </c>
      <c r="M3011" s="1" t="b">
        <f>Employee__2[[#This Row],[Experience]]&gt;1</f>
        <v>1</v>
      </c>
      <c r="N3011" s="1" t="str">
        <f>IF(Employee__2[[#This Row],[City]]="Pune","Yes","No")</f>
        <v>No</v>
      </c>
      <c r="O3011" s="1" t="str">
        <f>IF(AND(Employee__2[[#This Row],[Education]]="Bachelors",Employee__2[[#This Row],[City]]="Pune"),"Yes","No")</f>
        <v>No</v>
      </c>
      <c r="P3011" s="1" t="str">
        <f>IF(OR(Employee__2[[#This Row],[Age]]&gt;=30,Employee__2[[#This Row],[Gender]]="Male"),"Mached","Not mached")</f>
        <v>Mached</v>
      </c>
    </row>
    <row r="3012" spans="4:16" x14ac:dyDescent="0.25">
      <c r="D3012" s="6" t="s">
        <v>34</v>
      </c>
      <c r="E3012">
        <v>2015</v>
      </c>
      <c r="F3012" s="6" t="s">
        <v>38</v>
      </c>
      <c r="G3012">
        <v>3</v>
      </c>
      <c r="H3012">
        <v>41</v>
      </c>
      <c r="I3012" s="6" t="s">
        <v>36</v>
      </c>
      <c r="J3012" s="6" t="s">
        <v>37</v>
      </c>
      <c r="K3012">
        <v>5</v>
      </c>
      <c r="M3012" s="1" t="b">
        <f>Employee__2[[#This Row],[Experience]]&gt;1</f>
        <v>1</v>
      </c>
      <c r="N3012" s="1" t="str">
        <f>IF(Employee__2[[#This Row],[City]]="Pune","Yes","No")</f>
        <v>Yes</v>
      </c>
      <c r="O3012" s="1" t="str">
        <f>IF(AND(Employee__2[[#This Row],[Education]]="Bachelors",Employee__2[[#This Row],[City]]="Pune"),"Yes","No")</f>
        <v>Yes</v>
      </c>
      <c r="P3012" s="1" t="str">
        <f>IF(OR(Employee__2[[#This Row],[Age]]&gt;=30,Employee__2[[#This Row],[Gender]]="Male"),"Mached","Not mached")</f>
        <v>Mached</v>
      </c>
    </row>
    <row r="3013" spans="4:16" x14ac:dyDescent="0.25">
      <c r="D3013" s="6" t="s">
        <v>34</v>
      </c>
      <c r="E3013">
        <v>2016</v>
      </c>
      <c r="F3013" s="6" t="s">
        <v>35</v>
      </c>
      <c r="G3013">
        <v>3</v>
      </c>
      <c r="H3013">
        <v>37</v>
      </c>
      <c r="I3013" s="6" t="s">
        <v>39</v>
      </c>
      <c r="J3013" s="6" t="s">
        <v>37</v>
      </c>
      <c r="K3013">
        <v>0</v>
      </c>
      <c r="M3013" s="1" t="b">
        <f>Employee__2[[#This Row],[Experience]]&gt;1</f>
        <v>0</v>
      </c>
      <c r="N3013" s="1" t="str">
        <f>IF(Employee__2[[#This Row],[City]]="Pune","Yes","No")</f>
        <v>No</v>
      </c>
      <c r="O3013" s="1" t="str">
        <f>IF(AND(Employee__2[[#This Row],[Education]]="Bachelors",Employee__2[[#This Row],[City]]="Pune"),"Yes","No")</f>
        <v>No</v>
      </c>
      <c r="P3013" s="1" t="str">
        <f>IF(OR(Employee__2[[#This Row],[Age]]&gt;=30,Employee__2[[#This Row],[Gender]]="Male"),"Mached","Not mached")</f>
        <v>Mached</v>
      </c>
    </row>
    <row r="3014" spans="4:16" x14ac:dyDescent="0.25">
      <c r="D3014" s="6" t="s">
        <v>34</v>
      </c>
      <c r="E3014">
        <v>2018</v>
      </c>
      <c r="F3014" s="6" t="s">
        <v>35</v>
      </c>
      <c r="G3014">
        <v>3</v>
      </c>
      <c r="H3014">
        <v>32</v>
      </c>
      <c r="I3014" s="6" t="s">
        <v>39</v>
      </c>
      <c r="J3014" s="6" t="s">
        <v>37</v>
      </c>
      <c r="K3014">
        <v>3</v>
      </c>
      <c r="M3014" s="1" t="b">
        <f>Employee__2[[#This Row],[Experience]]&gt;1</f>
        <v>1</v>
      </c>
      <c r="N3014" s="1" t="str">
        <f>IF(Employee__2[[#This Row],[City]]="Pune","Yes","No")</f>
        <v>No</v>
      </c>
      <c r="O3014" s="1" t="str">
        <f>IF(AND(Employee__2[[#This Row],[Education]]="Bachelors",Employee__2[[#This Row],[City]]="Pune"),"Yes","No")</f>
        <v>No</v>
      </c>
      <c r="P3014" s="1" t="str">
        <f>IF(OR(Employee__2[[#This Row],[Age]]&gt;=30,Employee__2[[#This Row],[Gender]]="Male"),"Mached","Not mached")</f>
        <v>Mached</v>
      </c>
    </row>
    <row r="3015" spans="4:16" x14ac:dyDescent="0.25">
      <c r="D3015" s="6" t="s">
        <v>34</v>
      </c>
      <c r="E3015">
        <v>2015</v>
      </c>
      <c r="F3015" s="6" t="s">
        <v>35</v>
      </c>
      <c r="G3015">
        <v>3</v>
      </c>
      <c r="H3015">
        <v>37</v>
      </c>
      <c r="I3015" s="6" t="s">
        <v>36</v>
      </c>
      <c r="J3015" s="6" t="s">
        <v>42</v>
      </c>
      <c r="K3015">
        <v>3</v>
      </c>
      <c r="M3015" s="1" t="b">
        <f>Employee__2[[#This Row],[Experience]]&gt;1</f>
        <v>1</v>
      </c>
      <c r="N3015" s="1" t="str">
        <f>IF(Employee__2[[#This Row],[City]]="Pune","Yes","No")</f>
        <v>No</v>
      </c>
      <c r="O3015" s="1" t="str">
        <f>IF(AND(Employee__2[[#This Row],[Education]]="Bachelors",Employee__2[[#This Row],[City]]="Pune"),"Yes","No")</f>
        <v>No</v>
      </c>
      <c r="P3015" s="1" t="str">
        <f>IF(OR(Employee__2[[#This Row],[Age]]&gt;=30,Employee__2[[#This Row],[Gender]]="Male"),"Mached","Not mached")</f>
        <v>Mached</v>
      </c>
    </row>
    <row r="3016" spans="4:16" x14ac:dyDescent="0.25">
      <c r="D3016" s="6" t="s">
        <v>34</v>
      </c>
      <c r="E3016">
        <v>2016</v>
      </c>
      <c r="F3016" s="6" t="s">
        <v>35</v>
      </c>
      <c r="G3016">
        <v>3</v>
      </c>
      <c r="H3016">
        <v>32</v>
      </c>
      <c r="I3016" s="6" t="s">
        <v>36</v>
      </c>
      <c r="J3016" s="6" t="s">
        <v>37</v>
      </c>
      <c r="K3016">
        <v>1</v>
      </c>
      <c r="M3016" s="1" t="b">
        <f>Employee__2[[#This Row],[Experience]]&gt;1</f>
        <v>0</v>
      </c>
      <c r="N3016" s="1" t="str">
        <f>IF(Employee__2[[#This Row],[City]]="Pune","Yes","No")</f>
        <v>No</v>
      </c>
      <c r="O3016" s="1" t="str">
        <f>IF(AND(Employee__2[[#This Row],[Education]]="Bachelors",Employee__2[[#This Row],[City]]="Pune"),"Yes","No")</f>
        <v>No</v>
      </c>
      <c r="P3016" s="1" t="str">
        <f>IF(OR(Employee__2[[#This Row],[Age]]&gt;=30,Employee__2[[#This Row],[Gender]]="Male"),"Mached","Not mached")</f>
        <v>Mached</v>
      </c>
    </row>
    <row r="3017" spans="4:16" x14ac:dyDescent="0.25">
      <c r="D3017" s="6" t="s">
        <v>41</v>
      </c>
      <c r="E3017">
        <v>2017</v>
      </c>
      <c r="F3017" s="6" t="s">
        <v>40</v>
      </c>
      <c r="G3017">
        <v>3</v>
      </c>
      <c r="H3017">
        <v>36</v>
      </c>
      <c r="I3017" s="6" t="s">
        <v>39</v>
      </c>
      <c r="J3017" s="6" t="s">
        <v>37</v>
      </c>
      <c r="K3017">
        <v>5</v>
      </c>
      <c r="M3017" s="1" t="b">
        <f>Employee__2[[#This Row],[Experience]]&gt;1</f>
        <v>1</v>
      </c>
      <c r="N3017" s="1" t="str">
        <f>IF(Employee__2[[#This Row],[City]]="Pune","Yes","No")</f>
        <v>No</v>
      </c>
      <c r="O3017" s="1" t="str">
        <f>IF(AND(Employee__2[[#This Row],[Education]]="Bachelors",Employee__2[[#This Row],[City]]="Pune"),"Yes","No")</f>
        <v>No</v>
      </c>
      <c r="P3017" s="1" t="str">
        <f>IF(OR(Employee__2[[#This Row],[Age]]&gt;=30,Employee__2[[#This Row],[Gender]]="Male"),"Mached","Not mached")</f>
        <v>Mached</v>
      </c>
    </row>
    <row r="3018" spans="4:16" x14ac:dyDescent="0.25">
      <c r="D3018" s="6" t="s">
        <v>34</v>
      </c>
      <c r="E3018">
        <v>2014</v>
      </c>
      <c r="F3018" s="6" t="s">
        <v>35</v>
      </c>
      <c r="G3018">
        <v>3</v>
      </c>
      <c r="H3018">
        <v>36</v>
      </c>
      <c r="I3018" s="6" t="s">
        <v>36</v>
      </c>
      <c r="J3018" s="6" t="s">
        <v>37</v>
      </c>
      <c r="K3018">
        <v>3</v>
      </c>
      <c r="M3018" s="1" t="b">
        <f>Employee__2[[#This Row],[Experience]]&gt;1</f>
        <v>1</v>
      </c>
      <c r="N3018" s="1" t="str">
        <f>IF(Employee__2[[#This Row],[City]]="Pune","Yes","No")</f>
        <v>No</v>
      </c>
      <c r="O3018" s="1" t="str">
        <f>IF(AND(Employee__2[[#This Row],[Education]]="Bachelors",Employee__2[[#This Row],[City]]="Pune"),"Yes","No")</f>
        <v>No</v>
      </c>
      <c r="P3018" s="1" t="str">
        <f>IF(OR(Employee__2[[#This Row],[Age]]&gt;=30,Employee__2[[#This Row],[Gender]]="Male"),"Mached","Not mached")</f>
        <v>Mached</v>
      </c>
    </row>
    <row r="3019" spans="4:16" x14ac:dyDescent="0.25">
      <c r="D3019" s="6" t="s">
        <v>34</v>
      </c>
      <c r="E3019">
        <v>2015</v>
      </c>
      <c r="F3019" s="6" t="s">
        <v>35</v>
      </c>
      <c r="G3019">
        <v>3</v>
      </c>
      <c r="H3019">
        <v>36</v>
      </c>
      <c r="I3019" s="6" t="s">
        <v>36</v>
      </c>
      <c r="J3019" s="6" t="s">
        <v>37</v>
      </c>
      <c r="K3019">
        <v>5</v>
      </c>
      <c r="M3019" s="1" t="b">
        <f>Employee__2[[#This Row],[Experience]]&gt;1</f>
        <v>1</v>
      </c>
      <c r="N3019" s="1" t="str">
        <f>IF(Employee__2[[#This Row],[City]]="Pune","Yes","No")</f>
        <v>No</v>
      </c>
      <c r="O3019" s="1" t="str">
        <f>IF(AND(Employee__2[[#This Row],[Education]]="Bachelors",Employee__2[[#This Row],[City]]="Pune"),"Yes","No")</f>
        <v>No</v>
      </c>
      <c r="P3019" s="1" t="str">
        <f>IF(OR(Employee__2[[#This Row],[Age]]&gt;=30,Employee__2[[#This Row],[Gender]]="Male"),"Mached","Not mached")</f>
        <v>Mached</v>
      </c>
    </row>
    <row r="3020" spans="4:16" x14ac:dyDescent="0.25">
      <c r="D3020" s="6" t="s">
        <v>34</v>
      </c>
      <c r="E3020">
        <v>2017</v>
      </c>
      <c r="F3020" s="6" t="s">
        <v>35</v>
      </c>
      <c r="G3020">
        <v>3</v>
      </c>
      <c r="H3020">
        <v>41</v>
      </c>
      <c r="I3020" s="6" t="s">
        <v>36</v>
      </c>
      <c r="J3020" s="6" t="s">
        <v>42</v>
      </c>
      <c r="K3020">
        <v>3</v>
      </c>
      <c r="M3020" s="1" t="b">
        <f>Employee__2[[#This Row],[Experience]]&gt;1</f>
        <v>1</v>
      </c>
      <c r="N3020" s="1" t="str">
        <f>IF(Employee__2[[#This Row],[City]]="Pune","Yes","No")</f>
        <v>No</v>
      </c>
      <c r="O3020" s="1" t="str">
        <f>IF(AND(Employee__2[[#This Row],[Education]]="Bachelors",Employee__2[[#This Row],[City]]="Pune"),"Yes","No")</f>
        <v>No</v>
      </c>
      <c r="P3020" s="1" t="str">
        <f>IF(OR(Employee__2[[#This Row],[Age]]&gt;=30,Employee__2[[#This Row],[Gender]]="Male"),"Mached","Not mached")</f>
        <v>Mached</v>
      </c>
    </row>
    <row r="3021" spans="4:16" x14ac:dyDescent="0.25">
      <c r="D3021" s="6" t="s">
        <v>34</v>
      </c>
      <c r="E3021">
        <v>2015</v>
      </c>
      <c r="F3021" s="6" t="s">
        <v>38</v>
      </c>
      <c r="G3021">
        <v>3</v>
      </c>
      <c r="H3021">
        <v>39</v>
      </c>
      <c r="I3021" s="6" t="s">
        <v>36</v>
      </c>
      <c r="J3021" s="6" t="s">
        <v>37</v>
      </c>
      <c r="K3021">
        <v>3</v>
      </c>
      <c r="M3021" s="1" t="b">
        <f>Employee__2[[#This Row],[Experience]]&gt;1</f>
        <v>1</v>
      </c>
      <c r="N3021" s="1" t="str">
        <f>IF(Employee__2[[#This Row],[City]]="Pune","Yes","No")</f>
        <v>Yes</v>
      </c>
      <c r="O3021" s="1" t="str">
        <f>IF(AND(Employee__2[[#This Row],[Education]]="Bachelors",Employee__2[[#This Row],[City]]="Pune"),"Yes","No")</f>
        <v>Yes</v>
      </c>
      <c r="P3021" s="1" t="str">
        <f>IF(OR(Employee__2[[#This Row],[Age]]&gt;=30,Employee__2[[#This Row],[Gender]]="Male"),"Mached","Not mached")</f>
        <v>Mached</v>
      </c>
    </row>
    <row r="3022" spans="4:16" x14ac:dyDescent="0.25">
      <c r="D3022" s="6" t="s">
        <v>34</v>
      </c>
      <c r="E3022">
        <v>2013</v>
      </c>
      <c r="F3022" s="6" t="s">
        <v>38</v>
      </c>
      <c r="G3022">
        <v>3</v>
      </c>
      <c r="H3022">
        <v>37</v>
      </c>
      <c r="I3022" s="6" t="s">
        <v>36</v>
      </c>
      <c r="J3022" s="6" t="s">
        <v>37</v>
      </c>
      <c r="K3022">
        <v>0</v>
      </c>
      <c r="M3022" s="1" t="b">
        <f>Employee__2[[#This Row],[Experience]]&gt;1</f>
        <v>0</v>
      </c>
      <c r="N3022" s="1" t="str">
        <f>IF(Employee__2[[#This Row],[City]]="Pune","Yes","No")</f>
        <v>Yes</v>
      </c>
      <c r="O3022" s="1" t="str">
        <f>IF(AND(Employee__2[[#This Row],[Education]]="Bachelors",Employee__2[[#This Row],[City]]="Pune"),"Yes","No")</f>
        <v>Yes</v>
      </c>
      <c r="P3022" s="1" t="str">
        <f>IF(OR(Employee__2[[#This Row],[Age]]&gt;=30,Employee__2[[#This Row],[Gender]]="Male"),"Mached","Not mached")</f>
        <v>Mached</v>
      </c>
    </row>
    <row r="3023" spans="4:16" x14ac:dyDescent="0.25">
      <c r="D3023" s="6" t="s">
        <v>34</v>
      </c>
      <c r="E3023">
        <v>2013</v>
      </c>
      <c r="F3023" s="6" t="s">
        <v>35</v>
      </c>
      <c r="G3023">
        <v>3</v>
      </c>
      <c r="H3023">
        <v>32</v>
      </c>
      <c r="I3023" s="6" t="s">
        <v>36</v>
      </c>
      <c r="J3023" s="6" t="s">
        <v>37</v>
      </c>
      <c r="K3023">
        <v>1</v>
      </c>
      <c r="M3023" s="1" t="b">
        <f>Employee__2[[#This Row],[Experience]]&gt;1</f>
        <v>0</v>
      </c>
      <c r="N3023" s="1" t="str">
        <f>IF(Employee__2[[#This Row],[City]]="Pune","Yes","No")</f>
        <v>No</v>
      </c>
      <c r="O3023" s="1" t="str">
        <f>IF(AND(Employee__2[[#This Row],[Education]]="Bachelors",Employee__2[[#This Row],[City]]="Pune"),"Yes","No")</f>
        <v>No</v>
      </c>
      <c r="P3023" s="1" t="str">
        <f>IF(OR(Employee__2[[#This Row],[Age]]&gt;=30,Employee__2[[#This Row],[Gender]]="Male"),"Mached","Not mached")</f>
        <v>Mached</v>
      </c>
    </row>
    <row r="3024" spans="4:16" x14ac:dyDescent="0.25">
      <c r="D3024" s="6" t="s">
        <v>34</v>
      </c>
      <c r="E3024">
        <v>2012</v>
      </c>
      <c r="F3024" s="6" t="s">
        <v>35</v>
      </c>
      <c r="G3024">
        <v>3</v>
      </c>
      <c r="H3024">
        <v>36</v>
      </c>
      <c r="I3024" s="6" t="s">
        <v>36</v>
      </c>
      <c r="J3024" s="6" t="s">
        <v>37</v>
      </c>
      <c r="K3024">
        <v>2</v>
      </c>
      <c r="M3024" s="1" t="b">
        <f>Employee__2[[#This Row],[Experience]]&gt;1</f>
        <v>1</v>
      </c>
      <c r="N3024" s="1" t="str">
        <f>IF(Employee__2[[#This Row],[City]]="Pune","Yes","No")</f>
        <v>No</v>
      </c>
      <c r="O3024" s="1" t="str">
        <f>IF(AND(Employee__2[[#This Row],[Education]]="Bachelors",Employee__2[[#This Row],[City]]="Pune"),"Yes","No")</f>
        <v>No</v>
      </c>
      <c r="P3024" s="1" t="str">
        <f>IF(OR(Employee__2[[#This Row],[Age]]&gt;=30,Employee__2[[#This Row],[Gender]]="Male"),"Mached","Not mached")</f>
        <v>Mached</v>
      </c>
    </row>
    <row r="3025" spans="4:16" x14ac:dyDescent="0.25">
      <c r="D3025" s="6" t="s">
        <v>34</v>
      </c>
      <c r="E3025">
        <v>2013</v>
      </c>
      <c r="F3025" s="6" t="s">
        <v>35</v>
      </c>
      <c r="G3025">
        <v>3</v>
      </c>
      <c r="H3025">
        <v>36</v>
      </c>
      <c r="I3025" s="6" t="s">
        <v>36</v>
      </c>
      <c r="J3025" s="6" t="s">
        <v>37</v>
      </c>
      <c r="K3025">
        <v>4</v>
      </c>
      <c r="M3025" s="1" t="b">
        <f>Employee__2[[#This Row],[Experience]]&gt;1</f>
        <v>1</v>
      </c>
      <c r="N3025" s="1" t="str">
        <f>IF(Employee__2[[#This Row],[City]]="Pune","Yes","No")</f>
        <v>No</v>
      </c>
      <c r="O3025" s="1" t="str">
        <f>IF(AND(Employee__2[[#This Row],[Education]]="Bachelors",Employee__2[[#This Row],[City]]="Pune"),"Yes","No")</f>
        <v>No</v>
      </c>
      <c r="P3025" s="1" t="str">
        <f>IF(OR(Employee__2[[#This Row],[Age]]&gt;=30,Employee__2[[#This Row],[Gender]]="Male"),"Mached","Not mached")</f>
        <v>Mached</v>
      </c>
    </row>
    <row r="3026" spans="4:16" x14ac:dyDescent="0.25">
      <c r="D3026" s="6" t="s">
        <v>34</v>
      </c>
      <c r="E3026">
        <v>2014</v>
      </c>
      <c r="F3026" s="6" t="s">
        <v>35</v>
      </c>
      <c r="G3026">
        <v>3</v>
      </c>
      <c r="H3026">
        <v>36</v>
      </c>
      <c r="I3026" s="6" t="s">
        <v>36</v>
      </c>
      <c r="J3026" s="6" t="s">
        <v>37</v>
      </c>
      <c r="K3026">
        <v>1</v>
      </c>
      <c r="M3026" s="1" t="b">
        <f>Employee__2[[#This Row],[Experience]]&gt;1</f>
        <v>0</v>
      </c>
      <c r="N3026" s="1" t="str">
        <f>IF(Employee__2[[#This Row],[City]]="Pune","Yes","No")</f>
        <v>No</v>
      </c>
      <c r="O3026" s="1" t="str">
        <f>IF(AND(Employee__2[[#This Row],[Education]]="Bachelors",Employee__2[[#This Row],[City]]="Pune"),"Yes","No")</f>
        <v>No</v>
      </c>
      <c r="P3026" s="1" t="str">
        <f>IF(OR(Employee__2[[#This Row],[Age]]&gt;=30,Employee__2[[#This Row],[Gender]]="Male"),"Mached","Not mached")</f>
        <v>Mached</v>
      </c>
    </row>
    <row r="3027" spans="4:16" x14ac:dyDescent="0.25">
      <c r="D3027" s="6" t="s">
        <v>34</v>
      </c>
      <c r="E3027">
        <v>2018</v>
      </c>
      <c r="F3027" s="6" t="s">
        <v>35</v>
      </c>
      <c r="G3027">
        <v>3</v>
      </c>
      <c r="H3027">
        <v>32</v>
      </c>
      <c r="I3027" s="6" t="s">
        <v>39</v>
      </c>
      <c r="J3027" s="6" t="s">
        <v>42</v>
      </c>
      <c r="K3027">
        <v>2</v>
      </c>
      <c r="M3027" s="1" t="b">
        <f>Employee__2[[#This Row],[Experience]]&gt;1</f>
        <v>1</v>
      </c>
      <c r="N3027" s="1" t="str">
        <f>IF(Employee__2[[#This Row],[City]]="Pune","Yes","No")</f>
        <v>No</v>
      </c>
      <c r="O3027" s="1" t="str">
        <f>IF(AND(Employee__2[[#This Row],[Education]]="Bachelors",Employee__2[[#This Row],[City]]="Pune"),"Yes","No")</f>
        <v>No</v>
      </c>
      <c r="P3027" s="1" t="str">
        <f>IF(OR(Employee__2[[#This Row],[Age]]&gt;=30,Employee__2[[#This Row],[Gender]]="Male"),"Mached","Not mached")</f>
        <v>Mached</v>
      </c>
    </row>
    <row r="3028" spans="4:16" x14ac:dyDescent="0.25">
      <c r="D3028" s="6" t="s">
        <v>34</v>
      </c>
      <c r="E3028">
        <v>2018</v>
      </c>
      <c r="F3028" s="6" t="s">
        <v>35</v>
      </c>
      <c r="G3028">
        <v>3</v>
      </c>
      <c r="H3028">
        <v>34</v>
      </c>
      <c r="I3028" s="6" t="s">
        <v>36</v>
      </c>
      <c r="J3028" s="6" t="s">
        <v>37</v>
      </c>
      <c r="K3028">
        <v>3</v>
      </c>
      <c r="M3028" s="1" t="b">
        <f>Employee__2[[#This Row],[Experience]]&gt;1</f>
        <v>1</v>
      </c>
      <c r="N3028" s="1" t="str">
        <f>IF(Employee__2[[#This Row],[City]]="Pune","Yes","No")</f>
        <v>No</v>
      </c>
      <c r="O3028" s="1" t="str">
        <f>IF(AND(Employee__2[[#This Row],[Education]]="Bachelors",Employee__2[[#This Row],[City]]="Pune"),"Yes","No")</f>
        <v>No</v>
      </c>
      <c r="P3028" s="1" t="str">
        <f>IF(OR(Employee__2[[#This Row],[Age]]&gt;=30,Employee__2[[#This Row],[Gender]]="Male"),"Mached","Not mached")</f>
        <v>Mached</v>
      </c>
    </row>
    <row r="3029" spans="4:16" x14ac:dyDescent="0.25">
      <c r="D3029" s="6" t="s">
        <v>34</v>
      </c>
      <c r="E3029">
        <v>2018</v>
      </c>
      <c r="F3029" s="6" t="s">
        <v>35</v>
      </c>
      <c r="G3029">
        <v>3</v>
      </c>
      <c r="H3029">
        <v>37</v>
      </c>
      <c r="I3029" s="6" t="s">
        <v>36</v>
      </c>
      <c r="J3029" s="6" t="s">
        <v>42</v>
      </c>
      <c r="K3029">
        <v>5</v>
      </c>
      <c r="M3029" s="1" t="b">
        <f>Employee__2[[#This Row],[Experience]]&gt;1</f>
        <v>1</v>
      </c>
      <c r="N3029" s="1" t="str">
        <f>IF(Employee__2[[#This Row],[City]]="Pune","Yes","No")</f>
        <v>No</v>
      </c>
      <c r="O3029" s="1" t="str">
        <f>IF(AND(Employee__2[[#This Row],[Education]]="Bachelors",Employee__2[[#This Row],[City]]="Pune"),"Yes","No")</f>
        <v>No</v>
      </c>
      <c r="P3029" s="1" t="str">
        <f>IF(OR(Employee__2[[#This Row],[Age]]&gt;=30,Employee__2[[#This Row],[Gender]]="Male"),"Mached","Not mached")</f>
        <v>Mached</v>
      </c>
    </row>
    <row r="3030" spans="4:16" x14ac:dyDescent="0.25">
      <c r="D3030" s="6" t="s">
        <v>34</v>
      </c>
      <c r="E3030">
        <v>2018</v>
      </c>
      <c r="F3030" s="6" t="s">
        <v>38</v>
      </c>
      <c r="G3030">
        <v>3</v>
      </c>
      <c r="H3030">
        <v>40</v>
      </c>
      <c r="I3030" s="6" t="s">
        <v>36</v>
      </c>
      <c r="J3030" s="6" t="s">
        <v>42</v>
      </c>
      <c r="K3030">
        <v>3</v>
      </c>
      <c r="M3030" s="1" t="b">
        <f>Employee__2[[#This Row],[Experience]]&gt;1</f>
        <v>1</v>
      </c>
      <c r="N3030" s="1" t="str">
        <f>IF(Employee__2[[#This Row],[City]]="Pune","Yes","No")</f>
        <v>Yes</v>
      </c>
      <c r="O3030" s="1" t="str">
        <f>IF(AND(Employee__2[[#This Row],[Education]]="Bachelors",Employee__2[[#This Row],[City]]="Pune"),"Yes","No")</f>
        <v>Yes</v>
      </c>
      <c r="P3030" s="1" t="str">
        <f>IF(OR(Employee__2[[#This Row],[Age]]&gt;=30,Employee__2[[#This Row],[Gender]]="Male"),"Mached","Not mached")</f>
        <v>Mached</v>
      </c>
    </row>
    <row r="3031" spans="4:16" x14ac:dyDescent="0.25">
      <c r="D3031" s="6" t="s">
        <v>34</v>
      </c>
      <c r="E3031">
        <v>2014</v>
      </c>
      <c r="F3031" s="6" t="s">
        <v>38</v>
      </c>
      <c r="G3031">
        <v>2</v>
      </c>
      <c r="H3031">
        <v>36</v>
      </c>
      <c r="I3031" s="6" t="s">
        <v>39</v>
      </c>
      <c r="J3031" s="6" t="s">
        <v>37</v>
      </c>
      <c r="K3031">
        <v>3</v>
      </c>
      <c r="M3031" s="1" t="b">
        <f>Employee__2[[#This Row],[Experience]]&gt;1</f>
        <v>1</v>
      </c>
      <c r="N3031" s="1" t="str">
        <f>IF(Employee__2[[#This Row],[City]]="Pune","Yes","No")</f>
        <v>Yes</v>
      </c>
      <c r="O3031" s="1" t="str">
        <f>IF(AND(Employee__2[[#This Row],[Education]]="Bachelors",Employee__2[[#This Row],[City]]="Pune"),"Yes","No")</f>
        <v>Yes</v>
      </c>
      <c r="P3031" s="1" t="str">
        <f>IF(OR(Employee__2[[#This Row],[Age]]&gt;=30,Employee__2[[#This Row],[Gender]]="Male"),"Mached","Not mached")</f>
        <v>Mached</v>
      </c>
    </row>
    <row r="3032" spans="4:16" x14ac:dyDescent="0.25">
      <c r="D3032" s="6" t="s">
        <v>34</v>
      </c>
      <c r="E3032">
        <v>2017</v>
      </c>
      <c r="F3032" s="6" t="s">
        <v>38</v>
      </c>
      <c r="G3032">
        <v>2</v>
      </c>
      <c r="H3032">
        <v>38</v>
      </c>
      <c r="I3032" s="6" t="s">
        <v>39</v>
      </c>
      <c r="J3032" s="6" t="s">
        <v>37</v>
      </c>
      <c r="K3032">
        <v>0</v>
      </c>
      <c r="M3032" s="1" t="b">
        <f>Employee__2[[#This Row],[Experience]]&gt;1</f>
        <v>0</v>
      </c>
      <c r="N3032" s="1" t="str">
        <f>IF(Employee__2[[#This Row],[City]]="Pune","Yes","No")</f>
        <v>Yes</v>
      </c>
      <c r="O3032" s="1" t="str">
        <f>IF(AND(Employee__2[[#This Row],[Education]]="Bachelors",Employee__2[[#This Row],[City]]="Pune"),"Yes","No")</f>
        <v>Yes</v>
      </c>
      <c r="P3032" s="1" t="str">
        <f>IF(OR(Employee__2[[#This Row],[Age]]&gt;=30,Employee__2[[#This Row],[Gender]]="Male"),"Mached","Not mached")</f>
        <v>Mached</v>
      </c>
    </row>
    <row r="3033" spans="4:16" x14ac:dyDescent="0.25">
      <c r="D3033" s="6" t="s">
        <v>41</v>
      </c>
      <c r="E3033">
        <v>2017</v>
      </c>
      <c r="F3033" s="6" t="s">
        <v>40</v>
      </c>
      <c r="G3033">
        <v>2</v>
      </c>
      <c r="H3033">
        <v>31</v>
      </c>
      <c r="I3033" s="6" t="s">
        <v>39</v>
      </c>
      <c r="J3033" s="6" t="s">
        <v>37</v>
      </c>
      <c r="K3033">
        <v>0</v>
      </c>
      <c r="M3033" s="1" t="b">
        <f>Employee__2[[#This Row],[Experience]]&gt;1</f>
        <v>0</v>
      </c>
      <c r="N3033" s="1" t="str">
        <f>IF(Employee__2[[#This Row],[City]]="Pune","Yes","No")</f>
        <v>No</v>
      </c>
      <c r="O3033" s="1" t="str">
        <f>IF(AND(Employee__2[[#This Row],[Education]]="Bachelors",Employee__2[[#This Row],[City]]="Pune"),"Yes","No")</f>
        <v>No</v>
      </c>
      <c r="P3033" s="1" t="str">
        <f>IF(OR(Employee__2[[#This Row],[Age]]&gt;=30,Employee__2[[#This Row],[Gender]]="Male"),"Mached","Not mached")</f>
        <v>Mached</v>
      </c>
    </row>
    <row r="3034" spans="4:16" x14ac:dyDescent="0.25">
      <c r="D3034" s="6" t="s">
        <v>34</v>
      </c>
      <c r="E3034">
        <v>2013</v>
      </c>
      <c r="F3034" s="6" t="s">
        <v>40</v>
      </c>
      <c r="G3034">
        <v>3</v>
      </c>
      <c r="H3034">
        <v>41</v>
      </c>
      <c r="I3034" s="6" t="s">
        <v>39</v>
      </c>
      <c r="J3034" s="6" t="s">
        <v>37</v>
      </c>
      <c r="K3034">
        <v>4</v>
      </c>
      <c r="M3034" s="1" t="b">
        <f>Employee__2[[#This Row],[Experience]]&gt;1</f>
        <v>1</v>
      </c>
      <c r="N3034" s="1" t="str">
        <f>IF(Employee__2[[#This Row],[City]]="Pune","Yes","No")</f>
        <v>No</v>
      </c>
      <c r="O3034" s="1" t="str">
        <f>IF(AND(Employee__2[[#This Row],[Education]]="Bachelors",Employee__2[[#This Row],[City]]="Pune"),"Yes","No")</f>
        <v>No</v>
      </c>
      <c r="P3034" s="1" t="str">
        <f>IF(OR(Employee__2[[#This Row],[Age]]&gt;=30,Employee__2[[#This Row],[Gender]]="Male"),"Mached","Not mached")</f>
        <v>Mached</v>
      </c>
    </row>
    <row r="3035" spans="4:16" x14ac:dyDescent="0.25">
      <c r="D3035" s="6" t="s">
        <v>41</v>
      </c>
      <c r="E3035">
        <v>2012</v>
      </c>
      <c r="F3035" s="6" t="s">
        <v>35</v>
      </c>
      <c r="G3035">
        <v>2</v>
      </c>
      <c r="H3035">
        <v>32</v>
      </c>
      <c r="I3035" s="6" t="s">
        <v>36</v>
      </c>
      <c r="J3035" s="6" t="s">
        <v>37</v>
      </c>
      <c r="K3035">
        <v>3</v>
      </c>
      <c r="M3035" s="1" t="b">
        <f>Employee__2[[#This Row],[Experience]]&gt;1</f>
        <v>1</v>
      </c>
      <c r="N3035" s="1" t="str">
        <f>IF(Employee__2[[#This Row],[City]]="Pune","Yes","No")</f>
        <v>No</v>
      </c>
      <c r="O3035" s="1" t="str">
        <f>IF(AND(Employee__2[[#This Row],[Education]]="Bachelors",Employee__2[[#This Row],[City]]="Pune"),"Yes","No")</f>
        <v>No</v>
      </c>
      <c r="P3035" s="1" t="str">
        <f>IF(OR(Employee__2[[#This Row],[Age]]&gt;=30,Employee__2[[#This Row],[Gender]]="Male"),"Mached","Not mached")</f>
        <v>Mached</v>
      </c>
    </row>
    <row r="3036" spans="4:16" x14ac:dyDescent="0.25">
      <c r="D3036" s="6" t="s">
        <v>34</v>
      </c>
      <c r="E3036">
        <v>2017</v>
      </c>
      <c r="F3036" s="6" t="s">
        <v>40</v>
      </c>
      <c r="G3036">
        <v>2</v>
      </c>
      <c r="H3036">
        <v>41</v>
      </c>
      <c r="I3036" s="6" t="s">
        <v>39</v>
      </c>
      <c r="J3036" s="6" t="s">
        <v>37</v>
      </c>
      <c r="K3036">
        <v>3</v>
      </c>
      <c r="M3036" s="1" t="b">
        <f>Employee__2[[#This Row],[Experience]]&gt;1</f>
        <v>1</v>
      </c>
      <c r="N3036" s="1" t="str">
        <f>IF(Employee__2[[#This Row],[City]]="Pune","Yes","No")</f>
        <v>No</v>
      </c>
      <c r="O3036" s="1" t="str">
        <f>IF(AND(Employee__2[[#This Row],[Education]]="Bachelors",Employee__2[[#This Row],[City]]="Pune"),"Yes","No")</f>
        <v>No</v>
      </c>
      <c r="P3036" s="1" t="str">
        <f>IF(OR(Employee__2[[#This Row],[Age]]&gt;=30,Employee__2[[#This Row],[Gender]]="Male"),"Mached","Not mached")</f>
        <v>Mached</v>
      </c>
    </row>
    <row r="3037" spans="4:16" x14ac:dyDescent="0.25">
      <c r="D3037" s="6" t="s">
        <v>34</v>
      </c>
      <c r="E3037">
        <v>2013</v>
      </c>
      <c r="F3037" s="6" t="s">
        <v>38</v>
      </c>
      <c r="G3037">
        <v>3</v>
      </c>
      <c r="H3037">
        <v>40</v>
      </c>
      <c r="I3037" s="6" t="s">
        <v>36</v>
      </c>
      <c r="J3037" s="6" t="s">
        <v>37</v>
      </c>
      <c r="K3037">
        <v>5</v>
      </c>
      <c r="M3037" s="1" t="b">
        <f>Employee__2[[#This Row],[Experience]]&gt;1</f>
        <v>1</v>
      </c>
      <c r="N3037" s="1" t="str">
        <f>IF(Employee__2[[#This Row],[City]]="Pune","Yes","No")</f>
        <v>Yes</v>
      </c>
      <c r="O3037" s="1" t="str">
        <f>IF(AND(Employee__2[[#This Row],[Education]]="Bachelors",Employee__2[[#This Row],[City]]="Pune"),"Yes","No")</f>
        <v>Yes</v>
      </c>
      <c r="P3037" s="1" t="str">
        <f>IF(OR(Employee__2[[#This Row],[Age]]&gt;=30,Employee__2[[#This Row],[Gender]]="Male"),"Mached","Not mached")</f>
        <v>Mached</v>
      </c>
    </row>
    <row r="3038" spans="4:16" x14ac:dyDescent="0.25">
      <c r="D3038" s="6" t="s">
        <v>34</v>
      </c>
      <c r="E3038">
        <v>2014</v>
      </c>
      <c r="F3038" s="6" t="s">
        <v>35</v>
      </c>
      <c r="G3038">
        <v>3</v>
      </c>
      <c r="H3038">
        <v>38</v>
      </c>
      <c r="I3038" s="6" t="s">
        <v>39</v>
      </c>
      <c r="J3038" s="6" t="s">
        <v>37</v>
      </c>
      <c r="K3038">
        <v>2</v>
      </c>
      <c r="M3038" s="1" t="b">
        <f>Employee__2[[#This Row],[Experience]]&gt;1</f>
        <v>1</v>
      </c>
      <c r="N3038" s="1" t="str">
        <f>IF(Employee__2[[#This Row],[City]]="Pune","Yes","No")</f>
        <v>No</v>
      </c>
      <c r="O3038" s="1" t="str">
        <f>IF(AND(Employee__2[[#This Row],[Education]]="Bachelors",Employee__2[[#This Row],[City]]="Pune"),"Yes","No")</f>
        <v>No</v>
      </c>
      <c r="P3038" s="1" t="str">
        <f>IF(OR(Employee__2[[#This Row],[Age]]&gt;=30,Employee__2[[#This Row],[Gender]]="Male"),"Mached","Not mached")</f>
        <v>Mached</v>
      </c>
    </row>
    <row r="3039" spans="4:16" x14ac:dyDescent="0.25">
      <c r="D3039" s="6" t="s">
        <v>41</v>
      </c>
      <c r="E3039">
        <v>2017</v>
      </c>
      <c r="F3039" s="6" t="s">
        <v>40</v>
      </c>
      <c r="G3039">
        <v>2</v>
      </c>
      <c r="H3039">
        <v>36</v>
      </c>
      <c r="I3039" s="6" t="s">
        <v>36</v>
      </c>
      <c r="J3039" s="6" t="s">
        <v>37</v>
      </c>
      <c r="K3039">
        <v>5</v>
      </c>
      <c r="M3039" s="1" t="b">
        <f>Employee__2[[#This Row],[Experience]]&gt;1</f>
        <v>1</v>
      </c>
      <c r="N3039" s="1" t="str">
        <f>IF(Employee__2[[#This Row],[City]]="Pune","Yes","No")</f>
        <v>No</v>
      </c>
      <c r="O3039" s="1" t="str">
        <f>IF(AND(Employee__2[[#This Row],[Education]]="Bachelors",Employee__2[[#This Row],[City]]="Pune"),"Yes","No")</f>
        <v>No</v>
      </c>
      <c r="P3039" s="1" t="str">
        <f>IF(OR(Employee__2[[#This Row],[Age]]&gt;=30,Employee__2[[#This Row],[Gender]]="Male"),"Mached","Not mached")</f>
        <v>Mached</v>
      </c>
    </row>
    <row r="3040" spans="4:16" x14ac:dyDescent="0.25">
      <c r="D3040" s="6" t="s">
        <v>34</v>
      </c>
      <c r="E3040">
        <v>2013</v>
      </c>
      <c r="F3040" s="6" t="s">
        <v>40</v>
      </c>
      <c r="G3040">
        <v>3</v>
      </c>
      <c r="H3040">
        <v>33</v>
      </c>
      <c r="I3040" s="6" t="s">
        <v>39</v>
      </c>
      <c r="J3040" s="6" t="s">
        <v>37</v>
      </c>
      <c r="K3040">
        <v>1</v>
      </c>
      <c r="M3040" s="1" t="b">
        <f>Employee__2[[#This Row],[Experience]]&gt;1</f>
        <v>0</v>
      </c>
      <c r="N3040" s="1" t="str">
        <f>IF(Employee__2[[#This Row],[City]]="Pune","Yes","No")</f>
        <v>No</v>
      </c>
      <c r="O3040" s="1" t="str">
        <f>IF(AND(Employee__2[[#This Row],[Education]]="Bachelors",Employee__2[[#This Row],[City]]="Pune"),"Yes","No")</f>
        <v>No</v>
      </c>
      <c r="P3040" s="1" t="str">
        <f>IF(OR(Employee__2[[#This Row],[Age]]&gt;=30,Employee__2[[#This Row],[Gender]]="Male"),"Mached","Not mached")</f>
        <v>Mached</v>
      </c>
    </row>
    <row r="3041" spans="4:16" x14ac:dyDescent="0.25">
      <c r="D3041" s="6" t="s">
        <v>34</v>
      </c>
      <c r="E3041">
        <v>2014</v>
      </c>
      <c r="F3041" s="6" t="s">
        <v>35</v>
      </c>
      <c r="G3041">
        <v>3</v>
      </c>
      <c r="H3041">
        <v>39</v>
      </c>
      <c r="I3041" s="6" t="s">
        <v>36</v>
      </c>
      <c r="J3041" s="6" t="s">
        <v>42</v>
      </c>
      <c r="K3041">
        <v>0</v>
      </c>
      <c r="M3041" s="1" t="b">
        <f>Employee__2[[#This Row],[Experience]]&gt;1</f>
        <v>0</v>
      </c>
      <c r="N3041" s="1" t="str">
        <f>IF(Employee__2[[#This Row],[City]]="Pune","Yes","No")</f>
        <v>No</v>
      </c>
      <c r="O3041" s="1" t="str">
        <f>IF(AND(Employee__2[[#This Row],[Education]]="Bachelors",Employee__2[[#This Row],[City]]="Pune"),"Yes","No")</f>
        <v>No</v>
      </c>
      <c r="P3041" s="1" t="str">
        <f>IF(OR(Employee__2[[#This Row],[Age]]&gt;=30,Employee__2[[#This Row],[Gender]]="Male"),"Mached","Not mached")</f>
        <v>Mached</v>
      </c>
    </row>
    <row r="3042" spans="4:16" x14ac:dyDescent="0.25">
      <c r="D3042" s="6" t="s">
        <v>34</v>
      </c>
      <c r="E3042">
        <v>2013</v>
      </c>
      <c r="F3042" s="6" t="s">
        <v>35</v>
      </c>
      <c r="G3042">
        <v>3</v>
      </c>
      <c r="H3042">
        <v>39</v>
      </c>
      <c r="I3042" s="6" t="s">
        <v>36</v>
      </c>
      <c r="J3042" s="6" t="s">
        <v>37</v>
      </c>
      <c r="K3042">
        <v>0</v>
      </c>
      <c r="M3042" s="1" t="b">
        <f>Employee__2[[#This Row],[Experience]]&gt;1</f>
        <v>0</v>
      </c>
      <c r="N3042" s="1" t="str">
        <f>IF(Employee__2[[#This Row],[City]]="Pune","Yes","No")</f>
        <v>No</v>
      </c>
      <c r="O3042" s="1" t="str">
        <f>IF(AND(Employee__2[[#This Row],[Education]]="Bachelors",Employee__2[[#This Row],[City]]="Pune"),"Yes","No")</f>
        <v>No</v>
      </c>
      <c r="P3042" s="1" t="str">
        <f>IF(OR(Employee__2[[#This Row],[Age]]&gt;=30,Employee__2[[#This Row],[Gender]]="Male"),"Mached","Not mached")</f>
        <v>Mached</v>
      </c>
    </row>
    <row r="3043" spans="4:16" x14ac:dyDescent="0.25">
      <c r="D3043" s="6" t="s">
        <v>34</v>
      </c>
      <c r="E3043">
        <v>2014</v>
      </c>
      <c r="F3043" s="6" t="s">
        <v>35</v>
      </c>
      <c r="G3043">
        <v>3</v>
      </c>
      <c r="H3043">
        <v>33</v>
      </c>
      <c r="I3043" s="6" t="s">
        <v>36</v>
      </c>
      <c r="J3043" s="6" t="s">
        <v>37</v>
      </c>
      <c r="K3043">
        <v>4</v>
      </c>
      <c r="M3043" s="1" t="b">
        <f>Employee__2[[#This Row],[Experience]]&gt;1</f>
        <v>1</v>
      </c>
      <c r="N3043" s="1" t="str">
        <f>IF(Employee__2[[#This Row],[City]]="Pune","Yes","No")</f>
        <v>No</v>
      </c>
      <c r="O3043" s="1" t="str">
        <f>IF(AND(Employee__2[[#This Row],[Education]]="Bachelors",Employee__2[[#This Row],[City]]="Pune"),"Yes","No")</f>
        <v>No</v>
      </c>
      <c r="P3043" s="1" t="str">
        <f>IF(OR(Employee__2[[#This Row],[Age]]&gt;=30,Employee__2[[#This Row],[Gender]]="Male"),"Mached","Not mached")</f>
        <v>Mached</v>
      </c>
    </row>
    <row r="3044" spans="4:16" x14ac:dyDescent="0.25">
      <c r="D3044" s="6" t="s">
        <v>34</v>
      </c>
      <c r="E3044">
        <v>2017</v>
      </c>
      <c r="F3044" s="6" t="s">
        <v>38</v>
      </c>
      <c r="G3044">
        <v>3</v>
      </c>
      <c r="H3044">
        <v>32</v>
      </c>
      <c r="I3044" s="6" t="s">
        <v>36</v>
      </c>
      <c r="J3044" s="6" t="s">
        <v>37</v>
      </c>
      <c r="K3044">
        <v>5</v>
      </c>
      <c r="M3044" s="1" t="b">
        <f>Employee__2[[#This Row],[Experience]]&gt;1</f>
        <v>1</v>
      </c>
      <c r="N3044" s="1" t="str">
        <f>IF(Employee__2[[#This Row],[City]]="Pune","Yes","No")</f>
        <v>Yes</v>
      </c>
      <c r="O3044" s="1" t="str">
        <f>IF(AND(Employee__2[[#This Row],[Education]]="Bachelors",Employee__2[[#This Row],[City]]="Pune"),"Yes","No")</f>
        <v>Yes</v>
      </c>
      <c r="P3044" s="1" t="str">
        <f>IF(OR(Employee__2[[#This Row],[Age]]&gt;=30,Employee__2[[#This Row],[Gender]]="Male"),"Mached","Not mached")</f>
        <v>Mached</v>
      </c>
    </row>
    <row r="3045" spans="4:16" x14ac:dyDescent="0.25">
      <c r="D3045" s="6" t="s">
        <v>34</v>
      </c>
      <c r="E3045">
        <v>2014</v>
      </c>
      <c r="F3045" s="6" t="s">
        <v>35</v>
      </c>
      <c r="G3045">
        <v>3</v>
      </c>
      <c r="H3045">
        <v>35</v>
      </c>
      <c r="I3045" s="6" t="s">
        <v>39</v>
      </c>
      <c r="J3045" s="6" t="s">
        <v>37</v>
      </c>
      <c r="K3045">
        <v>2</v>
      </c>
      <c r="M3045" s="1" t="b">
        <f>Employee__2[[#This Row],[Experience]]&gt;1</f>
        <v>1</v>
      </c>
      <c r="N3045" s="1" t="str">
        <f>IF(Employee__2[[#This Row],[City]]="Pune","Yes","No")</f>
        <v>No</v>
      </c>
      <c r="O3045" s="1" t="str">
        <f>IF(AND(Employee__2[[#This Row],[Education]]="Bachelors",Employee__2[[#This Row],[City]]="Pune"),"Yes","No")</f>
        <v>No</v>
      </c>
      <c r="P3045" s="1" t="str">
        <f>IF(OR(Employee__2[[#This Row],[Age]]&gt;=30,Employee__2[[#This Row],[Gender]]="Male"),"Mached","Not mached")</f>
        <v>Mached</v>
      </c>
    </row>
    <row r="3046" spans="4:16" x14ac:dyDescent="0.25">
      <c r="D3046" s="6" t="s">
        <v>34</v>
      </c>
      <c r="E3046">
        <v>2014</v>
      </c>
      <c r="F3046" s="6" t="s">
        <v>35</v>
      </c>
      <c r="G3046">
        <v>3</v>
      </c>
      <c r="H3046">
        <v>36</v>
      </c>
      <c r="I3046" s="6" t="s">
        <v>36</v>
      </c>
      <c r="J3046" s="6" t="s">
        <v>37</v>
      </c>
      <c r="K3046">
        <v>5</v>
      </c>
      <c r="M3046" s="1" t="b">
        <f>Employee__2[[#This Row],[Experience]]&gt;1</f>
        <v>1</v>
      </c>
      <c r="N3046" s="1" t="str">
        <f>IF(Employee__2[[#This Row],[City]]="Pune","Yes","No")</f>
        <v>No</v>
      </c>
      <c r="O3046" s="1" t="str">
        <f>IF(AND(Employee__2[[#This Row],[Education]]="Bachelors",Employee__2[[#This Row],[City]]="Pune"),"Yes","No")</f>
        <v>No</v>
      </c>
      <c r="P3046" s="1" t="str">
        <f>IF(OR(Employee__2[[#This Row],[Age]]&gt;=30,Employee__2[[#This Row],[Gender]]="Male"),"Mached","Not mached")</f>
        <v>Mached</v>
      </c>
    </row>
    <row r="3047" spans="4:16" x14ac:dyDescent="0.25">
      <c r="D3047" s="6" t="s">
        <v>34</v>
      </c>
      <c r="E3047">
        <v>2018</v>
      </c>
      <c r="F3047" s="6" t="s">
        <v>38</v>
      </c>
      <c r="G3047">
        <v>2</v>
      </c>
      <c r="H3047">
        <v>39</v>
      </c>
      <c r="I3047" s="6" t="s">
        <v>39</v>
      </c>
      <c r="J3047" s="6" t="s">
        <v>37</v>
      </c>
      <c r="K3047">
        <v>0</v>
      </c>
      <c r="M3047" s="1" t="b">
        <f>Employee__2[[#This Row],[Experience]]&gt;1</f>
        <v>0</v>
      </c>
      <c r="N3047" s="1" t="str">
        <f>IF(Employee__2[[#This Row],[City]]="Pune","Yes","No")</f>
        <v>Yes</v>
      </c>
      <c r="O3047" s="1" t="str">
        <f>IF(AND(Employee__2[[#This Row],[Education]]="Bachelors",Employee__2[[#This Row],[City]]="Pune"),"Yes","No")</f>
        <v>Yes</v>
      </c>
      <c r="P3047" s="1" t="str">
        <f>IF(OR(Employee__2[[#This Row],[Age]]&gt;=30,Employee__2[[#This Row],[Gender]]="Male"),"Mached","Not mached")</f>
        <v>Mached</v>
      </c>
    </row>
    <row r="3048" spans="4:16" x14ac:dyDescent="0.25">
      <c r="D3048" s="6" t="s">
        <v>34</v>
      </c>
      <c r="E3048">
        <v>2013</v>
      </c>
      <c r="F3048" s="6" t="s">
        <v>35</v>
      </c>
      <c r="G3048">
        <v>3</v>
      </c>
      <c r="H3048">
        <v>37</v>
      </c>
      <c r="I3048" s="6" t="s">
        <v>39</v>
      </c>
      <c r="J3048" s="6" t="s">
        <v>37</v>
      </c>
      <c r="K3048">
        <v>5</v>
      </c>
      <c r="M3048" s="1" t="b">
        <f>Employee__2[[#This Row],[Experience]]&gt;1</f>
        <v>1</v>
      </c>
      <c r="N3048" s="1" t="str">
        <f>IF(Employee__2[[#This Row],[City]]="Pune","Yes","No")</f>
        <v>No</v>
      </c>
      <c r="O3048" s="1" t="str">
        <f>IF(AND(Employee__2[[#This Row],[Education]]="Bachelors",Employee__2[[#This Row],[City]]="Pune"),"Yes","No")</f>
        <v>No</v>
      </c>
      <c r="P3048" s="1" t="str">
        <f>IF(OR(Employee__2[[#This Row],[Age]]&gt;=30,Employee__2[[#This Row],[Gender]]="Male"),"Mached","Not mached")</f>
        <v>Mached</v>
      </c>
    </row>
    <row r="3049" spans="4:16" x14ac:dyDescent="0.25">
      <c r="D3049" s="6" t="s">
        <v>41</v>
      </c>
      <c r="E3049">
        <v>2017</v>
      </c>
      <c r="F3049" s="6" t="s">
        <v>40</v>
      </c>
      <c r="G3049">
        <v>2</v>
      </c>
      <c r="H3049">
        <v>35</v>
      </c>
      <c r="I3049" s="6" t="s">
        <v>39</v>
      </c>
      <c r="J3049" s="6" t="s">
        <v>37</v>
      </c>
      <c r="K3049">
        <v>2</v>
      </c>
      <c r="M3049" s="1" t="b">
        <f>Employee__2[[#This Row],[Experience]]&gt;1</f>
        <v>1</v>
      </c>
      <c r="N3049" s="1" t="str">
        <f>IF(Employee__2[[#This Row],[City]]="Pune","Yes","No")</f>
        <v>No</v>
      </c>
      <c r="O3049" s="1" t="str">
        <f>IF(AND(Employee__2[[#This Row],[Education]]="Bachelors",Employee__2[[#This Row],[City]]="Pune"),"Yes","No")</f>
        <v>No</v>
      </c>
      <c r="P3049" s="1" t="str">
        <f>IF(OR(Employee__2[[#This Row],[Age]]&gt;=30,Employee__2[[#This Row],[Gender]]="Male"),"Mached","Not mached")</f>
        <v>Mached</v>
      </c>
    </row>
    <row r="3050" spans="4:16" x14ac:dyDescent="0.25">
      <c r="D3050" s="6" t="s">
        <v>34</v>
      </c>
      <c r="E3050">
        <v>2017</v>
      </c>
      <c r="F3050" s="6" t="s">
        <v>35</v>
      </c>
      <c r="G3050">
        <v>3</v>
      </c>
      <c r="H3050">
        <v>36</v>
      </c>
      <c r="I3050" s="6" t="s">
        <v>36</v>
      </c>
      <c r="J3050" s="6" t="s">
        <v>37</v>
      </c>
      <c r="K3050">
        <v>5</v>
      </c>
      <c r="M3050" s="1" t="b">
        <f>Employee__2[[#This Row],[Experience]]&gt;1</f>
        <v>1</v>
      </c>
      <c r="N3050" s="1" t="str">
        <f>IF(Employee__2[[#This Row],[City]]="Pune","Yes","No")</f>
        <v>No</v>
      </c>
      <c r="O3050" s="1" t="str">
        <f>IF(AND(Employee__2[[#This Row],[Education]]="Bachelors",Employee__2[[#This Row],[City]]="Pune"),"Yes","No")</f>
        <v>No</v>
      </c>
      <c r="P3050" s="1" t="str">
        <f>IF(OR(Employee__2[[#This Row],[Age]]&gt;=30,Employee__2[[#This Row],[Gender]]="Male"),"Mached","Not mached")</f>
        <v>Mached</v>
      </c>
    </row>
    <row r="3051" spans="4:16" x14ac:dyDescent="0.25">
      <c r="D3051" s="6" t="s">
        <v>41</v>
      </c>
      <c r="E3051">
        <v>2013</v>
      </c>
      <c r="F3051" s="6" t="s">
        <v>40</v>
      </c>
      <c r="G3051">
        <v>3</v>
      </c>
      <c r="H3051">
        <v>41</v>
      </c>
      <c r="I3051" s="6" t="s">
        <v>36</v>
      </c>
      <c r="J3051" s="6" t="s">
        <v>37</v>
      </c>
      <c r="K3051">
        <v>0</v>
      </c>
      <c r="M3051" s="1" t="b">
        <f>Employee__2[[#This Row],[Experience]]&gt;1</f>
        <v>0</v>
      </c>
      <c r="N3051" s="1" t="str">
        <f>IF(Employee__2[[#This Row],[City]]="Pune","Yes","No")</f>
        <v>No</v>
      </c>
      <c r="O3051" s="1" t="str">
        <f>IF(AND(Employee__2[[#This Row],[Education]]="Bachelors",Employee__2[[#This Row],[City]]="Pune"),"Yes","No")</f>
        <v>No</v>
      </c>
      <c r="P3051" s="1" t="str">
        <f>IF(OR(Employee__2[[#This Row],[Age]]&gt;=30,Employee__2[[#This Row],[Gender]]="Male"),"Mached","Not mached")</f>
        <v>Mached</v>
      </c>
    </row>
    <row r="3052" spans="4:16" x14ac:dyDescent="0.25">
      <c r="D3052" s="6" t="s">
        <v>34</v>
      </c>
      <c r="E3052">
        <v>2017</v>
      </c>
      <c r="F3052" s="6" t="s">
        <v>35</v>
      </c>
      <c r="G3052">
        <v>3</v>
      </c>
      <c r="H3052">
        <v>33</v>
      </c>
      <c r="I3052" s="6" t="s">
        <v>36</v>
      </c>
      <c r="J3052" s="6" t="s">
        <v>37</v>
      </c>
      <c r="K3052">
        <v>2</v>
      </c>
      <c r="M3052" s="1" t="b">
        <f>Employee__2[[#This Row],[Experience]]&gt;1</f>
        <v>1</v>
      </c>
      <c r="N3052" s="1" t="str">
        <f>IF(Employee__2[[#This Row],[City]]="Pune","Yes","No")</f>
        <v>No</v>
      </c>
      <c r="O3052" s="1" t="str">
        <f>IF(AND(Employee__2[[#This Row],[Education]]="Bachelors",Employee__2[[#This Row],[City]]="Pune"),"Yes","No")</f>
        <v>No</v>
      </c>
      <c r="P3052" s="1" t="str">
        <f>IF(OR(Employee__2[[#This Row],[Age]]&gt;=30,Employee__2[[#This Row],[Gender]]="Male"),"Mached","Not mached")</f>
        <v>Mached</v>
      </c>
    </row>
    <row r="3053" spans="4:16" x14ac:dyDescent="0.25">
      <c r="D3053" s="6" t="s">
        <v>34</v>
      </c>
      <c r="E3053">
        <v>2018</v>
      </c>
      <c r="F3053" s="6" t="s">
        <v>35</v>
      </c>
      <c r="G3053">
        <v>3</v>
      </c>
      <c r="H3053">
        <v>38</v>
      </c>
      <c r="I3053" s="6" t="s">
        <v>36</v>
      </c>
      <c r="J3053" s="6" t="s">
        <v>37</v>
      </c>
      <c r="K3053">
        <v>2</v>
      </c>
      <c r="M3053" s="1" t="b">
        <f>Employee__2[[#This Row],[Experience]]&gt;1</f>
        <v>1</v>
      </c>
      <c r="N3053" s="1" t="str">
        <f>IF(Employee__2[[#This Row],[City]]="Pune","Yes","No")</f>
        <v>No</v>
      </c>
      <c r="O3053" s="1" t="str">
        <f>IF(AND(Employee__2[[#This Row],[Education]]="Bachelors",Employee__2[[#This Row],[City]]="Pune"),"Yes","No")</f>
        <v>No</v>
      </c>
      <c r="P3053" s="1" t="str">
        <f>IF(OR(Employee__2[[#This Row],[Age]]&gt;=30,Employee__2[[#This Row],[Gender]]="Male"),"Mached","Not mached")</f>
        <v>Mached</v>
      </c>
    </row>
    <row r="3054" spans="4:16" x14ac:dyDescent="0.25">
      <c r="D3054" s="6" t="s">
        <v>34</v>
      </c>
      <c r="E3054">
        <v>2015</v>
      </c>
      <c r="F3054" s="6" t="s">
        <v>35</v>
      </c>
      <c r="G3054">
        <v>3</v>
      </c>
      <c r="H3054">
        <v>34</v>
      </c>
      <c r="I3054" s="6" t="s">
        <v>36</v>
      </c>
      <c r="J3054" s="6" t="s">
        <v>37</v>
      </c>
      <c r="K3054">
        <v>5</v>
      </c>
      <c r="M3054" s="1" t="b">
        <f>Employee__2[[#This Row],[Experience]]&gt;1</f>
        <v>1</v>
      </c>
      <c r="N3054" s="1" t="str">
        <f>IF(Employee__2[[#This Row],[City]]="Pune","Yes","No")</f>
        <v>No</v>
      </c>
      <c r="O3054" s="1" t="str">
        <f>IF(AND(Employee__2[[#This Row],[Education]]="Bachelors",Employee__2[[#This Row],[City]]="Pune"),"Yes","No")</f>
        <v>No</v>
      </c>
      <c r="P3054" s="1" t="str">
        <f>IF(OR(Employee__2[[#This Row],[Age]]&gt;=30,Employee__2[[#This Row],[Gender]]="Male"),"Mached","Not mached")</f>
        <v>Mached</v>
      </c>
    </row>
    <row r="3055" spans="4:16" x14ac:dyDescent="0.25">
      <c r="D3055" s="6" t="s">
        <v>34</v>
      </c>
      <c r="E3055">
        <v>2012</v>
      </c>
      <c r="F3055" s="6" t="s">
        <v>35</v>
      </c>
      <c r="G3055">
        <v>3</v>
      </c>
      <c r="H3055">
        <v>34</v>
      </c>
      <c r="I3055" s="6" t="s">
        <v>36</v>
      </c>
      <c r="J3055" s="6" t="s">
        <v>37</v>
      </c>
      <c r="K3055">
        <v>1</v>
      </c>
      <c r="M3055" s="1" t="b">
        <f>Employee__2[[#This Row],[Experience]]&gt;1</f>
        <v>0</v>
      </c>
      <c r="N3055" s="1" t="str">
        <f>IF(Employee__2[[#This Row],[City]]="Pune","Yes","No")</f>
        <v>No</v>
      </c>
      <c r="O3055" s="1" t="str">
        <f>IF(AND(Employee__2[[#This Row],[Education]]="Bachelors",Employee__2[[#This Row],[City]]="Pune"),"Yes","No")</f>
        <v>No</v>
      </c>
      <c r="P3055" s="1" t="str">
        <f>IF(OR(Employee__2[[#This Row],[Age]]&gt;=30,Employee__2[[#This Row],[Gender]]="Male"),"Mached","Not mached")</f>
        <v>Mached</v>
      </c>
    </row>
    <row r="3056" spans="4:16" x14ac:dyDescent="0.25">
      <c r="D3056" s="6" t="s">
        <v>34</v>
      </c>
      <c r="E3056">
        <v>2015</v>
      </c>
      <c r="F3056" s="6" t="s">
        <v>38</v>
      </c>
      <c r="G3056">
        <v>3</v>
      </c>
      <c r="H3056">
        <v>35</v>
      </c>
      <c r="I3056" s="6" t="s">
        <v>36</v>
      </c>
      <c r="J3056" s="6" t="s">
        <v>42</v>
      </c>
      <c r="K3056">
        <v>5</v>
      </c>
      <c r="M3056" s="1" t="b">
        <f>Employee__2[[#This Row],[Experience]]&gt;1</f>
        <v>1</v>
      </c>
      <c r="N3056" s="1" t="str">
        <f>IF(Employee__2[[#This Row],[City]]="Pune","Yes","No")</f>
        <v>Yes</v>
      </c>
      <c r="O3056" s="1" t="str">
        <f>IF(AND(Employee__2[[#This Row],[Education]]="Bachelors",Employee__2[[#This Row],[City]]="Pune"),"Yes","No")</f>
        <v>Yes</v>
      </c>
      <c r="P3056" s="1" t="str">
        <f>IF(OR(Employee__2[[#This Row],[Age]]&gt;=30,Employee__2[[#This Row],[Gender]]="Male"),"Mached","Not mached")</f>
        <v>Mached</v>
      </c>
    </row>
    <row r="3057" spans="4:16" x14ac:dyDescent="0.25">
      <c r="D3057" s="6" t="s">
        <v>34</v>
      </c>
      <c r="E3057">
        <v>2012</v>
      </c>
      <c r="F3057" s="6" t="s">
        <v>35</v>
      </c>
      <c r="G3057">
        <v>3</v>
      </c>
      <c r="H3057">
        <v>39</v>
      </c>
      <c r="I3057" s="6" t="s">
        <v>39</v>
      </c>
      <c r="J3057" s="6" t="s">
        <v>37</v>
      </c>
      <c r="K3057">
        <v>2</v>
      </c>
      <c r="M3057" s="1" t="b">
        <f>Employee__2[[#This Row],[Experience]]&gt;1</f>
        <v>1</v>
      </c>
      <c r="N3057" s="1" t="str">
        <f>IF(Employee__2[[#This Row],[City]]="Pune","Yes","No")</f>
        <v>No</v>
      </c>
      <c r="O3057" s="1" t="str">
        <f>IF(AND(Employee__2[[#This Row],[Education]]="Bachelors",Employee__2[[#This Row],[City]]="Pune"),"Yes","No")</f>
        <v>No</v>
      </c>
      <c r="P3057" s="1" t="str">
        <f>IF(OR(Employee__2[[#This Row],[Age]]&gt;=30,Employee__2[[#This Row],[Gender]]="Male"),"Mached","Not mached")</f>
        <v>Mached</v>
      </c>
    </row>
    <row r="3058" spans="4:16" x14ac:dyDescent="0.25">
      <c r="D3058" s="6" t="s">
        <v>34</v>
      </c>
      <c r="E3058">
        <v>2012</v>
      </c>
      <c r="F3058" s="6" t="s">
        <v>35</v>
      </c>
      <c r="G3058">
        <v>3</v>
      </c>
      <c r="H3058">
        <v>41</v>
      </c>
      <c r="I3058" s="6" t="s">
        <v>36</v>
      </c>
      <c r="J3058" s="6" t="s">
        <v>37</v>
      </c>
      <c r="K3058">
        <v>3</v>
      </c>
      <c r="M3058" s="1" t="b">
        <f>Employee__2[[#This Row],[Experience]]&gt;1</f>
        <v>1</v>
      </c>
      <c r="N3058" s="1" t="str">
        <f>IF(Employee__2[[#This Row],[City]]="Pune","Yes","No")</f>
        <v>No</v>
      </c>
      <c r="O3058" s="1" t="str">
        <f>IF(AND(Employee__2[[#This Row],[Education]]="Bachelors",Employee__2[[#This Row],[City]]="Pune"),"Yes","No")</f>
        <v>No</v>
      </c>
      <c r="P3058" s="1" t="str">
        <f>IF(OR(Employee__2[[#This Row],[Age]]&gt;=30,Employee__2[[#This Row],[Gender]]="Male"),"Mached","Not mached")</f>
        <v>Mached</v>
      </c>
    </row>
    <row r="3059" spans="4:16" x14ac:dyDescent="0.25">
      <c r="D3059" s="6" t="s">
        <v>34</v>
      </c>
      <c r="E3059">
        <v>2018</v>
      </c>
      <c r="F3059" s="6" t="s">
        <v>35</v>
      </c>
      <c r="G3059">
        <v>3</v>
      </c>
      <c r="H3059">
        <v>34</v>
      </c>
      <c r="I3059" s="6" t="s">
        <v>36</v>
      </c>
      <c r="J3059" s="6" t="s">
        <v>42</v>
      </c>
      <c r="K3059">
        <v>2</v>
      </c>
      <c r="M3059" s="1" t="b">
        <f>Employee__2[[#This Row],[Experience]]&gt;1</f>
        <v>1</v>
      </c>
      <c r="N3059" s="1" t="str">
        <f>IF(Employee__2[[#This Row],[City]]="Pune","Yes","No")</f>
        <v>No</v>
      </c>
      <c r="O3059" s="1" t="str">
        <f>IF(AND(Employee__2[[#This Row],[Education]]="Bachelors",Employee__2[[#This Row],[City]]="Pune"),"Yes","No")</f>
        <v>No</v>
      </c>
      <c r="P3059" s="1" t="str">
        <f>IF(OR(Employee__2[[#This Row],[Age]]&gt;=30,Employee__2[[#This Row],[Gender]]="Male"),"Mached","Not mached")</f>
        <v>Mached</v>
      </c>
    </row>
    <row r="3060" spans="4:16" x14ac:dyDescent="0.25">
      <c r="D3060" s="6" t="s">
        <v>41</v>
      </c>
      <c r="E3060">
        <v>2015</v>
      </c>
      <c r="F3060" s="6" t="s">
        <v>38</v>
      </c>
      <c r="G3060">
        <v>2</v>
      </c>
      <c r="H3060">
        <v>35</v>
      </c>
      <c r="I3060" s="6" t="s">
        <v>39</v>
      </c>
      <c r="J3060" s="6" t="s">
        <v>37</v>
      </c>
      <c r="K3060">
        <v>1</v>
      </c>
      <c r="M3060" s="1" t="b">
        <f>Employee__2[[#This Row],[Experience]]&gt;1</f>
        <v>0</v>
      </c>
      <c r="N3060" s="1" t="str">
        <f>IF(Employee__2[[#This Row],[City]]="Pune","Yes","No")</f>
        <v>Yes</v>
      </c>
      <c r="O3060" s="1" t="str">
        <f>IF(AND(Employee__2[[#This Row],[Education]]="Bachelors",Employee__2[[#This Row],[City]]="Pune"),"Yes","No")</f>
        <v>No</v>
      </c>
      <c r="P3060" s="1" t="str">
        <f>IF(OR(Employee__2[[#This Row],[Age]]&gt;=30,Employee__2[[#This Row],[Gender]]="Male"),"Mached","Not mached")</f>
        <v>Mached</v>
      </c>
    </row>
    <row r="3061" spans="4:16" x14ac:dyDescent="0.25">
      <c r="D3061" s="6" t="s">
        <v>34</v>
      </c>
      <c r="E3061">
        <v>2012</v>
      </c>
      <c r="F3061" s="6" t="s">
        <v>35</v>
      </c>
      <c r="G3061">
        <v>3</v>
      </c>
      <c r="H3061">
        <v>33</v>
      </c>
      <c r="I3061" s="6" t="s">
        <v>36</v>
      </c>
      <c r="J3061" s="6" t="s">
        <v>37</v>
      </c>
      <c r="K3061">
        <v>2</v>
      </c>
      <c r="M3061" s="1" t="b">
        <f>Employee__2[[#This Row],[Experience]]&gt;1</f>
        <v>1</v>
      </c>
      <c r="N3061" s="1" t="str">
        <f>IF(Employee__2[[#This Row],[City]]="Pune","Yes","No")</f>
        <v>No</v>
      </c>
      <c r="O3061" s="1" t="str">
        <f>IF(AND(Employee__2[[#This Row],[Education]]="Bachelors",Employee__2[[#This Row],[City]]="Pune"),"Yes","No")</f>
        <v>No</v>
      </c>
      <c r="P3061" s="1" t="str">
        <f>IF(OR(Employee__2[[#This Row],[Age]]&gt;=30,Employee__2[[#This Row],[Gender]]="Male"),"Mached","Not mached")</f>
        <v>Mached</v>
      </c>
    </row>
    <row r="3062" spans="4:16" x14ac:dyDescent="0.25">
      <c r="D3062" s="6" t="s">
        <v>34</v>
      </c>
      <c r="E3062">
        <v>2015</v>
      </c>
      <c r="F3062" s="6" t="s">
        <v>35</v>
      </c>
      <c r="G3062">
        <v>3</v>
      </c>
      <c r="H3062">
        <v>39</v>
      </c>
      <c r="I3062" s="6" t="s">
        <v>36</v>
      </c>
      <c r="J3062" s="6" t="s">
        <v>37</v>
      </c>
      <c r="K3062">
        <v>3</v>
      </c>
      <c r="M3062" s="1" t="b">
        <f>Employee__2[[#This Row],[Experience]]&gt;1</f>
        <v>1</v>
      </c>
      <c r="N3062" s="1" t="str">
        <f>IF(Employee__2[[#This Row],[City]]="Pune","Yes","No")</f>
        <v>No</v>
      </c>
      <c r="O3062" s="1" t="str">
        <f>IF(AND(Employee__2[[#This Row],[Education]]="Bachelors",Employee__2[[#This Row],[City]]="Pune"),"Yes","No")</f>
        <v>No</v>
      </c>
      <c r="P3062" s="1" t="str">
        <f>IF(OR(Employee__2[[#This Row],[Age]]&gt;=30,Employee__2[[#This Row],[Gender]]="Male"),"Mached","Not mached")</f>
        <v>Mached</v>
      </c>
    </row>
    <row r="3063" spans="4:16" x14ac:dyDescent="0.25">
      <c r="D3063" s="6" t="s">
        <v>41</v>
      </c>
      <c r="E3063">
        <v>2017</v>
      </c>
      <c r="F3063" s="6" t="s">
        <v>40</v>
      </c>
      <c r="G3063">
        <v>2</v>
      </c>
      <c r="H3063">
        <v>35</v>
      </c>
      <c r="I3063" s="6" t="s">
        <v>36</v>
      </c>
      <c r="J3063" s="6" t="s">
        <v>42</v>
      </c>
      <c r="K3063">
        <v>2</v>
      </c>
      <c r="M3063" s="1" t="b">
        <f>Employee__2[[#This Row],[Experience]]&gt;1</f>
        <v>1</v>
      </c>
      <c r="N3063" s="1" t="str">
        <f>IF(Employee__2[[#This Row],[City]]="Pune","Yes","No")</f>
        <v>No</v>
      </c>
      <c r="O3063" s="1" t="str">
        <f>IF(AND(Employee__2[[#This Row],[Education]]="Bachelors",Employee__2[[#This Row],[City]]="Pune"),"Yes","No")</f>
        <v>No</v>
      </c>
      <c r="P3063" s="1" t="str">
        <f>IF(OR(Employee__2[[#This Row],[Age]]&gt;=30,Employee__2[[#This Row],[Gender]]="Male"),"Mached","Not mached")</f>
        <v>Mached</v>
      </c>
    </row>
    <row r="3064" spans="4:16" x14ac:dyDescent="0.25">
      <c r="D3064" s="6" t="s">
        <v>34</v>
      </c>
      <c r="E3064">
        <v>2017</v>
      </c>
      <c r="F3064" s="6" t="s">
        <v>40</v>
      </c>
      <c r="G3064">
        <v>2</v>
      </c>
      <c r="H3064">
        <v>31</v>
      </c>
      <c r="I3064" s="6" t="s">
        <v>39</v>
      </c>
      <c r="J3064" s="6" t="s">
        <v>37</v>
      </c>
      <c r="K3064">
        <v>0</v>
      </c>
      <c r="M3064" s="1" t="b">
        <f>Employee__2[[#This Row],[Experience]]&gt;1</f>
        <v>0</v>
      </c>
      <c r="N3064" s="1" t="str">
        <f>IF(Employee__2[[#This Row],[City]]="Pune","Yes","No")</f>
        <v>No</v>
      </c>
      <c r="O3064" s="1" t="str">
        <f>IF(AND(Employee__2[[#This Row],[Education]]="Bachelors",Employee__2[[#This Row],[City]]="Pune"),"Yes","No")</f>
        <v>No</v>
      </c>
      <c r="P3064" s="1" t="str">
        <f>IF(OR(Employee__2[[#This Row],[Age]]&gt;=30,Employee__2[[#This Row],[Gender]]="Male"),"Mached","Not mached")</f>
        <v>Mached</v>
      </c>
    </row>
    <row r="3065" spans="4:16" x14ac:dyDescent="0.25">
      <c r="D3065" s="6" t="s">
        <v>34</v>
      </c>
      <c r="E3065">
        <v>2016</v>
      </c>
      <c r="F3065" s="6" t="s">
        <v>35</v>
      </c>
      <c r="G3065">
        <v>3</v>
      </c>
      <c r="H3065">
        <v>34</v>
      </c>
      <c r="I3065" s="6" t="s">
        <v>36</v>
      </c>
      <c r="J3065" s="6" t="s">
        <v>42</v>
      </c>
      <c r="K3065">
        <v>4</v>
      </c>
      <c r="M3065" s="1" t="b">
        <f>Employee__2[[#This Row],[Experience]]&gt;1</f>
        <v>1</v>
      </c>
      <c r="N3065" s="1" t="str">
        <f>IF(Employee__2[[#This Row],[City]]="Pune","Yes","No")</f>
        <v>No</v>
      </c>
      <c r="O3065" s="1" t="str">
        <f>IF(AND(Employee__2[[#This Row],[Education]]="Bachelors",Employee__2[[#This Row],[City]]="Pune"),"Yes","No")</f>
        <v>No</v>
      </c>
      <c r="P3065" s="1" t="str">
        <f>IF(OR(Employee__2[[#This Row],[Age]]&gt;=30,Employee__2[[#This Row],[Gender]]="Male"),"Mached","Not mached")</f>
        <v>Mached</v>
      </c>
    </row>
    <row r="3066" spans="4:16" x14ac:dyDescent="0.25">
      <c r="D3066" s="6" t="s">
        <v>34</v>
      </c>
      <c r="E3066">
        <v>2013</v>
      </c>
      <c r="F3066" s="6" t="s">
        <v>35</v>
      </c>
      <c r="G3066">
        <v>3</v>
      </c>
      <c r="H3066">
        <v>40</v>
      </c>
      <c r="I3066" s="6" t="s">
        <v>39</v>
      </c>
      <c r="J3066" s="6" t="s">
        <v>42</v>
      </c>
      <c r="K3066">
        <v>5</v>
      </c>
      <c r="M3066" s="1" t="b">
        <f>Employee__2[[#This Row],[Experience]]&gt;1</f>
        <v>1</v>
      </c>
      <c r="N3066" s="1" t="str">
        <f>IF(Employee__2[[#This Row],[City]]="Pune","Yes","No")</f>
        <v>No</v>
      </c>
      <c r="O3066" s="1" t="str">
        <f>IF(AND(Employee__2[[#This Row],[Education]]="Bachelors",Employee__2[[#This Row],[City]]="Pune"),"Yes","No")</f>
        <v>No</v>
      </c>
      <c r="P3066" s="1" t="str">
        <f>IF(OR(Employee__2[[#This Row],[Age]]&gt;=30,Employee__2[[#This Row],[Gender]]="Male"),"Mached","Not mached")</f>
        <v>Mached</v>
      </c>
    </row>
    <row r="3067" spans="4:16" x14ac:dyDescent="0.25">
      <c r="D3067" s="6" t="s">
        <v>34</v>
      </c>
      <c r="E3067">
        <v>2016</v>
      </c>
      <c r="F3067" s="6" t="s">
        <v>40</v>
      </c>
      <c r="G3067">
        <v>3</v>
      </c>
      <c r="H3067">
        <v>31</v>
      </c>
      <c r="I3067" s="6" t="s">
        <v>39</v>
      </c>
      <c r="J3067" s="6" t="s">
        <v>37</v>
      </c>
      <c r="K3067">
        <v>4</v>
      </c>
      <c r="M3067" s="1" t="b">
        <f>Employee__2[[#This Row],[Experience]]&gt;1</f>
        <v>1</v>
      </c>
      <c r="N3067" s="1" t="str">
        <f>IF(Employee__2[[#This Row],[City]]="Pune","Yes","No")</f>
        <v>No</v>
      </c>
      <c r="O3067" s="1" t="str">
        <f>IF(AND(Employee__2[[#This Row],[Education]]="Bachelors",Employee__2[[#This Row],[City]]="Pune"),"Yes","No")</f>
        <v>No</v>
      </c>
      <c r="P3067" s="1" t="str">
        <f>IF(OR(Employee__2[[#This Row],[Age]]&gt;=30,Employee__2[[#This Row],[Gender]]="Male"),"Mached","Not mached")</f>
        <v>Mached</v>
      </c>
    </row>
    <row r="3068" spans="4:16" x14ac:dyDescent="0.25">
      <c r="D3068" s="6" t="s">
        <v>34</v>
      </c>
      <c r="E3068">
        <v>2016</v>
      </c>
      <c r="F3068" s="6" t="s">
        <v>38</v>
      </c>
      <c r="G3068">
        <v>3</v>
      </c>
      <c r="H3068">
        <v>33</v>
      </c>
      <c r="I3068" s="6" t="s">
        <v>36</v>
      </c>
      <c r="J3068" s="6" t="s">
        <v>37</v>
      </c>
      <c r="K3068">
        <v>3</v>
      </c>
      <c r="M3068" s="1" t="b">
        <f>Employee__2[[#This Row],[Experience]]&gt;1</f>
        <v>1</v>
      </c>
      <c r="N3068" s="1" t="str">
        <f>IF(Employee__2[[#This Row],[City]]="Pune","Yes","No")</f>
        <v>Yes</v>
      </c>
      <c r="O3068" s="1" t="str">
        <f>IF(AND(Employee__2[[#This Row],[Education]]="Bachelors",Employee__2[[#This Row],[City]]="Pune"),"Yes","No")</f>
        <v>Yes</v>
      </c>
      <c r="P3068" s="1" t="str">
        <f>IF(OR(Employee__2[[#This Row],[Age]]&gt;=30,Employee__2[[#This Row],[Gender]]="Male"),"Mached","Not mached")</f>
        <v>Mached</v>
      </c>
    </row>
    <row r="3069" spans="4:16" x14ac:dyDescent="0.25">
      <c r="D3069" s="6" t="s">
        <v>34</v>
      </c>
      <c r="E3069">
        <v>2013</v>
      </c>
      <c r="F3069" s="6" t="s">
        <v>35</v>
      </c>
      <c r="G3069">
        <v>3</v>
      </c>
      <c r="H3069">
        <v>32</v>
      </c>
      <c r="I3069" s="6" t="s">
        <v>36</v>
      </c>
      <c r="J3069" s="6" t="s">
        <v>37</v>
      </c>
      <c r="K3069">
        <v>5</v>
      </c>
      <c r="M3069" s="1" t="b">
        <f>Employee__2[[#This Row],[Experience]]&gt;1</f>
        <v>1</v>
      </c>
      <c r="N3069" s="1" t="str">
        <f>IF(Employee__2[[#This Row],[City]]="Pune","Yes","No")</f>
        <v>No</v>
      </c>
      <c r="O3069" s="1" t="str">
        <f>IF(AND(Employee__2[[#This Row],[Education]]="Bachelors",Employee__2[[#This Row],[City]]="Pune"),"Yes","No")</f>
        <v>No</v>
      </c>
      <c r="P3069" s="1" t="str">
        <f>IF(OR(Employee__2[[#This Row],[Age]]&gt;=30,Employee__2[[#This Row],[Gender]]="Male"),"Mached","Not mached")</f>
        <v>Mached</v>
      </c>
    </row>
    <row r="3070" spans="4:16" x14ac:dyDescent="0.25">
      <c r="D3070" s="6" t="s">
        <v>41</v>
      </c>
      <c r="E3070">
        <v>2017</v>
      </c>
      <c r="F3070" s="6" t="s">
        <v>40</v>
      </c>
      <c r="G3070">
        <v>2</v>
      </c>
      <c r="H3070">
        <v>31</v>
      </c>
      <c r="I3070" s="6" t="s">
        <v>36</v>
      </c>
      <c r="J3070" s="6" t="s">
        <v>37</v>
      </c>
      <c r="K3070">
        <v>4</v>
      </c>
      <c r="M3070" s="1" t="b">
        <f>Employee__2[[#This Row],[Experience]]&gt;1</f>
        <v>1</v>
      </c>
      <c r="N3070" s="1" t="str">
        <f>IF(Employee__2[[#This Row],[City]]="Pune","Yes","No")</f>
        <v>No</v>
      </c>
      <c r="O3070" s="1" t="str">
        <f>IF(AND(Employee__2[[#This Row],[Education]]="Bachelors",Employee__2[[#This Row],[City]]="Pune"),"Yes","No")</f>
        <v>No</v>
      </c>
      <c r="P3070" s="1" t="str">
        <f>IF(OR(Employee__2[[#This Row],[Age]]&gt;=30,Employee__2[[#This Row],[Gender]]="Male"),"Mached","Not mached")</f>
        <v>Mached</v>
      </c>
    </row>
    <row r="3071" spans="4:16" x14ac:dyDescent="0.25">
      <c r="D3071" s="6" t="s">
        <v>34</v>
      </c>
      <c r="E3071">
        <v>2014</v>
      </c>
      <c r="F3071" s="6" t="s">
        <v>35</v>
      </c>
      <c r="G3071">
        <v>3</v>
      </c>
      <c r="H3071">
        <v>39</v>
      </c>
      <c r="I3071" s="6" t="s">
        <v>36</v>
      </c>
      <c r="J3071" s="6" t="s">
        <v>37</v>
      </c>
      <c r="K3071">
        <v>2</v>
      </c>
      <c r="M3071" s="1" t="b">
        <f>Employee__2[[#This Row],[Experience]]&gt;1</f>
        <v>1</v>
      </c>
      <c r="N3071" s="1" t="str">
        <f>IF(Employee__2[[#This Row],[City]]="Pune","Yes","No")</f>
        <v>No</v>
      </c>
      <c r="O3071" s="1" t="str">
        <f>IF(AND(Employee__2[[#This Row],[Education]]="Bachelors",Employee__2[[#This Row],[City]]="Pune"),"Yes","No")</f>
        <v>No</v>
      </c>
      <c r="P3071" s="1" t="str">
        <f>IF(OR(Employee__2[[#This Row],[Age]]&gt;=30,Employee__2[[#This Row],[Gender]]="Male"),"Mached","Not mached")</f>
        <v>Mached</v>
      </c>
    </row>
    <row r="3072" spans="4:16" x14ac:dyDescent="0.25">
      <c r="D3072" s="6" t="s">
        <v>34</v>
      </c>
      <c r="E3072">
        <v>2016</v>
      </c>
      <c r="F3072" s="6" t="s">
        <v>35</v>
      </c>
      <c r="G3072">
        <v>3</v>
      </c>
      <c r="H3072">
        <v>33</v>
      </c>
      <c r="I3072" s="6" t="s">
        <v>36</v>
      </c>
      <c r="J3072" s="6" t="s">
        <v>37</v>
      </c>
      <c r="K3072">
        <v>1</v>
      </c>
      <c r="M3072" s="1" t="b">
        <f>Employee__2[[#This Row],[Experience]]&gt;1</f>
        <v>0</v>
      </c>
      <c r="N3072" s="1" t="str">
        <f>IF(Employee__2[[#This Row],[City]]="Pune","Yes","No")</f>
        <v>No</v>
      </c>
      <c r="O3072" s="1" t="str">
        <f>IF(AND(Employee__2[[#This Row],[Education]]="Bachelors",Employee__2[[#This Row],[City]]="Pune"),"Yes","No")</f>
        <v>No</v>
      </c>
      <c r="P3072" s="1" t="str">
        <f>IF(OR(Employee__2[[#This Row],[Age]]&gt;=30,Employee__2[[#This Row],[Gender]]="Male"),"Mached","Not mached")</f>
        <v>Mached</v>
      </c>
    </row>
    <row r="3073" spans="4:16" x14ac:dyDescent="0.25">
      <c r="D3073" s="6" t="s">
        <v>34</v>
      </c>
      <c r="E3073">
        <v>2014</v>
      </c>
      <c r="F3073" s="6" t="s">
        <v>35</v>
      </c>
      <c r="G3073">
        <v>3</v>
      </c>
      <c r="H3073">
        <v>40</v>
      </c>
      <c r="I3073" s="6" t="s">
        <v>39</v>
      </c>
      <c r="J3073" s="6" t="s">
        <v>37</v>
      </c>
      <c r="K3073">
        <v>4</v>
      </c>
      <c r="M3073" s="1" t="b">
        <f>Employee__2[[#This Row],[Experience]]&gt;1</f>
        <v>1</v>
      </c>
      <c r="N3073" s="1" t="str">
        <f>IF(Employee__2[[#This Row],[City]]="Pune","Yes","No")</f>
        <v>No</v>
      </c>
      <c r="O3073" s="1" t="str">
        <f>IF(AND(Employee__2[[#This Row],[Education]]="Bachelors",Employee__2[[#This Row],[City]]="Pune"),"Yes","No")</f>
        <v>No</v>
      </c>
      <c r="P3073" s="1" t="str">
        <f>IF(OR(Employee__2[[#This Row],[Age]]&gt;=30,Employee__2[[#This Row],[Gender]]="Male"),"Mached","Not mached")</f>
        <v>Mached</v>
      </c>
    </row>
    <row r="3074" spans="4:16" x14ac:dyDescent="0.25">
      <c r="D3074" s="6" t="s">
        <v>34</v>
      </c>
      <c r="E3074">
        <v>2016</v>
      </c>
      <c r="F3074" s="6" t="s">
        <v>35</v>
      </c>
      <c r="G3074">
        <v>3</v>
      </c>
      <c r="H3074">
        <v>39</v>
      </c>
      <c r="I3074" s="6" t="s">
        <v>36</v>
      </c>
      <c r="J3074" s="6" t="s">
        <v>37</v>
      </c>
      <c r="K3074">
        <v>0</v>
      </c>
      <c r="M3074" s="1" t="b">
        <f>Employee__2[[#This Row],[Experience]]&gt;1</f>
        <v>0</v>
      </c>
      <c r="N3074" s="1" t="str">
        <f>IF(Employee__2[[#This Row],[City]]="Pune","Yes","No")</f>
        <v>No</v>
      </c>
      <c r="O3074" s="1" t="str">
        <f>IF(AND(Employee__2[[#This Row],[Education]]="Bachelors",Employee__2[[#This Row],[City]]="Pune"),"Yes","No")</f>
        <v>No</v>
      </c>
      <c r="P3074" s="1" t="str">
        <f>IF(OR(Employee__2[[#This Row],[Age]]&gt;=30,Employee__2[[#This Row],[Gender]]="Male"),"Mached","Not mached")</f>
        <v>Mached</v>
      </c>
    </row>
    <row r="3075" spans="4:16" x14ac:dyDescent="0.25">
      <c r="D3075" s="6" t="s">
        <v>34</v>
      </c>
      <c r="E3075">
        <v>2017</v>
      </c>
      <c r="F3075" s="6" t="s">
        <v>35</v>
      </c>
      <c r="G3075">
        <v>3</v>
      </c>
      <c r="H3075">
        <v>35</v>
      </c>
      <c r="I3075" s="6" t="s">
        <v>36</v>
      </c>
      <c r="J3075" s="6" t="s">
        <v>42</v>
      </c>
      <c r="K3075">
        <v>2</v>
      </c>
      <c r="M3075" s="1" t="b">
        <f>Employee__2[[#This Row],[Experience]]&gt;1</f>
        <v>1</v>
      </c>
      <c r="N3075" s="1" t="str">
        <f>IF(Employee__2[[#This Row],[City]]="Pune","Yes","No")</f>
        <v>No</v>
      </c>
      <c r="O3075" s="1" t="str">
        <f>IF(AND(Employee__2[[#This Row],[Education]]="Bachelors",Employee__2[[#This Row],[City]]="Pune"),"Yes","No")</f>
        <v>No</v>
      </c>
      <c r="P3075" s="1" t="str">
        <f>IF(OR(Employee__2[[#This Row],[Age]]&gt;=30,Employee__2[[#This Row],[Gender]]="Male"),"Mached","Not mached")</f>
        <v>Mached</v>
      </c>
    </row>
    <row r="3076" spans="4:16" x14ac:dyDescent="0.25">
      <c r="D3076" s="6" t="s">
        <v>34</v>
      </c>
      <c r="E3076">
        <v>2017</v>
      </c>
      <c r="F3076" s="6" t="s">
        <v>35</v>
      </c>
      <c r="G3076">
        <v>3</v>
      </c>
      <c r="H3076">
        <v>32</v>
      </c>
      <c r="I3076" s="6" t="s">
        <v>36</v>
      </c>
      <c r="J3076" s="6" t="s">
        <v>37</v>
      </c>
      <c r="K3076">
        <v>1</v>
      </c>
      <c r="M3076" s="1" t="b">
        <f>Employee__2[[#This Row],[Experience]]&gt;1</f>
        <v>0</v>
      </c>
      <c r="N3076" s="1" t="str">
        <f>IF(Employee__2[[#This Row],[City]]="Pune","Yes","No")</f>
        <v>No</v>
      </c>
      <c r="O3076" s="1" t="str">
        <f>IF(AND(Employee__2[[#This Row],[Education]]="Bachelors",Employee__2[[#This Row],[City]]="Pune"),"Yes","No")</f>
        <v>No</v>
      </c>
      <c r="P3076" s="1" t="str">
        <f>IF(OR(Employee__2[[#This Row],[Age]]&gt;=30,Employee__2[[#This Row],[Gender]]="Male"),"Mached","Not mached")</f>
        <v>Mached</v>
      </c>
    </row>
    <row r="3077" spans="4:16" x14ac:dyDescent="0.25">
      <c r="D3077" s="6" t="s">
        <v>34</v>
      </c>
      <c r="E3077">
        <v>2015</v>
      </c>
      <c r="F3077" s="6" t="s">
        <v>38</v>
      </c>
      <c r="G3077">
        <v>2</v>
      </c>
      <c r="H3077">
        <v>34</v>
      </c>
      <c r="I3077" s="6" t="s">
        <v>39</v>
      </c>
      <c r="J3077" s="6" t="s">
        <v>37</v>
      </c>
      <c r="K3077">
        <v>5</v>
      </c>
      <c r="M3077" s="1" t="b">
        <f>Employee__2[[#This Row],[Experience]]&gt;1</f>
        <v>1</v>
      </c>
      <c r="N3077" s="1" t="str">
        <f>IF(Employee__2[[#This Row],[City]]="Pune","Yes","No")</f>
        <v>Yes</v>
      </c>
      <c r="O3077" s="1" t="str">
        <f>IF(AND(Employee__2[[#This Row],[Education]]="Bachelors",Employee__2[[#This Row],[City]]="Pune"),"Yes","No")</f>
        <v>Yes</v>
      </c>
      <c r="P3077" s="1" t="str">
        <f>IF(OR(Employee__2[[#This Row],[Age]]&gt;=30,Employee__2[[#This Row],[Gender]]="Male"),"Mached","Not mached")</f>
        <v>Mached</v>
      </c>
    </row>
    <row r="3078" spans="4:16" x14ac:dyDescent="0.25">
      <c r="D3078" s="6" t="s">
        <v>34</v>
      </c>
      <c r="E3078">
        <v>2017</v>
      </c>
      <c r="F3078" s="6" t="s">
        <v>35</v>
      </c>
      <c r="G3078">
        <v>3</v>
      </c>
      <c r="H3078">
        <v>40</v>
      </c>
      <c r="I3078" s="6" t="s">
        <v>39</v>
      </c>
      <c r="J3078" s="6" t="s">
        <v>37</v>
      </c>
      <c r="K3078">
        <v>4</v>
      </c>
      <c r="M3078" s="1" t="b">
        <f>Employee__2[[#This Row],[Experience]]&gt;1</f>
        <v>1</v>
      </c>
      <c r="N3078" s="1" t="str">
        <f>IF(Employee__2[[#This Row],[City]]="Pune","Yes","No")</f>
        <v>No</v>
      </c>
      <c r="O3078" s="1" t="str">
        <f>IF(AND(Employee__2[[#This Row],[Education]]="Bachelors",Employee__2[[#This Row],[City]]="Pune"),"Yes","No")</f>
        <v>No</v>
      </c>
      <c r="P3078" s="1" t="str">
        <f>IF(OR(Employee__2[[#This Row],[Age]]&gt;=30,Employee__2[[#This Row],[Gender]]="Male"),"Mached","Not mached")</f>
        <v>Mached</v>
      </c>
    </row>
    <row r="3079" spans="4:16" x14ac:dyDescent="0.25">
      <c r="D3079" s="6" t="s">
        <v>41</v>
      </c>
      <c r="E3079">
        <v>2017</v>
      </c>
      <c r="F3079" s="6" t="s">
        <v>38</v>
      </c>
      <c r="G3079">
        <v>3</v>
      </c>
      <c r="H3079">
        <v>33</v>
      </c>
      <c r="I3079" s="6" t="s">
        <v>36</v>
      </c>
      <c r="J3079" s="6" t="s">
        <v>37</v>
      </c>
      <c r="K3079">
        <v>4</v>
      </c>
      <c r="M3079" s="1" t="b">
        <f>Employee__2[[#This Row],[Experience]]&gt;1</f>
        <v>1</v>
      </c>
      <c r="N3079" s="1" t="str">
        <f>IF(Employee__2[[#This Row],[City]]="Pune","Yes","No")</f>
        <v>Yes</v>
      </c>
      <c r="O3079" s="1" t="str">
        <f>IF(AND(Employee__2[[#This Row],[Education]]="Bachelors",Employee__2[[#This Row],[City]]="Pune"),"Yes","No")</f>
        <v>No</v>
      </c>
      <c r="P3079" s="1" t="str">
        <f>IF(OR(Employee__2[[#This Row],[Age]]&gt;=30,Employee__2[[#This Row],[Gender]]="Male"),"Mached","Not mached")</f>
        <v>Mached</v>
      </c>
    </row>
    <row r="3080" spans="4:16" x14ac:dyDescent="0.25">
      <c r="D3080" s="6" t="s">
        <v>34</v>
      </c>
      <c r="E3080">
        <v>2015</v>
      </c>
      <c r="F3080" s="6" t="s">
        <v>38</v>
      </c>
      <c r="G3080">
        <v>2</v>
      </c>
      <c r="H3080">
        <v>36</v>
      </c>
      <c r="I3080" s="6" t="s">
        <v>39</v>
      </c>
      <c r="J3080" s="6" t="s">
        <v>37</v>
      </c>
      <c r="K3080">
        <v>0</v>
      </c>
      <c r="M3080" s="1" t="b">
        <f>Employee__2[[#This Row],[Experience]]&gt;1</f>
        <v>0</v>
      </c>
      <c r="N3080" s="1" t="str">
        <f>IF(Employee__2[[#This Row],[City]]="Pune","Yes","No")</f>
        <v>Yes</v>
      </c>
      <c r="O3080" s="1" t="str">
        <f>IF(AND(Employee__2[[#This Row],[Education]]="Bachelors",Employee__2[[#This Row],[City]]="Pune"),"Yes","No")</f>
        <v>Yes</v>
      </c>
      <c r="P3080" s="1" t="str">
        <f>IF(OR(Employee__2[[#This Row],[Age]]&gt;=30,Employee__2[[#This Row],[Gender]]="Male"),"Mached","Not mached")</f>
        <v>Mached</v>
      </c>
    </row>
    <row r="3081" spans="4:16" x14ac:dyDescent="0.25">
      <c r="D3081" s="6" t="s">
        <v>41</v>
      </c>
      <c r="E3081">
        <v>2018</v>
      </c>
      <c r="F3081" s="6" t="s">
        <v>35</v>
      </c>
      <c r="G3081">
        <v>3</v>
      </c>
      <c r="H3081">
        <v>39</v>
      </c>
      <c r="I3081" s="6" t="s">
        <v>36</v>
      </c>
      <c r="J3081" s="6" t="s">
        <v>37</v>
      </c>
      <c r="K3081">
        <v>3</v>
      </c>
      <c r="M3081" s="1" t="b">
        <f>Employee__2[[#This Row],[Experience]]&gt;1</f>
        <v>1</v>
      </c>
      <c r="N3081" s="1" t="str">
        <f>IF(Employee__2[[#This Row],[City]]="Pune","Yes","No")</f>
        <v>No</v>
      </c>
      <c r="O3081" s="1" t="str">
        <f>IF(AND(Employee__2[[#This Row],[Education]]="Bachelors",Employee__2[[#This Row],[City]]="Pune"),"Yes","No")</f>
        <v>No</v>
      </c>
      <c r="P3081" s="1" t="str">
        <f>IF(OR(Employee__2[[#This Row],[Age]]&gt;=30,Employee__2[[#This Row],[Gender]]="Male"),"Mached","Not mached")</f>
        <v>Mached</v>
      </c>
    </row>
    <row r="3082" spans="4:16" x14ac:dyDescent="0.25">
      <c r="D3082" s="6" t="s">
        <v>34</v>
      </c>
      <c r="E3082">
        <v>2012</v>
      </c>
      <c r="F3082" s="6" t="s">
        <v>35</v>
      </c>
      <c r="G3082">
        <v>3</v>
      </c>
      <c r="H3082">
        <v>37</v>
      </c>
      <c r="I3082" s="6" t="s">
        <v>39</v>
      </c>
      <c r="J3082" s="6" t="s">
        <v>37</v>
      </c>
      <c r="K3082">
        <v>5</v>
      </c>
      <c r="M3082" s="1" t="b">
        <f>Employee__2[[#This Row],[Experience]]&gt;1</f>
        <v>1</v>
      </c>
      <c r="N3082" s="1" t="str">
        <f>IF(Employee__2[[#This Row],[City]]="Pune","Yes","No")</f>
        <v>No</v>
      </c>
      <c r="O3082" s="1" t="str">
        <f>IF(AND(Employee__2[[#This Row],[Education]]="Bachelors",Employee__2[[#This Row],[City]]="Pune"),"Yes","No")</f>
        <v>No</v>
      </c>
      <c r="P3082" s="1" t="str">
        <f>IF(OR(Employee__2[[#This Row],[Age]]&gt;=30,Employee__2[[#This Row],[Gender]]="Male"),"Mached","Not mached")</f>
        <v>Mached</v>
      </c>
    </row>
    <row r="3083" spans="4:16" x14ac:dyDescent="0.25">
      <c r="D3083" s="6" t="s">
        <v>34</v>
      </c>
      <c r="E3083">
        <v>2018</v>
      </c>
      <c r="F3083" s="6" t="s">
        <v>35</v>
      </c>
      <c r="G3083">
        <v>3</v>
      </c>
      <c r="H3083">
        <v>36</v>
      </c>
      <c r="I3083" s="6" t="s">
        <v>36</v>
      </c>
      <c r="J3083" s="6" t="s">
        <v>37</v>
      </c>
      <c r="K3083">
        <v>1</v>
      </c>
      <c r="M3083" s="1" t="b">
        <f>Employee__2[[#This Row],[Experience]]&gt;1</f>
        <v>0</v>
      </c>
      <c r="N3083" s="1" t="str">
        <f>IF(Employee__2[[#This Row],[City]]="Pune","Yes","No")</f>
        <v>No</v>
      </c>
      <c r="O3083" s="1" t="str">
        <f>IF(AND(Employee__2[[#This Row],[Education]]="Bachelors",Employee__2[[#This Row],[City]]="Pune"),"Yes","No")</f>
        <v>No</v>
      </c>
      <c r="P3083" s="1" t="str">
        <f>IF(OR(Employee__2[[#This Row],[Age]]&gt;=30,Employee__2[[#This Row],[Gender]]="Male"),"Mached","Not mached")</f>
        <v>Mached</v>
      </c>
    </row>
    <row r="3084" spans="4:16" x14ac:dyDescent="0.25">
      <c r="D3084" s="6" t="s">
        <v>34</v>
      </c>
      <c r="E3084">
        <v>2017</v>
      </c>
      <c r="F3084" s="6" t="s">
        <v>40</v>
      </c>
      <c r="G3084">
        <v>2</v>
      </c>
      <c r="H3084">
        <v>39</v>
      </c>
      <c r="I3084" s="6" t="s">
        <v>36</v>
      </c>
      <c r="J3084" s="6" t="s">
        <v>37</v>
      </c>
      <c r="K3084">
        <v>2</v>
      </c>
      <c r="M3084" s="1" t="b">
        <f>Employee__2[[#This Row],[Experience]]&gt;1</f>
        <v>1</v>
      </c>
      <c r="N3084" s="1" t="str">
        <f>IF(Employee__2[[#This Row],[City]]="Pune","Yes","No")</f>
        <v>No</v>
      </c>
      <c r="O3084" s="1" t="str">
        <f>IF(AND(Employee__2[[#This Row],[Education]]="Bachelors",Employee__2[[#This Row],[City]]="Pune"),"Yes","No")</f>
        <v>No</v>
      </c>
      <c r="P3084" s="1" t="str">
        <f>IF(OR(Employee__2[[#This Row],[Age]]&gt;=30,Employee__2[[#This Row],[Gender]]="Male"),"Mached","Not mached")</f>
        <v>Mached</v>
      </c>
    </row>
    <row r="3085" spans="4:16" x14ac:dyDescent="0.25">
      <c r="D3085" s="6" t="s">
        <v>34</v>
      </c>
      <c r="E3085">
        <v>2015</v>
      </c>
      <c r="F3085" s="6" t="s">
        <v>38</v>
      </c>
      <c r="G3085">
        <v>2</v>
      </c>
      <c r="H3085">
        <v>35</v>
      </c>
      <c r="I3085" s="6" t="s">
        <v>39</v>
      </c>
      <c r="J3085" s="6" t="s">
        <v>42</v>
      </c>
      <c r="K3085">
        <v>4</v>
      </c>
      <c r="M3085" s="1" t="b">
        <f>Employee__2[[#This Row],[Experience]]&gt;1</f>
        <v>1</v>
      </c>
      <c r="N3085" s="1" t="str">
        <f>IF(Employee__2[[#This Row],[City]]="Pune","Yes","No")</f>
        <v>Yes</v>
      </c>
      <c r="O3085" s="1" t="str">
        <f>IF(AND(Employee__2[[#This Row],[Education]]="Bachelors",Employee__2[[#This Row],[City]]="Pune"),"Yes","No")</f>
        <v>Yes</v>
      </c>
      <c r="P3085" s="1" t="str">
        <f>IF(OR(Employee__2[[#This Row],[Age]]&gt;=30,Employee__2[[#This Row],[Gender]]="Male"),"Mached","Not mached")</f>
        <v>Mached</v>
      </c>
    </row>
    <row r="3086" spans="4:16" x14ac:dyDescent="0.25">
      <c r="D3086" s="6" t="s">
        <v>41</v>
      </c>
      <c r="E3086">
        <v>2018</v>
      </c>
      <c r="F3086" s="6" t="s">
        <v>40</v>
      </c>
      <c r="G3086">
        <v>3</v>
      </c>
      <c r="H3086">
        <v>41</v>
      </c>
      <c r="I3086" s="6" t="s">
        <v>36</v>
      </c>
      <c r="J3086" s="6" t="s">
        <v>37</v>
      </c>
      <c r="K3086">
        <v>2</v>
      </c>
      <c r="M3086" s="1" t="b">
        <f>Employee__2[[#This Row],[Experience]]&gt;1</f>
        <v>1</v>
      </c>
      <c r="N3086" s="1" t="str">
        <f>IF(Employee__2[[#This Row],[City]]="Pune","Yes","No")</f>
        <v>No</v>
      </c>
      <c r="O3086" s="1" t="str">
        <f>IF(AND(Employee__2[[#This Row],[Education]]="Bachelors",Employee__2[[#This Row],[City]]="Pune"),"Yes","No")</f>
        <v>No</v>
      </c>
      <c r="P3086" s="1" t="str">
        <f>IF(OR(Employee__2[[#This Row],[Age]]&gt;=30,Employee__2[[#This Row],[Gender]]="Male"),"Mached","Not mached")</f>
        <v>Mached</v>
      </c>
    </row>
    <row r="3087" spans="4:16" x14ac:dyDescent="0.25">
      <c r="D3087" s="6" t="s">
        <v>34</v>
      </c>
      <c r="E3087">
        <v>2012</v>
      </c>
      <c r="F3087" s="6" t="s">
        <v>38</v>
      </c>
      <c r="G3087">
        <v>3</v>
      </c>
      <c r="H3087">
        <v>31</v>
      </c>
      <c r="I3087" s="6" t="s">
        <v>36</v>
      </c>
      <c r="J3087" s="6" t="s">
        <v>37</v>
      </c>
      <c r="K3087">
        <v>5</v>
      </c>
      <c r="M3087" s="1" t="b">
        <f>Employee__2[[#This Row],[Experience]]&gt;1</f>
        <v>1</v>
      </c>
      <c r="N3087" s="1" t="str">
        <f>IF(Employee__2[[#This Row],[City]]="Pune","Yes","No")</f>
        <v>Yes</v>
      </c>
      <c r="O3087" s="1" t="str">
        <f>IF(AND(Employee__2[[#This Row],[Education]]="Bachelors",Employee__2[[#This Row],[City]]="Pune"),"Yes","No")</f>
        <v>Yes</v>
      </c>
      <c r="P3087" s="1" t="str">
        <f>IF(OR(Employee__2[[#This Row],[Age]]&gt;=30,Employee__2[[#This Row],[Gender]]="Male"),"Mached","Not mached")</f>
        <v>Mached</v>
      </c>
    </row>
    <row r="3088" spans="4:16" x14ac:dyDescent="0.25">
      <c r="D3088" s="6" t="s">
        <v>34</v>
      </c>
      <c r="E3088">
        <v>2015</v>
      </c>
      <c r="F3088" s="6" t="s">
        <v>38</v>
      </c>
      <c r="G3088">
        <v>2</v>
      </c>
      <c r="H3088">
        <v>36</v>
      </c>
      <c r="I3088" s="6" t="s">
        <v>39</v>
      </c>
      <c r="J3088" s="6" t="s">
        <v>42</v>
      </c>
      <c r="K3088">
        <v>0</v>
      </c>
      <c r="M3088" s="1" t="b">
        <f>Employee__2[[#This Row],[Experience]]&gt;1</f>
        <v>0</v>
      </c>
      <c r="N3088" s="1" t="str">
        <f>IF(Employee__2[[#This Row],[City]]="Pune","Yes","No")</f>
        <v>Yes</v>
      </c>
      <c r="O3088" s="1" t="str">
        <f>IF(AND(Employee__2[[#This Row],[Education]]="Bachelors",Employee__2[[#This Row],[City]]="Pune"),"Yes","No")</f>
        <v>Yes</v>
      </c>
      <c r="P3088" s="1" t="str">
        <f>IF(OR(Employee__2[[#This Row],[Age]]&gt;=30,Employee__2[[#This Row],[Gender]]="Male"),"Mached","Not mached")</f>
        <v>Mached</v>
      </c>
    </row>
    <row r="3089" spans="4:16" x14ac:dyDescent="0.25">
      <c r="D3089" s="6" t="s">
        <v>34</v>
      </c>
      <c r="E3089">
        <v>2016</v>
      </c>
      <c r="F3089" s="6" t="s">
        <v>35</v>
      </c>
      <c r="G3089">
        <v>3</v>
      </c>
      <c r="H3089">
        <v>32</v>
      </c>
      <c r="I3089" s="6" t="s">
        <v>36</v>
      </c>
      <c r="J3089" s="6" t="s">
        <v>37</v>
      </c>
      <c r="K3089">
        <v>1</v>
      </c>
      <c r="M3089" s="1" t="b">
        <f>Employee__2[[#This Row],[Experience]]&gt;1</f>
        <v>0</v>
      </c>
      <c r="N3089" s="1" t="str">
        <f>IF(Employee__2[[#This Row],[City]]="Pune","Yes","No")</f>
        <v>No</v>
      </c>
      <c r="O3089" s="1" t="str">
        <f>IF(AND(Employee__2[[#This Row],[Education]]="Bachelors",Employee__2[[#This Row],[City]]="Pune"),"Yes","No")</f>
        <v>No</v>
      </c>
      <c r="P3089" s="1" t="str">
        <f>IF(OR(Employee__2[[#This Row],[Age]]&gt;=30,Employee__2[[#This Row],[Gender]]="Male"),"Mached","Not mached")</f>
        <v>Mached</v>
      </c>
    </row>
    <row r="3090" spans="4:16" x14ac:dyDescent="0.25">
      <c r="D3090" s="6" t="s">
        <v>34</v>
      </c>
      <c r="E3090">
        <v>2017</v>
      </c>
      <c r="F3090" s="6" t="s">
        <v>35</v>
      </c>
      <c r="G3090">
        <v>3</v>
      </c>
      <c r="H3090">
        <v>37</v>
      </c>
      <c r="I3090" s="6" t="s">
        <v>36</v>
      </c>
      <c r="J3090" s="6" t="s">
        <v>37</v>
      </c>
      <c r="K3090">
        <v>2</v>
      </c>
      <c r="M3090" s="1" t="b">
        <f>Employee__2[[#This Row],[Experience]]&gt;1</f>
        <v>1</v>
      </c>
      <c r="N3090" s="1" t="str">
        <f>IF(Employee__2[[#This Row],[City]]="Pune","Yes","No")</f>
        <v>No</v>
      </c>
      <c r="O3090" s="1" t="str">
        <f>IF(AND(Employee__2[[#This Row],[Education]]="Bachelors",Employee__2[[#This Row],[City]]="Pune"),"Yes","No")</f>
        <v>No</v>
      </c>
      <c r="P3090" s="1" t="str">
        <f>IF(OR(Employee__2[[#This Row],[Age]]&gt;=30,Employee__2[[#This Row],[Gender]]="Male"),"Mached","Not mached")</f>
        <v>Mached</v>
      </c>
    </row>
    <row r="3091" spans="4:16" x14ac:dyDescent="0.25">
      <c r="D3091" s="6" t="s">
        <v>34</v>
      </c>
      <c r="E3091">
        <v>2015</v>
      </c>
      <c r="F3091" s="6" t="s">
        <v>38</v>
      </c>
      <c r="G3091">
        <v>2</v>
      </c>
      <c r="H3091">
        <v>39</v>
      </c>
      <c r="I3091" s="6" t="s">
        <v>39</v>
      </c>
      <c r="J3091" s="6" t="s">
        <v>37</v>
      </c>
      <c r="K3091">
        <v>4</v>
      </c>
      <c r="M3091" s="1" t="b">
        <f>Employee__2[[#This Row],[Experience]]&gt;1</f>
        <v>1</v>
      </c>
      <c r="N3091" s="1" t="str">
        <f>IF(Employee__2[[#This Row],[City]]="Pune","Yes","No")</f>
        <v>Yes</v>
      </c>
      <c r="O3091" s="1" t="str">
        <f>IF(AND(Employee__2[[#This Row],[Education]]="Bachelors",Employee__2[[#This Row],[City]]="Pune"),"Yes","No")</f>
        <v>Yes</v>
      </c>
      <c r="P3091" s="1" t="str">
        <f>IF(OR(Employee__2[[#This Row],[Age]]&gt;=30,Employee__2[[#This Row],[Gender]]="Male"),"Mached","Not mached")</f>
        <v>Mached</v>
      </c>
    </row>
    <row r="3092" spans="4:16" x14ac:dyDescent="0.25">
      <c r="D3092" s="6" t="s">
        <v>34</v>
      </c>
      <c r="E3092">
        <v>2012</v>
      </c>
      <c r="F3092" s="6" t="s">
        <v>38</v>
      </c>
      <c r="G3092">
        <v>3</v>
      </c>
      <c r="H3092">
        <v>34</v>
      </c>
      <c r="I3092" s="6" t="s">
        <v>36</v>
      </c>
      <c r="J3092" s="6" t="s">
        <v>37</v>
      </c>
      <c r="K3092">
        <v>2</v>
      </c>
      <c r="M3092" s="1" t="b">
        <f>Employee__2[[#This Row],[Experience]]&gt;1</f>
        <v>1</v>
      </c>
      <c r="N3092" s="1" t="str">
        <f>IF(Employee__2[[#This Row],[City]]="Pune","Yes","No")</f>
        <v>Yes</v>
      </c>
      <c r="O3092" s="1" t="str">
        <f>IF(AND(Employee__2[[#This Row],[Education]]="Bachelors",Employee__2[[#This Row],[City]]="Pune"),"Yes","No")</f>
        <v>Yes</v>
      </c>
      <c r="P3092" s="1" t="str">
        <f>IF(OR(Employee__2[[#This Row],[Age]]&gt;=30,Employee__2[[#This Row],[Gender]]="Male"),"Mached","Not mached")</f>
        <v>Mached</v>
      </c>
    </row>
    <row r="3093" spans="4:16" x14ac:dyDescent="0.25">
      <c r="D3093" s="6" t="s">
        <v>34</v>
      </c>
      <c r="E3093">
        <v>2012</v>
      </c>
      <c r="F3093" s="6" t="s">
        <v>35</v>
      </c>
      <c r="G3093">
        <v>3</v>
      </c>
      <c r="H3093">
        <v>35</v>
      </c>
      <c r="I3093" s="6" t="s">
        <v>39</v>
      </c>
      <c r="J3093" s="6" t="s">
        <v>37</v>
      </c>
      <c r="K3093">
        <v>1</v>
      </c>
      <c r="M3093" s="1" t="b">
        <f>Employee__2[[#This Row],[Experience]]&gt;1</f>
        <v>0</v>
      </c>
      <c r="N3093" s="1" t="str">
        <f>IF(Employee__2[[#This Row],[City]]="Pune","Yes","No")</f>
        <v>No</v>
      </c>
      <c r="O3093" s="1" t="str">
        <f>IF(AND(Employee__2[[#This Row],[Education]]="Bachelors",Employee__2[[#This Row],[City]]="Pune"),"Yes","No")</f>
        <v>No</v>
      </c>
      <c r="P3093" s="1" t="str">
        <f>IF(OR(Employee__2[[#This Row],[Age]]&gt;=30,Employee__2[[#This Row],[Gender]]="Male"),"Mached","Not mached")</f>
        <v>Mached</v>
      </c>
    </row>
    <row r="3094" spans="4:16" x14ac:dyDescent="0.25">
      <c r="D3094" s="6" t="s">
        <v>34</v>
      </c>
      <c r="E3094">
        <v>2015</v>
      </c>
      <c r="F3094" s="6" t="s">
        <v>35</v>
      </c>
      <c r="G3094">
        <v>3</v>
      </c>
      <c r="H3094">
        <v>40</v>
      </c>
      <c r="I3094" s="6" t="s">
        <v>39</v>
      </c>
      <c r="J3094" s="6" t="s">
        <v>37</v>
      </c>
      <c r="K3094">
        <v>2</v>
      </c>
      <c r="M3094" s="1" t="b">
        <f>Employee__2[[#This Row],[Experience]]&gt;1</f>
        <v>1</v>
      </c>
      <c r="N3094" s="1" t="str">
        <f>IF(Employee__2[[#This Row],[City]]="Pune","Yes","No")</f>
        <v>No</v>
      </c>
      <c r="O3094" s="1" t="str">
        <f>IF(AND(Employee__2[[#This Row],[Education]]="Bachelors",Employee__2[[#This Row],[City]]="Pune"),"Yes","No")</f>
        <v>No</v>
      </c>
      <c r="P3094" s="1" t="str">
        <f>IF(OR(Employee__2[[#This Row],[Age]]&gt;=30,Employee__2[[#This Row],[Gender]]="Male"),"Mached","Not mached")</f>
        <v>Mached</v>
      </c>
    </row>
    <row r="3095" spans="4:16" x14ac:dyDescent="0.25">
      <c r="D3095" s="6" t="s">
        <v>34</v>
      </c>
      <c r="E3095">
        <v>2016</v>
      </c>
      <c r="F3095" s="6" t="s">
        <v>35</v>
      </c>
      <c r="G3095">
        <v>3</v>
      </c>
      <c r="H3095">
        <v>39</v>
      </c>
      <c r="I3095" s="6" t="s">
        <v>39</v>
      </c>
      <c r="J3095" s="6" t="s">
        <v>37</v>
      </c>
      <c r="K3095">
        <v>1</v>
      </c>
      <c r="M3095" s="1" t="b">
        <f>Employee__2[[#This Row],[Experience]]&gt;1</f>
        <v>0</v>
      </c>
      <c r="N3095" s="1" t="str">
        <f>IF(Employee__2[[#This Row],[City]]="Pune","Yes","No")</f>
        <v>No</v>
      </c>
      <c r="O3095" s="1" t="str">
        <f>IF(AND(Employee__2[[#This Row],[Education]]="Bachelors",Employee__2[[#This Row],[City]]="Pune"),"Yes","No")</f>
        <v>No</v>
      </c>
      <c r="P3095" s="1" t="str">
        <f>IF(OR(Employee__2[[#This Row],[Age]]&gt;=30,Employee__2[[#This Row],[Gender]]="Male"),"Mached","Not mached")</f>
        <v>Mached</v>
      </c>
    </row>
    <row r="3096" spans="4:16" x14ac:dyDescent="0.25">
      <c r="D3096" s="6" t="s">
        <v>34</v>
      </c>
      <c r="E3096">
        <v>2017</v>
      </c>
      <c r="F3096" s="6" t="s">
        <v>35</v>
      </c>
      <c r="G3096">
        <v>3</v>
      </c>
      <c r="H3096">
        <v>39</v>
      </c>
      <c r="I3096" s="6" t="s">
        <v>39</v>
      </c>
      <c r="J3096" s="6" t="s">
        <v>37</v>
      </c>
      <c r="K3096">
        <v>1</v>
      </c>
      <c r="M3096" s="1" t="b">
        <f>Employee__2[[#This Row],[Experience]]&gt;1</f>
        <v>0</v>
      </c>
      <c r="N3096" s="1" t="str">
        <f>IF(Employee__2[[#This Row],[City]]="Pune","Yes","No")</f>
        <v>No</v>
      </c>
      <c r="O3096" s="1" t="str">
        <f>IF(AND(Employee__2[[#This Row],[Education]]="Bachelors",Employee__2[[#This Row],[City]]="Pune"),"Yes","No")</f>
        <v>No</v>
      </c>
      <c r="P3096" s="1" t="str">
        <f>IF(OR(Employee__2[[#This Row],[Age]]&gt;=30,Employee__2[[#This Row],[Gender]]="Male"),"Mached","Not mached")</f>
        <v>Mached</v>
      </c>
    </row>
    <row r="3097" spans="4:16" x14ac:dyDescent="0.25">
      <c r="D3097" s="6" t="s">
        <v>34</v>
      </c>
      <c r="E3097">
        <v>2015</v>
      </c>
      <c r="F3097" s="6" t="s">
        <v>38</v>
      </c>
      <c r="G3097">
        <v>3</v>
      </c>
      <c r="H3097">
        <v>41</v>
      </c>
      <c r="I3097" s="6" t="s">
        <v>39</v>
      </c>
      <c r="J3097" s="6" t="s">
        <v>37</v>
      </c>
      <c r="K3097">
        <v>3</v>
      </c>
      <c r="M3097" s="1" t="b">
        <f>Employee__2[[#This Row],[Experience]]&gt;1</f>
        <v>1</v>
      </c>
      <c r="N3097" s="1" t="str">
        <f>IF(Employee__2[[#This Row],[City]]="Pune","Yes","No")</f>
        <v>Yes</v>
      </c>
      <c r="O3097" s="1" t="str">
        <f>IF(AND(Employee__2[[#This Row],[Education]]="Bachelors",Employee__2[[#This Row],[City]]="Pune"),"Yes","No")</f>
        <v>Yes</v>
      </c>
      <c r="P3097" s="1" t="str">
        <f>IF(OR(Employee__2[[#This Row],[Age]]&gt;=30,Employee__2[[#This Row],[Gender]]="Male"),"Mached","Not mached")</f>
        <v>Mached</v>
      </c>
    </row>
    <row r="3098" spans="4:16" x14ac:dyDescent="0.25">
      <c r="D3098" s="6" t="s">
        <v>34</v>
      </c>
      <c r="E3098">
        <v>2012</v>
      </c>
      <c r="F3098" s="6" t="s">
        <v>38</v>
      </c>
      <c r="G3098">
        <v>3</v>
      </c>
      <c r="H3098">
        <v>40</v>
      </c>
      <c r="I3098" s="6" t="s">
        <v>36</v>
      </c>
      <c r="J3098" s="6" t="s">
        <v>37</v>
      </c>
      <c r="K3098">
        <v>2</v>
      </c>
      <c r="M3098" s="1" t="b">
        <f>Employee__2[[#This Row],[Experience]]&gt;1</f>
        <v>1</v>
      </c>
      <c r="N3098" s="1" t="str">
        <f>IF(Employee__2[[#This Row],[City]]="Pune","Yes","No")</f>
        <v>Yes</v>
      </c>
      <c r="O3098" s="1" t="str">
        <f>IF(AND(Employee__2[[#This Row],[Education]]="Bachelors",Employee__2[[#This Row],[City]]="Pune"),"Yes","No")</f>
        <v>Yes</v>
      </c>
      <c r="P3098" s="1" t="str">
        <f>IF(OR(Employee__2[[#This Row],[Age]]&gt;=30,Employee__2[[#This Row],[Gender]]="Male"),"Mached","Not mached")</f>
        <v>Mached</v>
      </c>
    </row>
    <row r="3099" spans="4:16" x14ac:dyDescent="0.25">
      <c r="D3099" s="6" t="s">
        <v>34</v>
      </c>
      <c r="E3099">
        <v>2012</v>
      </c>
      <c r="F3099" s="6" t="s">
        <v>35</v>
      </c>
      <c r="G3099">
        <v>1</v>
      </c>
      <c r="H3099">
        <v>36</v>
      </c>
      <c r="I3099" s="6" t="s">
        <v>36</v>
      </c>
      <c r="J3099" s="6" t="s">
        <v>37</v>
      </c>
      <c r="K3099">
        <v>3</v>
      </c>
      <c r="M3099" s="1" t="b">
        <f>Employee__2[[#This Row],[Experience]]&gt;1</f>
        <v>1</v>
      </c>
      <c r="N3099" s="1" t="str">
        <f>IF(Employee__2[[#This Row],[City]]="Pune","Yes","No")</f>
        <v>No</v>
      </c>
      <c r="O3099" s="1" t="str">
        <f>IF(AND(Employee__2[[#This Row],[Education]]="Bachelors",Employee__2[[#This Row],[City]]="Pune"),"Yes","No")</f>
        <v>No</v>
      </c>
      <c r="P3099" s="1" t="str">
        <f>IF(OR(Employee__2[[#This Row],[Age]]&gt;=30,Employee__2[[#This Row],[Gender]]="Male"),"Mached","Not mached")</f>
        <v>Mached</v>
      </c>
    </row>
    <row r="3100" spans="4:16" x14ac:dyDescent="0.25">
      <c r="D3100" s="6" t="s">
        <v>34</v>
      </c>
      <c r="E3100">
        <v>2017</v>
      </c>
      <c r="F3100" s="6" t="s">
        <v>40</v>
      </c>
      <c r="G3100">
        <v>2</v>
      </c>
      <c r="H3100">
        <v>33</v>
      </c>
      <c r="I3100" s="6" t="s">
        <v>39</v>
      </c>
      <c r="J3100" s="6" t="s">
        <v>37</v>
      </c>
      <c r="K3100">
        <v>2</v>
      </c>
      <c r="M3100" s="1" t="b">
        <f>Employee__2[[#This Row],[Experience]]&gt;1</f>
        <v>1</v>
      </c>
      <c r="N3100" s="1" t="str">
        <f>IF(Employee__2[[#This Row],[City]]="Pune","Yes","No")</f>
        <v>No</v>
      </c>
      <c r="O3100" s="1" t="str">
        <f>IF(AND(Employee__2[[#This Row],[Education]]="Bachelors",Employee__2[[#This Row],[City]]="Pune"),"Yes","No")</f>
        <v>No</v>
      </c>
      <c r="P3100" s="1" t="str">
        <f>IF(OR(Employee__2[[#This Row],[Age]]&gt;=30,Employee__2[[#This Row],[Gender]]="Male"),"Mached","Not mached")</f>
        <v>Mached</v>
      </c>
    </row>
    <row r="3101" spans="4:16" x14ac:dyDescent="0.25">
      <c r="D3101" s="6" t="s">
        <v>41</v>
      </c>
      <c r="E3101">
        <v>2014</v>
      </c>
      <c r="F3101" s="6" t="s">
        <v>40</v>
      </c>
      <c r="G3101">
        <v>3</v>
      </c>
      <c r="H3101">
        <v>33</v>
      </c>
      <c r="I3101" s="6" t="s">
        <v>36</v>
      </c>
      <c r="J3101" s="6" t="s">
        <v>37</v>
      </c>
      <c r="K3101">
        <v>2</v>
      </c>
      <c r="M3101" s="1" t="b">
        <f>Employee__2[[#This Row],[Experience]]&gt;1</f>
        <v>1</v>
      </c>
      <c r="N3101" s="1" t="str">
        <f>IF(Employee__2[[#This Row],[City]]="Pune","Yes","No")</f>
        <v>No</v>
      </c>
      <c r="O3101" s="1" t="str">
        <f>IF(AND(Employee__2[[#This Row],[Education]]="Bachelors",Employee__2[[#This Row],[City]]="Pune"),"Yes","No")</f>
        <v>No</v>
      </c>
      <c r="P3101" s="1" t="str">
        <f>IF(OR(Employee__2[[#This Row],[Age]]&gt;=30,Employee__2[[#This Row],[Gender]]="Male"),"Mached","Not mached")</f>
        <v>Mached</v>
      </c>
    </row>
    <row r="3102" spans="4:16" x14ac:dyDescent="0.25">
      <c r="D3102" s="6" t="s">
        <v>41</v>
      </c>
      <c r="E3102">
        <v>2018</v>
      </c>
      <c r="F3102" s="6" t="s">
        <v>40</v>
      </c>
      <c r="G3102">
        <v>3</v>
      </c>
      <c r="H3102">
        <v>40</v>
      </c>
      <c r="I3102" s="6" t="s">
        <v>36</v>
      </c>
      <c r="J3102" s="6" t="s">
        <v>37</v>
      </c>
      <c r="K3102">
        <v>2</v>
      </c>
      <c r="M3102" s="1" t="b">
        <f>Employee__2[[#This Row],[Experience]]&gt;1</f>
        <v>1</v>
      </c>
      <c r="N3102" s="1" t="str">
        <f>IF(Employee__2[[#This Row],[City]]="Pune","Yes","No")</f>
        <v>No</v>
      </c>
      <c r="O3102" s="1" t="str">
        <f>IF(AND(Employee__2[[#This Row],[Education]]="Bachelors",Employee__2[[#This Row],[City]]="Pune"),"Yes","No")</f>
        <v>No</v>
      </c>
      <c r="P3102" s="1" t="str">
        <f>IF(OR(Employee__2[[#This Row],[Age]]&gt;=30,Employee__2[[#This Row],[Gender]]="Male"),"Mached","Not mached")</f>
        <v>Mached</v>
      </c>
    </row>
    <row r="3103" spans="4:16" x14ac:dyDescent="0.25">
      <c r="D3103" s="6" t="s">
        <v>34</v>
      </c>
      <c r="E3103">
        <v>2015</v>
      </c>
      <c r="F3103" s="6" t="s">
        <v>38</v>
      </c>
      <c r="G3103">
        <v>2</v>
      </c>
      <c r="H3103">
        <v>34</v>
      </c>
      <c r="I3103" s="6" t="s">
        <v>39</v>
      </c>
      <c r="J3103" s="6" t="s">
        <v>37</v>
      </c>
      <c r="K3103">
        <v>2</v>
      </c>
      <c r="M3103" s="1" t="b">
        <f>Employee__2[[#This Row],[Experience]]&gt;1</f>
        <v>1</v>
      </c>
      <c r="N3103" s="1" t="str">
        <f>IF(Employee__2[[#This Row],[City]]="Pune","Yes","No")</f>
        <v>Yes</v>
      </c>
      <c r="O3103" s="1" t="str">
        <f>IF(AND(Employee__2[[#This Row],[Education]]="Bachelors",Employee__2[[#This Row],[City]]="Pune"),"Yes","No")</f>
        <v>Yes</v>
      </c>
      <c r="P3103" s="1" t="str">
        <f>IF(OR(Employee__2[[#This Row],[Age]]&gt;=30,Employee__2[[#This Row],[Gender]]="Male"),"Mached","Not mached")</f>
        <v>Mached</v>
      </c>
    </row>
    <row r="3104" spans="4:16" x14ac:dyDescent="0.25">
      <c r="D3104" s="6" t="s">
        <v>34</v>
      </c>
      <c r="E3104">
        <v>2014</v>
      </c>
      <c r="F3104" s="6" t="s">
        <v>35</v>
      </c>
      <c r="G3104">
        <v>3</v>
      </c>
      <c r="H3104">
        <v>33</v>
      </c>
      <c r="I3104" s="6" t="s">
        <v>39</v>
      </c>
      <c r="J3104" s="6" t="s">
        <v>37</v>
      </c>
      <c r="K3104">
        <v>1</v>
      </c>
      <c r="M3104" s="1" t="b">
        <f>Employee__2[[#This Row],[Experience]]&gt;1</f>
        <v>0</v>
      </c>
      <c r="N3104" s="1" t="str">
        <f>IF(Employee__2[[#This Row],[City]]="Pune","Yes","No")</f>
        <v>No</v>
      </c>
      <c r="O3104" s="1" t="str">
        <f>IF(AND(Employee__2[[#This Row],[Education]]="Bachelors",Employee__2[[#This Row],[City]]="Pune"),"Yes","No")</f>
        <v>No</v>
      </c>
      <c r="P3104" s="1" t="str">
        <f>IF(OR(Employee__2[[#This Row],[Age]]&gt;=30,Employee__2[[#This Row],[Gender]]="Male"),"Mached","Not mached")</f>
        <v>Mached</v>
      </c>
    </row>
    <row r="3105" spans="4:16" x14ac:dyDescent="0.25">
      <c r="D3105" s="6" t="s">
        <v>41</v>
      </c>
      <c r="E3105">
        <v>2015</v>
      </c>
      <c r="F3105" s="6" t="s">
        <v>40</v>
      </c>
      <c r="G3105">
        <v>1</v>
      </c>
      <c r="H3105">
        <v>34</v>
      </c>
      <c r="I3105" s="6" t="s">
        <v>36</v>
      </c>
      <c r="J3105" s="6" t="s">
        <v>37</v>
      </c>
      <c r="K3105">
        <v>5</v>
      </c>
      <c r="M3105" s="1" t="b">
        <f>Employee__2[[#This Row],[Experience]]&gt;1</f>
        <v>1</v>
      </c>
      <c r="N3105" s="1" t="str">
        <f>IF(Employee__2[[#This Row],[City]]="Pune","Yes","No")</f>
        <v>No</v>
      </c>
      <c r="O3105" s="1" t="str">
        <f>IF(AND(Employee__2[[#This Row],[Education]]="Bachelors",Employee__2[[#This Row],[City]]="Pune"),"Yes","No")</f>
        <v>No</v>
      </c>
      <c r="P3105" s="1" t="str">
        <f>IF(OR(Employee__2[[#This Row],[Age]]&gt;=30,Employee__2[[#This Row],[Gender]]="Male"),"Mached","Not mached")</f>
        <v>Mached</v>
      </c>
    </row>
    <row r="3106" spans="4:16" x14ac:dyDescent="0.25">
      <c r="D3106" s="6" t="s">
        <v>41</v>
      </c>
      <c r="E3106">
        <v>2017</v>
      </c>
      <c r="F3106" s="6" t="s">
        <v>40</v>
      </c>
      <c r="G3106">
        <v>1</v>
      </c>
      <c r="H3106">
        <v>40</v>
      </c>
      <c r="I3106" s="6" t="s">
        <v>36</v>
      </c>
      <c r="J3106" s="6" t="s">
        <v>37</v>
      </c>
      <c r="K3106">
        <v>5</v>
      </c>
      <c r="M3106" s="1" t="b">
        <f>Employee__2[[#This Row],[Experience]]&gt;1</f>
        <v>1</v>
      </c>
      <c r="N3106" s="1" t="str">
        <f>IF(Employee__2[[#This Row],[City]]="Pune","Yes","No")</f>
        <v>No</v>
      </c>
      <c r="O3106" s="1" t="str">
        <f>IF(AND(Employee__2[[#This Row],[Education]]="Bachelors",Employee__2[[#This Row],[City]]="Pune"),"Yes","No")</f>
        <v>No</v>
      </c>
      <c r="P3106" s="1" t="str">
        <f>IF(OR(Employee__2[[#This Row],[Age]]&gt;=30,Employee__2[[#This Row],[Gender]]="Male"),"Mached","Not mached")</f>
        <v>Mached</v>
      </c>
    </row>
    <row r="3107" spans="4:16" x14ac:dyDescent="0.25">
      <c r="D3107" s="6" t="s">
        <v>34</v>
      </c>
      <c r="E3107">
        <v>2014</v>
      </c>
      <c r="F3107" s="6" t="s">
        <v>35</v>
      </c>
      <c r="G3107">
        <v>3</v>
      </c>
      <c r="H3107">
        <v>32</v>
      </c>
      <c r="I3107" s="6" t="s">
        <v>36</v>
      </c>
      <c r="J3107" s="6" t="s">
        <v>37</v>
      </c>
      <c r="K3107">
        <v>4</v>
      </c>
      <c r="M3107" s="1" t="b">
        <f>Employee__2[[#This Row],[Experience]]&gt;1</f>
        <v>1</v>
      </c>
      <c r="N3107" s="1" t="str">
        <f>IF(Employee__2[[#This Row],[City]]="Pune","Yes","No")</f>
        <v>No</v>
      </c>
      <c r="O3107" s="1" t="str">
        <f>IF(AND(Employee__2[[#This Row],[Education]]="Bachelors",Employee__2[[#This Row],[City]]="Pune"),"Yes","No")</f>
        <v>No</v>
      </c>
      <c r="P3107" s="1" t="str">
        <f>IF(OR(Employee__2[[#This Row],[Age]]&gt;=30,Employee__2[[#This Row],[Gender]]="Male"),"Mached","Not mached")</f>
        <v>Mached</v>
      </c>
    </row>
    <row r="3108" spans="4:16" x14ac:dyDescent="0.25">
      <c r="D3108" s="6" t="s">
        <v>34</v>
      </c>
      <c r="E3108">
        <v>2017</v>
      </c>
      <c r="F3108" s="6" t="s">
        <v>40</v>
      </c>
      <c r="G3108">
        <v>3</v>
      </c>
      <c r="H3108">
        <v>38</v>
      </c>
      <c r="I3108" s="6" t="s">
        <v>36</v>
      </c>
      <c r="J3108" s="6" t="s">
        <v>37</v>
      </c>
      <c r="K3108">
        <v>2</v>
      </c>
      <c r="M3108" s="1" t="b">
        <f>Employee__2[[#This Row],[Experience]]&gt;1</f>
        <v>1</v>
      </c>
      <c r="N3108" s="1" t="str">
        <f>IF(Employee__2[[#This Row],[City]]="Pune","Yes","No")</f>
        <v>No</v>
      </c>
      <c r="O3108" s="1" t="str">
        <f>IF(AND(Employee__2[[#This Row],[Education]]="Bachelors",Employee__2[[#This Row],[City]]="Pune"),"Yes","No")</f>
        <v>No</v>
      </c>
      <c r="P3108" s="1" t="str">
        <f>IF(OR(Employee__2[[#This Row],[Age]]&gt;=30,Employee__2[[#This Row],[Gender]]="Male"),"Mached","Not mached")</f>
        <v>Mached</v>
      </c>
    </row>
    <row r="3109" spans="4:16" x14ac:dyDescent="0.25">
      <c r="D3109" s="6" t="s">
        <v>34</v>
      </c>
      <c r="E3109">
        <v>2015</v>
      </c>
      <c r="F3109" s="6" t="s">
        <v>35</v>
      </c>
      <c r="G3109">
        <v>3</v>
      </c>
      <c r="H3109">
        <v>38</v>
      </c>
      <c r="I3109" s="6" t="s">
        <v>36</v>
      </c>
      <c r="J3109" s="6" t="s">
        <v>37</v>
      </c>
      <c r="K3109">
        <v>4</v>
      </c>
      <c r="M3109" s="1" t="b">
        <f>Employee__2[[#This Row],[Experience]]&gt;1</f>
        <v>1</v>
      </c>
      <c r="N3109" s="1" t="str">
        <f>IF(Employee__2[[#This Row],[City]]="Pune","Yes","No")</f>
        <v>No</v>
      </c>
      <c r="O3109" s="1" t="str">
        <f>IF(AND(Employee__2[[#This Row],[Education]]="Bachelors",Employee__2[[#This Row],[City]]="Pune"),"Yes","No")</f>
        <v>No</v>
      </c>
      <c r="P3109" s="1" t="str">
        <f>IF(OR(Employee__2[[#This Row],[Age]]&gt;=30,Employee__2[[#This Row],[Gender]]="Male"),"Mached","Not mached")</f>
        <v>Mached</v>
      </c>
    </row>
    <row r="3110" spans="4:16" x14ac:dyDescent="0.25">
      <c r="D3110" s="6" t="s">
        <v>34</v>
      </c>
      <c r="E3110">
        <v>2015</v>
      </c>
      <c r="F3110" s="6" t="s">
        <v>35</v>
      </c>
      <c r="G3110">
        <v>3</v>
      </c>
      <c r="H3110">
        <v>32</v>
      </c>
      <c r="I3110" s="6" t="s">
        <v>36</v>
      </c>
      <c r="J3110" s="6" t="s">
        <v>37</v>
      </c>
      <c r="K3110">
        <v>2</v>
      </c>
      <c r="M3110" s="1" t="b">
        <f>Employee__2[[#This Row],[Experience]]&gt;1</f>
        <v>1</v>
      </c>
      <c r="N3110" s="1" t="str">
        <f>IF(Employee__2[[#This Row],[City]]="Pune","Yes","No")</f>
        <v>No</v>
      </c>
      <c r="O3110" s="1" t="str">
        <f>IF(AND(Employee__2[[#This Row],[Education]]="Bachelors",Employee__2[[#This Row],[City]]="Pune"),"Yes","No")</f>
        <v>No</v>
      </c>
      <c r="P3110" s="1" t="str">
        <f>IF(OR(Employee__2[[#This Row],[Age]]&gt;=30,Employee__2[[#This Row],[Gender]]="Male"),"Mached","Not mached")</f>
        <v>Mached</v>
      </c>
    </row>
    <row r="3111" spans="4:16" x14ac:dyDescent="0.25">
      <c r="D3111" s="6" t="s">
        <v>34</v>
      </c>
      <c r="E3111">
        <v>2013</v>
      </c>
      <c r="F3111" s="6" t="s">
        <v>35</v>
      </c>
      <c r="G3111">
        <v>3</v>
      </c>
      <c r="H3111">
        <v>31</v>
      </c>
      <c r="I3111" s="6" t="s">
        <v>39</v>
      </c>
      <c r="J3111" s="6" t="s">
        <v>42</v>
      </c>
      <c r="K3111">
        <v>3</v>
      </c>
      <c r="M3111" s="1" t="b">
        <f>Employee__2[[#This Row],[Experience]]&gt;1</f>
        <v>1</v>
      </c>
      <c r="N3111" s="1" t="str">
        <f>IF(Employee__2[[#This Row],[City]]="Pune","Yes","No")</f>
        <v>No</v>
      </c>
      <c r="O3111" s="1" t="str">
        <f>IF(AND(Employee__2[[#This Row],[Education]]="Bachelors",Employee__2[[#This Row],[City]]="Pune"),"Yes","No")</f>
        <v>No</v>
      </c>
      <c r="P3111" s="1" t="str">
        <f>IF(OR(Employee__2[[#This Row],[Age]]&gt;=30,Employee__2[[#This Row],[Gender]]="Male"),"Mached","Not mached")</f>
        <v>Mached</v>
      </c>
    </row>
    <row r="3112" spans="4:16" x14ac:dyDescent="0.25">
      <c r="D3112" s="6" t="s">
        <v>34</v>
      </c>
      <c r="E3112">
        <v>2015</v>
      </c>
      <c r="F3112" s="6" t="s">
        <v>35</v>
      </c>
      <c r="G3112">
        <v>3</v>
      </c>
      <c r="H3112">
        <v>39</v>
      </c>
      <c r="I3112" s="6" t="s">
        <v>39</v>
      </c>
      <c r="J3112" s="6" t="s">
        <v>37</v>
      </c>
      <c r="K3112">
        <v>0</v>
      </c>
      <c r="M3112" s="1" t="b">
        <f>Employee__2[[#This Row],[Experience]]&gt;1</f>
        <v>0</v>
      </c>
      <c r="N3112" s="1" t="str">
        <f>IF(Employee__2[[#This Row],[City]]="Pune","Yes","No")</f>
        <v>No</v>
      </c>
      <c r="O3112" s="1" t="str">
        <f>IF(AND(Employee__2[[#This Row],[Education]]="Bachelors",Employee__2[[#This Row],[City]]="Pune"),"Yes","No")</f>
        <v>No</v>
      </c>
      <c r="P3112" s="1" t="str">
        <f>IF(OR(Employee__2[[#This Row],[Age]]&gt;=30,Employee__2[[#This Row],[Gender]]="Male"),"Mached","Not mached")</f>
        <v>Mached</v>
      </c>
    </row>
    <row r="3113" spans="4:16" x14ac:dyDescent="0.25">
      <c r="D3113" s="6" t="s">
        <v>41</v>
      </c>
      <c r="E3113">
        <v>2017</v>
      </c>
      <c r="F3113" s="6" t="s">
        <v>38</v>
      </c>
      <c r="G3113">
        <v>2</v>
      </c>
      <c r="H3113">
        <v>41</v>
      </c>
      <c r="I3113" s="6" t="s">
        <v>36</v>
      </c>
      <c r="J3113" s="6" t="s">
        <v>42</v>
      </c>
      <c r="K3113">
        <v>2</v>
      </c>
      <c r="M3113" s="1" t="b">
        <f>Employee__2[[#This Row],[Experience]]&gt;1</f>
        <v>1</v>
      </c>
      <c r="N3113" s="1" t="str">
        <f>IF(Employee__2[[#This Row],[City]]="Pune","Yes","No")</f>
        <v>Yes</v>
      </c>
      <c r="O3113" s="1" t="str">
        <f>IF(AND(Employee__2[[#This Row],[Education]]="Bachelors",Employee__2[[#This Row],[City]]="Pune"),"Yes","No")</f>
        <v>No</v>
      </c>
      <c r="P3113" s="1" t="str">
        <f>IF(OR(Employee__2[[#This Row],[Age]]&gt;=30,Employee__2[[#This Row],[Gender]]="Male"),"Mached","Not mached")</f>
        <v>Mached</v>
      </c>
    </row>
    <row r="3114" spans="4:16" x14ac:dyDescent="0.25">
      <c r="D3114" s="6" t="s">
        <v>34</v>
      </c>
      <c r="E3114">
        <v>2015</v>
      </c>
      <c r="F3114" s="6" t="s">
        <v>38</v>
      </c>
      <c r="G3114">
        <v>2</v>
      </c>
      <c r="H3114">
        <v>35</v>
      </c>
      <c r="I3114" s="6" t="s">
        <v>39</v>
      </c>
      <c r="J3114" s="6" t="s">
        <v>42</v>
      </c>
      <c r="K3114">
        <v>2</v>
      </c>
      <c r="M3114" s="1" t="b">
        <f>Employee__2[[#This Row],[Experience]]&gt;1</f>
        <v>1</v>
      </c>
      <c r="N3114" s="1" t="str">
        <f>IF(Employee__2[[#This Row],[City]]="Pune","Yes","No")</f>
        <v>Yes</v>
      </c>
      <c r="O3114" s="1" t="str">
        <f>IF(AND(Employee__2[[#This Row],[Education]]="Bachelors",Employee__2[[#This Row],[City]]="Pune"),"Yes","No")</f>
        <v>Yes</v>
      </c>
      <c r="P3114" s="1" t="str">
        <f>IF(OR(Employee__2[[#This Row],[Age]]&gt;=30,Employee__2[[#This Row],[Gender]]="Male"),"Mached","Not mached")</f>
        <v>Mached</v>
      </c>
    </row>
    <row r="3115" spans="4:16" x14ac:dyDescent="0.25">
      <c r="D3115" s="6" t="s">
        <v>34</v>
      </c>
      <c r="E3115">
        <v>2016</v>
      </c>
      <c r="F3115" s="6" t="s">
        <v>38</v>
      </c>
      <c r="G3115">
        <v>3</v>
      </c>
      <c r="H3115">
        <v>39</v>
      </c>
      <c r="I3115" s="6" t="s">
        <v>36</v>
      </c>
      <c r="J3115" s="6" t="s">
        <v>37</v>
      </c>
      <c r="K3115">
        <v>5</v>
      </c>
      <c r="M3115" s="1" t="b">
        <f>Employee__2[[#This Row],[Experience]]&gt;1</f>
        <v>1</v>
      </c>
      <c r="N3115" s="1" t="str">
        <f>IF(Employee__2[[#This Row],[City]]="Pune","Yes","No")</f>
        <v>Yes</v>
      </c>
      <c r="O3115" s="1" t="str">
        <f>IF(AND(Employee__2[[#This Row],[Education]]="Bachelors",Employee__2[[#This Row],[City]]="Pune"),"Yes","No")</f>
        <v>Yes</v>
      </c>
      <c r="P3115" s="1" t="str">
        <f>IF(OR(Employee__2[[#This Row],[Age]]&gt;=30,Employee__2[[#This Row],[Gender]]="Male"),"Mached","Not mached")</f>
        <v>Mached</v>
      </c>
    </row>
    <row r="3116" spans="4:16" x14ac:dyDescent="0.25">
      <c r="D3116" s="6" t="s">
        <v>34</v>
      </c>
      <c r="E3116">
        <v>2014</v>
      </c>
      <c r="F3116" s="6" t="s">
        <v>35</v>
      </c>
      <c r="G3116">
        <v>3</v>
      </c>
      <c r="H3116">
        <v>40</v>
      </c>
      <c r="I3116" s="6" t="s">
        <v>39</v>
      </c>
      <c r="J3116" s="6" t="s">
        <v>37</v>
      </c>
      <c r="K3116">
        <v>0</v>
      </c>
      <c r="M3116" s="1" t="b">
        <f>Employee__2[[#This Row],[Experience]]&gt;1</f>
        <v>0</v>
      </c>
      <c r="N3116" s="1" t="str">
        <f>IF(Employee__2[[#This Row],[City]]="Pune","Yes","No")</f>
        <v>No</v>
      </c>
      <c r="O3116" s="1" t="str">
        <f>IF(AND(Employee__2[[#This Row],[Education]]="Bachelors",Employee__2[[#This Row],[City]]="Pune"),"Yes","No")</f>
        <v>No</v>
      </c>
      <c r="P3116" s="1" t="str">
        <f>IF(OR(Employee__2[[#This Row],[Age]]&gt;=30,Employee__2[[#This Row],[Gender]]="Male"),"Mached","Not mached")</f>
        <v>Mached</v>
      </c>
    </row>
    <row r="3117" spans="4:16" x14ac:dyDescent="0.25">
      <c r="D3117" s="6" t="s">
        <v>34</v>
      </c>
      <c r="E3117">
        <v>2016</v>
      </c>
      <c r="F3117" s="6" t="s">
        <v>35</v>
      </c>
      <c r="G3117">
        <v>3</v>
      </c>
      <c r="H3117">
        <v>41</v>
      </c>
      <c r="I3117" s="6" t="s">
        <v>36</v>
      </c>
      <c r="J3117" s="6" t="s">
        <v>37</v>
      </c>
      <c r="K3117">
        <v>1</v>
      </c>
      <c r="M3117" s="1" t="b">
        <f>Employee__2[[#This Row],[Experience]]&gt;1</f>
        <v>0</v>
      </c>
      <c r="N3117" s="1" t="str">
        <f>IF(Employee__2[[#This Row],[City]]="Pune","Yes","No")</f>
        <v>No</v>
      </c>
      <c r="O3117" s="1" t="str">
        <f>IF(AND(Employee__2[[#This Row],[Education]]="Bachelors",Employee__2[[#This Row],[City]]="Pune"),"Yes","No")</f>
        <v>No</v>
      </c>
      <c r="P3117" s="1" t="str">
        <f>IF(OR(Employee__2[[#This Row],[Age]]&gt;=30,Employee__2[[#This Row],[Gender]]="Male"),"Mached","Not mached")</f>
        <v>Mached</v>
      </c>
    </row>
    <row r="3118" spans="4:16" x14ac:dyDescent="0.25">
      <c r="D3118" s="6" t="s">
        <v>41</v>
      </c>
      <c r="E3118">
        <v>2015</v>
      </c>
      <c r="F3118" s="6" t="s">
        <v>38</v>
      </c>
      <c r="G3118">
        <v>2</v>
      </c>
      <c r="H3118">
        <v>34</v>
      </c>
      <c r="I3118" s="6" t="s">
        <v>39</v>
      </c>
      <c r="J3118" s="6" t="s">
        <v>37</v>
      </c>
      <c r="K3118">
        <v>1</v>
      </c>
      <c r="M3118" s="1" t="b">
        <f>Employee__2[[#This Row],[Experience]]&gt;1</f>
        <v>0</v>
      </c>
      <c r="N3118" s="1" t="str">
        <f>IF(Employee__2[[#This Row],[City]]="Pune","Yes","No")</f>
        <v>Yes</v>
      </c>
      <c r="O3118" s="1" t="str">
        <f>IF(AND(Employee__2[[#This Row],[Education]]="Bachelors",Employee__2[[#This Row],[City]]="Pune"),"Yes","No")</f>
        <v>No</v>
      </c>
      <c r="P3118" s="1" t="str">
        <f>IF(OR(Employee__2[[#This Row],[Age]]&gt;=30,Employee__2[[#This Row],[Gender]]="Male"),"Mached","Not mached")</f>
        <v>Mached</v>
      </c>
    </row>
    <row r="3119" spans="4:16" x14ac:dyDescent="0.25">
      <c r="D3119" s="6" t="s">
        <v>34</v>
      </c>
      <c r="E3119">
        <v>2016</v>
      </c>
      <c r="F3119" s="6" t="s">
        <v>38</v>
      </c>
      <c r="G3119">
        <v>2</v>
      </c>
      <c r="H3119">
        <v>37</v>
      </c>
      <c r="I3119" s="6" t="s">
        <v>39</v>
      </c>
      <c r="J3119" s="6" t="s">
        <v>37</v>
      </c>
      <c r="K3119">
        <v>5</v>
      </c>
      <c r="M3119" s="1" t="b">
        <f>Employee__2[[#This Row],[Experience]]&gt;1</f>
        <v>1</v>
      </c>
      <c r="N3119" s="1" t="str">
        <f>IF(Employee__2[[#This Row],[City]]="Pune","Yes","No")</f>
        <v>Yes</v>
      </c>
      <c r="O3119" s="1" t="str">
        <f>IF(AND(Employee__2[[#This Row],[Education]]="Bachelors",Employee__2[[#This Row],[City]]="Pune"),"Yes","No")</f>
        <v>Yes</v>
      </c>
      <c r="P3119" s="1" t="str">
        <f>IF(OR(Employee__2[[#This Row],[Age]]&gt;=30,Employee__2[[#This Row],[Gender]]="Male"),"Mached","Not mached")</f>
        <v>Mached</v>
      </c>
    </row>
    <row r="3120" spans="4:16" x14ac:dyDescent="0.25">
      <c r="D3120" s="6" t="s">
        <v>34</v>
      </c>
      <c r="E3120">
        <v>2017</v>
      </c>
      <c r="F3120" s="6" t="s">
        <v>40</v>
      </c>
      <c r="G3120">
        <v>2</v>
      </c>
      <c r="H3120">
        <v>36</v>
      </c>
      <c r="I3120" s="6" t="s">
        <v>36</v>
      </c>
      <c r="J3120" s="6" t="s">
        <v>37</v>
      </c>
      <c r="K3120">
        <v>2</v>
      </c>
      <c r="M3120" s="1" t="b">
        <f>Employee__2[[#This Row],[Experience]]&gt;1</f>
        <v>1</v>
      </c>
      <c r="N3120" s="1" t="str">
        <f>IF(Employee__2[[#This Row],[City]]="Pune","Yes","No")</f>
        <v>No</v>
      </c>
      <c r="O3120" s="1" t="str">
        <f>IF(AND(Employee__2[[#This Row],[Education]]="Bachelors",Employee__2[[#This Row],[City]]="Pune"),"Yes","No")</f>
        <v>No</v>
      </c>
      <c r="P3120" s="1" t="str">
        <f>IF(OR(Employee__2[[#This Row],[Age]]&gt;=30,Employee__2[[#This Row],[Gender]]="Male"),"Mached","Not mached")</f>
        <v>Mached</v>
      </c>
    </row>
    <row r="3121" spans="4:16" x14ac:dyDescent="0.25">
      <c r="D3121" s="6" t="s">
        <v>34</v>
      </c>
      <c r="E3121">
        <v>2015</v>
      </c>
      <c r="F3121" s="6" t="s">
        <v>38</v>
      </c>
      <c r="G3121">
        <v>3</v>
      </c>
      <c r="H3121">
        <v>37</v>
      </c>
      <c r="I3121" s="6" t="s">
        <v>36</v>
      </c>
      <c r="J3121" s="6" t="s">
        <v>37</v>
      </c>
      <c r="K3121">
        <v>1</v>
      </c>
      <c r="M3121" s="1" t="b">
        <f>Employee__2[[#This Row],[Experience]]&gt;1</f>
        <v>0</v>
      </c>
      <c r="N3121" s="1" t="str">
        <f>IF(Employee__2[[#This Row],[City]]="Pune","Yes","No")</f>
        <v>Yes</v>
      </c>
      <c r="O3121" s="1" t="str">
        <f>IF(AND(Employee__2[[#This Row],[Education]]="Bachelors",Employee__2[[#This Row],[City]]="Pune"),"Yes","No")</f>
        <v>Yes</v>
      </c>
      <c r="P3121" s="1" t="str">
        <f>IF(OR(Employee__2[[#This Row],[Age]]&gt;=30,Employee__2[[#This Row],[Gender]]="Male"),"Mached","Not mached")</f>
        <v>Mached</v>
      </c>
    </row>
    <row r="3122" spans="4:16" x14ac:dyDescent="0.25">
      <c r="D3122" s="6" t="s">
        <v>41</v>
      </c>
      <c r="E3122">
        <v>2015</v>
      </c>
      <c r="F3122" s="6" t="s">
        <v>38</v>
      </c>
      <c r="G3122">
        <v>1</v>
      </c>
      <c r="H3122">
        <v>40</v>
      </c>
      <c r="I3122" s="6" t="s">
        <v>39</v>
      </c>
      <c r="J3122" s="6" t="s">
        <v>37</v>
      </c>
      <c r="K3122">
        <v>1</v>
      </c>
      <c r="M3122" s="1" t="b">
        <f>Employee__2[[#This Row],[Experience]]&gt;1</f>
        <v>0</v>
      </c>
      <c r="N3122" s="1" t="str">
        <f>IF(Employee__2[[#This Row],[City]]="Pune","Yes","No")</f>
        <v>Yes</v>
      </c>
      <c r="O3122" s="1" t="str">
        <f>IF(AND(Employee__2[[#This Row],[Education]]="Bachelors",Employee__2[[#This Row],[City]]="Pune"),"Yes","No")</f>
        <v>No</v>
      </c>
      <c r="P3122" s="1" t="str">
        <f>IF(OR(Employee__2[[#This Row],[Age]]&gt;=30,Employee__2[[#This Row],[Gender]]="Male"),"Mached","Not mached")</f>
        <v>Mached</v>
      </c>
    </row>
    <row r="3123" spans="4:16" x14ac:dyDescent="0.25">
      <c r="D3123" s="6" t="s">
        <v>34</v>
      </c>
      <c r="E3123">
        <v>2018</v>
      </c>
      <c r="F3123" s="6" t="s">
        <v>40</v>
      </c>
      <c r="G3123">
        <v>3</v>
      </c>
      <c r="H3123">
        <v>39</v>
      </c>
      <c r="I3123" s="6" t="s">
        <v>39</v>
      </c>
      <c r="J3123" s="6" t="s">
        <v>42</v>
      </c>
      <c r="K3123">
        <v>0</v>
      </c>
      <c r="M3123" s="1" t="b">
        <f>Employee__2[[#This Row],[Experience]]&gt;1</f>
        <v>0</v>
      </c>
      <c r="N3123" s="1" t="str">
        <f>IF(Employee__2[[#This Row],[City]]="Pune","Yes","No")</f>
        <v>No</v>
      </c>
      <c r="O3123" s="1" t="str">
        <f>IF(AND(Employee__2[[#This Row],[Education]]="Bachelors",Employee__2[[#This Row],[City]]="Pune"),"Yes","No")</f>
        <v>No</v>
      </c>
      <c r="P3123" s="1" t="str">
        <f>IF(OR(Employee__2[[#This Row],[Age]]&gt;=30,Employee__2[[#This Row],[Gender]]="Male"),"Mached","Not mached")</f>
        <v>Mached</v>
      </c>
    </row>
    <row r="3124" spans="4:16" x14ac:dyDescent="0.25">
      <c r="D3124" s="6" t="s">
        <v>34</v>
      </c>
      <c r="E3124">
        <v>2017</v>
      </c>
      <c r="F3124" s="6" t="s">
        <v>40</v>
      </c>
      <c r="G3124">
        <v>2</v>
      </c>
      <c r="H3124">
        <v>36</v>
      </c>
      <c r="I3124" s="6" t="s">
        <v>39</v>
      </c>
      <c r="J3124" s="6" t="s">
        <v>37</v>
      </c>
      <c r="K3124">
        <v>5</v>
      </c>
      <c r="M3124" s="1" t="b">
        <f>Employee__2[[#This Row],[Experience]]&gt;1</f>
        <v>1</v>
      </c>
      <c r="N3124" s="1" t="str">
        <f>IF(Employee__2[[#This Row],[City]]="Pune","Yes","No")</f>
        <v>No</v>
      </c>
      <c r="O3124" s="1" t="str">
        <f>IF(AND(Employee__2[[#This Row],[Education]]="Bachelors",Employee__2[[#This Row],[City]]="Pune"),"Yes","No")</f>
        <v>No</v>
      </c>
      <c r="P3124" s="1" t="str">
        <f>IF(OR(Employee__2[[#This Row],[Age]]&gt;=30,Employee__2[[#This Row],[Gender]]="Male"),"Mached","Not mached")</f>
        <v>Mached</v>
      </c>
    </row>
    <row r="3125" spans="4:16" x14ac:dyDescent="0.25">
      <c r="D3125" s="6" t="s">
        <v>34</v>
      </c>
      <c r="E3125">
        <v>2015</v>
      </c>
      <c r="F3125" s="6" t="s">
        <v>35</v>
      </c>
      <c r="G3125">
        <v>2</v>
      </c>
      <c r="H3125">
        <v>32</v>
      </c>
      <c r="I3125" s="6" t="s">
        <v>39</v>
      </c>
      <c r="J3125" s="6" t="s">
        <v>37</v>
      </c>
      <c r="K3125">
        <v>2</v>
      </c>
      <c r="M3125" s="1" t="b">
        <f>Employee__2[[#This Row],[Experience]]&gt;1</f>
        <v>1</v>
      </c>
      <c r="N3125" s="1" t="str">
        <f>IF(Employee__2[[#This Row],[City]]="Pune","Yes","No")</f>
        <v>No</v>
      </c>
      <c r="O3125" s="1" t="str">
        <f>IF(AND(Employee__2[[#This Row],[Education]]="Bachelors",Employee__2[[#This Row],[City]]="Pune"),"Yes","No")</f>
        <v>No</v>
      </c>
      <c r="P3125" s="1" t="str">
        <f>IF(OR(Employee__2[[#This Row],[Age]]&gt;=30,Employee__2[[#This Row],[Gender]]="Male"),"Mached","Not mached")</f>
        <v>Mached</v>
      </c>
    </row>
    <row r="3126" spans="4:16" x14ac:dyDescent="0.25">
      <c r="D3126" s="6" t="s">
        <v>43</v>
      </c>
      <c r="E3126">
        <v>2015</v>
      </c>
      <c r="F3126" s="6" t="s">
        <v>38</v>
      </c>
      <c r="G3126">
        <v>3</v>
      </c>
      <c r="H3126">
        <v>31</v>
      </c>
      <c r="I3126" s="6" t="s">
        <v>39</v>
      </c>
      <c r="J3126" s="6" t="s">
        <v>37</v>
      </c>
      <c r="K3126">
        <v>1</v>
      </c>
      <c r="M3126" s="1" t="b">
        <f>Employee__2[[#This Row],[Experience]]&gt;1</f>
        <v>0</v>
      </c>
      <c r="N3126" s="1" t="str">
        <f>IF(Employee__2[[#This Row],[City]]="Pune","Yes","No")</f>
        <v>Yes</v>
      </c>
      <c r="O3126" s="1" t="str">
        <f>IF(AND(Employee__2[[#This Row],[Education]]="Bachelors",Employee__2[[#This Row],[City]]="Pune"),"Yes","No")</f>
        <v>No</v>
      </c>
      <c r="P3126" s="1" t="str">
        <f>IF(OR(Employee__2[[#This Row],[Age]]&gt;=30,Employee__2[[#This Row],[Gender]]="Male"),"Mached","Not mached")</f>
        <v>Mached</v>
      </c>
    </row>
    <row r="3127" spans="4:16" x14ac:dyDescent="0.25">
      <c r="D3127" s="6" t="s">
        <v>34</v>
      </c>
      <c r="E3127">
        <v>2012</v>
      </c>
      <c r="F3127" s="6" t="s">
        <v>35</v>
      </c>
      <c r="G3127">
        <v>3</v>
      </c>
      <c r="H3127">
        <v>31</v>
      </c>
      <c r="I3127" s="6" t="s">
        <v>36</v>
      </c>
      <c r="J3127" s="6" t="s">
        <v>37</v>
      </c>
      <c r="K3127">
        <v>4</v>
      </c>
      <c r="M3127" s="1" t="b">
        <f>Employee__2[[#This Row],[Experience]]&gt;1</f>
        <v>1</v>
      </c>
      <c r="N3127" s="1" t="str">
        <f>IF(Employee__2[[#This Row],[City]]="Pune","Yes","No")</f>
        <v>No</v>
      </c>
      <c r="O3127" s="1" t="str">
        <f>IF(AND(Employee__2[[#This Row],[Education]]="Bachelors",Employee__2[[#This Row],[City]]="Pune"),"Yes","No")</f>
        <v>No</v>
      </c>
      <c r="P3127" s="1" t="str">
        <f>IF(OR(Employee__2[[#This Row],[Age]]&gt;=30,Employee__2[[#This Row],[Gender]]="Male"),"Mached","Not mached")</f>
        <v>Mached</v>
      </c>
    </row>
    <row r="3128" spans="4:16" x14ac:dyDescent="0.25">
      <c r="D3128" s="6" t="s">
        <v>34</v>
      </c>
      <c r="E3128">
        <v>2013</v>
      </c>
      <c r="F3128" s="6" t="s">
        <v>40</v>
      </c>
      <c r="G3128">
        <v>3</v>
      </c>
      <c r="H3128">
        <v>36</v>
      </c>
      <c r="I3128" s="6" t="s">
        <v>39</v>
      </c>
      <c r="J3128" s="6" t="s">
        <v>37</v>
      </c>
      <c r="K3128">
        <v>5</v>
      </c>
      <c r="M3128" s="1" t="b">
        <f>Employee__2[[#This Row],[Experience]]&gt;1</f>
        <v>1</v>
      </c>
      <c r="N3128" s="1" t="str">
        <f>IF(Employee__2[[#This Row],[City]]="Pune","Yes","No")</f>
        <v>No</v>
      </c>
      <c r="O3128" s="1" t="str">
        <f>IF(AND(Employee__2[[#This Row],[Education]]="Bachelors",Employee__2[[#This Row],[City]]="Pune"),"Yes","No")</f>
        <v>No</v>
      </c>
      <c r="P3128" s="1" t="str">
        <f>IF(OR(Employee__2[[#This Row],[Age]]&gt;=30,Employee__2[[#This Row],[Gender]]="Male"),"Mached","Not mached")</f>
        <v>Mached</v>
      </c>
    </row>
    <row r="3129" spans="4:16" x14ac:dyDescent="0.25">
      <c r="D3129" s="6" t="s">
        <v>34</v>
      </c>
      <c r="E3129">
        <v>2014</v>
      </c>
      <c r="F3129" s="6" t="s">
        <v>35</v>
      </c>
      <c r="G3129">
        <v>3</v>
      </c>
      <c r="H3129">
        <v>35</v>
      </c>
      <c r="I3129" s="6" t="s">
        <v>36</v>
      </c>
      <c r="J3129" s="6" t="s">
        <v>37</v>
      </c>
      <c r="K3129">
        <v>3</v>
      </c>
      <c r="M3129" s="1" t="b">
        <f>Employee__2[[#This Row],[Experience]]&gt;1</f>
        <v>1</v>
      </c>
      <c r="N3129" s="1" t="str">
        <f>IF(Employee__2[[#This Row],[City]]="Pune","Yes","No")</f>
        <v>No</v>
      </c>
      <c r="O3129" s="1" t="str">
        <f>IF(AND(Employee__2[[#This Row],[Education]]="Bachelors",Employee__2[[#This Row],[City]]="Pune"),"Yes","No")</f>
        <v>No</v>
      </c>
      <c r="P3129" s="1" t="str">
        <f>IF(OR(Employee__2[[#This Row],[Age]]&gt;=30,Employee__2[[#This Row],[Gender]]="Male"),"Mached","Not mached")</f>
        <v>Mached</v>
      </c>
    </row>
    <row r="3130" spans="4:16" x14ac:dyDescent="0.25">
      <c r="D3130" s="6" t="s">
        <v>41</v>
      </c>
      <c r="E3130">
        <v>2013</v>
      </c>
      <c r="F3130" s="6" t="s">
        <v>40</v>
      </c>
      <c r="G3130">
        <v>2</v>
      </c>
      <c r="H3130">
        <v>33</v>
      </c>
      <c r="I3130" s="6" t="s">
        <v>39</v>
      </c>
      <c r="J3130" s="6" t="s">
        <v>37</v>
      </c>
      <c r="K3130">
        <v>2</v>
      </c>
      <c r="M3130" s="1" t="b">
        <f>Employee__2[[#This Row],[Experience]]&gt;1</f>
        <v>1</v>
      </c>
      <c r="N3130" s="1" t="str">
        <f>IF(Employee__2[[#This Row],[City]]="Pune","Yes","No")</f>
        <v>No</v>
      </c>
      <c r="O3130" s="1" t="str">
        <f>IF(AND(Employee__2[[#This Row],[Education]]="Bachelors",Employee__2[[#This Row],[City]]="Pune"),"Yes","No")</f>
        <v>No</v>
      </c>
      <c r="P3130" s="1" t="str">
        <f>IF(OR(Employee__2[[#This Row],[Age]]&gt;=30,Employee__2[[#This Row],[Gender]]="Male"),"Mached","Not mached")</f>
        <v>Mached</v>
      </c>
    </row>
    <row r="3131" spans="4:16" x14ac:dyDescent="0.25">
      <c r="D3131" s="6" t="s">
        <v>34</v>
      </c>
      <c r="E3131">
        <v>2014</v>
      </c>
      <c r="F3131" s="6" t="s">
        <v>35</v>
      </c>
      <c r="G3131">
        <v>3</v>
      </c>
      <c r="H3131">
        <v>39</v>
      </c>
      <c r="I3131" s="6" t="s">
        <v>36</v>
      </c>
      <c r="J3131" s="6" t="s">
        <v>42</v>
      </c>
      <c r="K3131">
        <v>1</v>
      </c>
      <c r="M3131" s="1" t="b">
        <f>Employee__2[[#This Row],[Experience]]&gt;1</f>
        <v>0</v>
      </c>
      <c r="N3131" s="1" t="str">
        <f>IF(Employee__2[[#This Row],[City]]="Pune","Yes","No")</f>
        <v>No</v>
      </c>
      <c r="O3131" s="1" t="str">
        <f>IF(AND(Employee__2[[#This Row],[Education]]="Bachelors",Employee__2[[#This Row],[City]]="Pune"),"Yes","No")</f>
        <v>No</v>
      </c>
      <c r="P3131" s="1" t="str">
        <f>IF(OR(Employee__2[[#This Row],[Age]]&gt;=30,Employee__2[[#This Row],[Gender]]="Male"),"Mached","Not mached")</f>
        <v>Mached</v>
      </c>
    </row>
    <row r="3132" spans="4:16" x14ac:dyDescent="0.25">
      <c r="D3132" s="6" t="s">
        <v>34</v>
      </c>
      <c r="E3132">
        <v>2015</v>
      </c>
      <c r="F3132" s="6" t="s">
        <v>38</v>
      </c>
      <c r="G3132">
        <v>3</v>
      </c>
      <c r="H3132">
        <v>35</v>
      </c>
      <c r="I3132" s="6" t="s">
        <v>39</v>
      </c>
      <c r="J3132" s="6" t="s">
        <v>37</v>
      </c>
      <c r="K3132">
        <v>1</v>
      </c>
      <c r="M3132" s="1" t="b">
        <f>Employee__2[[#This Row],[Experience]]&gt;1</f>
        <v>0</v>
      </c>
      <c r="N3132" s="1" t="str">
        <f>IF(Employee__2[[#This Row],[City]]="Pune","Yes","No")</f>
        <v>Yes</v>
      </c>
      <c r="O3132" s="1" t="str">
        <f>IF(AND(Employee__2[[#This Row],[Education]]="Bachelors",Employee__2[[#This Row],[City]]="Pune"),"Yes","No")</f>
        <v>Yes</v>
      </c>
      <c r="P3132" s="1" t="str">
        <f>IF(OR(Employee__2[[#This Row],[Age]]&gt;=30,Employee__2[[#This Row],[Gender]]="Male"),"Mached","Not mached")</f>
        <v>Mached</v>
      </c>
    </row>
    <row r="3133" spans="4:16" x14ac:dyDescent="0.25">
      <c r="D3133" s="6" t="s">
        <v>34</v>
      </c>
      <c r="E3133">
        <v>2013</v>
      </c>
      <c r="F3133" s="6" t="s">
        <v>35</v>
      </c>
      <c r="G3133">
        <v>3</v>
      </c>
      <c r="H3133">
        <v>38</v>
      </c>
      <c r="I3133" s="6" t="s">
        <v>39</v>
      </c>
      <c r="J3133" s="6" t="s">
        <v>37</v>
      </c>
      <c r="K3133">
        <v>4</v>
      </c>
      <c r="M3133" s="1" t="b">
        <f>Employee__2[[#This Row],[Experience]]&gt;1</f>
        <v>1</v>
      </c>
      <c r="N3133" s="1" t="str">
        <f>IF(Employee__2[[#This Row],[City]]="Pune","Yes","No")</f>
        <v>No</v>
      </c>
      <c r="O3133" s="1" t="str">
        <f>IF(AND(Employee__2[[#This Row],[Education]]="Bachelors",Employee__2[[#This Row],[City]]="Pune"),"Yes","No")</f>
        <v>No</v>
      </c>
      <c r="P3133" s="1" t="str">
        <f>IF(OR(Employee__2[[#This Row],[Age]]&gt;=30,Employee__2[[#This Row],[Gender]]="Male"),"Mached","Not mached")</f>
        <v>Mached</v>
      </c>
    </row>
    <row r="3134" spans="4:16" x14ac:dyDescent="0.25">
      <c r="D3134" s="6" t="s">
        <v>41</v>
      </c>
      <c r="E3134">
        <v>2017</v>
      </c>
      <c r="F3134" s="6" t="s">
        <v>35</v>
      </c>
      <c r="G3134">
        <v>3</v>
      </c>
      <c r="H3134">
        <v>39</v>
      </c>
      <c r="I3134" s="6" t="s">
        <v>39</v>
      </c>
      <c r="J3134" s="6" t="s">
        <v>37</v>
      </c>
      <c r="K3134">
        <v>4</v>
      </c>
      <c r="M3134" s="1" t="b">
        <f>Employee__2[[#This Row],[Experience]]&gt;1</f>
        <v>1</v>
      </c>
      <c r="N3134" s="1" t="str">
        <f>IF(Employee__2[[#This Row],[City]]="Pune","Yes","No")</f>
        <v>No</v>
      </c>
      <c r="O3134" s="1" t="str">
        <f>IF(AND(Employee__2[[#This Row],[Education]]="Bachelors",Employee__2[[#This Row],[City]]="Pune"),"Yes","No")</f>
        <v>No</v>
      </c>
      <c r="P3134" s="1" t="str">
        <f>IF(OR(Employee__2[[#This Row],[Age]]&gt;=30,Employee__2[[#This Row],[Gender]]="Male"),"Mached","Not mached")</f>
        <v>Mached</v>
      </c>
    </row>
    <row r="3135" spans="4:16" x14ac:dyDescent="0.25">
      <c r="D3135" s="6" t="s">
        <v>34</v>
      </c>
      <c r="E3135">
        <v>2012</v>
      </c>
      <c r="F3135" s="6" t="s">
        <v>35</v>
      </c>
      <c r="G3135">
        <v>3</v>
      </c>
      <c r="H3135">
        <v>41</v>
      </c>
      <c r="I3135" s="6" t="s">
        <v>36</v>
      </c>
      <c r="J3135" s="6" t="s">
        <v>37</v>
      </c>
      <c r="K3135">
        <v>3</v>
      </c>
      <c r="M3135" s="1" t="b">
        <f>Employee__2[[#This Row],[Experience]]&gt;1</f>
        <v>1</v>
      </c>
      <c r="N3135" s="1" t="str">
        <f>IF(Employee__2[[#This Row],[City]]="Pune","Yes","No")</f>
        <v>No</v>
      </c>
      <c r="O3135" s="1" t="str">
        <f>IF(AND(Employee__2[[#This Row],[Education]]="Bachelors",Employee__2[[#This Row],[City]]="Pune"),"Yes","No")</f>
        <v>No</v>
      </c>
      <c r="P3135" s="1" t="str">
        <f>IF(OR(Employee__2[[#This Row],[Age]]&gt;=30,Employee__2[[#This Row],[Gender]]="Male"),"Mached","Not mached")</f>
        <v>Mached</v>
      </c>
    </row>
    <row r="3136" spans="4:16" x14ac:dyDescent="0.25">
      <c r="D3136" s="6" t="s">
        <v>34</v>
      </c>
      <c r="E3136">
        <v>2014</v>
      </c>
      <c r="F3136" s="6" t="s">
        <v>38</v>
      </c>
      <c r="G3136">
        <v>2</v>
      </c>
      <c r="H3136">
        <v>35</v>
      </c>
      <c r="I3136" s="6" t="s">
        <v>36</v>
      </c>
      <c r="J3136" s="6" t="s">
        <v>37</v>
      </c>
      <c r="K3136">
        <v>2</v>
      </c>
      <c r="M3136" s="1" t="b">
        <f>Employee__2[[#This Row],[Experience]]&gt;1</f>
        <v>1</v>
      </c>
      <c r="N3136" s="1" t="str">
        <f>IF(Employee__2[[#This Row],[City]]="Pune","Yes","No")</f>
        <v>Yes</v>
      </c>
      <c r="O3136" s="1" t="str">
        <f>IF(AND(Employee__2[[#This Row],[Education]]="Bachelors",Employee__2[[#This Row],[City]]="Pune"),"Yes","No")</f>
        <v>Yes</v>
      </c>
      <c r="P3136" s="1" t="str">
        <f>IF(OR(Employee__2[[#This Row],[Age]]&gt;=30,Employee__2[[#This Row],[Gender]]="Male"),"Mached","Not mached")</f>
        <v>Mached</v>
      </c>
    </row>
    <row r="3137" spans="4:16" x14ac:dyDescent="0.25">
      <c r="D3137" s="6" t="s">
        <v>34</v>
      </c>
      <c r="E3137">
        <v>2016</v>
      </c>
      <c r="F3137" s="6" t="s">
        <v>38</v>
      </c>
      <c r="G3137">
        <v>3</v>
      </c>
      <c r="H3137">
        <v>31</v>
      </c>
      <c r="I3137" s="6" t="s">
        <v>36</v>
      </c>
      <c r="J3137" s="6" t="s">
        <v>37</v>
      </c>
      <c r="K3137">
        <v>1</v>
      </c>
      <c r="M3137" s="1" t="b">
        <f>Employee__2[[#This Row],[Experience]]&gt;1</f>
        <v>0</v>
      </c>
      <c r="N3137" s="1" t="str">
        <f>IF(Employee__2[[#This Row],[City]]="Pune","Yes","No")</f>
        <v>Yes</v>
      </c>
      <c r="O3137" s="1" t="str">
        <f>IF(AND(Employee__2[[#This Row],[Education]]="Bachelors",Employee__2[[#This Row],[City]]="Pune"),"Yes","No")</f>
        <v>Yes</v>
      </c>
      <c r="P3137" s="1" t="str">
        <f>IF(OR(Employee__2[[#This Row],[Age]]&gt;=30,Employee__2[[#This Row],[Gender]]="Male"),"Mached","Not mached")</f>
        <v>Mached</v>
      </c>
    </row>
    <row r="3138" spans="4:16" x14ac:dyDescent="0.25">
      <c r="D3138" s="6" t="s">
        <v>34</v>
      </c>
      <c r="E3138">
        <v>2017</v>
      </c>
      <c r="F3138" s="6" t="s">
        <v>40</v>
      </c>
      <c r="G3138">
        <v>2</v>
      </c>
      <c r="H3138">
        <v>32</v>
      </c>
      <c r="I3138" s="6" t="s">
        <v>39</v>
      </c>
      <c r="J3138" s="6" t="s">
        <v>37</v>
      </c>
      <c r="K3138">
        <v>4</v>
      </c>
      <c r="M3138" s="1" t="b">
        <f>Employee__2[[#This Row],[Experience]]&gt;1</f>
        <v>1</v>
      </c>
      <c r="N3138" s="1" t="str">
        <f>IF(Employee__2[[#This Row],[City]]="Pune","Yes","No")</f>
        <v>No</v>
      </c>
      <c r="O3138" s="1" t="str">
        <f>IF(AND(Employee__2[[#This Row],[Education]]="Bachelors",Employee__2[[#This Row],[City]]="Pune"),"Yes","No")</f>
        <v>No</v>
      </c>
      <c r="P3138" s="1" t="str">
        <f>IF(OR(Employee__2[[#This Row],[Age]]&gt;=30,Employee__2[[#This Row],[Gender]]="Male"),"Mached","Not mached")</f>
        <v>Mached</v>
      </c>
    </row>
    <row r="3139" spans="4:16" x14ac:dyDescent="0.25">
      <c r="D3139" s="6" t="s">
        <v>34</v>
      </c>
      <c r="E3139">
        <v>2016</v>
      </c>
      <c r="F3139" s="6" t="s">
        <v>40</v>
      </c>
      <c r="G3139">
        <v>3</v>
      </c>
      <c r="H3139">
        <v>34</v>
      </c>
      <c r="I3139" s="6" t="s">
        <v>36</v>
      </c>
      <c r="J3139" s="6" t="s">
        <v>37</v>
      </c>
      <c r="K3139">
        <v>1</v>
      </c>
      <c r="M3139" s="1" t="b">
        <f>Employee__2[[#This Row],[Experience]]&gt;1</f>
        <v>0</v>
      </c>
      <c r="N3139" s="1" t="str">
        <f>IF(Employee__2[[#This Row],[City]]="Pune","Yes","No")</f>
        <v>No</v>
      </c>
      <c r="O3139" s="1" t="str">
        <f>IF(AND(Employee__2[[#This Row],[Education]]="Bachelors",Employee__2[[#This Row],[City]]="Pune"),"Yes","No")</f>
        <v>No</v>
      </c>
      <c r="P3139" s="1" t="str">
        <f>IF(OR(Employee__2[[#This Row],[Age]]&gt;=30,Employee__2[[#This Row],[Gender]]="Male"),"Mached","Not mached")</f>
        <v>Mached</v>
      </c>
    </row>
    <row r="3140" spans="4:16" x14ac:dyDescent="0.25">
      <c r="D3140" s="6" t="s">
        <v>34</v>
      </c>
      <c r="E3140">
        <v>2014</v>
      </c>
      <c r="F3140" s="6" t="s">
        <v>35</v>
      </c>
      <c r="G3140">
        <v>3</v>
      </c>
      <c r="H3140">
        <v>34</v>
      </c>
      <c r="I3140" s="6" t="s">
        <v>36</v>
      </c>
      <c r="J3140" s="6" t="s">
        <v>42</v>
      </c>
      <c r="K3140">
        <v>3</v>
      </c>
      <c r="M3140" s="1" t="b">
        <f>Employee__2[[#This Row],[Experience]]&gt;1</f>
        <v>1</v>
      </c>
      <c r="N3140" s="1" t="str">
        <f>IF(Employee__2[[#This Row],[City]]="Pune","Yes","No")</f>
        <v>No</v>
      </c>
      <c r="O3140" s="1" t="str">
        <f>IF(AND(Employee__2[[#This Row],[Education]]="Bachelors",Employee__2[[#This Row],[City]]="Pune"),"Yes","No")</f>
        <v>No</v>
      </c>
      <c r="P3140" s="1" t="str">
        <f>IF(OR(Employee__2[[#This Row],[Age]]&gt;=30,Employee__2[[#This Row],[Gender]]="Male"),"Mached","Not mached")</f>
        <v>Mached</v>
      </c>
    </row>
    <row r="3141" spans="4:16" x14ac:dyDescent="0.25">
      <c r="D3141" s="6" t="s">
        <v>41</v>
      </c>
      <c r="E3141">
        <v>2014</v>
      </c>
      <c r="F3141" s="6" t="s">
        <v>40</v>
      </c>
      <c r="G3141">
        <v>3</v>
      </c>
      <c r="H3141">
        <v>36</v>
      </c>
      <c r="I3141" s="6" t="s">
        <v>36</v>
      </c>
      <c r="J3141" s="6" t="s">
        <v>37</v>
      </c>
      <c r="K3141">
        <v>1</v>
      </c>
      <c r="M3141" s="1" t="b">
        <f>Employee__2[[#This Row],[Experience]]&gt;1</f>
        <v>0</v>
      </c>
      <c r="N3141" s="1" t="str">
        <f>IF(Employee__2[[#This Row],[City]]="Pune","Yes","No")</f>
        <v>No</v>
      </c>
      <c r="O3141" s="1" t="str">
        <f>IF(AND(Employee__2[[#This Row],[Education]]="Bachelors",Employee__2[[#This Row],[City]]="Pune"),"Yes","No")</f>
        <v>No</v>
      </c>
      <c r="P3141" s="1" t="str">
        <f>IF(OR(Employee__2[[#This Row],[Age]]&gt;=30,Employee__2[[#This Row],[Gender]]="Male"),"Mached","Not mached")</f>
        <v>Mached</v>
      </c>
    </row>
    <row r="3142" spans="4:16" x14ac:dyDescent="0.25">
      <c r="D3142" s="6" t="s">
        <v>41</v>
      </c>
      <c r="E3142">
        <v>2017</v>
      </c>
      <c r="F3142" s="6" t="s">
        <v>35</v>
      </c>
      <c r="G3142">
        <v>2</v>
      </c>
      <c r="H3142">
        <v>41</v>
      </c>
      <c r="I3142" s="6" t="s">
        <v>36</v>
      </c>
      <c r="J3142" s="6" t="s">
        <v>37</v>
      </c>
      <c r="K3142">
        <v>4</v>
      </c>
      <c r="M3142" s="1" t="b">
        <f>Employee__2[[#This Row],[Experience]]&gt;1</f>
        <v>1</v>
      </c>
      <c r="N3142" s="1" t="str">
        <f>IF(Employee__2[[#This Row],[City]]="Pune","Yes","No")</f>
        <v>No</v>
      </c>
      <c r="O3142" s="1" t="str">
        <f>IF(AND(Employee__2[[#This Row],[Education]]="Bachelors",Employee__2[[#This Row],[City]]="Pune"),"Yes","No")</f>
        <v>No</v>
      </c>
      <c r="P3142" s="1" t="str">
        <f>IF(OR(Employee__2[[#This Row],[Age]]&gt;=30,Employee__2[[#This Row],[Gender]]="Male"),"Mached","Not mached")</f>
        <v>Mached</v>
      </c>
    </row>
    <row r="3143" spans="4:16" x14ac:dyDescent="0.25">
      <c r="D3143" s="6" t="s">
        <v>41</v>
      </c>
      <c r="E3143">
        <v>2017</v>
      </c>
      <c r="F3143" s="6" t="s">
        <v>38</v>
      </c>
      <c r="G3143">
        <v>2</v>
      </c>
      <c r="H3143">
        <v>39</v>
      </c>
      <c r="I3143" s="6" t="s">
        <v>39</v>
      </c>
      <c r="J3143" s="6" t="s">
        <v>37</v>
      </c>
      <c r="K3143">
        <v>3</v>
      </c>
      <c r="M3143" s="1" t="b">
        <f>Employee__2[[#This Row],[Experience]]&gt;1</f>
        <v>1</v>
      </c>
      <c r="N3143" s="1" t="str">
        <f>IF(Employee__2[[#This Row],[City]]="Pune","Yes","No")</f>
        <v>Yes</v>
      </c>
      <c r="O3143" s="1" t="str">
        <f>IF(AND(Employee__2[[#This Row],[Education]]="Bachelors",Employee__2[[#This Row],[City]]="Pune"),"Yes","No")</f>
        <v>No</v>
      </c>
      <c r="P3143" s="1" t="str">
        <f>IF(OR(Employee__2[[#This Row],[Age]]&gt;=30,Employee__2[[#This Row],[Gender]]="Male"),"Mached","Not mached")</f>
        <v>Mached</v>
      </c>
    </row>
    <row r="3144" spans="4:16" x14ac:dyDescent="0.25">
      <c r="D3144" s="6" t="s">
        <v>41</v>
      </c>
      <c r="E3144">
        <v>2017</v>
      </c>
      <c r="F3144" s="6" t="s">
        <v>40</v>
      </c>
      <c r="G3144">
        <v>2</v>
      </c>
      <c r="H3144">
        <v>38</v>
      </c>
      <c r="I3144" s="6" t="s">
        <v>36</v>
      </c>
      <c r="J3144" s="6" t="s">
        <v>37</v>
      </c>
      <c r="K3144">
        <v>5</v>
      </c>
      <c r="M3144" s="1" t="b">
        <f>Employee__2[[#This Row],[Experience]]&gt;1</f>
        <v>1</v>
      </c>
      <c r="N3144" s="1" t="str">
        <f>IF(Employee__2[[#This Row],[City]]="Pune","Yes","No")</f>
        <v>No</v>
      </c>
      <c r="O3144" s="1" t="str">
        <f>IF(AND(Employee__2[[#This Row],[Education]]="Bachelors",Employee__2[[#This Row],[City]]="Pune"),"Yes","No")</f>
        <v>No</v>
      </c>
      <c r="P3144" s="1" t="str">
        <f>IF(OR(Employee__2[[#This Row],[Age]]&gt;=30,Employee__2[[#This Row],[Gender]]="Male"),"Mached","Not mached")</f>
        <v>Mached</v>
      </c>
    </row>
    <row r="3145" spans="4:16" x14ac:dyDescent="0.25">
      <c r="D3145" s="6" t="s">
        <v>34</v>
      </c>
      <c r="E3145">
        <v>2012</v>
      </c>
      <c r="F3145" s="6" t="s">
        <v>35</v>
      </c>
      <c r="G3145">
        <v>3</v>
      </c>
      <c r="H3145">
        <v>37</v>
      </c>
      <c r="I3145" s="6" t="s">
        <v>36</v>
      </c>
      <c r="J3145" s="6" t="s">
        <v>37</v>
      </c>
      <c r="K3145">
        <v>4</v>
      </c>
      <c r="M3145" s="1" t="b">
        <f>Employee__2[[#This Row],[Experience]]&gt;1</f>
        <v>1</v>
      </c>
      <c r="N3145" s="1" t="str">
        <f>IF(Employee__2[[#This Row],[City]]="Pune","Yes","No")</f>
        <v>No</v>
      </c>
      <c r="O3145" s="1" t="str">
        <f>IF(AND(Employee__2[[#This Row],[Education]]="Bachelors",Employee__2[[#This Row],[City]]="Pune"),"Yes","No")</f>
        <v>No</v>
      </c>
      <c r="P3145" s="1" t="str">
        <f>IF(OR(Employee__2[[#This Row],[Age]]&gt;=30,Employee__2[[#This Row],[Gender]]="Male"),"Mached","Not mached")</f>
        <v>Mached</v>
      </c>
    </row>
    <row r="3146" spans="4:16" x14ac:dyDescent="0.25">
      <c r="D3146" s="6" t="s">
        <v>34</v>
      </c>
      <c r="E3146">
        <v>2015</v>
      </c>
      <c r="F3146" s="6" t="s">
        <v>35</v>
      </c>
      <c r="G3146">
        <v>3</v>
      </c>
      <c r="H3146">
        <v>38</v>
      </c>
      <c r="I3146" s="6" t="s">
        <v>36</v>
      </c>
      <c r="J3146" s="6" t="s">
        <v>37</v>
      </c>
      <c r="K3146">
        <v>3</v>
      </c>
      <c r="M3146" s="1" t="b">
        <f>Employee__2[[#This Row],[Experience]]&gt;1</f>
        <v>1</v>
      </c>
      <c r="N3146" s="1" t="str">
        <f>IF(Employee__2[[#This Row],[City]]="Pune","Yes","No")</f>
        <v>No</v>
      </c>
      <c r="O3146" s="1" t="str">
        <f>IF(AND(Employee__2[[#This Row],[Education]]="Bachelors",Employee__2[[#This Row],[City]]="Pune"),"Yes","No")</f>
        <v>No</v>
      </c>
      <c r="P3146" s="1" t="str">
        <f>IF(OR(Employee__2[[#This Row],[Age]]&gt;=30,Employee__2[[#This Row],[Gender]]="Male"),"Mached","Not mached")</f>
        <v>Mached</v>
      </c>
    </row>
    <row r="3147" spans="4:16" x14ac:dyDescent="0.25">
      <c r="D3147" s="6" t="s">
        <v>34</v>
      </c>
      <c r="E3147">
        <v>2014</v>
      </c>
      <c r="F3147" s="6" t="s">
        <v>35</v>
      </c>
      <c r="G3147">
        <v>3</v>
      </c>
      <c r="H3147">
        <v>37</v>
      </c>
      <c r="I3147" s="6" t="s">
        <v>36</v>
      </c>
      <c r="J3147" s="6" t="s">
        <v>37</v>
      </c>
      <c r="K3147">
        <v>4</v>
      </c>
      <c r="M3147" s="1" t="b">
        <f>Employee__2[[#This Row],[Experience]]&gt;1</f>
        <v>1</v>
      </c>
      <c r="N3147" s="1" t="str">
        <f>IF(Employee__2[[#This Row],[City]]="Pune","Yes","No")</f>
        <v>No</v>
      </c>
      <c r="O3147" s="1" t="str">
        <f>IF(AND(Employee__2[[#This Row],[Education]]="Bachelors",Employee__2[[#This Row],[City]]="Pune"),"Yes","No")</f>
        <v>No</v>
      </c>
      <c r="P3147" s="1" t="str">
        <f>IF(OR(Employee__2[[#This Row],[Age]]&gt;=30,Employee__2[[#This Row],[Gender]]="Male"),"Mached","Not mached")</f>
        <v>Mached</v>
      </c>
    </row>
    <row r="3148" spans="4:16" x14ac:dyDescent="0.25">
      <c r="D3148" s="6" t="s">
        <v>34</v>
      </c>
      <c r="E3148">
        <v>2017</v>
      </c>
      <c r="F3148" s="6" t="s">
        <v>35</v>
      </c>
      <c r="G3148">
        <v>3</v>
      </c>
      <c r="H3148">
        <v>34</v>
      </c>
      <c r="I3148" s="6" t="s">
        <v>36</v>
      </c>
      <c r="J3148" s="6" t="s">
        <v>37</v>
      </c>
      <c r="K3148">
        <v>5</v>
      </c>
      <c r="M3148" s="1" t="b">
        <f>Employee__2[[#This Row],[Experience]]&gt;1</f>
        <v>1</v>
      </c>
      <c r="N3148" s="1" t="str">
        <f>IF(Employee__2[[#This Row],[City]]="Pune","Yes","No")</f>
        <v>No</v>
      </c>
      <c r="O3148" s="1" t="str">
        <f>IF(AND(Employee__2[[#This Row],[Education]]="Bachelors",Employee__2[[#This Row],[City]]="Pune"),"Yes","No")</f>
        <v>No</v>
      </c>
      <c r="P3148" s="1" t="str">
        <f>IF(OR(Employee__2[[#This Row],[Age]]&gt;=30,Employee__2[[#This Row],[Gender]]="Male"),"Mached","Not mached")</f>
        <v>Mached</v>
      </c>
    </row>
    <row r="3149" spans="4:16" x14ac:dyDescent="0.25">
      <c r="D3149" s="6" t="s">
        <v>34</v>
      </c>
      <c r="E3149">
        <v>2014</v>
      </c>
      <c r="F3149" s="6" t="s">
        <v>35</v>
      </c>
      <c r="G3149">
        <v>1</v>
      </c>
      <c r="H3149">
        <v>39</v>
      </c>
      <c r="I3149" s="6" t="s">
        <v>36</v>
      </c>
      <c r="J3149" s="6" t="s">
        <v>37</v>
      </c>
      <c r="K3149">
        <v>5</v>
      </c>
      <c r="M3149" s="1" t="b">
        <f>Employee__2[[#This Row],[Experience]]&gt;1</f>
        <v>1</v>
      </c>
      <c r="N3149" s="1" t="str">
        <f>IF(Employee__2[[#This Row],[City]]="Pune","Yes","No")</f>
        <v>No</v>
      </c>
      <c r="O3149" s="1" t="str">
        <f>IF(AND(Employee__2[[#This Row],[Education]]="Bachelors",Employee__2[[#This Row],[City]]="Pune"),"Yes","No")</f>
        <v>No</v>
      </c>
      <c r="P3149" s="1" t="str">
        <f>IF(OR(Employee__2[[#This Row],[Age]]&gt;=30,Employee__2[[#This Row],[Gender]]="Male"),"Mached","Not mached")</f>
        <v>Mached</v>
      </c>
    </row>
    <row r="3150" spans="4:16" x14ac:dyDescent="0.25">
      <c r="D3150" s="6" t="s">
        <v>41</v>
      </c>
      <c r="E3150">
        <v>2017</v>
      </c>
      <c r="F3150" s="6" t="s">
        <v>40</v>
      </c>
      <c r="G3150">
        <v>2</v>
      </c>
      <c r="H3150">
        <v>38</v>
      </c>
      <c r="I3150" s="6" t="s">
        <v>39</v>
      </c>
      <c r="J3150" s="6" t="s">
        <v>37</v>
      </c>
      <c r="K3150">
        <v>2</v>
      </c>
      <c r="M3150" s="1" t="b">
        <f>Employee__2[[#This Row],[Experience]]&gt;1</f>
        <v>1</v>
      </c>
      <c r="N3150" s="1" t="str">
        <f>IF(Employee__2[[#This Row],[City]]="Pune","Yes","No")</f>
        <v>No</v>
      </c>
      <c r="O3150" s="1" t="str">
        <f>IF(AND(Employee__2[[#This Row],[Education]]="Bachelors",Employee__2[[#This Row],[City]]="Pune"),"Yes","No")</f>
        <v>No</v>
      </c>
      <c r="P3150" s="1" t="str">
        <f>IF(OR(Employee__2[[#This Row],[Age]]&gt;=30,Employee__2[[#This Row],[Gender]]="Male"),"Mached","Not mached")</f>
        <v>Mached</v>
      </c>
    </row>
    <row r="3151" spans="4:16" x14ac:dyDescent="0.25">
      <c r="D3151" s="6" t="s">
        <v>41</v>
      </c>
      <c r="E3151">
        <v>2017</v>
      </c>
      <c r="F3151" s="6" t="s">
        <v>40</v>
      </c>
      <c r="G3151">
        <v>3</v>
      </c>
      <c r="H3151">
        <v>33</v>
      </c>
      <c r="I3151" s="6" t="s">
        <v>36</v>
      </c>
      <c r="J3151" s="6" t="s">
        <v>37</v>
      </c>
      <c r="K3151">
        <v>5</v>
      </c>
      <c r="M3151" s="1" t="b">
        <f>Employee__2[[#This Row],[Experience]]&gt;1</f>
        <v>1</v>
      </c>
      <c r="N3151" s="1" t="str">
        <f>IF(Employee__2[[#This Row],[City]]="Pune","Yes","No")</f>
        <v>No</v>
      </c>
      <c r="O3151" s="1" t="str">
        <f>IF(AND(Employee__2[[#This Row],[Education]]="Bachelors",Employee__2[[#This Row],[City]]="Pune"),"Yes","No")</f>
        <v>No</v>
      </c>
      <c r="P3151" s="1" t="str">
        <f>IF(OR(Employee__2[[#This Row],[Age]]&gt;=30,Employee__2[[#This Row],[Gender]]="Male"),"Mached","Not mached")</f>
        <v>Mached</v>
      </c>
    </row>
    <row r="3152" spans="4:16" x14ac:dyDescent="0.25">
      <c r="D3152" s="6" t="s">
        <v>34</v>
      </c>
      <c r="E3152">
        <v>2012</v>
      </c>
      <c r="F3152" s="6" t="s">
        <v>35</v>
      </c>
      <c r="G3152">
        <v>3</v>
      </c>
      <c r="H3152">
        <v>33</v>
      </c>
      <c r="I3152" s="6" t="s">
        <v>39</v>
      </c>
      <c r="J3152" s="6" t="s">
        <v>37</v>
      </c>
      <c r="K3152">
        <v>5</v>
      </c>
      <c r="M3152" s="1" t="b">
        <f>Employee__2[[#This Row],[Experience]]&gt;1</f>
        <v>1</v>
      </c>
      <c r="N3152" s="1" t="str">
        <f>IF(Employee__2[[#This Row],[City]]="Pune","Yes","No")</f>
        <v>No</v>
      </c>
      <c r="O3152" s="1" t="str">
        <f>IF(AND(Employee__2[[#This Row],[Education]]="Bachelors",Employee__2[[#This Row],[City]]="Pune"),"Yes","No")</f>
        <v>No</v>
      </c>
      <c r="P3152" s="1" t="str">
        <f>IF(OR(Employee__2[[#This Row],[Age]]&gt;=30,Employee__2[[#This Row],[Gender]]="Male"),"Mached","Not mached")</f>
        <v>Mached</v>
      </c>
    </row>
    <row r="3153" spans="4:16" x14ac:dyDescent="0.25">
      <c r="D3153" s="6" t="s">
        <v>34</v>
      </c>
      <c r="E3153">
        <v>2012</v>
      </c>
      <c r="F3153" s="6" t="s">
        <v>35</v>
      </c>
      <c r="G3153">
        <v>3</v>
      </c>
      <c r="H3153">
        <v>34</v>
      </c>
      <c r="I3153" s="6" t="s">
        <v>36</v>
      </c>
      <c r="J3153" s="6" t="s">
        <v>37</v>
      </c>
      <c r="K3153">
        <v>4</v>
      </c>
      <c r="M3153" s="1" t="b">
        <f>Employee__2[[#This Row],[Experience]]&gt;1</f>
        <v>1</v>
      </c>
      <c r="N3153" s="1" t="str">
        <f>IF(Employee__2[[#This Row],[City]]="Pune","Yes","No")</f>
        <v>No</v>
      </c>
      <c r="O3153" s="1" t="str">
        <f>IF(AND(Employee__2[[#This Row],[Education]]="Bachelors",Employee__2[[#This Row],[City]]="Pune"),"Yes","No")</f>
        <v>No</v>
      </c>
      <c r="P3153" s="1" t="str">
        <f>IF(OR(Employee__2[[#This Row],[Age]]&gt;=30,Employee__2[[#This Row],[Gender]]="Male"),"Mached","Not mached")</f>
        <v>Mached</v>
      </c>
    </row>
    <row r="3154" spans="4:16" x14ac:dyDescent="0.25">
      <c r="D3154" s="6" t="s">
        <v>34</v>
      </c>
      <c r="E3154">
        <v>2016</v>
      </c>
      <c r="F3154" s="6" t="s">
        <v>38</v>
      </c>
      <c r="G3154">
        <v>2</v>
      </c>
      <c r="H3154">
        <v>32</v>
      </c>
      <c r="I3154" s="6" t="s">
        <v>39</v>
      </c>
      <c r="J3154" s="6" t="s">
        <v>37</v>
      </c>
      <c r="K3154">
        <v>0</v>
      </c>
      <c r="M3154" s="1" t="b">
        <f>Employee__2[[#This Row],[Experience]]&gt;1</f>
        <v>0</v>
      </c>
      <c r="N3154" s="1" t="str">
        <f>IF(Employee__2[[#This Row],[City]]="Pune","Yes","No")</f>
        <v>Yes</v>
      </c>
      <c r="O3154" s="1" t="str">
        <f>IF(AND(Employee__2[[#This Row],[Education]]="Bachelors",Employee__2[[#This Row],[City]]="Pune"),"Yes","No")</f>
        <v>Yes</v>
      </c>
      <c r="P3154" s="1" t="str">
        <f>IF(OR(Employee__2[[#This Row],[Age]]&gt;=30,Employee__2[[#This Row],[Gender]]="Male"),"Mached","Not mached")</f>
        <v>Mached</v>
      </c>
    </row>
    <row r="3155" spans="4:16" x14ac:dyDescent="0.25">
      <c r="D3155" s="6" t="s">
        <v>34</v>
      </c>
      <c r="E3155">
        <v>2012</v>
      </c>
      <c r="F3155" s="6" t="s">
        <v>35</v>
      </c>
      <c r="G3155">
        <v>3</v>
      </c>
      <c r="H3155">
        <v>33</v>
      </c>
      <c r="I3155" s="6" t="s">
        <v>39</v>
      </c>
      <c r="J3155" s="6" t="s">
        <v>42</v>
      </c>
      <c r="K3155">
        <v>0</v>
      </c>
      <c r="M3155" s="1" t="b">
        <f>Employee__2[[#This Row],[Experience]]&gt;1</f>
        <v>0</v>
      </c>
      <c r="N3155" s="1" t="str">
        <f>IF(Employee__2[[#This Row],[City]]="Pune","Yes","No")</f>
        <v>No</v>
      </c>
      <c r="O3155" s="1" t="str">
        <f>IF(AND(Employee__2[[#This Row],[Education]]="Bachelors",Employee__2[[#This Row],[City]]="Pune"),"Yes","No")</f>
        <v>No</v>
      </c>
      <c r="P3155" s="1" t="str">
        <f>IF(OR(Employee__2[[#This Row],[Age]]&gt;=30,Employee__2[[#This Row],[Gender]]="Male"),"Mached","Not mached")</f>
        <v>Mached</v>
      </c>
    </row>
    <row r="3156" spans="4:16" x14ac:dyDescent="0.25">
      <c r="D3156" s="6" t="s">
        <v>41</v>
      </c>
      <c r="E3156">
        <v>2013</v>
      </c>
      <c r="F3156" s="6" t="s">
        <v>38</v>
      </c>
      <c r="G3156">
        <v>3</v>
      </c>
      <c r="H3156">
        <v>37</v>
      </c>
      <c r="I3156" s="6" t="s">
        <v>36</v>
      </c>
      <c r="J3156" s="6" t="s">
        <v>37</v>
      </c>
      <c r="K3156">
        <v>2</v>
      </c>
      <c r="M3156" s="1" t="b">
        <f>Employee__2[[#This Row],[Experience]]&gt;1</f>
        <v>1</v>
      </c>
      <c r="N3156" s="1" t="str">
        <f>IF(Employee__2[[#This Row],[City]]="Pune","Yes","No")</f>
        <v>Yes</v>
      </c>
      <c r="O3156" s="1" t="str">
        <f>IF(AND(Employee__2[[#This Row],[Education]]="Bachelors",Employee__2[[#This Row],[City]]="Pune"),"Yes","No")</f>
        <v>No</v>
      </c>
      <c r="P3156" s="1" t="str">
        <f>IF(OR(Employee__2[[#This Row],[Age]]&gt;=30,Employee__2[[#This Row],[Gender]]="Male"),"Mached","Not mached")</f>
        <v>Mached</v>
      </c>
    </row>
    <row r="3157" spans="4:16" x14ac:dyDescent="0.25">
      <c r="D3157" s="6" t="s">
        <v>41</v>
      </c>
      <c r="E3157">
        <v>2015</v>
      </c>
      <c r="F3157" s="6" t="s">
        <v>40</v>
      </c>
      <c r="G3157">
        <v>3</v>
      </c>
      <c r="H3157">
        <v>37</v>
      </c>
      <c r="I3157" s="6" t="s">
        <v>36</v>
      </c>
      <c r="J3157" s="6" t="s">
        <v>37</v>
      </c>
      <c r="K3157">
        <v>2</v>
      </c>
      <c r="M3157" s="1" t="b">
        <f>Employee__2[[#This Row],[Experience]]&gt;1</f>
        <v>1</v>
      </c>
      <c r="N3157" s="1" t="str">
        <f>IF(Employee__2[[#This Row],[City]]="Pune","Yes","No")</f>
        <v>No</v>
      </c>
      <c r="O3157" s="1" t="str">
        <f>IF(AND(Employee__2[[#This Row],[Education]]="Bachelors",Employee__2[[#This Row],[City]]="Pune"),"Yes","No")</f>
        <v>No</v>
      </c>
      <c r="P3157" s="1" t="str">
        <f>IF(OR(Employee__2[[#This Row],[Age]]&gt;=30,Employee__2[[#This Row],[Gender]]="Male"),"Mached","Not mached")</f>
        <v>Mached</v>
      </c>
    </row>
    <row r="3158" spans="4:16" x14ac:dyDescent="0.25">
      <c r="D3158" s="6" t="s">
        <v>34</v>
      </c>
      <c r="E3158">
        <v>2013</v>
      </c>
      <c r="F3158" s="6" t="s">
        <v>40</v>
      </c>
      <c r="G3158">
        <v>3</v>
      </c>
      <c r="H3158">
        <v>37</v>
      </c>
      <c r="I3158" s="6" t="s">
        <v>36</v>
      </c>
      <c r="J3158" s="6" t="s">
        <v>37</v>
      </c>
      <c r="K3158">
        <v>2</v>
      </c>
      <c r="M3158" s="1" t="b">
        <f>Employee__2[[#This Row],[Experience]]&gt;1</f>
        <v>1</v>
      </c>
      <c r="N3158" s="1" t="str">
        <f>IF(Employee__2[[#This Row],[City]]="Pune","Yes","No")</f>
        <v>No</v>
      </c>
      <c r="O3158" s="1" t="str">
        <f>IF(AND(Employee__2[[#This Row],[Education]]="Bachelors",Employee__2[[#This Row],[City]]="Pune"),"Yes","No")</f>
        <v>No</v>
      </c>
      <c r="P3158" s="1" t="str">
        <f>IF(OR(Employee__2[[#This Row],[Age]]&gt;=30,Employee__2[[#This Row],[Gender]]="Male"),"Mached","Not mached")</f>
        <v>Mached</v>
      </c>
    </row>
    <row r="3159" spans="4:16" x14ac:dyDescent="0.25">
      <c r="D3159" s="6" t="s">
        <v>34</v>
      </c>
      <c r="E3159">
        <v>2017</v>
      </c>
      <c r="F3159" s="6" t="s">
        <v>35</v>
      </c>
      <c r="G3159">
        <v>3</v>
      </c>
      <c r="H3159">
        <v>40</v>
      </c>
      <c r="I3159" s="6" t="s">
        <v>36</v>
      </c>
      <c r="J3159" s="6" t="s">
        <v>42</v>
      </c>
      <c r="K3159">
        <v>1</v>
      </c>
      <c r="M3159" s="1" t="b">
        <f>Employee__2[[#This Row],[Experience]]&gt;1</f>
        <v>0</v>
      </c>
      <c r="N3159" s="1" t="str">
        <f>IF(Employee__2[[#This Row],[City]]="Pune","Yes","No")</f>
        <v>No</v>
      </c>
      <c r="O3159" s="1" t="str">
        <f>IF(AND(Employee__2[[#This Row],[Education]]="Bachelors",Employee__2[[#This Row],[City]]="Pune"),"Yes","No")</f>
        <v>No</v>
      </c>
      <c r="P3159" s="1" t="str">
        <f>IF(OR(Employee__2[[#This Row],[Age]]&gt;=30,Employee__2[[#This Row],[Gender]]="Male"),"Mached","Not mached")</f>
        <v>Mached</v>
      </c>
    </row>
    <row r="3160" spans="4:16" x14ac:dyDescent="0.25">
      <c r="D3160" s="6" t="s">
        <v>41</v>
      </c>
      <c r="E3160">
        <v>2016</v>
      </c>
      <c r="F3160" s="6" t="s">
        <v>40</v>
      </c>
      <c r="G3160">
        <v>3</v>
      </c>
      <c r="H3160">
        <v>32</v>
      </c>
      <c r="I3160" s="6" t="s">
        <v>36</v>
      </c>
      <c r="J3160" s="6" t="s">
        <v>37</v>
      </c>
      <c r="K3160">
        <v>1</v>
      </c>
      <c r="M3160" s="1" t="b">
        <f>Employee__2[[#This Row],[Experience]]&gt;1</f>
        <v>0</v>
      </c>
      <c r="N3160" s="1" t="str">
        <f>IF(Employee__2[[#This Row],[City]]="Pune","Yes","No")</f>
        <v>No</v>
      </c>
      <c r="O3160" s="1" t="str">
        <f>IF(AND(Employee__2[[#This Row],[Education]]="Bachelors",Employee__2[[#This Row],[City]]="Pune"),"Yes","No")</f>
        <v>No</v>
      </c>
      <c r="P3160" s="1" t="str">
        <f>IF(OR(Employee__2[[#This Row],[Age]]&gt;=30,Employee__2[[#This Row],[Gender]]="Male"),"Mached","Not mached")</f>
        <v>Mached</v>
      </c>
    </row>
    <row r="3161" spans="4:16" x14ac:dyDescent="0.25">
      <c r="D3161" s="6" t="s">
        <v>34</v>
      </c>
      <c r="E3161">
        <v>2016</v>
      </c>
      <c r="F3161" s="6" t="s">
        <v>35</v>
      </c>
      <c r="G3161">
        <v>3</v>
      </c>
      <c r="H3161">
        <v>36</v>
      </c>
      <c r="I3161" s="6" t="s">
        <v>39</v>
      </c>
      <c r="J3161" s="6" t="s">
        <v>37</v>
      </c>
      <c r="K3161">
        <v>5</v>
      </c>
      <c r="M3161" s="1" t="b">
        <f>Employee__2[[#This Row],[Experience]]&gt;1</f>
        <v>1</v>
      </c>
      <c r="N3161" s="1" t="str">
        <f>IF(Employee__2[[#This Row],[City]]="Pune","Yes","No")</f>
        <v>No</v>
      </c>
      <c r="O3161" s="1" t="str">
        <f>IF(AND(Employee__2[[#This Row],[Education]]="Bachelors",Employee__2[[#This Row],[City]]="Pune"),"Yes","No")</f>
        <v>No</v>
      </c>
      <c r="P3161" s="1" t="str">
        <f>IF(OR(Employee__2[[#This Row],[Age]]&gt;=30,Employee__2[[#This Row],[Gender]]="Male"),"Mached","Not mached")</f>
        <v>Mached</v>
      </c>
    </row>
    <row r="3162" spans="4:16" x14ac:dyDescent="0.25">
      <c r="D3162" s="6" t="s">
        <v>34</v>
      </c>
      <c r="E3162">
        <v>2014</v>
      </c>
      <c r="F3162" s="6" t="s">
        <v>35</v>
      </c>
      <c r="G3162">
        <v>3</v>
      </c>
      <c r="H3162">
        <v>36</v>
      </c>
      <c r="I3162" s="6" t="s">
        <v>36</v>
      </c>
      <c r="J3162" s="6" t="s">
        <v>37</v>
      </c>
      <c r="K3162">
        <v>4</v>
      </c>
      <c r="M3162" s="1" t="b">
        <f>Employee__2[[#This Row],[Experience]]&gt;1</f>
        <v>1</v>
      </c>
      <c r="N3162" s="1" t="str">
        <f>IF(Employee__2[[#This Row],[City]]="Pune","Yes","No")</f>
        <v>No</v>
      </c>
      <c r="O3162" s="1" t="str">
        <f>IF(AND(Employee__2[[#This Row],[Education]]="Bachelors",Employee__2[[#This Row],[City]]="Pune"),"Yes","No")</f>
        <v>No</v>
      </c>
      <c r="P3162" s="1" t="str">
        <f>IF(OR(Employee__2[[#This Row],[Age]]&gt;=30,Employee__2[[#This Row],[Gender]]="Male"),"Mached","Not mached")</f>
        <v>Mached</v>
      </c>
    </row>
    <row r="3163" spans="4:16" x14ac:dyDescent="0.25">
      <c r="D3163" s="6" t="s">
        <v>34</v>
      </c>
      <c r="E3163">
        <v>2014</v>
      </c>
      <c r="F3163" s="6" t="s">
        <v>35</v>
      </c>
      <c r="G3163">
        <v>3</v>
      </c>
      <c r="H3163">
        <v>36</v>
      </c>
      <c r="I3163" s="6" t="s">
        <v>39</v>
      </c>
      <c r="J3163" s="6" t="s">
        <v>37</v>
      </c>
      <c r="K3163">
        <v>1</v>
      </c>
      <c r="M3163" s="1" t="b">
        <f>Employee__2[[#This Row],[Experience]]&gt;1</f>
        <v>0</v>
      </c>
      <c r="N3163" s="1" t="str">
        <f>IF(Employee__2[[#This Row],[City]]="Pune","Yes","No")</f>
        <v>No</v>
      </c>
      <c r="O3163" s="1" t="str">
        <f>IF(AND(Employee__2[[#This Row],[Education]]="Bachelors",Employee__2[[#This Row],[City]]="Pune"),"Yes","No")</f>
        <v>No</v>
      </c>
      <c r="P3163" s="1" t="str">
        <f>IF(OR(Employee__2[[#This Row],[Age]]&gt;=30,Employee__2[[#This Row],[Gender]]="Male"),"Mached","Not mached")</f>
        <v>Mached</v>
      </c>
    </row>
    <row r="3164" spans="4:16" x14ac:dyDescent="0.25">
      <c r="D3164" s="6" t="s">
        <v>41</v>
      </c>
      <c r="E3164">
        <v>2017</v>
      </c>
      <c r="F3164" s="6" t="s">
        <v>40</v>
      </c>
      <c r="G3164">
        <v>3</v>
      </c>
      <c r="H3164">
        <v>31</v>
      </c>
      <c r="I3164" s="6" t="s">
        <v>36</v>
      </c>
      <c r="J3164" s="6" t="s">
        <v>37</v>
      </c>
      <c r="K3164">
        <v>1</v>
      </c>
      <c r="M3164" s="1" t="b">
        <f>Employee__2[[#This Row],[Experience]]&gt;1</f>
        <v>0</v>
      </c>
      <c r="N3164" s="1" t="str">
        <f>IF(Employee__2[[#This Row],[City]]="Pune","Yes","No")</f>
        <v>No</v>
      </c>
      <c r="O3164" s="1" t="str">
        <f>IF(AND(Employee__2[[#This Row],[Education]]="Bachelors",Employee__2[[#This Row],[City]]="Pune"),"Yes","No")</f>
        <v>No</v>
      </c>
      <c r="P3164" s="1" t="str">
        <f>IF(OR(Employee__2[[#This Row],[Age]]&gt;=30,Employee__2[[#This Row],[Gender]]="Male"),"Mached","Not mached")</f>
        <v>Mached</v>
      </c>
    </row>
    <row r="3165" spans="4:16" x14ac:dyDescent="0.25">
      <c r="D3165" s="6" t="s">
        <v>34</v>
      </c>
      <c r="E3165">
        <v>2015</v>
      </c>
      <c r="F3165" s="6" t="s">
        <v>35</v>
      </c>
      <c r="G3165">
        <v>3</v>
      </c>
      <c r="H3165">
        <v>38</v>
      </c>
      <c r="I3165" s="6" t="s">
        <v>36</v>
      </c>
      <c r="J3165" s="6" t="s">
        <v>42</v>
      </c>
      <c r="K3165">
        <v>4</v>
      </c>
      <c r="M3165" s="1" t="b">
        <f>Employee__2[[#This Row],[Experience]]&gt;1</f>
        <v>1</v>
      </c>
      <c r="N3165" s="1" t="str">
        <f>IF(Employee__2[[#This Row],[City]]="Pune","Yes","No")</f>
        <v>No</v>
      </c>
      <c r="O3165" s="1" t="str">
        <f>IF(AND(Employee__2[[#This Row],[Education]]="Bachelors",Employee__2[[#This Row],[City]]="Pune"),"Yes","No")</f>
        <v>No</v>
      </c>
      <c r="P3165" s="1" t="str">
        <f>IF(OR(Employee__2[[#This Row],[Age]]&gt;=30,Employee__2[[#This Row],[Gender]]="Male"),"Mached","Not mached")</f>
        <v>Mached</v>
      </c>
    </row>
    <row r="3166" spans="4:16" x14ac:dyDescent="0.25">
      <c r="D3166" s="6" t="s">
        <v>41</v>
      </c>
      <c r="E3166">
        <v>2017</v>
      </c>
      <c r="F3166" s="6" t="s">
        <v>40</v>
      </c>
      <c r="G3166">
        <v>3</v>
      </c>
      <c r="H3166">
        <v>38</v>
      </c>
      <c r="I3166" s="6" t="s">
        <v>36</v>
      </c>
      <c r="J3166" s="6" t="s">
        <v>37</v>
      </c>
      <c r="K3166">
        <v>2</v>
      </c>
      <c r="M3166" s="1" t="b">
        <f>Employee__2[[#This Row],[Experience]]&gt;1</f>
        <v>1</v>
      </c>
      <c r="N3166" s="1" t="str">
        <f>IF(Employee__2[[#This Row],[City]]="Pune","Yes","No")</f>
        <v>No</v>
      </c>
      <c r="O3166" s="1" t="str">
        <f>IF(AND(Employee__2[[#This Row],[Education]]="Bachelors",Employee__2[[#This Row],[City]]="Pune"),"Yes","No")</f>
        <v>No</v>
      </c>
      <c r="P3166" s="1" t="str">
        <f>IF(OR(Employee__2[[#This Row],[Age]]&gt;=30,Employee__2[[#This Row],[Gender]]="Male"),"Mached","Not mached")</f>
        <v>Mached</v>
      </c>
    </row>
    <row r="3167" spans="4:16" x14ac:dyDescent="0.25">
      <c r="D3167" s="6" t="s">
        <v>34</v>
      </c>
      <c r="E3167">
        <v>2012</v>
      </c>
      <c r="F3167" s="6" t="s">
        <v>38</v>
      </c>
      <c r="G3167">
        <v>3</v>
      </c>
      <c r="H3167">
        <v>39</v>
      </c>
      <c r="I3167" s="6" t="s">
        <v>36</v>
      </c>
      <c r="J3167" s="6" t="s">
        <v>37</v>
      </c>
      <c r="K3167">
        <v>2</v>
      </c>
      <c r="M3167" s="1" t="b">
        <f>Employee__2[[#This Row],[Experience]]&gt;1</f>
        <v>1</v>
      </c>
      <c r="N3167" s="1" t="str">
        <f>IF(Employee__2[[#This Row],[City]]="Pune","Yes","No")</f>
        <v>Yes</v>
      </c>
      <c r="O3167" s="1" t="str">
        <f>IF(AND(Employee__2[[#This Row],[Education]]="Bachelors",Employee__2[[#This Row],[City]]="Pune"),"Yes","No")</f>
        <v>Yes</v>
      </c>
      <c r="P3167" s="1" t="str">
        <f>IF(OR(Employee__2[[#This Row],[Age]]&gt;=30,Employee__2[[#This Row],[Gender]]="Male"),"Mached","Not mached")</f>
        <v>Mached</v>
      </c>
    </row>
    <row r="3168" spans="4:16" x14ac:dyDescent="0.25">
      <c r="D3168" s="6" t="s">
        <v>34</v>
      </c>
      <c r="E3168">
        <v>2014</v>
      </c>
      <c r="F3168" s="6" t="s">
        <v>35</v>
      </c>
      <c r="G3168">
        <v>1</v>
      </c>
      <c r="H3168">
        <v>37</v>
      </c>
      <c r="I3168" s="6" t="s">
        <v>36</v>
      </c>
      <c r="J3168" s="6" t="s">
        <v>37</v>
      </c>
      <c r="K3168">
        <v>5</v>
      </c>
      <c r="M3168" s="1" t="b">
        <f>Employee__2[[#This Row],[Experience]]&gt;1</f>
        <v>1</v>
      </c>
      <c r="N3168" s="1" t="str">
        <f>IF(Employee__2[[#This Row],[City]]="Pune","Yes","No")</f>
        <v>No</v>
      </c>
      <c r="O3168" s="1" t="str">
        <f>IF(AND(Employee__2[[#This Row],[Education]]="Bachelors",Employee__2[[#This Row],[City]]="Pune"),"Yes","No")</f>
        <v>No</v>
      </c>
      <c r="P3168" s="1" t="str">
        <f>IF(OR(Employee__2[[#This Row],[Age]]&gt;=30,Employee__2[[#This Row],[Gender]]="Male"),"Mached","Not mached")</f>
        <v>Mached</v>
      </c>
    </row>
    <row r="3169" spans="4:16" x14ac:dyDescent="0.25">
      <c r="D3169" s="6" t="s">
        <v>34</v>
      </c>
      <c r="E3169">
        <v>2015</v>
      </c>
      <c r="F3169" s="6" t="s">
        <v>38</v>
      </c>
      <c r="G3169">
        <v>2</v>
      </c>
      <c r="H3169">
        <v>36</v>
      </c>
      <c r="I3169" s="6" t="s">
        <v>39</v>
      </c>
      <c r="J3169" s="6" t="s">
        <v>37</v>
      </c>
      <c r="K3169">
        <v>1</v>
      </c>
      <c r="M3169" s="1" t="b">
        <f>Employee__2[[#This Row],[Experience]]&gt;1</f>
        <v>0</v>
      </c>
      <c r="N3169" s="1" t="str">
        <f>IF(Employee__2[[#This Row],[City]]="Pune","Yes","No")</f>
        <v>Yes</v>
      </c>
      <c r="O3169" s="1" t="str">
        <f>IF(AND(Employee__2[[#This Row],[Education]]="Bachelors",Employee__2[[#This Row],[City]]="Pune"),"Yes","No")</f>
        <v>Yes</v>
      </c>
      <c r="P3169" s="1" t="str">
        <f>IF(OR(Employee__2[[#This Row],[Age]]&gt;=30,Employee__2[[#This Row],[Gender]]="Male"),"Mached","Not mached")</f>
        <v>Mached</v>
      </c>
    </row>
    <row r="3170" spans="4:16" x14ac:dyDescent="0.25">
      <c r="D3170" s="6" t="s">
        <v>34</v>
      </c>
      <c r="E3170">
        <v>2013</v>
      </c>
      <c r="F3170" s="6" t="s">
        <v>35</v>
      </c>
      <c r="G3170">
        <v>3</v>
      </c>
      <c r="H3170">
        <v>35</v>
      </c>
      <c r="I3170" s="6" t="s">
        <v>36</v>
      </c>
      <c r="J3170" s="6" t="s">
        <v>37</v>
      </c>
      <c r="K3170">
        <v>2</v>
      </c>
      <c r="M3170" s="1" t="b">
        <f>Employee__2[[#This Row],[Experience]]&gt;1</f>
        <v>1</v>
      </c>
      <c r="N3170" s="1" t="str">
        <f>IF(Employee__2[[#This Row],[City]]="Pune","Yes","No")</f>
        <v>No</v>
      </c>
      <c r="O3170" s="1" t="str">
        <f>IF(AND(Employee__2[[#This Row],[Education]]="Bachelors",Employee__2[[#This Row],[City]]="Pune"),"Yes","No")</f>
        <v>No</v>
      </c>
      <c r="P3170" s="1" t="str">
        <f>IF(OR(Employee__2[[#This Row],[Age]]&gt;=30,Employee__2[[#This Row],[Gender]]="Male"),"Mached","Not mached")</f>
        <v>Mached</v>
      </c>
    </row>
    <row r="3171" spans="4:16" x14ac:dyDescent="0.25">
      <c r="D3171" s="6" t="s">
        <v>34</v>
      </c>
      <c r="E3171">
        <v>2013</v>
      </c>
      <c r="F3171" s="6" t="s">
        <v>38</v>
      </c>
      <c r="G3171">
        <v>3</v>
      </c>
      <c r="H3171">
        <v>40</v>
      </c>
      <c r="I3171" s="6" t="s">
        <v>39</v>
      </c>
      <c r="J3171" s="6" t="s">
        <v>37</v>
      </c>
      <c r="K3171">
        <v>5</v>
      </c>
      <c r="M3171" s="1" t="b">
        <f>Employee__2[[#This Row],[Experience]]&gt;1</f>
        <v>1</v>
      </c>
      <c r="N3171" s="1" t="str">
        <f>IF(Employee__2[[#This Row],[City]]="Pune","Yes","No")</f>
        <v>Yes</v>
      </c>
      <c r="O3171" s="1" t="str">
        <f>IF(AND(Employee__2[[#This Row],[Education]]="Bachelors",Employee__2[[#This Row],[City]]="Pune"),"Yes","No")</f>
        <v>Yes</v>
      </c>
      <c r="P3171" s="1" t="str">
        <f>IF(OR(Employee__2[[#This Row],[Age]]&gt;=30,Employee__2[[#This Row],[Gender]]="Male"),"Mached","Not mached")</f>
        <v>Mached</v>
      </c>
    </row>
    <row r="3172" spans="4:16" x14ac:dyDescent="0.25">
      <c r="D3172" s="6" t="s">
        <v>34</v>
      </c>
      <c r="E3172">
        <v>2014</v>
      </c>
      <c r="F3172" s="6" t="s">
        <v>38</v>
      </c>
      <c r="G3172">
        <v>3</v>
      </c>
      <c r="H3172">
        <v>40</v>
      </c>
      <c r="I3172" s="6" t="s">
        <v>36</v>
      </c>
      <c r="J3172" s="6" t="s">
        <v>37</v>
      </c>
      <c r="K3172">
        <v>5</v>
      </c>
      <c r="M3172" s="1" t="b">
        <f>Employee__2[[#This Row],[Experience]]&gt;1</f>
        <v>1</v>
      </c>
      <c r="N3172" s="1" t="str">
        <f>IF(Employee__2[[#This Row],[City]]="Pune","Yes","No")</f>
        <v>Yes</v>
      </c>
      <c r="O3172" s="1" t="str">
        <f>IF(AND(Employee__2[[#This Row],[Education]]="Bachelors",Employee__2[[#This Row],[City]]="Pune"),"Yes","No")</f>
        <v>Yes</v>
      </c>
      <c r="P3172" s="1" t="str">
        <f>IF(OR(Employee__2[[#This Row],[Age]]&gt;=30,Employee__2[[#This Row],[Gender]]="Male"),"Mached","Not mached")</f>
        <v>Mached</v>
      </c>
    </row>
    <row r="3173" spans="4:16" x14ac:dyDescent="0.25">
      <c r="D3173" s="6" t="s">
        <v>34</v>
      </c>
      <c r="E3173">
        <v>2017</v>
      </c>
      <c r="F3173" s="6" t="s">
        <v>35</v>
      </c>
      <c r="G3173">
        <v>3</v>
      </c>
      <c r="H3173">
        <v>35</v>
      </c>
      <c r="I3173" s="6" t="s">
        <v>39</v>
      </c>
      <c r="J3173" s="6" t="s">
        <v>37</v>
      </c>
      <c r="K3173">
        <v>3</v>
      </c>
      <c r="M3173" s="1" t="b">
        <f>Employee__2[[#This Row],[Experience]]&gt;1</f>
        <v>1</v>
      </c>
      <c r="N3173" s="1" t="str">
        <f>IF(Employee__2[[#This Row],[City]]="Pune","Yes","No")</f>
        <v>No</v>
      </c>
      <c r="O3173" s="1" t="str">
        <f>IF(AND(Employee__2[[#This Row],[Education]]="Bachelors",Employee__2[[#This Row],[City]]="Pune"),"Yes","No")</f>
        <v>No</v>
      </c>
      <c r="P3173" s="1" t="str">
        <f>IF(OR(Employee__2[[#This Row],[Age]]&gt;=30,Employee__2[[#This Row],[Gender]]="Male"),"Mached","Not mached")</f>
        <v>Mached</v>
      </c>
    </row>
    <row r="3174" spans="4:16" x14ac:dyDescent="0.25">
      <c r="D3174" s="6" t="s">
        <v>34</v>
      </c>
      <c r="E3174">
        <v>2012</v>
      </c>
      <c r="F3174" s="6" t="s">
        <v>35</v>
      </c>
      <c r="G3174">
        <v>3</v>
      </c>
      <c r="H3174">
        <v>41</v>
      </c>
      <c r="I3174" s="6" t="s">
        <v>39</v>
      </c>
      <c r="J3174" s="6" t="s">
        <v>37</v>
      </c>
      <c r="K3174">
        <v>5</v>
      </c>
      <c r="M3174" s="1" t="b">
        <f>Employee__2[[#This Row],[Experience]]&gt;1</f>
        <v>1</v>
      </c>
      <c r="N3174" s="1" t="str">
        <f>IF(Employee__2[[#This Row],[City]]="Pune","Yes","No")</f>
        <v>No</v>
      </c>
      <c r="O3174" s="1" t="str">
        <f>IF(AND(Employee__2[[#This Row],[Education]]="Bachelors",Employee__2[[#This Row],[City]]="Pune"),"Yes","No")</f>
        <v>No</v>
      </c>
      <c r="P3174" s="1" t="str">
        <f>IF(OR(Employee__2[[#This Row],[Age]]&gt;=30,Employee__2[[#This Row],[Gender]]="Male"),"Mached","Not mached")</f>
        <v>Mached</v>
      </c>
    </row>
    <row r="3175" spans="4:16" x14ac:dyDescent="0.25">
      <c r="D3175" s="6" t="s">
        <v>34</v>
      </c>
      <c r="E3175">
        <v>2015</v>
      </c>
      <c r="F3175" s="6" t="s">
        <v>35</v>
      </c>
      <c r="G3175">
        <v>3</v>
      </c>
      <c r="H3175">
        <v>32</v>
      </c>
      <c r="I3175" s="6" t="s">
        <v>36</v>
      </c>
      <c r="J3175" s="6" t="s">
        <v>37</v>
      </c>
      <c r="K3175">
        <v>4</v>
      </c>
      <c r="M3175" s="1" t="b">
        <f>Employee__2[[#This Row],[Experience]]&gt;1</f>
        <v>1</v>
      </c>
      <c r="N3175" s="1" t="str">
        <f>IF(Employee__2[[#This Row],[City]]="Pune","Yes","No")</f>
        <v>No</v>
      </c>
      <c r="O3175" s="1" t="str">
        <f>IF(AND(Employee__2[[#This Row],[Education]]="Bachelors",Employee__2[[#This Row],[City]]="Pune"),"Yes","No")</f>
        <v>No</v>
      </c>
      <c r="P3175" s="1" t="str">
        <f>IF(OR(Employee__2[[#This Row],[Age]]&gt;=30,Employee__2[[#This Row],[Gender]]="Male"),"Mached","Not mached")</f>
        <v>Mached</v>
      </c>
    </row>
    <row r="3176" spans="4:16" x14ac:dyDescent="0.25">
      <c r="D3176" s="6" t="s">
        <v>34</v>
      </c>
      <c r="E3176">
        <v>2013</v>
      </c>
      <c r="F3176" s="6" t="s">
        <v>35</v>
      </c>
      <c r="G3176">
        <v>3</v>
      </c>
      <c r="H3176">
        <v>41</v>
      </c>
      <c r="I3176" s="6" t="s">
        <v>36</v>
      </c>
      <c r="J3176" s="6" t="s">
        <v>37</v>
      </c>
      <c r="K3176">
        <v>2</v>
      </c>
      <c r="M3176" s="1" t="b">
        <f>Employee__2[[#This Row],[Experience]]&gt;1</f>
        <v>1</v>
      </c>
      <c r="N3176" s="1" t="str">
        <f>IF(Employee__2[[#This Row],[City]]="Pune","Yes","No")</f>
        <v>No</v>
      </c>
      <c r="O3176" s="1" t="str">
        <f>IF(AND(Employee__2[[#This Row],[Education]]="Bachelors",Employee__2[[#This Row],[City]]="Pune"),"Yes","No")</f>
        <v>No</v>
      </c>
      <c r="P3176" s="1" t="str">
        <f>IF(OR(Employee__2[[#This Row],[Age]]&gt;=30,Employee__2[[#This Row],[Gender]]="Male"),"Mached","Not mached")</f>
        <v>Mached</v>
      </c>
    </row>
    <row r="3177" spans="4:16" x14ac:dyDescent="0.25">
      <c r="D3177" s="6" t="s">
        <v>34</v>
      </c>
      <c r="E3177">
        <v>2016</v>
      </c>
      <c r="F3177" s="6" t="s">
        <v>40</v>
      </c>
      <c r="G3177">
        <v>3</v>
      </c>
      <c r="H3177">
        <v>40</v>
      </c>
      <c r="I3177" s="6" t="s">
        <v>39</v>
      </c>
      <c r="J3177" s="6" t="s">
        <v>37</v>
      </c>
      <c r="K3177">
        <v>1</v>
      </c>
      <c r="M3177" s="1" t="b">
        <f>Employee__2[[#This Row],[Experience]]&gt;1</f>
        <v>0</v>
      </c>
      <c r="N3177" s="1" t="str">
        <f>IF(Employee__2[[#This Row],[City]]="Pune","Yes","No")</f>
        <v>No</v>
      </c>
      <c r="O3177" s="1" t="str">
        <f>IF(AND(Employee__2[[#This Row],[Education]]="Bachelors",Employee__2[[#This Row],[City]]="Pune"),"Yes","No")</f>
        <v>No</v>
      </c>
      <c r="P3177" s="1" t="str">
        <f>IF(OR(Employee__2[[#This Row],[Age]]&gt;=30,Employee__2[[#This Row],[Gender]]="Male"),"Mached","Not mached")</f>
        <v>Mached</v>
      </c>
    </row>
    <row r="3178" spans="4:16" x14ac:dyDescent="0.25">
      <c r="D3178" s="6" t="s">
        <v>34</v>
      </c>
      <c r="E3178">
        <v>2017</v>
      </c>
      <c r="F3178" s="6" t="s">
        <v>38</v>
      </c>
      <c r="G3178">
        <v>3</v>
      </c>
      <c r="H3178">
        <v>40</v>
      </c>
      <c r="I3178" s="6" t="s">
        <v>36</v>
      </c>
      <c r="J3178" s="6" t="s">
        <v>37</v>
      </c>
      <c r="K3178">
        <v>3</v>
      </c>
      <c r="M3178" s="1" t="b">
        <f>Employee__2[[#This Row],[Experience]]&gt;1</f>
        <v>1</v>
      </c>
      <c r="N3178" s="1" t="str">
        <f>IF(Employee__2[[#This Row],[City]]="Pune","Yes","No")</f>
        <v>Yes</v>
      </c>
      <c r="O3178" s="1" t="str">
        <f>IF(AND(Employee__2[[#This Row],[Education]]="Bachelors",Employee__2[[#This Row],[City]]="Pune"),"Yes","No")</f>
        <v>Yes</v>
      </c>
      <c r="P3178" s="1" t="str">
        <f>IF(OR(Employee__2[[#This Row],[Age]]&gt;=30,Employee__2[[#This Row],[Gender]]="Male"),"Mached","Not mached")</f>
        <v>Mached</v>
      </c>
    </row>
    <row r="3179" spans="4:16" x14ac:dyDescent="0.25">
      <c r="D3179" s="6" t="s">
        <v>34</v>
      </c>
      <c r="E3179">
        <v>2017</v>
      </c>
      <c r="F3179" s="6" t="s">
        <v>35</v>
      </c>
      <c r="G3179">
        <v>3</v>
      </c>
      <c r="H3179">
        <v>34</v>
      </c>
      <c r="I3179" s="6" t="s">
        <v>36</v>
      </c>
      <c r="J3179" s="6" t="s">
        <v>37</v>
      </c>
      <c r="K3179">
        <v>3</v>
      </c>
      <c r="M3179" s="1" t="b">
        <f>Employee__2[[#This Row],[Experience]]&gt;1</f>
        <v>1</v>
      </c>
      <c r="N3179" s="1" t="str">
        <f>IF(Employee__2[[#This Row],[City]]="Pune","Yes","No")</f>
        <v>No</v>
      </c>
      <c r="O3179" s="1" t="str">
        <f>IF(AND(Employee__2[[#This Row],[Education]]="Bachelors",Employee__2[[#This Row],[City]]="Pune"),"Yes","No")</f>
        <v>No</v>
      </c>
      <c r="P3179" s="1" t="str">
        <f>IF(OR(Employee__2[[#This Row],[Age]]&gt;=30,Employee__2[[#This Row],[Gender]]="Male"),"Mached","Not mached")</f>
        <v>Mached</v>
      </c>
    </row>
    <row r="3180" spans="4:16" x14ac:dyDescent="0.25">
      <c r="D3180" s="6" t="s">
        <v>41</v>
      </c>
      <c r="E3180">
        <v>2017</v>
      </c>
      <c r="F3180" s="6" t="s">
        <v>40</v>
      </c>
      <c r="G3180">
        <v>2</v>
      </c>
      <c r="H3180">
        <v>36</v>
      </c>
      <c r="I3180" s="6" t="s">
        <v>36</v>
      </c>
      <c r="J3180" s="6" t="s">
        <v>42</v>
      </c>
      <c r="K3180">
        <v>2</v>
      </c>
      <c r="M3180" s="1" t="b">
        <f>Employee__2[[#This Row],[Experience]]&gt;1</f>
        <v>1</v>
      </c>
      <c r="N3180" s="1" t="str">
        <f>IF(Employee__2[[#This Row],[City]]="Pune","Yes","No")</f>
        <v>No</v>
      </c>
      <c r="O3180" s="1" t="str">
        <f>IF(AND(Employee__2[[#This Row],[Education]]="Bachelors",Employee__2[[#This Row],[City]]="Pune"),"Yes","No")</f>
        <v>No</v>
      </c>
      <c r="P3180" s="1" t="str">
        <f>IF(OR(Employee__2[[#This Row],[Age]]&gt;=30,Employee__2[[#This Row],[Gender]]="Male"),"Mached","Not mached")</f>
        <v>Mached</v>
      </c>
    </row>
    <row r="3181" spans="4:16" x14ac:dyDescent="0.25">
      <c r="D3181" s="6" t="s">
        <v>34</v>
      </c>
      <c r="E3181">
        <v>2017</v>
      </c>
      <c r="F3181" s="6" t="s">
        <v>40</v>
      </c>
      <c r="G3181">
        <v>3</v>
      </c>
      <c r="H3181">
        <v>33</v>
      </c>
      <c r="I3181" s="6" t="s">
        <v>39</v>
      </c>
      <c r="J3181" s="6" t="s">
        <v>37</v>
      </c>
      <c r="K3181">
        <v>2</v>
      </c>
      <c r="M3181" s="1" t="b">
        <f>Employee__2[[#This Row],[Experience]]&gt;1</f>
        <v>1</v>
      </c>
      <c r="N3181" s="1" t="str">
        <f>IF(Employee__2[[#This Row],[City]]="Pune","Yes","No")</f>
        <v>No</v>
      </c>
      <c r="O3181" s="1" t="str">
        <f>IF(AND(Employee__2[[#This Row],[Education]]="Bachelors",Employee__2[[#This Row],[City]]="Pune"),"Yes","No")</f>
        <v>No</v>
      </c>
      <c r="P3181" s="1" t="str">
        <f>IF(OR(Employee__2[[#This Row],[Age]]&gt;=30,Employee__2[[#This Row],[Gender]]="Male"),"Mached","Not mached")</f>
        <v>Mached</v>
      </c>
    </row>
    <row r="3182" spans="4:16" x14ac:dyDescent="0.25">
      <c r="D3182" s="6" t="s">
        <v>34</v>
      </c>
      <c r="E3182">
        <v>2014</v>
      </c>
      <c r="F3182" s="6" t="s">
        <v>38</v>
      </c>
      <c r="G3182">
        <v>3</v>
      </c>
      <c r="H3182">
        <v>41</v>
      </c>
      <c r="I3182" s="6" t="s">
        <v>36</v>
      </c>
      <c r="J3182" s="6" t="s">
        <v>37</v>
      </c>
      <c r="K3182">
        <v>2</v>
      </c>
      <c r="M3182" s="1" t="b">
        <f>Employee__2[[#This Row],[Experience]]&gt;1</f>
        <v>1</v>
      </c>
      <c r="N3182" s="1" t="str">
        <f>IF(Employee__2[[#This Row],[City]]="Pune","Yes","No")</f>
        <v>Yes</v>
      </c>
      <c r="O3182" s="1" t="str">
        <f>IF(AND(Employee__2[[#This Row],[Education]]="Bachelors",Employee__2[[#This Row],[City]]="Pune"),"Yes","No")</f>
        <v>Yes</v>
      </c>
      <c r="P3182" s="1" t="str">
        <f>IF(OR(Employee__2[[#This Row],[Age]]&gt;=30,Employee__2[[#This Row],[Gender]]="Male"),"Mached","Not mached")</f>
        <v>Mached</v>
      </c>
    </row>
    <row r="3183" spans="4:16" x14ac:dyDescent="0.25">
      <c r="D3183" s="6" t="s">
        <v>34</v>
      </c>
      <c r="E3183">
        <v>2014</v>
      </c>
      <c r="F3183" s="6" t="s">
        <v>35</v>
      </c>
      <c r="G3183">
        <v>3</v>
      </c>
      <c r="H3183">
        <v>40</v>
      </c>
      <c r="I3183" s="6" t="s">
        <v>39</v>
      </c>
      <c r="J3183" s="6" t="s">
        <v>37</v>
      </c>
      <c r="K3183">
        <v>3</v>
      </c>
      <c r="M3183" s="1" t="b">
        <f>Employee__2[[#This Row],[Experience]]&gt;1</f>
        <v>1</v>
      </c>
      <c r="N3183" s="1" t="str">
        <f>IF(Employee__2[[#This Row],[City]]="Pune","Yes","No")</f>
        <v>No</v>
      </c>
      <c r="O3183" s="1" t="str">
        <f>IF(AND(Employee__2[[#This Row],[Education]]="Bachelors",Employee__2[[#This Row],[City]]="Pune"),"Yes","No")</f>
        <v>No</v>
      </c>
      <c r="P3183" s="1" t="str">
        <f>IF(OR(Employee__2[[#This Row],[Age]]&gt;=30,Employee__2[[#This Row],[Gender]]="Male"),"Mached","Not mached")</f>
        <v>Mached</v>
      </c>
    </row>
    <row r="3184" spans="4:16" x14ac:dyDescent="0.25">
      <c r="D3184" s="6" t="s">
        <v>34</v>
      </c>
      <c r="E3184">
        <v>2016</v>
      </c>
      <c r="F3184" s="6" t="s">
        <v>35</v>
      </c>
      <c r="G3184">
        <v>3</v>
      </c>
      <c r="H3184">
        <v>31</v>
      </c>
      <c r="I3184" s="6" t="s">
        <v>36</v>
      </c>
      <c r="J3184" s="6" t="s">
        <v>37</v>
      </c>
      <c r="K3184">
        <v>1</v>
      </c>
      <c r="M3184" s="1" t="b">
        <f>Employee__2[[#This Row],[Experience]]&gt;1</f>
        <v>0</v>
      </c>
      <c r="N3184" s="1" t="str">
        <f>IF(Employee__2[[#This Row],[City]]="Pune","Yes","No")</f>
        <v>No</v>
      </c>
      <c r="O3184" s="1" t="str">
        <f>IF(AND(Employee__2[[#This Row],[Education]]="Bachelors",Employee__2[[#This Row],[City]]="Pune"),"Yes","No")</f>
        <v>No</v>
      </c>
      <c r="P3184" s="1" t="str">
        <f>IF(OR(Employee__2[[#This Row],[Age]]&gt;=30,Employee__2[[#This Row],[Gender]]="Male"),"Mached","Not mached")</f>
        <v>Mached</v>
      </c>
    </row>
    <row r="3185" spans="4:16" x14ac:dyDescent="0.25">
      <c r="D3185" s="6" t="s">
        <v>41</v>
      </c>
      <c r="E3185">
        <v>2015</v>
      </c>
      <c r="F3185" s="6" t="s">
        <v>35</v>
      </c>
      <c r="G3185">
        <v>3</v>
      </c>
      <c r="H3185">
        <v>32</v>
      </c>
      <c r="I3185" s="6" t="s">
        <v>39</v>
      </c>
      <c r="J3185" s="6" t="s">
        <v>37</v>
      </c>
      <c r="K3185">
        <v>2</v>
      </c>
      <c r="M3185" s="1" t="b">
        <f>Employee__2[[#This Row],[Experience]]&gt;1</f>
        <v>1</v>
      </c>
      <c r="N3185" s="1" t="str">
        <f>IF(Employee__2[[#This Row],[City]]="Pune","Yes","No")</f>
        <v>No</v>
      </c>
      <c r="O3185" s="1" t="str">
        <f>IF(AND(Employee__2[[#This Row],[Education]]="Bachelors",Employee__2[[#This Row],[City]]="Pune"),"Yes","No")</f>
        <v>No</v>
      </c>
      <c r="P3185" s="1" t="str">
        <f>IF(OR(Employee__2[[#This Row],[Age]]&gt;=30,Employee__2[[#This Row],[Gender]]="Male"),"Mached","Not mached")</f>
        <v>Mached</v>
      </c>
    </row>
    <row r="3186" spans="4:16" x14ac:dyDescent="0.25">
      <c r="D3186" s="6" t="s">
        <v>34</v>
      </c>
      <c r="E3186">
        <v>2017</v>
      </c>
      <c r="F3186" s="6" t="s">
        <v>38</v>
      </c>
      <c r="G3186">
        <v>3</v>
      </c>
      <c r="H3186">
        <v>34</v>
      </c>
      <c r="I3186" s="6" t="s">
        <v>39</v>
      </c>
      <c r="J3186" s="6" t="s">
        <v>37</v>
      </c>
      <c r="K3186">
        <v>1</v>
      </c>
      <c r="M3186" s="1" t="b">
        <f>Employee__2[[#This Row],[Experience]]&gt;1</f>
        <v>0</v>
      </c>
      <c r="N3186" s="1" t="str">
        <f>IF(Employee__2[[#This Row],[City]]="Pune","Yes","No")</f>
        <v>Yes</v>
      </c>
      <c r="O3186" s="1" t="str">
        <f>IF(AND(Employee__2[[#This Row],[Education]]="Bachelors",Employee__2[[#This Row],[City]]="Pune"),"Yes","No")</f>
        <v>Yes</v>
      </c>
      <c r="P3186" s="1" t="str">
        <f>IF(OR(Employee__2[[#This Row],[Age]]&gt;=30,Employee__2[[#This Row],[Gender]]="Male"),"Mached","Not mached")</f>
        <v>Mached</v>
      </c>
    </row>
    <row r="3187" spans="4:16" x14ac:dyDescent="0.25">
      <c r="D3187" s="6" t="s">
        <v>34</v>
      </c>
      <c r="E3187">
        <v>2016</v>
      </c>
      <c r="F3187" s="6" t="s">
        <v>40</v>
      </c>
      <c r="G3187">
        <v>3</v>
      </c>
      <c r="H3187">
        <v>32</v>
      </c>
      <c r="I3187" s="6" t="s">
        <v>36</v>
      </c>
      <c r="J3187" s="6" t="s">
        <v>37</v>
      </c>
      <c r="K3187">
        <v>4</v>
      </c>
      <c r="M3187" s="1" t="b">
        <f>Employee__2[[#This Row],[Experience]]&gt;1</f>
        <v>1</v>
      </c>
      <c r="N3187" s="1" t="str">
        <f>IF(Employee__2[[#This Row],[City]]="Pune","Yes","No")</f>
        <v>No</v>
      </c>
      <c r="O3187" s="1" t="str">
        <f>IF(AND(Employee__2[[#This Row],[Education]]="Bachelors",Employee__2[[#This Row],[City]]="Pune"),"Yes","No")</f>
        <v>No</v>
      </c>
      <c r="P3187" s="1" t="str">
        <f>IF(OR(Employee__2[[#This Row],[Age]]&gt;=30,Employee__2[[#This Row],[Gender]]="Male"),"Mached","Not mached")</f>
        <v>Mached</v>
      </c>
    </row>
    <row r="3188" spans="4:16" x14ac:dyDescent="0.25">
      <c r="D3188" s="6" t="s">
        <v>34</v>
      </c>
      <c r="E3188">
        <v>2013</v>
      </c>
      <c r="F3188" s="6" t="s">
        <v>35</v>
      </c>
      <c r="G3188">
        <v>3</v>
      </c>
      <c r="H3188">
        <v>32</v>
      </c>
      <c r="I3188" s="6" t="s">
        <v>39</v>
      </c>
      <c r="J3188" s="6" t="s">
        <v>37</v>
      </c>
      <c r="K3188">
        <v>4</v>
      </c>
      <c r="M3188" s="1" t="b">
        <f>Employee__2[[#This Row],[Experience]]&gt;1</f>
        <v>1</v>
      </c>
      <c r="N3188" s="1" t="str">
        <f>IF(Employee__2[[#This Row],[City]]="Pune","Yes","No")</f>
        <v>No</v>
      </c>
      <c r="O3188" s="1" t="str">
        <f>IF(AND(Employee__2[[#This Row],[Education]]="Bachelors",Employee__2[[#This Row],[City]]="Pune"),"Yes","No")</f>
        <v>No</v>
      </c>
      <c r="P3188" s="1" t="str">
        <f>IF(OR(Employee__2[[#This Row],[Age]]&gt;=30,Employee__2[[#This Row],[Gender]]="Male"),"Mached","Not mached")</f>
        <v>Mached</v>
      </c>
    </row>
    <row r="3189" spans="4:16" x14ac:dyDescent="0.25">
      <c r="D3189" s="6" t="s">
        <v>34</v>
      </c>
      <c r="E3189">
        <v>2014</v>
      </c>
      <c r="F3189" s="6" t="s">
        <v>35</v>
      </c>
      <c r="G3189">
        <v>3</v>
      </c>
      <c r="H3189">
        <v>38</v>
      </c>
      <c r="I3189" s="6" t="s">
        <v>36</v>
      </c>
      <c r="J3189" s="6" t="s">
        <v>37</v>
      </c>
      <c r="K3189">
        <v>2</v>
      </c>
      <c r="M3189" s="1" t="b">
        <f>Employee__2[[#This Row],[Experience]]&gt;1</f>
        <v>1</v>
      </c>
      <c r="N3189" s="1" t="str">
        <f>IF(Employee__2[[#This Row],[City]]="Pune","Yes","No")</f>
        <v>No</v>
      </c>
      <c r="O3189" s="1" t="str">
        <f>IF(AND(Employee__2[[#This Row],[Education]]="Bachelors",Employee__2[[#This Row],[City]]="Pune"),"Yes","No")</f>
        <v>No</v>
      </c>
      <c r="P3189" s="1" t="str">
        <f>IF(OR(Employee__2[[#This Row],[Age]]&gt;=30,Employee__2[[#This Row],[Gender]]="Male"),"Mached","Not mached")</f>
        <v>Mached</v>
      </c>
    </row>
    <row r="3190" spans="4:16" x14ac:dyDescent="0.25">
      <c r="D3190" s="6" t="s">
        <v>41</v>
      </c>
      <c r="E3190">
        <v>2017</v>
      </c>
      <c r="F3190" s="6" t="s">
        <v>40</v>
      </c>
      <c r="G3190">
        <v>3</v>
      </c>
      <c r="H3190">
        <v>32</v>
      </c>
      <c r="I3190" s="6" t="s">
        <v>36</v>
      </c>
      <c r="J3190" s="6" t="s">
        <v>37</v>
      </c>
      <c r="K3190">
        <v>1</v>
      </c>
      <c r="M3190" s="1" t="b">
        <f>Employee__2[[#This Row],[Experience]]&gt;1</f>
        <v>0</v>
      </c>
      <c r="N3190" s="1" t="str">
        <f>IF(Employee__2[[#This Row],[City]]="Pune","Yes","No")</f>
        <v>No</v>
      </c>
      <c r="O3190" s="1" t="str">
        <f>IF(AND(Employee__2[[#This Row],[Education]]="Bachelors",Employee__2[[#This Row],[City]]="Pune"),"Yes","No")</f>
        <v>No</v>
      </c>
      <c r="P3190" s="1" t="str">
        <f>IF(OR(Employee__2[[#This Row],[Age]]&gt;=30,Employee__2[[#This Row],[Gender]]="Male"),"Mached","Not mached")</f>
        <v>Mached</v>
      </c>
    </row>
    <row r="3191" spans="4:16" x14ac:dyDescent="0.25">
      <c r="D3191" s="6" t="s">
        <v>34</v>
      </c>
      <c r="E3191">
        <v>2015</v>
      </c>
      <c r="F3191" s="6" t="s">
        <v>40</v>
      </c>
      <c r="G3191">
        <v>3</v>
      </c>
      <c r="H3191">
        <v>40</v>
      </c>
      <c r="I3191" s="6" t="s">
        <v>36</v>
      </c>
      <c r="J3191" s="6" t="s">
        <v>37</v>
      </c>
      <c r="K3191">
        <v>2</v>
      </c>
      <c r="M3191" s="1" t="b">
        <f>Employee__2[[#This Row],[Experience]]&gt;1</f>
        <v>1</v>
      </c>
      <c r="N3191" s="1" t="str">
        <f>IF(Employee__2[[#This Row],[City]]="Pune","Yes","No")</f>
        <v>No</v>
      </c>
      <c r="O3191" s="1" t="str">
        <f>IF(AND(Employee__2[[#This Row],[Education]]="Bachelors",Employee__2[[#This Row],[City]]="Pune"),"Yes","No")</f>
        <v>No</v>
      </c>
      <c r="P3191" s="1" t="str">
        <f>IF(OR(Employee__2[[#This Row],[Age]]&gt;=30,Employee__2[[#This Row],[Gender]]="Male"),"Mached","Not mached")</f>
        <v>Mached</v>
      </c>
    </row>
    <row r="3192" spans="4:16" x14ac:dyDescent="0.25">
      <c r="D3192" s="6" t="s">
        <v>34</v>
      </c>
      <c r="E3192">
        <v>2017</v>
      </c>
      <c r="F3192" s="6" t="s">
        <v>40</v>
      </c>
      <c r="G3192">
        <v>1</v>
      </c>
      <c r="H3192">
        <v>38</v>
      </c>
      <c r="I3192" s="6" t="s">
        <v>39</v>
      </c>
      <c r="J3192" s="6" t="s">
        <v>37</v>
      </c>
      <c r="K3192">
        <v>1</v>
      </c>
      <c r="M3192" s="1" t="b">
        <f>Employee__2[[#This Row],[Experience]]&gt;1</f>
        <v>0</v>
      </c>
      <c r="N3192" s="1" t="str">
        <f>IF(Employee__2[[#This Row],[City]]="Pune","Yes","No")</f>
        <v>No</v>
      </c>
      <c r="O3192" s="1" t="str">
        <f>IF(AND(Employee__2[[#This Row],[Education]]="Bachelors",Employee__2[[#This Row],[City]]="Pune"),"Yes","No")</f>
        <v>No</v>
      </c>
      <c r="P3192" s="1" t="str">
        <f>IF(OR(Employee__2[[#This Row],[Age]]&gt;=30,Employee__2[[#This Row],[Gender]]="Male"),"Mached","Not mached")</f>
        <v>Mached</v>
      </c>
    </row>
    <row r="3193" spans="4:16" x14ac:dyDescent="0.25">
      <c r="D3193" s="6" t="s">
        <v>34</v>
      </c>
      <c r="E3193">
        <v>2017</v>
      </c>
      <c r="F3193" s="6" t="s">
        <v>38</v>
      </c>
      <c r="G3193">
        <v>3</v>
      </c>
      <c r="H3193">
        <v>37</v>
      </c>
      <c r="I3193" s="6" t="s">
        <v>36</v>
      </c>
      <c r="J3193" s="6" t="s">
        <v>37</v>
      </c>
      <c r="K3193">
        <v>0</v>
      </c>
      <c r="M3193" s="1" t="b">
        <f>Employee__2[[#This Row],[Experience]]&gt;1</f>
        <v>0</v>
      </c>
      <c r="N3193" s="1" t="str">
        <f>IF(Employee__2[[#This Row],[City]]="Pune","Yes","No")</f>
        <v>Yes</v>
      </c>
      <c r="O3193" s="1" t="str">
        <f>IF(AND(Employee__2[[#This Row],[Education]]="Bachelors",Employee__2[[#This Row],[City]]="Pune"),"Yes","No")</f>
        <v>Yes</v>
      </c>
      <c r="P3193" s="1" t="str">
        <f>IF(OR(Employee__2[[#This Row],[Age]]&gt;=30,Employee__2[[#This Row],[Gender]]="Male"),"Mached","Not mached")</f>
        <v>Mached</v>
      </c>
    </row>
    <row r="3194" spans="4:16" x14ac:dyDescent="0.25">
      <c r="D3194" s="6" t="s">
        <v>43</v>
      </c>
      <c r="E3194">
        <v>2014</v>
      </c>
      <c r="F3194" s="6" t="s">
        <v>35</v>
      </c>
      <c r="G3194">
        <v>3</v>
      </c>
      <c r="H3194">
        <v>31</v>
      </c>
      <c r="I3194" s="6" t="s">
        <v>36</v>
      </c>
      <c r="J3194" s="6" t="s">
        <v>37</v>
      </c>
      <c r="K3194">
        <v>1</v>
      </c>
      <c r="M3194" s="1" t="b">
        <f>Employee__2[[#This Row],[Experience]]&gt;1</f>
        <v>0</v>
      </c>
      <c r="N3194" s="1" t="str">
        <f>IF(Employee__2[[#This Row],[City]]="Pune","Yes","No")</f>
        <v>No</v>
      </c>
      <c r="O3194" s="1" t="str">
        <f>IF(AND(Employee__2[[#This Row],[Education]]="Bachelors",Employee__2[[#This Row],[City]]="Pune"),"Yes","No")</f>
        <v>No</v>
      </c>
      <c r="P3194" s="1" t="str">
        <f>IF(OR(Employee__2[[#This Row],[Age]]&gt;=30,Employee__2[[#This Row],[Gender]]="Male"),"Mached","Not mached")</f>
        <v>Mached</v>
      </c>
    </row>
    <row r="3195" spans="4:16" x14ac:dyDescent="0.25">
      <c r="D3195" s="6" t="s">
        <v>34</v>
      </c>
      <c r="E3195">
        <v>2014</v>
      </c>
      <c r="F3195" s="6" t="s">
        <v>38</v>
      </c>
      <c r="G3195">
        <v>3</v>
      </c>
      <c r="H3195">
        <v>34</v>
      </c>
      <c r="I3195" s="6" t="s">
        <v>36</v>
      </c>
      <c r="J3195" s="6" t="s">
        <v>37</v>
      </c>
      <c r="K3195">
        <v>0</v>
      </c>
      <c r="M3195" s="1" t="b">
        <f>Employee__2[[#This Row],[Experience]]&gt;1</f>
        <v>0</v>
      </c>
      <c r="N3195" s="1" t="str">
        <f>IF(Employee__2[[#This Row],[City]]="Pune","Yes","No")</f>
        <v>Yes</v>
      </c>
      <c r="O3195" s="1" t="str">
        <f>IF(AND(Employee__2[[#This Row],[Education]]="Bachelors",Employee__2[[#This Row],[City]]="Pune"),"Yes","No")</f>
        <v>Yes</v>
      </c>
      <c r="P3195" s="1" t="str">
        <f>IF(OR(Employee__2[[#This Row],[Age]]&gt;=30,Employee__2[[#This Row],[Gender]]="Male"),"Mached","Not mached")</f>
        <v>Mached</v>
      </c>
    </row>
    <row r="3196" spans="4:16" x14ac:dyDescent="0.25">
      <c r="D3196" s="6" t="s">
        <v>41</v>
      </c>
      <c r="E3196">
        <v>2017</v>
      </c>
      <c r="F3196" s="6" t="s">
        <v>40</v>
      </c>
      <c r="G3196">
        <v>2</v>
      </c>
      <c r="H3196">
        <v>34</v>
      </c>
      <c r="I3196" s="6" t="s">
        <v>39</v>
      </c>
      <c r="J3196" s="6" t="s">
        <v>37</v>
      </c>
      <c r="K3196">
        <v>2</v>
      </c>
      <c r="M3196" s="1" t="b">
        <f>Employee__2[[#This Row],[Experience]]&gt;1</f>
        <v>1</v>
      </c>
      <c r="N3196" s="1" t="str">
        <f>IF(Employee__2[[#This Row],[City]]="Pune","Yes","No")</f>
        <v>No</v>
      </c>
      <c r="O3196" s="1" t="str">
        <f>IF(AND(Employee__2[[#This Row],[Education]]="Bachelors",Employee__2[[#This Row],[City]]="Pune"),"Yes","No")</f>
        <v>No</v>
      </c>
      <c r="P3196" s="1" t="str">
        <f>IF(OR(Employee__2[[#This Row],[Age]]&gt;=30,Employee__2[[#This Row],[Gender]]="Male"),"Mached","Not mached")</f>
        <v>Mached</v>
      </c>
    </row>
    <row r="3197" spans="4:16" x14ac:dyDescent="0.25">
      <c r="D3197" s="6" t="s">
        <v>34</v>
      </c>
      <c r="E3197">
        <v>2013</v>
      </c>
      <c r="F3197" s="6" t="s">
        <v>38</v>
      </c>
      <c r="G3197">
        <v>2</v>
      </c>
      <c r="H3197">
        <v>37</v>
      </c>
      <c r="I3197" s="6" t="s">
        <v>39</v>
      </c>
      <c r="J3197" s="6" t="s">
        <v>37</v>
      </c>
      <c r="K3197">
        <v>0</v>
      </c>
      <c r="M3197" s="1" t="b">
        <f>Employee__2[[#This Row],[Experience]]&gt;1</f>
        <v>0</v>
      </c>
      <c r="N3197" s="1" t="str">
        <f>IF(Employee__2[[#This Row],[City]]="Pune","Yes","No")</f>
        <v>Yes</v>
      </c>
      <c r="O3197" s="1" t="str">
        <f>IF(AND(Employee__2[[#This Row],[Education]]="Bachelors",Employee__2[[#This Row],[City]]="Pune"),"Yes","No")</f>
        <v>Yes</v>
      </c>
      <c r="P3197" s="1" t="str">
        <f>IF(OR(Employee__2[[#This Row],[Age]]&gt;=30,Employee__2[[#This Row],[Gender]]="Male"),"Mached","Not mached")</f>
        <v>Mached</v>
      </c>
    </row>
    <row r="3198" spans="4:16" x14ac:dyDescent="0.25">
      <c r="D3198" s="6" t="s">
        <v>41</v>
      </c>
      <c r="E3198">
        <v>2017</v>
      </c>
      <c r="F3198" s="6" t="s">
        <v>40</v>
      </c>
      <c r="G3198">
        <v>2</v>
      </c>
      <c r="H3198">
        <v>31</v>
      </c>
      <c r="I3198" s="6" t="s">
        <v>36</v>
      </c>
      <c r="J3198" s="6" t="s">
        <v>37</v>
      </c>
      <c r="K3198">
        <v>1</v>
      </c>
      <c r="M3198" s="1" t="b">
        <f>Employee__2[[#This Row],[Experience]]&gt;1</f>
        <v>0</v>
      </c>
      <c r="N3198" s="1" t="str">
        <f>IF(Employee__2[[#This Row],[City]]="Pune","Yes","No")</f>
        <v>No</v>
      </c>
      <c r="O3198" s="1" t="str">
        <f>IF(AND(Employee__2[[#This Row],[Education]]="Bachelors",Employee__2[[#This Row],[City]]="Pune"),"Yes","No")</f>
        <v>No</v>
      </c>
      <c r="P3198" s="1" t="str">
        <f>IF(OR(Employee__2[[#This Row],[Age]]&gt;=30,Employee__2[[#This Row],[Gender]]="Male"),"Mached","Not mached")</f>
        <v>Mached</v>
      </c>
    </row>
    <row r="3199" spans="4:16" x14ac:dyDescent="0.25">
      <c r="D3199" s="6" t="s">
        <v>34</v>
      </c>
      <c r="E3199">
        <v>2017</v>
      </c>
      <c r="F3199" s="6" t="s">
        <v>35</v>
      </c>
      <c r="G3199">
        <v>3</v>
      </c>
      <c r="H3199">
        <v>35</v>
      </c>
      <c r="I3199" s="6" t="s">
        <v>36</v>
      </c>
      <c r="J3199" s="6" t="s">
        <v>37</v>
      </c>
      <c r="K3199">
        <v>5</v>
      </c>
      <c r="M3199" s="1" t="b">
        <f>Employee__2[[#This Row],[Experience]]&gt;1</f>
        <v>1</v>
      </c>
      <c r="N3199" s="1" t="str">
        <f>IF(Employee__2[[#This Row],[City]]="Pune","Yes","No")</f>
        <v>No</v>
      </c>
      <c r="O3199" s="1" t="str">
        <f>IF(AND(Employee__2[[#This Row],[Education]]="Bachelors",Employee__2[[#This Row],[City]]="Pune"),"Yes","No")</f>
        <v>No</v>
      </c>
      <c r="P3199" s="1" t="str">
        <f>IF(OR(Employee__2[[#This Row],[Age]]&gt;=30,Employee__2[[#This Row],[Gender]]="Male"),"Mached","Not mached")</f>
        <v>Mached</v>
      </c>
    </row>
    <row r="3200" spans="4:16" x14ac:dyDescent="0.25">
      <c r="D3200" s="6" t="s">
        <v>43</v>
      </c>
      <c r="E3200">
        <v>2015</v>
      </c>
      <c r="F3200" s="6" t="s">
        <v>40</v>
      </c>
      <c r="G3200">
        <v>3</v>
      </c>
      <c r="H3200">
        <v>34</v>
      </c>
      <c r="I3200" s="6" t="s">
        <v>39</v>
      </c>
      <c r="J3200" s="6" t="s">
        <v>37</v>
      </c>
      <c r="K3200">
        <v>4</v>
      </c>
      <c r="M3200" s="1" t="b">
        <f>Employee__2[[#This Row],[Experience]]&gt;1</f>
        <v>1</v>
      </c>
      <c r="N3200" s="1" t="str">
        <f>IF(Employee__2[[#This Row],[City]]="Pune","Yes","No")</f>
        <v>No</v>
      </c>
      <c r="O3200" s="1" t="str">
        <f>IF(AND(Employee__2[[#This Row],[Education]]="Bachelors",Employee__2[[#This Row],[City]]="Pune"),"Yes","No")</f>
        <v>No</v>
      </c>
      <c r="P3200" s="1" t="str">
        <f>IF(OR(Employee__2[[#This Row],[Age]]&gt;=30,Employee__2[[#This Row],[Gender]]="Male"),"Mached","Not mached")</f>
        <v>Mached</v>
      </c>
    </row>
    <row r="3201" spans="4:16" x14ac:dyDescent="0.25">
      <c r="D3201" s="6" t="s">
        <v>34</v>
      </c>
      <c r="E3201">
        <v>2012</v>
      </c>
      <c r="F3201" s="6" t="s">
        <v>35</v>
      </c>
      <c r="G3201">
        <v>1</v>
      </c>
      <c r="H3201">
        <v>32</v>
      </c>
      <c r="I3201" s="6" t="s">
        <v>36</v>
      </c>
      <c r="J3201" s="6" t="s">
        <v>37</v>
      </c>
      <c r="K3201">
        <v>1</v>
      </c>
      <c r="M3201" s="1" t="b">
        <f>Employee__2[[#This Row],[Experience]]&gt;1</f>
        <v>0</v>
      </c>
      <c r="N3201" s="1" t="str">
        <f>IF(Employee__2[[#This Row],[City]]="Pune","Yes","No")</f>
        <v>No</v>
      </c>
      <c r="O3201" s="1" t="str">
        <f>IF(AND(Employee__2[[#This Row],[Education]]="Bachelors",Employee__2[[#This Row],[City]]="Pune"),"Yes","No")</f>
        <v>No</v>
      </c>
      <c r="P3201" s="1" t="str">
        <f>IF(OR(Employee__2[[#This Row],[Age]]&gt;=30,Employee__2[[#This Row],[Gender]]="Male"),"Mached","Not mached")</f>
        <v>Mached</v>
      </c>
    </row>
    <row r="3202" spans="4:16" x14ac:dyDescent="0.25">
      <c r="D3202" s="6" t="s">
        <v>34</v>
      </c>
      <c r="E3202">
        <v>2017</v>
      </c>
      <c r="F3202" s="6" t="s">
        <v>38</v>
      </c>
      <c r="G3202">
        <v>3</v>
      </c>
      <c r="H3202">
        <v>31</v>
      </c>
      <c r="I3202" s="6" t="s">
        <v>36</v>
      </c>
      <c r="J3202" s="6" t="s">
        <v>42</v>
      </c>
      <c r="K3202">
        <v>0</v>
      </c>
      <c r="M3202" s="1" t="b">
        <f>Employee__2[[#This Row],[Experience]]&gt;1</f>
        <v>0</v>
      </c>
      <c r="N3202" s="1" t="str">
        <f>IF(Employee__2[[#This Row],[City]]="Pune","Yes","No")</f>
        <v>Yes</v>
      </c>
      <c r="O3202" s="1" t="str">
        <f>IF(AND(Employee__2[[#This Row],[Education]]="Bachelors",Employee__2[[#This Row],[City]]="Pune"),"Yes","No")</f>
        <v>Yes</v>
      </c>
      <c r="P3202" s="1" t="str">
        <f>IF(OR(Employee__2[[#This Row],[Age]]&gt;=30,Employee__2[[#This Row],[Gender]]="Male"),"Mached","Not mached")</f>
        <v>Mached</v>
      </c>
    </row>
    <row r="3203" spans="4:16" x14ac:dyDescent="0.25">
      <c r="D3203" s="6" t="s">
        <v>34</v>
      </c>
      <c r="E3203">
        <v>2015</v>
      </c>
      <c r="F3203" s="6" t="s">
        <v>35</v>
      </c>
      <c r="G3203">
        <v>3</v>
      </c>
      <c r="H3203">
        <v>36</v>
      </c>
      <c r="I3203" s="6" t="s">
        <v>39</v>
      </c>
      <c r="J3203" s="6" t="s">
        <v>37</v>
      </c>
      <c r="K3203">
        <v>5</v>
      </c>
      <c r="M3203" s="1" t="b">
        <f>Employee__2[[#This Row],[Experience]]&gt;1</f>
        <v>1</v>
      </c>
      <c r="N3203" s="1" t="str">
        <f>IF(Employee__2[[#This Row],[City]]="Pune","Yes","No")</f>
        <v>No</v>
      </c>
      <c r="O3203" s="1" t="str">
        <f>IF(AND(Employee__2[[#This Row],[Education]]="Bachelors",Employee__2[[#This Row],[City]]="Pune"),"Yes","No")</f>
        <v>No</v>
      </c>
      <c r="P3203" s="1" t="str">
        <f>IF(OR(Employee__2[[#This Row],[Age]]&gt;=30,Employee__2[[#This Row],[Gender]]="Male"),"Mached","Not mached")</f>
        <v>Mached</v>
      </c>
    </row>
    <row r="3204" spans="4:16" x14ac:dyDescent="0.25">
      <c r="D3204" s="6" t="s">
        <v>41</v>
      </c>
      <c r="E3204">
        <v>2017</v>
      </c>
      <c r="F3204" s="6" t="s">
        <v>40</v>
      </c>
      <c r="G3204">
        <v>3</v>
      </c>
      <c r="H3204">
        <v>38</v>
      </c>
      <c r="I3204" s="6" t="s">
        <v>39</v>
      </c>
      <c r="J3204" s="6" t="s">
        <v>37</v>
      </c>
      <c r="K3204">
        <v>2</v>
      </c>
      <c r="M3204" s="1" t="b">
        <f>Employee__2[[#This Row],[Experience]]&gt;1</f>
        <v>1</v>
      </c>
      <c r="N3204" s="1" t="str">
        <f>IF(Employee__2[[#This Row],[City]]="Pune","Yes","No")</f>
        <v>No</v>
      </c>
      <c r="O3204" s="1" t="str">
        <f>IF(AND(Employee__2[[#This Row],[Education]]="Bachelors",Employee__2[[#This Row],[City]]="Pune"),"Yes","No")</f>
        <v>No</v>
      </c>
      <c r="P3204" s="1" t="str">
        <f>IF(OR(Employee__2[[#This Row],[Age]]&gt;=30,Employee__2[[#This Row],[Gender]]="Male"),"Mached","Not mached")</f>
        <v>Mached</v>
      </c>
    </row>
    <row r="3205" spans="4:16" x14ac:dyDescent="0.25">
      <c r="D3205" s="6" t="s">
        <v>34</v>
      </c>
      <c r="E3205">
        <v>2015</v>
      </c>
      <c r="F3205" s="6" t="s">
        <v>38</v>
      </c>
      <c r="G3205">
        <v>3</v>
      </c>
      <c r="H3205">
        <v>34</v>
      </c>
      <c r="I3205" s="6" t="s">
        <v>36</v>
      </c>
      <c r="J3205" s="6" t="s">
        <v>37</v>
      </c>
      <c r="K3205">
        <v>4</v>
      </c>
      <c r="M3205" s="1" t="b">
        <f>Employee__2[[#This Row],[Experience]]&gt;1</f>
        <v>1</v>
      </c>
      <c r="N3205" s="1" t="str">
        <f>IF(Employee__2[[#This Row],[City]]="Pune","Yes","No")</f>
        <v>Yes</v>
      </c>
      <c r="O3205" s="1" t="str">
        <f>IF(AND(Employee__2[[#This Row],[Education]]="Bachelors",Employee__2[[#This Row],[City]]="Pune"),"Yes","No")</f>
        <v>Yes</v>
      </c>
      <c r="P3205" s="1" t="str">
        <f>IF(OR(Employee__2[[#This Row],[Age]]&gt;=30,Employee__2[[#This Row],[Gender]]="Male"),"Mached","Not mached")</f>
        <v>Mached</v>
      </c>
    </row>
    <row r="3206" spans="4:16" x14ac:dyDescent="0.25">
      <c r="D3206" s="6" t="s">
        <v>34</v>
      </c>
      <c r="E3206">
        <v>2013</v>
      </c>
      <c r="F3206" s="6" t="s">
        <v>35</v>
      </c>
      <c r="G3206">
        <v>1</v>
      </c>
      <c r="H3206">
        <v>39</v>
      </c>
      <c r="I3206" s="6" t="s">
        <v>39</v>
      </c>
      <c r="J3206" s="6" t="s">
        <v>37</v>
      </c>
      <c r="K3206">
        <v>1</v>
      </c>
      <c r="M3206" s="1" t="b">
        <f>Employee__2[[#This Row],[Experience]]&gt;1</f>
        <v>0</v>
      </c>
      <c r="N3206" s="1" t="str">
        <f>IF(Employee__2[[#This Row],[City]]="Pune","Yes","No")</f>
        <v>No</v>
      </c>
      <c r="O3206" s="1" t="str">
        <f>IF(AND(Employee__2[[#This Row],[Education]]="Bachelors",Employee__2[[#This Row],[City]]="Pune"),"Yes","No")</f>
        <v>No</v>
      </c>
      <c r="P3206" s="1" t="str">
        <f>IF(OR(Employee__2[[#This Row],[Age]]&gt;=30,Employee__2[[#This Row],[Gender]]="Male"),"Mached","Not mached")</f>
        <v>Mached</v>
      </c>
    </row>
    <row r="3207" spans="4:16" x14ac:dyDescent="0.25">
      <c r="D3207" s="6" t="s">
        <v>43</v>
      </c>
      <c r="E3207">
        <v>2013</v>
      </c>
      <c r="F3207" s="6" t="s">
        <v>38</v>
      </c>
      <c r="G3207">
        <v>3</v>
      </c>
      <c r="H3207">
        <v>35</v>
      </c>
      <c r="I3207" s="6" t="s">
        <v>36</v>
      </c>
      <c r="J3207" s="6" t="s">
        <v>37</v>
      </c>
      <c r="K3207">
        <v>0</v>
      </c>
      <c r="M3207" s="1" t="b">
        <f>Employee__2[[#This Row],[Experience]]&gt;1</f>
        <v>0</v>
      </c>
      <c r="N3207" s="1" t="str">
        <f>IF(Employee__2[[#This Row],[City]]="Pune","Yes","No")</f>
        <v>Yes</v>
      </c>
      <c r="O3207" s="1" t="str">
        <f>IF(AND(Employee__2[[#This Row],[Education]]="Bachelors",Employee__2[[#This Row],[City]]="Pune"),"Yes","No")</f>
        <v>No</v>
      </c>
      <c r="P3207" s="1" t="str">
        <f>IF(OR(Employee__2[[#This Row],[Age]]&gt;=30,Employee__2[[#This Row],[Gender]]="Male"),"Mached","Not mached")</f>
        <v>Mached</v>
      </c>
    </row>
    <row r="3208" spans="4:16" x14ac:dyDescent="0.25">
      <c r="D3208" s="6" t="s">
        <v>41</v>
      </c>
      <c r="E3208">
        <v>2015</v>
      </c>
      <c r="F3208" s="6" t="s">
        <v>38</v>
      </c>
      <c r="G3208">
        <v>2</v>
      </c>
      <c r="H3208">
        <v>33</v>
      </c>
      <c r="I3208" s="6" t="s">
        <v>36</v>
      </c>
      <c r="J3208" s="6" t="s">
        <v>37</v>
      </c>
      <c r="K3208">
        <v>4</v>
      </c>
      <c r="M3208" s="1" t="b">
        <f>Employee__2[[#This Row],[Experience]]&gt;1</f>
        <v>1</v>
      </c>
      <c r="N3208" s="1" t="str">
        <f>IF(Employee__2[[#This Row],[City]]="Pune","Yes","No")</f>
        <v>Yes</v>
      </c>
      <c r="O3208" s="1" t="str">
        <f>IF(AND(Employee__2[[#This Row],[Education]]="Bachelors",Employee__2[[#This Row],[City]]="Pune"),"Yes","No")</f>
        <v>No</v>
      </c>
      <c r="P3208" s="1" t="str">
        <f>IF(OR(Employee__2[[#This Row],[Age]]&gt;=30,Employee__2[[#This Row],[Gender]]="Male"),"Mached","Not mached")</f>
        <v>Mached</v>
      </c>
    </row>
    <row r="3209" spans="4:16" x14ac:dyDescent="0.25">
      <c r="D3209" s="6" t="s">
        <v>41</v>
      </c>
      <c r="E3209">
        <v>2014</v>
      </c>
      <c r="F3209" s="6" t="s">
        <v>35</v>
      </c>
      <c r="G3209">
        <v>3</v>
      </c>
      <c r="H3209">
        <v>35</v>
      </c>
      <c r="I3209" s="6" t="s">
        <v>39</v>
      </c>
      <c r="J3209" s="6" t="s">
        <v>37</v>
      </c>
      <c r="K3209">
        <v>2</v>
      </c>
      <c r="M3209" s="1" t="b">
        <f>Employee__2[[#This Row],[Experience]]&gt;1</f>
        <v>1</v>
      </c>
      <c r="N3209" s="1" t="str">
        <f>IF(Employee__2[[#This Row],[City]]="Pune","Yes","No")</f>
        <v>No</v>
      </c>
      <c r="O3209" s="1" t="str">
        <f>IF(AND(Employee__2[[#This Row],[Education]]="Bachelors",Employee__2[[#This Row],[City]]="Pune"),"Yes","No")</f>
        <v>No</v>
      </c>
      <c r="P3209" s="1" t="str">
        <f>IF(OR(Employee__2[[#This Row],[Age]]&gt;=30,Employee__2[[#This Row],[Gender]]="Male"),"Mached","Not mached")</f>
        <v>Mached</v>
      </c>
    </row>
    <row r="3210" spans="4:16" x14ac:dyDescent="0.25">
      <c r="D3210" s="6" t="s">
        <v>41</v>
      </c>
      <c r="E3210">
        <v>2015</v>
      </c>
      <c r="F3210" s="6" t="s">
        <v>40</v>
      </c>
      <c r="G3210">
        <v>3</v>
      </c>
      <c r="H3210">
        <v>40</v>
      </c>
      <c r="I3210" s="6" t="s">
        <v>36</v>
      </c>
      <c r="J3210" s="6" t="s">
        <v>37</v>
      </c>
      <c r="K3210">
        <v>2</v>
      </c>
      <c r="M3210" s="1" t="b">
        <f>Employee__2[[#This Row],[Experience]]&gt;1</f>
        <v>1</v>
      </c>
      <c r="N3210" s="1" t="str">
        <f>IF(Employee__2[[#This Row],[City]]="Pune","Yes","No")</f>
        <v>No</v>
      </c>
      <c r="O3210" s="1" t="str">
        <f>IF(AND(Employee__2[[#This Row],[Education]]="Bachelors",Employee__2[[#This Row],[City]]="Pune"),"Yes","No")</f>
        <v>No</v>
      </c>
      <c r="P3210" s="1" t="str">
        <f>IF(OR(Employee__2[[#This Row],[Age]]&gt;=30,Employee__2[[#This Row],[Gender]]="Male"),"Mached","Not mached")</f>
        <v>Mached</v>
      </c>
    </row>
    <row r="3211" spans="4:16" x14ac:dyDescent="0.25">
      <c r="D3211" s="6" t="s">
        <v>34</v>
      </c>
      <c r="E3211">
        <v>2015</v>
      </c>
      <c r="F3211" s="6" t="s">
        <v>38</v>
      </c>
      <c r="G3211">
        <v>2</v>
      </c>
      <c r="H3211">
        <v>32</v>
      </c>
      <c r="I3211" s="6" t="s">
        <v>39</v>
      </c>
      <c r="J3211" s="6" t="s">
        <v>37</v>
      </c>
      <c r="K3211">
        <v>0</v>
      </c>
      <c r="M3211" s="1" t="b">
        <f>Employee__2[[#This Row],[Experience]]&gt;1</f>
        <v>0</v>
      </c>
      <c r="N3211" s="1" t="str">
        <f>IF(Employee__2[[#This Row],[City]]="Pune","Yes","No")</f>
        <v>Yes</v>
      </c>
      <c r="O3211" s="1" t="str">
        <f>IF(AND(Employee__2[[#This Row],[Education]]="Bachelors",Employee__2[[#This Row],[City]]="Pune"),"Yes","No")</f>
        <v>Yes</v>
      </c>
      <c r="P3211" s="1" t="str">
        <f>IF(OR(Employee__2[[#This Row],[Age]]&gt;=30,Employee__2[[#This Row],[Gender]]="Male"),"Mached","Not mached")</f>
        <v>Mached</v>
      </c>
    </row>
    <row r="3212" spans="4:16" x14ac:dyDescent="0.25">
      <c r="D3212" s="6" t="s">
        <v>34</v>
      </c>
      <c r="E3212">
        <v>2013</v>
      </c>
      <c r="F3212" s="6" t="s">
        <v>35</v>
      </c>
      <c r="G3212">
        <v>3</v>
      </c>
      <c r="H3212">
        <v>38</v>
      </c>
      <c r="I3212" s="6" t="s">
        <v>36</v>
      </c>
      <c r="J3212" s="6" t="s">
        <v>37</v>
      </c>
      <c r="K3212">
        <v>1</v>
      </c>
      <c r="M3212" s="1" t="b">
        <f>Employee__2[[#This Row],[Experience]]&gt;1</f>
        <v>0</v>
      </c>
      <c r="N3212" s="1" t="str">
        <f>IF(Employee__2[[#This Row],[City]]="Pune","Yes","No")</f>
        <v>No</v>
      </c>
      <c r="O3212" s="1" t="str">
        <f>IF(AND(Employee__2[[#This Row],[Education]]="Bachelors",Employee__2[[#This Row],[City]]="Pune"),"Yes","No")</f>
        <v>No</v>
      </c>
      <c r="P3212" s="1" t="str">
        <f>IF(OR(Employee__2[[#This Row],[Age]]&gt;=30,Employee__2[[#This Row],[Gender]]="Male"),"Mached","Not mached")</f>
        <v>Mached</v>
      </c>
    </row>
    <row r="3213" spans="4:16" x14ac:dyDescent="0.25">
      <c r="D3213" s="6" t="s">
        <v>34</v>
      </c>
      <c r="E3213">
        <v>2012</v>
      </c>
      <c r="F3213" s="6" t="s">
        <v>35</v>
      </c>
      <c r="G3213">
        <v>3</v>
      </c>
      <c r="H3213">
        <v>32</v>
      </c>
      <c r="I3213" s="6" t="s">
        <v>39</v>
      </c>
      <c r="J3213" s="6" t="s">
        <v>37</v>
      </c>
      <c r="K3213">
        <v>1</v>
      </c>
      <c r="M3213" s="1" t="b">
        <f>Employee__2[[#This Row],[Experience]]&gt;1</f>
        <v>0</v>
      </c>
      <c r="N3213" s="1" t="str">
        <f>IF(Employee__2[[#This Row],[City]]="Pune","Yes","No")</f>
        <v>No</v>
      </c>
      <c r="O3213" s="1" t="str">
        <f>IF(AND(Employee__2[[#This Row],[Education]]="Bachelors",Employee__2[[#This Row],[City]]="Pune"),"Yes","No")</f>
        <v>No</v>
      </c>
      <c r="P3213" s="1" t="str">
        <f>IF(OR(Employee__2[[#This Row],[Age]]&gt;=30,Employee__2[[#This Row],[Gender]]="Male"),"Mached","Not mached")</f>
        <v>Mached</v>
      </c>
    </row>
    <row r="3214" spans="4:16" x14ac:dyDescent="0.25">
      <c r="D3214" s="6" t="s">
        <v>34</v>
      </c>
      <c r="E3214">
        <v>2018</v>
      </c>
      <c r="F3214" s="6" t="s">
        <v>35</v>
      </c>
      <c r="G3214">
        <v>3</v>
      </c>
      <c r="H3214">
        <v>36</v>
      </c>
      <c r="I3214" s="6" t="s">
        <v>36</v>
      </c>
      <c r="J3214" s="6" t="s">
        <v>37</v>
      </c>
      <c r="K3214">
        <v>3</v>
      </c>
      <c r="M3214" s="1" t="b">
        <f>Employee__2[[#This Row],[Experience]]&gt;1</f>
        <v>1</v>
      </c>
      <c r="N3214" s="1" t="str">
        <f>IF(Employee__2[[#This Row],[City]]="Pune","Yes","No")</f>
        <v>No</v>
      </c>
      <c r="O3214" s="1" t="str">
        <f>IF(AND(Employee__2[[#This Row],[Education]]="Bachelors",Employee__2[[#This Row],[City]]="Pune"),"Yes","No")</f>
        <v>No</v>
      </c>
      <c r="P3214" s="1" t="str">
        <f>IF(OR(Employee__2[[#This Row],[Age]]&gt;=30,Employee__2[[#This Row],[Gender]]="Male"),"Mached","Not mached")</f>
        <v>Mached</v>
      </c>
    </row>
    <row r="3215" spans="4:16" x14ac:dyDescent="0.25">
      <c r="D3215" s="6" t="s">
        <v>34</v>
      </c>
      <c r="E3215">
        <v>2012</v>
      </c>
      <c r="F3215" s="6" t="s">
        <v>35</v>
      </c>
      <c r="G3215">
        <v>3</v>
      </c>
      <c r="H3215">
        <v>35</v>
      </c>
      <c r="I3215" s="6" t="s">
        <v>36</v>
      </c>
      <c r="J3215" s="6" t="s">
        <v>37</v>
      </c>
      <c r="K3215">
        <v>1</v>
      </c>
      <c r="M3215" s="1" t="b">
        <f>Employee__2[[#This Row],[Experience]]&gt;1</f>
        <v>0</v>
      </c>
      <c r="N3215" s="1" t="str">
        <f>IF(Employee__2[[#This Row],[City]]="Pune","Yes","No")</f>
        <v>No</v>
      </c>
      <c r="O3215" s="1" t="str">
        <f>IF(AND(Employee__2[[#This Row],[Education]]="Bachelors",Employee__2[[#This Row],[City]]="Pune"),"Yes","No")</f>
        <v>No</v>
      </c>
      <c r="P3215" s="1" t="str">
        <f>IF(OR(Employee__2[[#This Row],[Age]]&gt;=30,Employee__2[[#This Row],[Gender]]="Male"),"Mached","Not mached")</f>
        <v>Mached</v>
      </c>
    </row>
    <row r="3216" spans="4:16" x14ac:dyDescent="0.25">
      <c r="D3216" s="6" t="s">
        <v>34</v>
      </c>
      <c r="E3216">
        <v>2013</v>
      </c>
      <c r="F3216" s="6" t="s">
        <v>40</v>
      </c>
      <c r="G3216">
        <v>3</v>
      </c>
      <c r="H3216">
        <v>37</v>
      </c>
      <c r="I3216" s="6" t="s">
        <v>39</v>
      </c>
      <c r="J3216" s="6" t="s">
        <v>37</v>
      </c>
      <c r="K3216">
        <v>0</v>
      </c>
      <c r="M3216" s="1" t="b">
        <f>Employee__2[[#This Row],[Experience]]&gt;1</f>
        <v>0</v>
      </c>
      <c r="N3216" s="1" t="str">
        <f>IF(Employee__2[[#This Row],[City]]="Pune","Yes","No")</f>
        <v>No</v>
      </c>
      <c r="O3216" s="1" t="str">
        <f>IF(AND(Employee__2[[#This Row],[Education]]="Bachelors",Employee__2[[#This Row],[City]]="Pune"),"Yes","No")</f>
        <v>No</v>
      </c>
      <c r="P3216" s="1" t="str">
        <f>IF(OR(Employee__2[[#This Row],[Age]]&gt;=30,Employee__2[[#This Row],[Gender]]="Male"),"Mached","Not mached")</f>
        <v>Mached</v>
      </c>
    </row>
    <row r="3217" spans="4:16" x14ac:dyDescent="0.25">
      <c r="D3217" s="6" t="s">
        <v>34</v>
      </c>
      <c r="E3217">
        <v>2015</v>
      </c>
      <c r="F3217" s="6" t="s">
        <v>38</v>
      </c>
      <c r="G3217">
        <v>2</v>
      </c>
      <c r="H3217">
        <v>35</v>
      </c>
      <c r="I3217" s="6" t="s">
        <v>36</v>
      </c>
      <c r="J3217" s="6" t="s">
        <v>37</v>
      </c>
      <c r="K3217">
        <v>3</v>
      </c>
      <c r="M3217" s="1" t="b">
        <f>Employee__2[[#This Row],[Experience]]&gt;1</f>
        <v>1</v>
      </c>
      <c r="N3217" s="1" t="str">
        <f>IF(Employee__2[[#This Row],[City]]="Pune","Yes","No")</f>
        <v>Yes</v>
      </c>
      <c r="O3217" s="1" t="str">
        <f>IF(AND(Employee__2[[#This Row],[Education]]="Bachelors",Employee__2[[#This Row],[City]]="Pune"),"Yes","No")</f>
        <v>Yes</v>
      </c>
      <c r="P3217" s="1" t="str">
        <f>IF(OR(Employee__2[[#This Row],[Age]]&gt;=30,Employee__2[[#This Row],[Gender]]="Male"),"Mached","Not mached")</f>
        <v>Mached</v>
      </c>
    </row>
    <row r="3218" spans="4:16" x14ac:dyDescent="0.25">
      <c r="D3218" s="6" t="s">
        <v>41</v>
      </c>
      <c r="E3218">
        <v>2017</v>
      </c>
      <c r="F3218" s="6" t="s">
        <v>38</v>
      </c>
      <c r="G3218">
        <v>2</v>
      </c>
      <c r="H3218">
        <v>37</v>
      </c>
      <c r="I3218" s="6" t="s">
        <v>39</v>
      </c>
      <c r="J3218" s="6" t="s">
        <v>37</v>
      </c>
      <c r="K3218">
        <v>1</v>
      </c>
      <c r="M3218" s="1" t="b">
        <f>Employee__2[[#This Row],[Experience]]&gt;1</f>
        <v>0</v>
      </c>
      <c r="N3218" s="1" t="str">
        <f>IF(Employee__2[[#This Row],[City]]="Pune","Yes","No")</f>
        <v>Yes</v>
      </c>
      <c r="O3218" s="1" t="str">
        <f>IF(AND(Employee__2[[#This Row],[Education]]="Bachelors",Employee__2[[#This Row],[City]]="Pune"),"Yes","No")</f>
        <v>No</v>
      </c>
      <c r="P3218" s="1" t="str">
        <f>IF(OR(Employee__2[[#This Row],[Age]]&gt;=30,Employee__2[[#This Row],[Gender]]="Male"),"Mached","Not mached")</f>
        <v>Mached</v>
      </c>
    </row>
    <row r="3219" spans="4:16" x14ac:dyDescent="0.25">
      <c r="D3219" s="6" t="s">
        <v>41</v>
      </c>
      <c r="E3219">
        <v>2017</v>
      </c>
      <c r="F3219" s="6" t="s">
        <v>38</v>
      </c>
      <c r="G3219">
        <v>2</v>
      </c>
      <c r="H3219">
        <v>39</v>
      </c>
      <c r="I3219" s="6" t="s">
        <v>36</v>
      </c>
      <c r="J3219" s="6" t="s">
        <v>37</v>
      </c>
      <c r="K3219">
        <v>4</v>
      </c>
      <c r="M3219" s="1" t="b">
        <f>Employee__2[[#This Row],[Experience]]&gt;1</f>
        <v>1</v>
      </c>
      <c r="N3219" s="1" t="str">
        <f>IF(Employee__2[[#This Row],[City]]="Pune","Yes","No")</f>
        <v>Yes</v>
      </c>
      <c r="O3219" s="1" t="str">
        <f>IF(AND(Employee__2[[#This Row],[Education]]="Bachelors",Employee__2[[#This Row],[City]]="Pune"),"Yes","No")</f>
        <v>No</v>
      </c>
      <c r="P3219" s="1" t="str">
        <f>IF(OR(Employee__2[[#This Row],[Age]]&gt;=30,Employee__2[[#This Row],[Gender]]="Male"),"Mached","Not mached")</f>
        <v>Mached</v>
      </c>
    </row>
    <row r="3220" spans="4:16" x14ac:dyDescent="0.25">
      <c r="D3220" s="6" t="s">
        <v>41</v>
      </c>
      <c r="E3220">
        <v>2014</v>
      </c>
      <c r="F3220" s="6" t="s">
        <v>38</v>
      </c>
      <c r="G3220">
        <v>3</v>
      </c>
      <c r="H3220">
        <v>40</v>
      </c>
      <c r="I3220" s="6" t="s">
        <v>36</v>
      </c>
      <c r="J3220" s="6" t="s">
        <v>37</v>
      </c>
      <c r="K3220">
        <v>4</v>
      </c>
      <c r="M3220" s="1" t="b">
        <f>Employee__2[[#This Row],[Experience]]&gt;1</f>
        <v>1</v>
      </c>
      <c r="N3220" s="1" t="str">
        <f>IF(Employee__2[[#This Row],[City]]="Pune","Yes","No")</f>
        <v>Yes</v>
      </c>
      <c r="O3220" s="1" t="str">
        <f>IF(AND(Employee__2[[#This Row],[Education]]="Bachelors",Employee__2[[#This Row],[City]]="Pune"),"Yes","No")</f>
        <v>No</v>
      </c>
      <c r="P3220" s="1" t="str">
        <f>IF(OR(Employee__2[[#This Row],[Age]]&gt;=30,Employee__2[[#This Row],[Gender]]="Male"),"Mached","Not mached")</f>
        <v>Mached</v>
      </c>
    </row>
    <row r="3221" spans="4:16" x14ac:dyDescent="0.25">
      <c r="D3221" s="6" t="s">
        <v>34</v>
      </c>
      <c r="E3221">
        <v>2012</v>
      </c>
      <c r="F3221" s="6" t="s">
        <v>38</v>
      </c>
      <c r="G3221">
        <v>2</v>
      </c>
      <c r="H3221">
        <v>41</v>
      </c>
      <c r="I3221" s="6" t="s">
        <v>39</v>
      </c>
      <c r="J3221" s="6" t="s">
        <v>37</v>
      </c>
      <c r="K3221">
        <v>1</v>
      </c>
      <c r="M3221" s="1" t="b">
        <f>Employee__2[[#This Row],[Experience]]&gt;1</f>
        <v>0</v>
      </c>
      <c r="N3221" s="1" t="str">
        <f>IF(Employee__2[[#This Row],[City]]="Pune","Yes","No")</f>
        <v>Yes</v>
      </c>
      <c r="O3221" s="1" t="str">
        <f>IF(AND(Employee__2[[#This Row],[Education]]="Bachelors",Employee__2[[#This Row],[City]]="Pune"),"Yes","No")</f>
        <v>Yes</v>
      </c>
      <c r="P3221" s="1" t="str">
        <f>IF(OR(Employee__2[[#This Row],[Age]]&gt;=30,Employee__2[[#This Row],[Gender]]="Male"),"Mached","Not mached")</f>
        <v>Mached</v>
      </c>
    </row>
    <row r="3222" spans="4:16" x14ac:dyDescent="0.25">
      <c r="D3222" s="6" t="s">
        <v>34</v>
      </c>
      <c r="E3222">
        <v>2018</v>
      </c>
      <c r="F3222" s="6" t="s">
        <v>38</v>
      </c>
      <c r="G3222">
        <v>3</v>
      </c>
      <c r="H3222">
        <v>41</v>
      </c>
      <c r="I3222" s="6" t="s">
        <v>36</v>
      </c>
      <c r="J3222" s="6" t="s">
        <v>42</v>
      </c>
      <c r="K3222">
        <v>0</v>
      </c>
      <c r="M3222" s="1" t="b">
        <f>Employee__2[[#This Row],[Experience]]&gt;1</f>
        <v>0</v>
      </c>
      <c r="N3222" s="1" t="str">
        <f>IF(Employee__2[[#This Row],[City]]="Pune","Yes","No")</f>
        <v>Yes</v>
      </c>
      <c r="O3222" s="1" t="str">
        <f>IF(AND(Employee__2[[#This Row],[Education]]="Bachelors",Employee__2[[#This Row],[City]]="Pune"),"Yes","No")</f>
        <v>Yes</v>
      </c>
      <c r="P3222" s="1" t="str">
        <f>IF(OR(Employee__2[[#This Row],[Age]]&gt;=30,Employee__2[[#This Row],[Gender]]="Male"),"Mached","Not mached")</f>
        <v>Mached</v>
      </c>
    </row>
    <row r="3223" spans="4:16" x14ac:dyDescent="0.25">
      <c r="D3223" s="6" t="s">
        <v>41</v>
      </c>
      <c r="E3223">
        <v>2017</v>
      </c>
      <c r="F3223" s="6" t="s">
        <v>38</v>
      </c>
      <c r="G3223">
        <v>2</v>
      </c>
      <c r="H3223">
        <v>39</v>
      </c>
      <c r="I3223" s="6" t="s">
        <v>39</v>
      </c>
      <c r="J3223" s="6" t="s">
        <v>37</v>
      </c>
      <c r="K3223">
        <v>2</v>
      </c>
      <c r="M3223" s="1" t="b">
        <f>Employee__2[[#This Row],[Experience]]&gt;1</f>
        <v>1</v>
      </c>
      <c r="N3223" s="1" t="str">
        <f>IF(Employee__2[[#This Row],[City]]="Pune","Yes","No")</f>
        <v>Yes</v>
      </c>
      <c r="O3223" s="1" t="str">
        <f>IF(AND(Employee__2[[#This Row],[Education]]="Bachelors",Employee__2[[#This Row],[City]]="Pune"),"Yes","No")</f>
        <v>No</v>
      </c>
      <c r="P3223" s="1" t="str">
        <f>IF(OR(Employee__2[[#This Row],[Age]]&gt;=30,Employee__2[[#This Row],[Gender]]="Male"),"Mached","Not mached")</f>
        <v>Mached</v>
      </c>
    </row>
    <row r="3224" spans="4:16" x14ac:dyDescent="0.25">
      <c r="D3224" s="6" t="s">
        <v>34</v>
      </c>
      <c r="E3224">
        <v>2012</v>
      </c>
      <c r="F3224" s="6" t="s">
        <v>35</v>
      </c>
      <c r="G3224">
        <v>3</v>
      </c>
      <c r="H3224">
        <v>38</v>
      </c>
      <c r="I3224" s="6" t="s">
        <v>39</v>
      </c>
      <c r="J3224" s="6" t="s">
        <v>37</v>
      </c>
      <c r="K3224">
        <v>5</v>
      </c>
      <c r="M3224" s="1" t="b">
        <f>Employee__2[[#This Row],[Experience]]&gt;1</f>
        <v>1</v>
      </c>
      <c r="N3224" s="1" t="str">
        <f>IF(Employee__2[[#This Row],[City]]="Pune","Yes","No")</f>
        <v>No</v>
      </c>
      <c r="O3224" s="1" t="str">
        <f>IF(AND(Employee__2[[#This Row],[Education]]="Bachelors",Employee__2[[#This Row],[City]]="Pune"),"Yes","No")</f>
        <v>No</v>
      </c>
      <c r="P3224" s="1" t="str">
        <f>IF(OR(Employee__2[[#This Row],[Age]]&gt;=30,Employee__2[[#This Row],[Gender]]="Male"),"Mached","Not mached")</f>
        <v>Mached</v>
      </c>
    </row>
    <row r="3225" spans="4:16" x14ac:dyDescent="0.25">
      <c r="D3225" s="6" t="s">
        <v>34</v>
      </c>
      <c r="E3225">
        <v>2013</v>
      </c>
      <c r="F3225" s="6" t="s">
        <v>35</v>
      </c>
      <c r="G3225">
        <v>3</v>
      </c>
      <c r="H3225">
        <v>33</v>
      </c>
      <c r="I3225" s="6" t="s">
        <v>36</v>
      </c>
      <c r="J3225" s="6" t="s">
        <v>37</v>
      </c>
      <c r="K3225">
        <v>3</v>
      </c>
      <c r="M3225" s="1" t="b">
        <f>Employee__2[[#This Row],[Experience]]&gt;1</f>
        <v>1</v>
      </c>
      <c r="N3225" s="1" t="str">
        <f>IF(Employee__2[[#This Row],[City]]="Pune","Yes","No")</f>
        <v>No</v>
      </c>
      <c r="O3225" s="1" t="str">
        <f>IF(AND(Employee__2[[#This Row],[Education]]="Bachelors",Employee__2[[#This Row],[City]]="Pune"),"Yes","No")</f>
        <v>No</v>
      </c>
      <c r="P3225" s="1" t="str">
        <f>IF(OR(Employee__2[[#This Row],[Age]]&gt;=30,Employee__2[[#This Row],[Gender]]="Male"),"Mached","Not mached")</f>
        <v>Mached</v>
      </c>
    </row>
    <row r="3226" spans="4:16" x14ac:dyDescent="0.25">
      <c r="D3226" s="6" t="s">
        <v>34</v>
      </c>
      <c r="E3226">
        <v>2014</v>
      </c>
      <c r="F3226" s="6" t="s">
        <v>35</v>
      </c>
      <c r="G3226">
        <v>3</v>
      </c>
      <c r="H3226">
        <v>36</v>
      </c>
      <c r="I3226" s="6" t="s">
        <v>39</v>
      </c>
      <c r="J3226" s="6" t="s">
        <v>37</v>
      </c>
      <c r="K3226">
        <v>3</v>
      </c>
      <c r="M3226" s="1" t="b">
        <f>Employee__2[[#This Row],[Experience]]&gt;1</f>
        <v>1</v>
      </c>
      <c r="N3226" s="1" t="str">
        <f>IF(Employee__2[[#This Row],[City]]="Pune","Yes","No")</f>
        <v>No</v>
      </c>
      <c r="O3226" s="1" t="str">
        <f>IF(AND(Employee__2[[#This Row],[Education]]="Bachelors",Employee__2[[#This Row],[City]]="Pune"),"Yes","No")</f>
        <v>No</v>
      </c>
      <c r="P3226" s="1" t="str">
        <f>IF(OR(Employee__2[[#This Row],[Age]]&gt;=30,Employee__2[[#This Row],[Gender]]="Male"),"Mached","Not mached")</f>
        <v>Mached</v>
      </c>
    </row>
    <row r="3227" spans="4:16" x14ac:dyDescent="0.25">
      <c r="D3227" s="6" t="s">
        <v>34</v>
      </c>
      <c r="E3227">
        <v>2017</v>
      </c>
      <c r="F3227" s="6" t="s">
        <v>35</v>
      </c>
      <c r="G3227">
        <v>3</v>
      </c>
      <c r="H3227">
        <v>41</v>
      </c>
      <c r="I3227" s="6" t="s">
        <v>36</v>
      </c>
      <c r="J3227" s="6" t="s">
        <v>37</v>
      </c>
      <c r="K3227">
        <v>5</v>
      </c>
      <c r="M3227" s="1" t="b">
        <f>Employee__2[[#This Row],[Experience]]&gt;1</f>
        <v>1</v>
      </c>
      <c r="N3227" s="1" t="str">
        <f>IF(Employee__2[[#This Row],[City]]="Pune","Yes","No")</f>
        <v>No</v>
      </c>
      <c r="O3227" s="1" t="str">
        <f>IF(AND(Employee__2[[#This Row],[Education]]="Bachelors",Employee__2[[#This Row],[City]]="Pune"),"Yes","No")</f>
        <v>No</v>
      </c>
      <c r="P3227" s="1" t="str">
        <f>IF(OR(Employee__2[[#This Row],[Age]]&gt;=30,Employee__2[[#This Row],[Gender]]="Male"),"Mached","Not mached")</f>
        <v>Mached</v>
      </c>
    </row>
    <row r="3228" spans="4:16" x14ac:dyDescent="0.25">
      <c r="D3228" s="6" t="s">
        <v>43</v>
      </c>
      <c r="E3228">
        <v>2012</v>
      </c>
      <c r="F3228" s="6" t="s">
        <v>40</v>
      </c>
      <c r="G3228">
        <v>3</v>
      </c>
      <c r="H3228">
        <v>40</v>
      </c>
      <c r="I3228" s="6" t="s">
        <v>39</v>
      </c>
      <c r="J3228" s="6" t="s">
        <v>37</v>
      </c>
      <c r="K3228">
        <v>5</v>
      </c>
      <c r="M3228" s="1" t="b">
        <f>Employee__2[[#This Row],[Experience]]&gt;1</f>
        <v>1</v>
      </c>
      <c r="N3228" s="1" t="str">
        <f>IF(Employee__2[[#This Row],[City]]="Pune","Yes","No")</f>
        <v>No</v>
      </c>
      <c r="O3228" s="1" t="str">
        <f>IF(AND(Employee__2[[#This Row],[Education]]="Bachelors",Employee__2[[#This Row],[City]]="Pune"),"Yes","No")</f>
        <v>No</v>
      </c>
      <c r="P3228" s="1" t="str">
        <f>IF(OR(Employee__2[[#This Row],[Age]]&gt;=30,Employee__2[[#This Row],[Gender]]="Male"),"Mached","Not mached")</f>
        <v>Mached</v>
      </c>
    </row>
    <row r="3229" spans="4:16" x14ac:dyDescent="0.25">
      <c r="D3229" s="6" t="s">
        <v>34</v>
      </c>
      <c r="E3229">
        <v>2013</v>
      </c>
      <c r="F3229" s="6" t="s">
        <v>35</v>
      </c>
      <c r="G3229">
        <v>3</v>
      </c>
      <c r="H3229">
        <v>31</v>
      </c>
      <c r="I3229" s="6" t="s">
        <v>39</v>
      </c>
      <c r="J3229" s="6" t="s">
        <v>37</v>
      </c>
      <c r="K3229">
        <v>4</v>
      </c>
      <c r="M3229" s="1" t="b">
        <f>Employee__2[[#This Row],[Experience]]&gt;1</f>
        <v>1</v>
      </c>
      <c r="N3229" s="1" t="str">
        <f>IF(Employee__2[[#This Row],[City]]="Pune","Yes","No")</f>
        <v>No</v>
      </c>
      <c r="O3229" s="1" t="str">
        <f>IF(AND(Employee__2[[#This Row],[Education]]="Bachelors",Employee__2[[#This Row],[City]]="Pune"),"Yes","No")</f>
        <v>No</v>
      </c>
      <c r="P3229" s="1" t="str">
        <f>IF(OR(Employee__2[[#This Row],[Age]]&gt;=30,Employee__2[[#This Row],[Gender]]="Male"),"Mached","Not mached")</f>
        <v>Mached</v>
      </c>
    </row>
    <row r="3230" spans="4:16" x14ac:dyDescent="0.25">
      <c r="D3230" s="6" t="s">
        <v>34</v>
      </c>
      <c r="E3230">
        <v>2012</v>
      </c>
      <c r="F3230" s="6" t="s">
        <v>35</v>
      </c>
      <c r="G3230">
        <v>3</v>
      </c>
      <c r="H3230">
        <v>33</v>
      </c>
      <c r="I3230" s="6" t="s">
        <v>39</v>
      </c>
      <c r="J3230" s="6" t="s">
        <v>37</v>
      </c>
      <c r="K3230">
        <v>1</v>
      </c>
      <c r="M3230" s="1" t="b">
        <f>Employee__2[[#This Row],[Experience]]&gt;1</f>
        <v>0</v>
      </c>
      <c r="N3230" s="1" t="str">
        <f>IF(Employee__2[[#This Row],[City]]="Pune","Yes","No")</f>
        <v>No</v>
      </c>
      <c r="O3230" s="1" t="str">
        <f>IF(AND(Employee__2[[#This Row],[Education]]="Bachelors",Employee__2[[#This Row],[City]]="Pune"),"Yes","No")</f>
        <v>No</v>
      </c>
      <c r="P3230" s="1" t="str">
        <f>IF(OR(Employee__2[[#This Row],[Age]]&gt;=30,Employee__2[[#This Row],[Gender]]="Male"),"Mached","Not mached")</f>
        <v>Mached</v>
      </c>
    </row>
    <row r="3231" spans="4:16" x14ac:dyDescent="0.25">
      <c r="D3231" s="6" t="s">
        <v>34</v>
      </c>
      <c r="E3231">
        <v>2015</v>
      </c>
      <c r="F3231" s="6" t="s">
        <v>35</v>
      </c>
      <c r="G3231">
        <v>3</v>
      </c>
      <c r="H3231">
        <v>39</v>
      </c>
      <c r="I3231" s="6" t="s">
        <v>36</v>
      </c>
      <c r="J3231" s="6" t="s">
        <v>42</v>
      </c>
      <c r="K3231">
        <v>2</v>
      </c>
      <c r="M3231" s="1" t="b">
        <f>Employee__2[[#This Row],[Experience]]&gt;1</f>
        <v>1</v>
      </c>
      <c r="N3231" s="1" t="str">
        <f>IF(Employee__2[[#This Row],[City]]="Pune","Yes","No")</f>
        <v>No</v>
      </c>
      <c r="O3231" s="1" t="str">
        <f>IF(AND(Employee__2[[#This Row],[Education]]="Bachelors",Employee__2[[#This Row],[City]]="Pune"),"Yes","No")</f>
        <v>No</v>
      </c>
      <c r="P3231" s="1" t="str">
        <f>IF(OR(Employee__2[[#This Row],[Age]]&gt;=30,Employee__2[[#This Row],[Gender]]="Male"),"Mached","Not mached")</f>
        <v>Mached</v>
      </c>
    </row>
    <row r="3232" spans="4:16" x14ac:dyDescent="0.25">
      <c r="D3232" s="6" t="s">
        <v>41</v>
      </c>
      <c r="E3232">
        <v>2014</v>
      </c>
      <c r="F3232" s="6" t="s">
        <v>38</v>
      </c>
      <c r="G3232">
        <v>2</v>
      </c>
      <c r="H3232">
        <v>33</v>
      </c>
      <c r="I3232" s="6" t="s">
        <v>39</v>
      </c>
      <c r="J3232" s="6" t="s">
        <v>37</v>
      </c>
      <c r="K3232">
        <v>5</v>
      </c>
      <c r="M3232" s="1" t="b">
        <f>Employee__2[[#This Row],[Experience]]&gt;1</f>
        <v>1</v>
      </c>
      <c r="N3232" s="1" t="str">
        <f>IF(Employee__2[[#This Row],[City]]="Pune","Yes","No")</f>
        <v>Yes</v>
      </c>
      <c r="O3232" s="1" t="str">
        <f>IF(AND(Employee__2[[#This Row],[Education]]="Bachelors",Employee__2[[#This Row],[City]]="Pune"),"Yes","No")</f>
        <v>No</v>
      </c>
      <c r="P3232" s="1" t="str">
        <f>IF(OR(Employee__2[[#This Row],[Age]]&gt;=30,Employee__2[[#This Row],[Gender]]="Male"),"Mached","Not mached")</f>
        <v>Mached</v>
      </c>
    </row>
    <row r="3233" spans="4:16" x14ac:dyDescent="0.25">
      <c r="D3233" s="6" t="s">
        <v>34</v>
      </c>
      <c r="E3233">
        <v>2015</v>
      </c>
      <c r="F3233" s="6" t="s">
        <v>35</v>
      </c>
      <c r="G3233">
        <v>3</v>
      </c>
      <c r="H3233">
        <v>35</v>
      </c>
      <c r="I3233" s="6" t="s">
        <v>36</v>
      </c>
      <c r="J3233" s="6" t="s">
        <v>37</v>
      </c>
      <c r="K3233">
        <v>0</v>
      </c>
      <c r="M3233" s="1" t="b">
        <f>Employee__2[[#This Row],[Experience]]&gt;1</f>
        <v>0</v>
      </c>
      <c r="N3233" s="1" t="str">
        <f>IF(Employee__2[[#This Row],[City]]="Pune","Yes","No")</f>
        <v>No</v>
      </c>
      <c r="O3233" s="1" t="str">
        <f>IF(AND(Employee__2[[#This Row],[Education]]="Bachelors",Employee__2[[#This Row],[City]]="Pune"),"Yes","No")</f>
        <v>No</v>
      </c>
      <c r="P3233" s="1" t="str">
        <f>IF(OR(Employee__2[[#This Row],[Age]]&gt;=30,Employee__2[[#This Row],[Gender]]="Male"),"Mached","Not mached")</f>
        <v>Mached</v>
      </c>
    </row>
    <row r="3234" spans="4:16" x14ac:dyDescent="0.25">
      <c r="D3234" s="6" t="s">
        <v>41</v>
      </c>
      <c r="E3234">
        <v>2012</v>
      </c>
      <c r="F3234" s="6" t="s">
        <v>40</v>
      </c>
      <c r="G3234">
        <v>3</v>
      </c>
      <c r="H3234">
        <v>38</v>
      </c>
      <c r="I3234" s="6" t="s">
        <v>36</v>
      </c>
      <c r="J3234" s="6" t="s">
        <v>37</v>
      </c>
      <c r="K3234">
        <v>2</v>
      </c>
      <c r="M3234" s="1" t="b">
        <f>Employee__2[[#This Row],[Experience]]&gt;1</f>
        <v>1</v>
      </c>
      <c r="N3234" s="1" t="str">
        <f>IF(Employee__2[[#This Row],[City]]="Pune","Yes","No")</f>
        <v>No</v>
      </c>
      <c r="O3234" s="1" t="str">
        <f>IF(AND(Employee__2[[#This Row],[Education]]="Bachelors",Employee__2[[#This Row],[City]]="Pune"),"Yes","No")</f>
        <v>No</v>
      </c>
      <c r="P3234" s="1" t="str">
        <f>IF(OR(Employee__2[[#This Row],[Age]]&gt;=30,Employee__2[[#This Row],[Gender]]="Male"),"Mached","Not mached")</f>
        <v>Mached</v>
      </c>
    </row>
    <row r="3235" spans="4:16" x14ac:dyDescent="0.25">
      <c r="D3235" s="6" t="s">
        <v>34</v>
      </c>
      <c r="E3235">
        <v>2016</v>
      </c>
      <c r="F3235" s="6" t="s">
        <v>35</v>
      </c>
      <c r="G3235">
        <v>3</v>
      </c>
      <c r="H3235">
        <v>36</v>
      </c>
      <c r="I3235" s="6" t="s">
        <v>39</v>
      </c>
      <c r="J3235" s="6" t="s">
        <v>37</v>
      </c>
      <c r="K3235">
        <v>0</v>
      </c>
      <c r="M3235" s="1" t="b">
        <f>Employee__2[[#This Row],[Experience]]&gt;1</f>
        <v>0</v>
      </c>
      <c r="N3235" s="1" t="str">
        <f>IF(Employee__2[[#This Row],[City]]="Pune","Yes","No")</f>
        <v>No</v>
      </c>
      <c r="O3235" s="1" t="str">
        <f>IF(AND(Employee__2[[#This Row],[Education]]="Bachelors",Employee__2[[#This Row],[City]]="Pune"),"Yes","No")</f>
        <v>No</v>
      </c>
      <c r="P3235" s="1" t="str">
        <f>IF(OR(Employee__2[[#This Row],[Age]]&gt;=30,Employee__2[[#This Row],[Gender]]="Male"),"Mached","Not mached")</f>
        <v>Mached</v>
      </c>
    </row>
    <row r="3236" spans="4:16" x14ac:dyDescent="0.25">
      <c r="D3236" s="6" t="s">
        <v>34</v>
      </c>
      <c r="E3236">
        <v>2014</v>
      </c>
      <c r="F3236" s="6" t="s">
        <v>38</v>
      </c>
      <c r="G3236">
        <v>2</v>
      </c>
      <c r="H3236">
        <v>36</v>
      </c>
      <c r="I3236" s="6" t="s">
        <v>39</v>
      </c>
      <c r="J3236" s="6" t="s">
        <v>37</v>
      </c>
      <c r="K3236">
        <v>2</v>
      </c>
      <c r="M3236" s="1" t="b">
        <f>Employee__2[[#This Row],[Experience]]&gt;1</f>
        <v>1</v>
      </c>
      <c r="N3236" s="1" t="str">
        <f>IF(Employee__2[[#This Row],[City]]="Pune","Yes","No")</f>
        <v>Yes</v>
      </c>
      <c r="O3236" s="1" t="str">
        <f>IF(AND(Employee__2[[#This Row],[Education]]="Bachelors",Employee__2[[#This Row],[City]]="Pune"),"Yes","No")</f>
        <v>Yes</v>
      </c>
      <c r="P3236" s="1" t="str">
        <f>IF(OR(Employee__2[[#This Row],[Age]]&gt;=30,Employee__2[[#This Row],[Gender]]="Male"),"Mached","Not mached")</f>
        <v>Mached</v>
      </c>
    </row>
    <row r="3237" spans="4:16" x14ac:dyDescent="0.25">
      <c r="D3237" s="6" t="s">
        <v>34</v>
      </c>
      <c r="E3237">
        <v>2015</v>
      </c>
      <c r="F3237" s="6" t="s">
        <v>35</v>
      </c>
      <c r="G3237">
        <v>1</v>
      </c>
      <c r="H3237">
        <v>35</v>
      </c>
      <c r="I3237" s="6" t="s">
        <v>36</v>
      </c>
      <c r="J3237" s="6" t="s">
        <v>37</v>
      </c>
      <c r="K3237">
        <v>5</v>
      </c>
      <c r="M3237" s="1" t="b">
        <f>Employee__2[[#This Row],[Experience]]&gt;1</f>
        <v>1</v>
      </c>
      <c r="N3237" s="1" t="str">
        <f>IF(Employee__2[[#This Row],[City]]="Pune","Yes","No")</f>
        <v>No</v>
      </c>
      <c r="O3237" s="1" t="str">
        <f>IF(AND(Employee__2[[#This Row],[Education]]="Bachelors",Employee__2[[#This Row],[City]]="Pune"),"Yes","No")</f>
        <v>No</v>
      </c>
      <c r="P3237" s="1" t="str">
        <f>IF(OR(Employee__2[[#This Row],[Age]]&gt;=30,Employee__2[[#This Row],[Gender]]="Male"),"Mached","Not mached")</f>
        <v>Mached</v>
      </c>
    </row>
    <row r="3238" spans="4:16" x14ac:dyDescent="0.25">
      <c r="D3238" s="6" t="s">
        <v>34</v>
      </c>
      <c r="E3238">
        <v>2017</v>
      </c>
      <c r="F3238" s="6" t="s">
        <v>38</v>
      </c>
      <c r="G3238">
        <v>2</v>
      </c>
      <c r="H3238">
        <v>34</v>
      </c>
      <c r="I3238" s="6" t="s">
        <v>39</v>
      </c>
      <c r="J3238" s="6" t="s">
        <v>37</v>
      </c>
      <c r="K3238">
        <v>5</v>
      </c>
      <c r="M3238" s="1" t="b">
        <f>Employee__2[[#This Row],[Experience]]&gt;1</f>
        <v>1</v>
      </c>
      <c r="N3238" s="1" t="str">
        <f>IF(Employee__2[[#This Row],[City]]="Pune","Yes","No")</f>
        <v>Yes</v>
      </c>
      <c r="O3238" s="1" t="str">
        <f>IF(AND(Employee__2[[#This Row],[Education]]="Bachelors",Employee__2[[#This Row],[City]]="Pune"),"Yes","No")</f>
        <v>Yes</v>
      </c>
      <c r="P3238" s="1" t="str">
        <f>IF(OR(Employee__2[[#This Row],[Age]]&gt;=30,Employee__2[[#This Row],[Gender]]="Male"),"Mached","Not mached")</f>
        <v>Mached</v>
      </c>
    </row>
    <row r="3239" spans="4:16" x14ac:dyDescent="0.25">
      <c r="D3239" s="6" t="s">
        <v>34</v>
      </c>
      <c r="E3239">
        <v>2015</v>
      </c>
      <c r="F3239" s="6" t="s">
        <v>38</v>
      </c>
      <c r="G3239">
        <v>2</v>
      </c>
      <c r="H3239">
        <v>41</v>
      </c>
      <c r="I3239" s="6" t="s">
        <v>39</v>
      </c>
      <c r="J3239" s="6" t="s">
        <v>37</v>
      </c>
      <c r="K3239">
        <v>3</v>
      </c>
      <c r="M3239" s="1" t="b">
        <f>Employee__2[[#This Row],[Experience]]&gt;1</f>
        <v>1</v>
      </c>
      <c r="N3239" s="1" t="str">
        <f>IF(Employee__2[[#This Row],[City]]="Pune","Yes","No")</f>
        <v>Yes</v>
      </c>
      <c r="O3239" s="1" t="str">
        <f>IF(AND(Employee__2[[#This Row],[Education]]="Bachelors",Employee__2[[#This Row],[City]]="Pune"),"Yes","No")</f>
        <v>Yes</v>
      </c>
      <c r="P3239" s="1" t="str">
        <f>IF(OR(Employee__2[[#This Row],[Age]]&gt;=30,Employee__2[[#This Row],[Gender]]="Male"),"Mached","Not mached")</f>
        <v>Mached</v>
      </c>
    </row>
    <row r="3240" spans="4:16" x14ac:dyDescent="0.25">
      <c r="D3240" s="6" t="s">
        <v>34</v>
      </c>
      <c r="E3240">
        <v>2016</v>
      </c>
      <c r="F3240" s="6" t="s">
        <v>38</v>
      </c>
      <c r="G3240">
        <v>3</v>
      </c>
      <c r="H3240">
        <v>32</v>
      </c>
      <c r="I3240" s="6" t="s">
        <v>39</v>
      </c>
      <c r="J3240" s="6" t="s">
        <v>37</v>
      </c>
      <c r="K3240">
        <v>3</v>
      </c>
      <c r="M3240" s="1" t="b">
        <f>Employee__2[[#This Row],[Experience]]&gt;1</f>
        <v>1</v>
      </c>
      <c r="N3240" s="1" t="str">
        <f>IF(Employee__2[[#This Row],[City]]="Pune","Yes","No")</f>
        <v>Yes</v>
      </c>
      <c r="O3240" s="1" t="str">
        <f>IF(AND(Employee__2[[#This Row],[Education]]="Bachelors",Employee__2[[#This Row],[City]]="Pune"),"Yes","No")</f>
        <v>Yes</v>
      </c>
      <c r="P3240" s="1" t="str">
        <f>IF(OR(Employee__2[[#This Row],[Age]]&gt;=30,Employee__2[[#This Row],[Gender]]="Male"),"Mached","Not mached")</f>
        <v>Mached</v>
      </c>
    </row>
    <row r="3241" spans="4:16" x14ac:dyDescent="0.25">
      <c r="D3241" s="6" t="s">
        <v>34</v>
      </c>
      <c r="E3241">
        <v>2017</v>
      </c>
      <c r="F3241" s="6" t="s">
        <v>38</v>
      </c>
      <c r="G3241">
        <v>2</v>
      </c>
      <c r="H3241">
        <v>41</v>
      </c>
      <c r="I3241" s="6" t="s">
        <v>39</v>
      </c>
      <c r="J3241" s="6" t="s">
        <v>37</v>
      </c>
      <c r="K3241">
        <v>2</v>
      </c>
      <c r="M3241" s="1" t="b">
        <f>Employee__2[[#This Row],[Experience]]&gt;1</f>
        <v>1</v>
      </c>
      <c r="N3241" s="1" t="str">
        <f>IF(Employee__2[[#This Row],[City]]="Pune","Yes","No")</f>
        <v>Yes</v>
      </c>
      <c r="O3241" s="1" t="str">
        <f>IF(AND(Employee__2[[#This Row],[Education]]="Bachelors",Employee__2[[#This Row],[City]]="Pune"),"Yes","No")</f>
        <v>Yes</v>
      </c>
      <c r="P3241" s="1" t="str">
        <f>IF(OR(Employee__2[[#This Row],[Age]]&gt;=30,Employee__2[[#This Row],[Gender]]="Male"),"Mached","Not mached")</f>
        <v>Mached</v>
      </c>
    </row>
    <row r="3242" spans="4:16" x14ac:dyDescent="0.25">
      <c r="D3242" s="6" t="s">
        <v>34</v>
      </c>
      <c r="E3242">
        <v>2016</v>
      </c>
      <c r="F3242" s="6" t="s">
        <v>35</v>
      </c>
      <c r="G3242">
        <v>3</v>
      </c>
      <c r="H3242">
        <v>36</v>
      </c>
      <c r="I3242" s="6" t="s">
        <v>36</v>
      </c>
      <c r="J3242" s="6" t="s">
        <v>37</v>
      </c>
      <c r="K3242">
        <v>0</v>
      </c>
      <c r="M3242" s="1" t="b">
        <f>Employee__2[[#This Row],[Experience]]&gt;1</f>
        <v>0</v>
      </c>
      <c r="N3242" s="1" t="str">
        <f>IF(Employee__2[[#This Row],[City]]="Pune","Yes","No")</f>
        <v>No</v>
      </c>
      <c r="O3242" s="1" t="str">
        <f>IF(AND(Employee__2[[#This Row],[Education]]="Bachelors",Employee__2[[#This Row],[City]]="Pune"),"Yes","No")</f>
        <v>No</v>
      </c>
      <c r="P3242" s="1" t="str">
        <f>IF(OR(Employee__2[[#This Row],[Age]]&gt;=30,Employee__2[[#This Row],[Gender]]="Male"),"Mached","Not mached")</f>
        <v>Mached</v>
      </c>
    </row>
    <row r="3243" spans="4:16" x14ac:dyDescent="0.25">
      <c r="D3243" s="6" t="s">
        <v>34</v>
      </c>
      <c r="E3243">
        <v>2017</v>
      </c>
      <c r="F3243" s="6" t="s">
        <v>38</v>
      </c>
      <c r="G3243">
        <v>2</v>
      </c>
      <c r="H3243">
        <v>39</v>
      </c>
      <c r="I3243" s="6" t="s">
        <v>36</v>
      </c>
      <c r="J3243" s="6" t="s">
        <v>37</v>
      </c>
      <c r="K3243">
        <v>3</v>
      </c>
      <c r="M3243" s="1" t="b">
        <f>Employee__2[[#This Row],[Experience]]&gt;1</f>
        <v>1</v>
      </c>
      <c r="N3243" s="1" t="str">
        <f>IF(Employee__2[[#This Row],[City]]="Pune","Yes","No")</f>
        <v>Yes</v>
      </c>
      <c r="O3243" s="1" t="str">
        <f>IF(AND(Employee__2[[#This Row],[Education]]="Bachelors",Employee__2[[#This Row],[City]]="Pune"),"Yes","No")</f>
        <v>Yes</v>
      </c>
      <c r="P3243" s="1" t="str">
        <f>IF(OR(Employee__2[[#This Row],[Age]]&gt;=30,Employee__2[[#This Row],[Gender]]="Male"),"Mached","Not mached")</f>
        <v>Mached</v>
      </c>
    </row>
    <row r="3244" spans="4:16" x14ac:dyDescent="0.25">
      <c r="D3244" s="6" t="s">
        <v>34</v>
      </c>
      <c r="E3244">
        <v>2015</v>
      </c>
      <c r="F3244" s="6" t="s">
        <v>35</v>
      </c>
      <c r="G3244">
        <v>3</v>
      </c>
      <c r="H3244">
        <v>38</v>
      </c>
      <c r="I3244" s="6" t="s">
        <v>36</v>
      </c>
      <c r="J3244" s="6" t="s">
        <v>42</v>
      </c>
      <c r="K3244">
        <v>2</v>
      </c>
      <c r="M3244" s="1" t="b">
        <f>Employee__2[[#This Row],[Experience]]&gt;1</f>
        <v>1</v>
      </c>
      <c r="N3244" s="1" t="str">
        <f>IF(Employee__2[[#This Row],[City]]="Pune","Yes","No")</f>
        <v>No</v>
      </c>
      <c r="O3244" s="1" t="str">
        <f>IF(AND(Employee__2[[#This Row],[Education]]="Bachelors",Employee__2[[#This Row],[City]]="Pune"),"Yes","No")</f>
        <v>No</v>
      </c>
      <c r="P3244" s="1" t="str">
        <f>IF(OR(Employee__2[[#This Row],[Age]]&gt;=30,Employee__2[[#This Row],[Gender]]="Male"),"Mached","Not mached")</f>
        <v>Mached</v>
      </c>
    </row>
    <row r="3245" spans="4:16" x14ac:dyDescent="0.25">
      <c r="D3245" s="6" t="s">
        <v>34</v>
      </c>
      <c r="E3245">
        <v>2014</v>
      </c>
      <c r="F3245" s="6" t="s">
        <v>35</v>
      </c>
      <c r="G3245">
        <v>3</v>
      </c>
      <c r="H3245">
        <v>34</v>
      </c>
      <c r="I3245" s="6" t="s">
        <v>36</v>
      </c>
      <c r="J3245" s="6" t="s">
        <v>37</v>
      </c>
      <c r="K3245">
        <v>3</v>
      </c>
      <c r="M3245" s="1" t="b">
        <f>Employee__2[[#This Row],[Experience]]&gt;1</f>
        <v>1</v>
      </c>
      <c r="N3245" s="1" t="str">
        <f>IF(Employee__2[[#This Row],[City]]="Pune","Yes","No")</f>
        <v>No</v>
      </c>
      <c r="O3245" s="1" t="str">
        <f>IF(AND(Employee__2[[#This Row],[Education]]="Bachelors",Employee__2[[#This Row],[City]]="Pune"),"Yes","No")</f>
        <v>No</v>
      </c>
      <c r="P3245" s="1" t="str">
        <f>IF(OR(Employee__2[[#This Row],[Age]]&gt;=30,Employee__2[[#This Row],[Gender]]="Male"),"Mached","Not mached")</f>
        <v>Mached</v>
      </c>
    </row>
    <row r="3246" spans="4:16" x14ac:dyDescent="0.25">
      <c r="D3246" s="6" t="s">
        <v>34</v>
      </c>
      <c r="E3246">
        <v>2012</v>
      </c>
      <c r="F3246" s="6" t="s">
        <v>35</v>
      </c>
      <c r="G3246">
        <v>3</v>
      </c>
      <c r="H3246">
        <v>39</v>
      </c>
      <c r="I3246" s="6" t="s">
        <v>39</v>
      </c>
      <c r="J3246" s="6" t="s">
        <v>37</v>
      </c>
      <c r="K3246">
        <v>5</v>
      </c>
      <c r="M3246" s="1" t="b">
        <f>Employee__2[[#This Row],[Experience]]&gt;1</f>
        <v>1</v>
      </c>
      <c r="N3246" s="1" t="str">
        <f>IF(Employee__2[[#This Row],[City]]="Pune","Yes","No")</f>
        <v>No</v>
      </c>
      <c r="O3246" s="1" t="str">
        <f>IF(AND(Employee__2[[#This Row],[Education]]="Bachelors",Employee__2[[#This Row],[City]]="Pune"),"Yes","No")</f>
        <v>No</v>
      </c>
      <c r="P3246" s="1" t="str">
        <f>IF(OR(Employee__2[[#This Row],[Age]]&gt;=30,Employee__2[[#This Row],[Gender]]="Male"),"Mached","Not mached")</f>
        <v>Mached</v>
      </c>
    </row>
    <row r="3247" spans="4:16" x14ac:dyDescent="0.25">
      <c r="D3247" s="6" t="s">
        <v>34</v>
      </c>
      <c r="E3247">
        <v>2017</v>
      </c>
      <c r="F3247" s="6" t="s">
        <v>38</v>
      </c>
      <c r="G3247">
        <v>3</v>
      </c>
      <c r="H3247">
        <v>36</v>
      </c>
      <c r="I3247" s="6" t="s">
        <v>36</v>
      </c>
      <c r="J3247" s="6" t="s">
        <v>37</v>
      </c>
      <c r="K3247">
        <v>1</v>
      </c>
      <c r="M3247" s="1" t="b">
        <f>Employee__2[[#This Row],[Experience]]&gt;1</f>
        <v>0</v>
      </c>
      <c r="N3247" s="1" t="str">
        <f>IF(Employee__2[[#This Row],[City]]="Pune","Yes","No")</f>
        <v>Yes</v>
      </c>
      <c r="O3247" s="1" t="str">
        <f>IF(AND(Employee__2[[#This Row],[Education]]="Bachelors",Employee__2[[#This Row],[City]]="Pune"),"Yes","No")</f>
        <v>Yes</v>
      </c>
      <c r="P3247" s="1" t="str">
        <f>IF(OR(Employee__2[[#This Row],[Age]]&gt;=30,Employee__2[[#This Row],[Gender]]="Male"),"Mached","Not mached")</f>
        <v>Mached</v>
      </c>
    </row>
    <row r="3248" spans="4:16" x14ac:dyDescent="0.25">
      <c r="D3248" s="6" t="s">
        <v>34</v>
      </c>
      <c r="E3248">
        <v>2014</v>
      </c>
      <c r="F3248" s="6" t="s">
        <v>35</v>
      </c>
      <c r="G3248">
        <v>3</v>
      </c>
      <c r="H3248">
        <v>35</v>
      </c>
      <c r="I3248" s="6" t="s">
        <v>36</v>
      </c>
      <c r="J3248" s="6" t="s">
        <v>37</v>
      </c>
      <c r="K3248">
        <v>1</v>
      </c>
      <c r="M3248" s="1" t="b">
        <f>Employee__2[[#This Row],[Experience]]&gt;1</f>
        <v>0</v>
      </c>
      <c r="N3248" s="1" t="str">
        <f>IF(Employee__2[[#This Row],[City]]="Pune","Yes","No")</f>
        <v>No</v>
      </c>
      <c r="O3248" s="1" t="str">
        <f>IF(AND(Employee__2[[#This Row],[Education]]="Bachelors",Employee__2[[#This Row],[City]]="Pune"),"Yes","No")</f>
        <v>No</v>
      </c>
      <c r="P3248" s="1" t="str">
        <f>IF(OR(Employee__2[[#This Row],[Age]]&gt;=30,Employee__2[[#This Row],[Gender]]="Male"),"Mached","Not mached")</f>
        <v>Mached</v>
      </c>
    </row>
    <row r="3249" spans="4:16" x14ac:dyDescent="0.25">
      <c r="D3249" s="6" t="s">
        <v>41</v>
      </c>
      <c r="E3249">
        <v>2018</v>
      </c>
      <c r="F3249" s="6" t="s">
        <v>35</v>
      </c>
      <c r="G3249">
        <v>3</v>
      </c>
      <c r="H3249">
        <v>31</v>
      </c>
      <c r="I3249" s="6" t="s">
        <v>36</v>
      </c>
      <c r="J3249" s="6" t="s">
        <v>37</v>
      </c>
      <c r="K3249">
        <v>2</v>
      </c>
      <c r="M3249" s="1" t="b">
        <f>Employee__2[[#This Row],[Experience]]&gt;1</f>
        <v>1</v>
      </c>
      <c r="N3249" s="1" t="str">
        <f>IF(Employee__2[[#This Row],[City]]="Pune","Yes","No")</f>
        <v>No</v>
      </c>
      <c r="O3249" s="1" t="str">
        <f>IF(AND(Employee__2[[#This Row],[Education]]="Bachelors",Employee__2[[#This Row],[City]]="Pune"),"Yes","No")</f>
        <v>No</v>
      </c>
      <c r="P3249" s="1" t="str">
        <f>IF(OR(Employee__2[[#This Row],[Age]]&gt;=30,Employee__2[[#This Row],[Gender]]="Male"),"Mached","Not mached")</f>
        <v>Mached</v>
      </c>
    </row>
    <row r="3250" spans="4:16" x14ac:dyDescent="0.25">
      <c r="D3250" s="6" t="s">
        <v>34</v>
      </c>
      <c r="E3250">
        <v>2012</v>
      </c>
      <c r="F3250" s="6" t="s">
        <v>35</v>
      </c>
      <c r="G3250">
        <v>3</v>
      </c>
      <c r="H3250">
        <v>41</v>
      </c>
      <c r="I3250" s="6" t="s">
        <v>39</v>
      </c>
      <c r="J3250" s="6" t="s">
        <v>37</v>
      </c>
      <c r="K3250">
        <v>4</v>
      </c>
      <c r="M3250" s="1" t="b">
        <f>Employee__2[[#This Row],[Experience]]&gt;1</f>
        <v>1</v>
      </c>
      <c r="N3250" s="1" t="str">
        <f>IF(Employee__2[[#This Row],[City]]="Pune","Yes","No")</f>
        <v>No</v>
      </c>
      <c r="O3250" s="1" t="str">
        <f>IF(AND(Employee__2[[#This Row],[Education]]="Bachelors",Employee__2[[#This Row],[City]]="Pune"),"Yes","No")</f>
        <v>No</v>
      </c>
      <c r="P3250" s="1" t="str">
        <f>IF(OR(Employee__2[[#This Row],[Age]]&gt;=30,Employee__2[[#This Row],[Gender]]="Male"),"Mached","Not mached")</f>
        <v>Mached</v>
      </c>
    </row>
    <row r="3251" spans="4:16" x14ac:dyDescent="0.25">
      <c r="D3251" s="6" t="s">
        <v>34</v>
      </c>
      <c r="E3251">
        <v>2017</v>
      </c>
      <c r="F3251" s="6" t="s">
        <v>35</v>
      </c>
      <c r="G3251">
        <v>3</v>
      </c>
      <c r="H3251">
        <v>35</v>
      </c>
      <c r="I3251" s="6" t="s">
        <v>39</v>
      </c>
      <c r="J3251" s="6" t="s">
        <v>37</v>
      </c>
      <c r="K3251">
        <v>4</v>
      </c>
      <c r="M3251" s="1" t="b">
        <f>Employee__2[[#This Row],[Experience]]&gt;1</f>
        <v>1</v>
      </c>
      <c r="N3251" s="1" t="str">
        <f>IF(Employee__2[[#This Row],[City]]="Pune","Yes","No")</f>
        <v>No</v>
      </c>
      <c r="O3251" s="1" t="str">
        <f>IF(AND(Employee__2[[#This Row],[Education]]="Bachelors",Employee__2[[#This Row],[City]]="Pune"),"Yes","No")</f>
        <v>No</v>
      </c>
      <c r="P3251" s="1" t="str">
        <f>IF(OR(Employee__2[[#This Row],[Age]]&gt;=30,Employee__2[[#This Row],[Gender]]="Male"),"Mached","Not mached")</f>
        <v>Mached</v>
      </c>
    </row>
    <row r="3252" spans="4:16" x14ac:dyDescent="0.25">
      <c r="D3252" s="6" t="s">
        <v>34</v>
      </c>
      <c r="E3252">
        <v>2015</v>
      </c>
      <c r="F3252" s="6" t="s">
        <v>35</v>
      </c>
      <c r="G3252">
        <v>1</v>
      </c>
      <c r="H3252">
        <v>40</v>
      </c>
      <c r="I3252" s="6" t="s">
        <v>36</v>
      </c>
      <c r="J3252" s="6" t="s">
        <v>37</v>
      </c>
      <c r="K3252">
        <v>2</v>
      </c>
      <c r="M3252" s="1" t="b">
        <f>Employee__2[[#This Row],[Experience]]&gt;1</f>
        <v>1</v>
      </c>
      <c r="N3252" s="1" t="str">
        <f>IF(Employee__2[[#This Row],[City]]="Pune","Yes","No")</f>
        <v>No</v>
      </c>
      <c r="O3252" s="1" t="str">
        <f>IF(AND(Employee__2[[#This Row],[Education]]="Bachelors",Employee__2[[#This Row],[City]]="Pune"),"Yes","No")</f>
        <v>No</v>
      </c>
      <c r="P3252" s="1" t="str">
        <f>IF(OR(Employee__2[[#This Row],[Age]]&gt;=30,Employee__2[[#This Row],[Gender]]="Male"),"Mached","Not mached")</f>
        <v>Mached</v>
      </c>
    </row>
    <row r="3253" spans="4:16" x14ac:dyDescent="0.25">
      <c r="D3253" s="6" t="s">
        <v>34</v>
      </c>
      <c r="E3253">
        <v>2018</v>
      </c>
      <c r="F3253" s="6" t="s">
        <v>35</v>
      </c>
      <c r="G3253">
        <v>3</v>
      </c>
      <c r="H3253">
        <v>33</v>
      </c>
      <c r="I3253" s="6" t="s">
        <v>39</v>
      </c>
      <c r="J3253" s="6" t="s">
        <v>37</v>
      </c>
      <c r="K3253">
        <v>4</v>
      </c>
      <c r="M3253" s="1" t="b">
        <f>Employee__2[[#This Row],[Experience]]&gt;1</f>
        <v>1</v>
      </c>
      <c r="N3253" s="1" t="str">
        <f>IF(Employee__2[[#This Row],[City]]="Pune","Yes","No")</f>
        <v>No</v>
      </c>
      <c r="O3253" s="1" t="str">
        <f>IF(AND(Employee__2[[#This Row],[Education]]="Bachelors",Employee__2[[#This Row],[City]]="Pune"),"Yes","No")</f>
        <v>No</v>
      </c>
      <c r="P3253" s="1" t="str">
        <f>IF(OR(Employee__2[[#This Row],[Age]]&gt;=30,Employee__2[[#This Row],[Gender]]="Male"),"Mached","Not mached")</f>
        <v>Mached</v>
      </c>
    </row>
    <row r="3254" spans="4:16" x14ac:dyDescent="0.25">
      <c r="D3254" s="6" t="s">
        <v>34</v>
      </c>
      <c r="E3254">
        <v>2016</v>
      </c>
      <c r="F3254" s="6" t="s">
        <v>35</v>
      </c>
      <c r="G3254">
        <v>3</v>
      </c>
      <c r="H3254">
        <v>37</v>
      </c>
      <c r="I3254" s="6" t="s">
        <v>39</v>
      </c>
      <c r="J3254" s="6" t="s">
        <v>37</v>
      </c>
      <c r="K3254">
        <v>0</v>
      </c>
      <c r="M3254" s="1" t="b">
        <f>Employee__2[[#This Row],[Experience]]&gt;1</f>
        <v>0</v>
      </c>
      <c r="N3254" s="1" t="str">
        <f>IF(Employee__2[[#This Row],[City]]="Pune","Yes","No")</f>
        <v>No</v>
      </c>
      <c r="O3254" s="1" t="str">
        <f>IF(AND(Employee__2[[#This Row],[Education]]="Bachelors",Employee__2[[#This Row],[City]]="Pune"),"Yes","No")</f>
        <v>No</v>
      </c>
      <c r="P3254" s="1" t="str">
        <f>IF(OR(Employee__2[[#This Row],[Age]]&gt;=30,Employee__2[[#This Row],[Gender]]="Male"),"Mached","Not mached")</f>
        <v>Mached</v>
      </c>
    </row>
    <row r="3255" spans="4:16" x14ac:dyDescent="0.25">
      <c r="D3255" s="6" t="s">
        <v>43</v>
      </c>
      <c r="E3255">
        <v>2018</v>
      </c>
      <c r="F3255" s="6" t="s">
        <v>35</v>
      </c>
      <c r="G3255">
        <v>3</v>
      </c>
      <c r="H3255">
        <v>36</v>
      </c>
      <c r="I3255" s="6" t="s">
        <v>39</v>
      </c>
      <c r="J3255" s="6" t="s">
        <v>37</v>
      </c>
      <c r="K3255">
        <v>3</v>
      </c>
      <c r="M3255" s="1" t="b">
        <f>Employee__2[[#This Row],[Experience]]&gt;1</f>
        <v>1</v>
      </c>
      <c r="N3255" s="1" t="str">
        <f>IF(Employee__2[[#This Row],[City]]="Pune","Yes","No")</f>
        <v>No</v>
      </c>
      <c r="O3255" s="1" t="str">
        <f>IF(AND(Employee__2[[#This Row],[Education]]="Bachelors",Employee__2[[#This Row],[City]]="Pune"),"Yes","No")</f>
        <v>No</v>
      </c>
      <c r="P3255" s="1" t="str">
        <f>IF(OR(Employee__2[[#This Row],[Age]]&gt;=30,Employee__2[[#This Row],[Gender]]="Male"),"Mached","Not mached")</f>
        <v>Mached</v>
      </c>
    </row>
    <row r="3256" spans="4:16" x14ac:dyDescent="0.25">
      <c r="D3256" s="6" t="s">
        <v>34</v>
      </c>
      <c r="E3256">
        <v>2012</v>
      </c>
      <c r="F3256" s="6" t="s">
        <v>35</v>
      </c>
      <c r="G3256">
        <v>3</v>
      </c>
      <c r="H3256">
        <v>40</v>
      </c>
      <c r="I3256" s="6" t="s">
        <v>36</v>
      </c>
      <c r="J3256" s="6" t="s">
        <v>37</v>
      </c>
      <c r="K3256">
        <v>0</v>
      </c>
      <c r="M3256" s="1" t="b">
        <f>Employee__2[[#This Row],[Experience]]&gt;1</f>
        <v>0</v>
      </c>
      <c r="N3256" s="1" t="str">
        <f>IF(Employee__2[[#This Row],[City]]="Pune","Yes","No")</f>
        <v>No</v>
      </c>
      <c r="O3256" s="1" t="str">
        <f>IF(AND(Employee__2[[#This Row],[Education]]="Bachelors",Employee__2[[#This Row],[City]]="Pune"),"Yes","No")</f>
        <v>No</v>
      </c>
      <c r="P3256" s="1" t="str">
        <f>IF(OR(Employee__2[[#This Row],[Age]]&gt;=30,Employee__2[[#This Row],[Gender]]="Male"),"Mached","Not mached")</f>
        <v>Mached</v>
      </c>
    </row>
    <row r="3257" spans="4:16" x14ac:dyDescent="0.25">
      <c r="D3257" s="6" t="s">
        <v>34</v>
      </c>
      <c r="E3257">
        <v>2017</v>
      </c>
      <c r="F3257" s="6" t="s">
        <v>40</v>
      </c>
      <c r="G3257">
        <v>2</v>
      </c>
      <c r="H3257">
        <v>36</v>
      </c>
      <c r="I3257" s="6" t="s">
        <v>36</v>
      </c>
      <c r="J3257" s="6" t="s">
        <v>37</v>
      </c>
      <c r="K3257">
        <v>0</v>
      </c>
      <c r="M3257" s="1" t="b">
        <f>Employee__2[[#This Row],[Experience]]&gt;1</f>
        <v>0</v>
      </c>
      <c r="N3257" s="1" t="str">
        <f>IF(Employee__2[[#This Row],[City]]="Pune","Yes","No")</f>
        <v>No</v>
      </c>
      <c r="O3257" s="1" t="str">
        <f>IF(AND(Employee__2[[#This Row],[Education]]="Bachelors",Employee__2[[#This Row],[City]]="Pune"),"Yes","No")</f>
        <v>No</v>
      </c>
      <c r="P3257" s="1" t="str">
        <f>IF(OR(Employee__2[[#This Row],[Age]]&gt;=30,Employee__2[[#This Row],[Gender]]="Male"),"Mached","Not mached")</f>
        <v>Mached</v>
      </c>
    </row>
    <row r="3258" spans="4:16" x14ac:dyDescent="0.25">
      <c r="D3258" s="6" t="s">
        <v>41</v>
      </c>
      <c r="E3258">
        <v>2015</v>
      </c>
      <c r="F3258" s="6" t="s">
        <v>40</v>
      </c>
      <c r="G3258">
        <v>3</v>
      </c>
      <c r="H3258">
        <v>38</v>
      </c>
      <c r="I3258" s="6" t="s">
        <v>39</v>
      </c>
      <c r="J3258" s="6" t="s">
        <v>37</v>
      </c>
      <c r="K3258">
        <v>0</v>
      </c>
      <c r="M3258" s="1" t="b">
        <f>Employee__2[[#This Row],[Experience]]&gt;1</f>
        <v>0</v>
      </c>
      <c r="N3258" s="1" t="str">
        <f>IF(Employee__2[[#This Row],[City]]="Pune","Yes","No")</f>
        <v>No</v>
      </c>
      <c r="O3258" s="1" t="str">
        <f>IF(AND(Employee__2[[#This Row],[Education]]="Bachelors",Employee__2[[#This Row],[City]]="Pune"),"Yes","No")</f>
        <v>No</v>
      </c>
      <c r="P3258" s="1" t="str">
        <f>IF(OR(Employee__2[[#This Row],[Age]]&gt;=30,Employee__2[[#This Row],[Gender]]="Male"),"Mached","Not mached")</f>
        <v>Mached</v>
      </c>
    </row>
    <row r="3259" spans="4:16" x14ac:dyDescent="0.25">
      <c r="D3259" s="6" t="s">
        <v>34</v>
      </c>
      <c r="E3259">
        <v>2014</v>
      </c>
      <c r="F3259" s="6" t="s">
        <v>40</v>
      </c>
      <c r="G3259">
        <v>2</v>
      </c>
      <c r="H3259">
        <v>31</v>
      </c>
      <c r="I3259" s="6" t="s">
        <v>39</v>
      </c>
      <c r="J3259" s="6" t="s">
        <v>37</v>
      </c>
      <c r="K3259">
        <v>4</v>
      </c>
      <c r="M3259" s="1" t="b">
        <f>Employee__2[[#This Row],[Experience]]&gt;1</f>
        <v>1</v>
      </c>
      <c r="N3259" s="1" t="str">
        <f>IF(Employee__2[[#This Row],[City]]="Pune","Yes","No")</f>
        <v>No</v>
      </c>
      <c r="O3259" s="1" t="str">
        <f>IF(AND(Employee__2[[#This Row],[Education]]="Bachelors",Employee__2[[#This Row],[City]]="Pune"),"Yes","No")</f>
        <v>No</v>
      </c>
      <c r="P3259" s="1" t="str">
        <f>IF(OR(Employee__2[[#This Row],[Age]]&gt;=30,Employee__2[[#This Row],[Gender]]="Male"),"Mached","Not mached")</f>
        <v>Mached</v>
      </c>
    </row>
    <row r="3260" spans="4:16" x14ac:dyDescent="0.25">
      <c r="D3260" s="6" t="s">
        <v>34</v>
      </c>
      <c r="E3260">
        <v>2016</v>
      </c>
      <c r="F3260" s="6" t="s">
        <v>38</v>
      </c>
      <c r="G3260">
        <v>3</v>
      </c>
      <c r="H3260">
        <v>40</v>
      </c>
      <c r="I3260" s="6" t="s">
        <v>36</v>
      </c>
      <c r="J3260" s="6" t="s">
        <v>37</v>
      </c>
      <c r="K3260">
        <v>4</v>
      </c>
      <c r="M3260" s="1" t="b">
        <f>Employee__2[[#This Row],[Experience]]&gt;1</f>
        <v>1</v>
      </c>
      <c r="N3260" s="1" t="str">
        <f>IF(Employee__2[[#This Row],[City]]="Pune","Yes","No")</f>
        <v>Yes</v>
      </c>
      <c r="O3260" s="1" t="str">
        <f>IF(AND(Employee__2[[#This Row],[Education]]="Bachelors",Employee__2[[#This Row],[City]]="Pune"),"Yes","No")</f>
        <v>Yes</v>
      </c>
      <c r="P3260" s="1" t="str">
        <f>IF(OR(Employee__2[[#This Row],[Age]]&gt;=30,Employee__2[[#This Row],[Gender]]="Male"),"Mached","Not mached")</f>
        <v>Mached</v>
      </c>
    </row>
    <row r="3261" spans="4:16" x14ac:dyDescent="0.25">
      <c r="D3261" s="6" t="s">
        <v>34</v>
      </c>
      <c r="E3261">
        <v>2017</v>
      </c>
      <c r="F3261" s="6" t="s">
        <v>35</v>
      </c>
      <c r="G3261">
        <v>3</v>
      </c>
      <c r="H3261">
        <v>37</v>
      </c>
      <c r="I3261" s="6" t="s">
        <v>39</v>
      </c>
      <c r="J3261" s="6" t="s">
        <v>37</v>
      </c>
      <c r="K3261">
        <v>4</v>
      </c>
      <c r="M3261" s="1" t="b">
        <f>Employee__2[[#This Row],[Experience]]&gt;1</f>
        <v>1</v>
      </c>
      <c r="N3261" s="1" t="str">
        <f>IF(Employee__2[[#This Row],[City]]="Pune","Yes","No")</f>
        <v>No</v>
      </c>
      <c r="O3261" s="1" t="str">
        <f>IF(AND(Employee__2[[#This Row],[Education]]="Bachelors",Employee__2[[#This Row],[City]]="Pune"),"Yes","No")</f>
        <v>No</v>
      </c>
      <c r="P3261" s="1" t="str">
        <f>IF(OR(Employee__2[[#This Row],[Age]]&gt;=30,Employee__2[[#This Row],[Gender]]="Male"),"Mached","Not mached")</f>
        <v>Mached</v>
      </c>
    </row>
    <row r="3262" spans="4:16" x14ac:dyDescent="0.25">
      <c r="D3262" s="6" t="s">
        <v>34</v>
      </c>
      <c r="E3262">
        <v>2015</v>
      </c>
      <c r="F3262" s="6" t="s">
        <v>40</v>
      </c>
      <c r="G3262">
        <v>3</v>
      </c>
      <c r="H3262">
        <v>38</v>
      </c>
      <c r="I3262" s="6" t="s">
        <v>39</v>
      </c>
      <c r="J3262" s="6" t="s">
        <v>37</v>
      </c>
      <c r="K3262">
        <v>0</v>
      </c>
      <c r="M3262" s="1" t="b">
        <f>Employee__2[[#This Row],[Experience]]&gt;1</f>
        <v>0</v>
      </c>
      <c r="N3262" s="1" t="str">
        <f>IF(Employee__2[[#This Row],[City]]="Pune","Yes","No")</f>
        <v>No</v>
      </c>
      <c r="O3262" s="1" t="str">
        <f>IF(AND(Employee__2[[#This Row],[Education]]="Bachelors",Employee__2[[#This Row],[City]]="Pune"),"Yes","No")</f>
        <v>No</v>
      </c>
      <c r="P3262" s="1" t="str">
        <f>IF(OR(Employee__2[[#This Row],[Age]]&gt;=30,Employee__2[[#This Row],[Gender]]="Male"),"Mached","Not mached")</f>
        <v>Mached</v>
      </c>
    </row>
    <row r="3263" spans="4:16" x14ac:dyDescent="0.25">
      <c r="D3263" s="6" t="s">
        <v>41</v>
      </c>
      <c r="E3263">
        <v>2017</v>
      </c>
      <c r="F3263" s="6" t="s">
        <v>40</v>
      </c>
      <c r="G3263">
        <v>2</v>
      </c>
      <c r="H3263">
        <v>35</v>
      </c>
      <c r="I3263" s="6" t="s">
        <v>39</v>
      </c>
      <c r="J3263" s="6" t="s">
        <v>37</v>
      </c>
      <c r="K3263">
        <v>2</v>
      </c>
      <c r="M3263" s="1" t="b">
        <f>Employee__2[[#This Row],[Experience]]&gt;1</f>
        <v>1</v>
      </c>
      <c r="N3263" s="1" t="str">
        <f>IF(Employee__2[[#This Row],[City]]="Pune","Yes","No")</f>
        <v>No</v>
      </c>
      <c r="O3263" s="1" t="str">
        <f>IF(AND(Employee__2[[#This Row],[Education]]="Bachelors",Employee__2[[#This Row],[City]]="Pune"),"Yes","No")</f>
        <v>No</v>
      </c>
      <c r="P3263" s="1" t="str">
        <f>IF(OR(Employee__2[[#This Row],[Age]]&gt;=30,Employee__2[[#This Row],[Gender]]="Male"),"Mached","Not mached")</f>
        <v>Mached</v>
      </c>
    </row>
    <row r="3264" spans="4:16" x14ac:dyDescent="0.25">
      <c r="D3264" s="6" t="s">
        <v>43</v>
      </c>
      <c r="E3264">
        <v>2018</v>
      </c>
      <c r="F3264" s="6" t="s">
        <v>40</v>
      </c>
      <c r="G3264">
        <v>3</v>
      </c>
      <c r="H3264">
        <v>35</v>
      </c>
      <c r="I3264" s="6" t="s">
        <v>39</v>
      </c>
      <c r="J3264" s="6" t="s">
        <v>37</v>
      </c>
      <c r="K3264">
        <v>0</v>
      </c>
      <c r="M3264" s="1" t="b">
        <f>Employee__2[[#This Row],[Experience]]&gt;1</f>
        <v>0</v>
      </c>
      <c r="N3264" s="1" t="str">
        <f>IF(Employee__2[[#This Row],[City]]="Pune","Yes","No")</f>
        <v>No</v>
      </c>
      <c r="O3264" s="1" t="str">
        <f>IF(AND(Employee__2[[#This Row],[Education]]="Bachelors",Employee__2[[#This Row],[City]]="Pune"),"Yes","No")</f>
        <v>No</v>
      </c>
      <c r="P3264" s="1" t="str">
        <f>IF(OR(Employee__2[[#This Row],[Age]]&gt;=30,Employee__2[[#This Row],[Gender]]="Male"),"Mached","Not mached")</f>
        <v>Mached</v>
      </c>
    </row>
    <row r="3265" spans="4:16" x14ac:dyDescent="0.25">
      <c r="D3265" s="6" t="s">
        <v>34</v>
      </c>
      <c r="E3265">
        <v>2012</v>
      </c>
      <c r="F3265" s="6" t="s">
        <v>35</v>
      </c>
      <c r="G3265">
        <v>3</v>
      </c>
      <c r="H3265">
        <v>38</v>
      </c>
      <c r="I3265" s="6" t="s">
        <v>39</v>
      </c>
      <c r="J3265" s="6" t="s">
        <v>37</v>
      </c>
      <c r="K3265">
        <v>3</v>
      </c>
      <c r="M3265" s="1" t="b">
        <f>Employee__2[[#This Row],[Experience]]&gt;1</f>
        <v>1</v>
      </c>
      <c r="N3265" s="1" t="str">
        <f>IF(Employee__2[[#This Row],[City]]="Pune","Yes","No")</f>
        <v>No</v>
      </c>
      <c r="O3265" s="1" t="str">
        <f>IF(AND(Employee__2[[#This Row],[Education]]="Bachelors",Employee__2[[#This Row],[City]]="Pune"),"Yes","No")</f>
        <v>No</v>
      </c>
      <c r="P3265" s="1" t="str">
        <f>IF(OR(Employee__2[[#This Row],[Age]]&gt;=30,Employee__2[[#This Row],[Gender]]="Male"),"Mached","Not mached")</f>
        <v>Mached</v>
      </c>
    </row>
    <row r="3266" spans="4:16" x14ac:dyDescent="0.25">
      <c r="D3266" s="6" t="s">
        <v>34</v>
      </c>
      <c r="E3266">
        <v>2012</v>
      </c>
      <c r="F3266" s="6" t="s">
        <v>38</v>
      </c>
      <c r="G3266">
        <v>3</v>
      </c>
      <c r="H3266">
        <v>31</v>
      </c>
      <c r="I3266" s="6" t="s">
        <v>39</v>
      </c>
      <c r="J3266" s="6" t="s">
        <v>37</v>
      </c>
      <c r="K3266">
        <v>5</v>
      </c>
      <c r="M3266" s="1" t="b">
        <f>Employee__2[[#This Row],[Experience]]&gt;1</f>
        <v>1</v>
      </c>
      <c r="N3266" s="1" t="str">
        <f>IF(Employee__2[[#This Row],[City]]="Pune","Yes","No")</f>
        <v>Yes</v>
      </c>
      <c r="O3266" s="1" t="str">
        <f>IF(AND(Employee__2[[#This Row],[Education]]="Bachelors",Employee__2[[#This Row],[City]]="Pune"),"Yes","No")</f>
        <v>Yes</v>
      </c>
      <c r="P3266" s="1" t="str">
        <f>IF(OR(Employee__2[[#This Row],[Age]]&gt;=30,Employee__2[[#This Row],[Gender]]="Male"),"Mached","Not mached")</f>
        <v>Mached</v>
      </c>
    </row>
    <row r="3267" spans="4:16" x14ac:dyDescent="0.25">
      <c r="D3267" s="6" t="s">
        <v>41</v>
      </c>
      <c r="E3267">
        <v>2016</v>
      </c>
      <c r="F3267" s="6" t="s">
        <v>40</v>
      </c>
      <c r="G3267">
        <v>3</v>
      </c>
      <c r="H3267">
        <v>33</v>
      </c>
      <c r="I3267" s="6" t="s">
        <v>39</v>
      </c>
      <c r="J3267" s="6" t="s">
        <v>37</v>
      </c>
      <c r="K3267">
        <v>1</v>
      </c>
      <c r="M3267" s="1" t="b">
        <f>Employee__2[[#This Row],[Experience]]&gt;1</f>
        <v>0</v>
      </c>
      <c r="N3267" s="1" t="str">
        <f>IF(Employee__2[[#This Row],[City]]="Pune","Yes","No")</f>
        <v>No</v>
      </c>
      <c r="O3267" s="1" t="str">
        <f>IF(AND(Employee__2[[#This Row],[Education]]="Bachelors",Employee__2[[#This Row],[City]]="Pune"),"Yes","No")</f>
        <v>No</v>
      </c>
      <c r="P3267" s="1" t="str">
        <f>IF(OR(Employee__2[[#This Row],[Age]]&gt;=30,Employee__2[[#This Row],[Gender]]="Male"),"Mached","Not mached")</f>
        <v>Mached</v>
      </c>
    </row>
    <row r="3268" spans="4:16" x14ac:dyDescent="0.25">
      <c r="D3268" s="6" t="s">
        <v>34</v>
      </c>
      <c r="E3268">
        <v>2013</v>
      </c>
      <c r="F3268" s="6" t="s">
        <v>38</v>
      </c>
      <c r="G3268">
        <v>2</v>
      </c>
      <c r="H3268">
        <v>32</v>
      </c>
      <c r="I3268" s="6" t="s">
        <v>39</v>
      </c>
      <c r="J3268" s="6" t="s">
        <v>37</v>
      </c>
      <c r="K3268">
        <v>1</v>
      </c>
      <c r="M3268" s="1" t="b">
        <f>Employee__2[[#This Row],[Experience]]&gt;1</f>
        <v>0</v>
      </c>
      <c r="N3268" s="1" t="str">
        <f>IF(Employee__2[[#This Row],[City]]="Pune","Yes","No")</f>
        <v>Yes</v>
      </c>
      <c r="O3268" s="1" t="str">
        <f>IF(AND(Employee__2[[#This Row],[Education]]="Bachelors",Employee__2[[#This Row],[City]]="Pune"),"Yes","No")</f>
        <v>Yes</v>
      </c>
      <c r="P3268" s="1" t="str">
        <f>IF(OR(Employee__2[[#This Row],[Age]]&gt;=30,Employee__2[[#This Row],[Gender]]="Male"),"Mached","Not mached")</f>
        <v>Mached</v>
      </c>
    </row>
    <row r="3269" spans="4:16" x14ac:dyDescent="0.25">
      <c r="D3269" s="6" t="s">
        <v>34</v>
      </c>
      <c r="E3269">
        <v>2017</v>
      </c>
      <c r="F3269" s="6" t="s">
        <v>35</v>
      </c>
      <c r="G3269">
        <v>1</v>
      </c>
      <c r="H3269">
        <v>39</v>
      </c>
      <c r="I3269" s="6" t="s">
        <v>36</v>
      </c>
      <c r="J3269" s="6" t="s">
        <v>37</v>
      </c>
      <c r="K3269">
        <v>0</v>
      </c>
      <c r="M3269" s="1" t="b">
        <f>Employee__2[[#This Row],[Experience]]&gt;1</f>
        <v>0</v>
      </c>
      <c r="N3269" s="1" t="str">
        <f>IF(Employee__2[[#This Row],[City]]="Pune","Yes","No")</f>
        <v>No</v>
      </c>
      <c r="O3269" s="1" t="str">
        <f>IF(AND(Employee__2[[#This Row],[Education]]="Bachelors",Employee__2[[#This Row],[City]]="Pune"),"Yes","No")</f>
        <v>No</v>
      </c>
      <c r="P3269" s="1" t="str">
        <f>IF(OR(Employee__2[[#This Row],[Age]]&gt;=30,Employee__2[[#This Row],[Gender]]="Male"),"Mached","Not mached")</f>
        <v>Mached</v>
      </c>
    </row>
    <row r="3270" spans="4:16" x14ac:dyDescent="0.25">
      <c r="D3270" s="6" t="s">
        <v>34</v>
      </c>
      <c r="E3270">
        <v>2018</v>
      </c>
      <c r="F3270" s="6" t="s">
        <v>40</v>
      </c>
      <c r="G3270">
        <v>3</v>
      </c>
      <c r="H3270">
        <v>35</v>
      </c>
      <c r="I3270" s="6" t="s">
        <v>39</v>
      </c>
      <c r="J3270" s="6" t="s">
        <v>37</v>
      </c>
      <c r="K3270">
        <v>2</v>
      </c>
      <c r="M3270" s="1" t="b">
        <f>Employee__2[[#This Row],[Experience]]&gt;1</f>
        <v>1</v>
      </c>
      <c r="N3270" s="1" t="str">
        <f>IF(Employee__2[[#This Row],[City]]="Pune","Yes","No")</f>
        <v>No</v>
      </c>
      <c r="O3270" s="1" t="str">
        <f>IF(AND(Employee__2[[#This Row],[Education]]="Bachelors",Employee__2[[#This Row],[City]]="Pune"),"Yes","No")</f>
        <v>No</v>
      </c>
      <c r="P3270" s="1" t="str">
        <f>IF(OR(Employee__2[[#This Row],[Age]]&gt;=30,Employee__2[[#This Row],[Gender]]="Male"),"Mached","Not mached")</f>
        <v>Mached</v>
      </c>
    </row>
    <row r="3271" spans="4:16" x14ac:dyDescent="0.25">
      <c r="D3271" s="6" t="s">
        <v>34</v>
      </c>
      <c r="E3271">
        <v>2014</v>
      </c>
      <c r="F3271" s="6" t="s">
        <v>40</v>
      </c>
      <c r="G3271">
        <v>3</v>
      </c>
      <c r="H3271">
        <v>38</v>
      </c>
      <c r="I3271" s="6" t="s">
        <v>39</v>
      </c>
      <c r="J3271" s="6" t="s">
        <v>37</v>
      </c>
      <c r="K3271">
        <v>5</v>
      </c>
      <c r="M3271" s="1" t="b">
        <f>Employee__2[[#This Row],[Experience]]&gt;1</f>
        <v>1</v>
      </c>
      <c r="N3271" s="1" t="str">
        <f>IF(Employee__2[[#This Row],[City]]="Pune","Yes","No")</f>
        <v>No</v>
      </c>
      <c r="O3271" s="1" t="str">
        <f>IF(AND(Employee__2[[#This Row],[Education]]="Bachelors",Employee__2[[#This Row],[City]]="Pune"),"Yes","No")</f>
        <v>No</v>
      </c>
      <c r="P3271" s="1" t="str">
        <f>IF(OR(Employee__2[[#This Row],[Age]]&gt;=30,Employee__2[[#This Row],[Gender]]="Male"),"Mached","Not mached")</f>
        <v>Mached</v>
      </c>
    </row>
    <row r="3272" spans="4:16" x14ac:dyDescent="0.25">
      <c r="D3272" s="6" t="s">
        <v>34</v>
      </c>
      <c r="E3272">
        <v>2015</v>
      </c>
      <c r="F3272" s="6" t="s">
        <v>35</v>
      </c>
      <c r="G3272">
        <v>3</v>
      </c>
      <c r="H3272">
        <v>32</v>
      </c>
      <c r="I3272" s="6" t="s">
        <v>36</v>
      </c>
      <c r="J3272" s="6" t="s">
        <v>37</v>
      </c>
      <c r="K3272">
        <v>0</v>
      </c>
      <c r="M3272" s="1" t="b">
        <f>Employee__2[[#This Row],[Experience]]&gt;1</f>
        <v>0</v>
      </c>
      <c r="N3272" s="1" t="str">
        <f>IF(Employee__2[[#This Row],[City]]="Pune","Yes","No")</f>
        <v>No</v>
      </c>
      <c r="O3272" s="1" t="str">
        <f>IF(AND(Employee__2[[#This Row],[Education]]="Bachelors",Employee__2[[#This Row],[City]]="Pune"),"Yes","No")</f>
        <v>No</v>
      </c>
      <c r="P3272" s="1" t="str">
        <f>IF(OR(Employee__2[[#This Row],[Age]]&gt;=30,Employee__2[[#This Row],[Gender]]="Male"),"Mached","Not mached")</f>
        <v>Mached</v>
      </c>
    </row>
    <row r="3273" spans="4:16" x14ac:dyDescent="0.25">
      <c r="D3273" s="6" t="s">
        <v>34</v>
      </c>
      <c r="E3273">
        <v>2017</v>
      </c>
      <c r="F3273" s="6" t="s">
        <v>35</v>
      </c>
      <c r="G3273">
        <v>3</v>
      </c>
      <c r="H3273">
        <v>34</v>
      </c>
      <c r="I3273" s="6" t="s">
        <v>39</v>
      </c>
      <c r="J3273" s="6" t="s">
        <v>37</v>
      </c>
      <c r="K3273">
        <v>2</v>
      </c>
      <c r="M3273" s="1" t="b">
        <f>Employee__2[[#This Row],[Experience]]&gt;1</f>
        <v>1</v>
      </c>
      <c r="N3273" s="1" t="str">
        <f>IF(Employee__2[[#This Row],[City]]="Pune","Yes","No")</f>
        <v>No</v>
      </c>
      <c r="O3273" s="1" t="str">
        <f>IF(AND(Employee__2[[#This Row],[Education]]="Bachelors",Employee__2[[#This Row],[City]]="Pune"),"Yes","No")</f>
        <v>No</v>
      </c>
      <c r="P3273" s="1" t="str">
        <f>IF(OR(Employee__2[[#This Row],[Age]]&gt;=30,Employee__2[[#This Row],[Gender]]="Male"),"Mached","Not mached")</f>
        <v>Mached</v>
      </c>
    </row>
    <row r="3274" spans="4:16" x14ac:dyDescent="0.25">
      <c r="D3274" s="6" t="s">
        <v>34</v>
      </c>
      <c r="E3274">
        <v>2017</v>
      </c>
      <c r="F3274" s="6" t="s">
        <v>35</v>
      </c>
      <c r="G3274">
        <v>3</v>
      </c>
      <c r="H3274">
        <v>41</v>
      </c>
      <c r="I3274" s="6" t="s">
        <v>36</v>
      </c>
      <c r="J3274" s="6" t="s">
        <v>37</v>
      </c>
      <c r="K3274">
        <v>1</v>
      </c>
      <c r="M3274" s="1" t="b">
        <f>Employee__2[[#This Row],[Experience]]&gt;1</f>
        <v>0</v>
      </c>
      <c r="N3274" s="1" t="str">
        <f>IF(Employee__2[[#This Row],[City]]="Pune","Yes","No")</f>
        <v>No</v>
      </c>
      <c r="O3274" s="1" t="str">
        <f>IF(AND(Employee__2[[#This Row],[Education]]="Bachelors",Employee__2[[#This Row],[City]]="Pune"),"Yes","No")</f>
        <v>No</v>
      </c>
      <c r="P3274" s="1" t="str">
        <f>IF(OR(Employee__2[[#This Row],[Age]]&gt;=30,Employee__2[[#This Row],[Gender]]="Male"),"Mached","Not mached")</f>
        <v>Mached</v>
      </c>
    </row>
    <row r="3275" spans="4:16" x14ac:dyDescent="0.25">
      <c r="D3275" s="6" t="s">
        <v>41</v>
      </c>
      <c r="E3275">
        <v>2012</v>
      </c>
      <c r="F3275" s="6" t="s">
        <v>35</v>
      </c>
      <c r="G3275">
        <v>3</v>
      </c>
      <c r="H3275">
        <v>40</v>
      </c>
      <c r="I3275" s="6" t="s">
        <v>39</v>
      </c>
      <c r="J3275" s="6" t="s">
        <v>37</v>
      </c>
      <c r="K3275">
        <v>5</v>
      </c>
      <c r="M3275" s="1" t="b">
        <f>Employee__2[[#This Row],[Experience]]&gt;1</f>
        <v>1</v>
      </c>
      <c r="N3275" s="1" t="str">
        <f>IF(Employee__2[[#This Row],[City]]="Pune","Yes","No")</f>
        <v>No</v>
      </c>
      <c r="O3275" s="1" t="str">
        <f>IF(AND(Employee__2[[#This Row],[Education]]="Bachelors",Employee__2[[#This Row],[City]]="Pune"),"Yes","No")</f>
        <v>No</v>
      </c>
      <c r="P3275" s="1" t="str">
        <f>IF(OR(Employee__2[[#This Row],[Age]]&gt;=30,Employee__2[[#This Row],[Gender]]="Male"),"Mached","Not mached")</f>
        <v>Mached</v>
      </c>
    </row>
    <row r="3276" spans="4:16" x14ac:dyDescent="0.25">
      <c r="D3276" s="6" t="s">
        <v>34</v>
      </c>
      <c r="E3276">
        <v>2012</v>
      </c>
      <c r="F3276" s="6" t="s">
        <v>38</v>
      </c>
      <c r="G3276">
        <v>2</v>
      </c>
      <c r="H3276">
        <v>32</v>
      </c>
      <c r="I3276" s="6" t="s">
        <v>36</v>
      </c>
      <c r="J3276" s="6" t="s">
        <v>37</v>
      </c>
      <c r="K3276">
        <v>1</v>
      </c>
      <c r="M3276" s="1" t="b">
        <f>Employee__2[[#This Row],[Experience]]&gt;1</f>
        <v>0</v>
      </c>
      <c r="N3276" s="1" t="str">
        <f>IF(Employee__2[[#This Row],[City]]="Pune","Yes","No")</f>
        <v>Yes</v>
      </c>
      <c r="O3276" s="1" t="str">
        <f>IF(AND(Employee__2[[#This Row],[Education]]="Bachelors",Employee__2[[#This Row],[City]]="Pune"),"Yes","No")</f>
        <v>Yes</v>
      </c>
      <c r="P3276" s="1" t="str">
        <f>IF(OR(Employee__2[[#This Row],[Age]]&gt;=30,Employee__2[[#This Row],[Gender]]="Male"),"Mached","Not mached")</f>
        <v>Mached</v>
      </c>
    </row>
    <row r="3277" spans="4:16" x14ac:dyDescent="0.25">
      <c r="D3277" s="6" t="s">
        <v>34</v>
      </c>
      <c r="E3277">
        <v>2013</v>
      </c>
      <c r="F3277" s="6" t="s">
        <v>35</v>
      </c>
      <c r="G3277">
        <v>3</v>
      </c>
      <c r="H3277">
        <v>35</v>
      </c>
      <c r="I3277" s="6" t="s">
        <v>36</v>
      </c>
      <c r="J3277" s="6" t="s">
        <v>37</v>
      </c>
      <c r="K3277">
        <v>0</v>
      </c>
      <c r="M3277" s="1" t="b">
        <f>Employee__2[[#This Row],[Experience]]&gt;1</f>
        <v>0</v>
      </c>
      <c r="N3277" s="1" t="str">
        <f>IF(Employee__2[[#This Row],[City]]="Pune","Yes","No")</f>
        <v>No</v>
      </c>
      <c r="O3277" s="1" t="str">
        <f>IF(AND(Employee__2[[#This Row],[Education]]="Bachelors",Employee__2[[#This Row],[City]]="Pune"),"Yes","No")</f>
        <v>No</v>
      </c>
      <c r="P3277" s="1" t="str">
        <f>IF(OR(Employee__2[[#This Row],[Age]]&gt;=30,Employee__2[[#This Row],[Gender]]="Male"),"Mached","Not mached")</f>
        <v>Mached</v>
      </c>
    </row>
    <row r="3278" spans="4:16" x14ac:dyDescent="0.25">
      <c r="D3278" s="6" t="s">
        <v>43</v>
      </c>
      <c r="E3278">
        <v>2013</v>
      </c>
      <c r="F3278" s="6" t="s">
        <v>40</v>
      </c>
      <c r="G3278">
        <v>1</v>
      </c>
      <c r="H3278">
        <v>36</v>
      </c>
      <c r="I3278" s="6" t="s">
        <v>39</v>
      </c>
      <c r="J3278" s="6" t="s">
        <v>37</v>
      </c>
      <c r="K3278">
        <v>3</v>
      </c>
      <c r="M3278" s="1" t="b">
        <f>Employee__2[[#This Row],[Experience]]&gt;1</f>
        <v>1</v>
      </c>
      <c r="N3278" s="1" t="str">
        <f>IF(Employee__2[[#This Row],[City]]="Pune","Yes","No")</f>
        <v>No</v>
      </c>
      <c r="O3278" s="1" t="str">
        <f>IF(AND(Employee__2[[#This Row],[Education]]="Bachelors",Employee__2[[#This Row],[City]]="Pune"),"Yes","No")</f>
        <v>No</v>
      </c>
      <c r="P3278" s="1" t="str">
        <f>IF(OR(Employee__2[[#This Row],[Age]]&gt;=30,Employee__2[[#This Row],[Gender]]="Male"),"Mached","Not mached")</f>
        <v>Mached</v>
      </c>
    </row>
    <row r="3279" spans="4:16" x14ac:dyDescent="0.25">
      <c r="D3279" s="6" t="s">
        <v>34</v>
      </c>
      <c r="E3279">
        <v>2013</v>
      </c>
      <c r="F3279" s="6" t="s">
        <v>35</v>
      </c>
      <c r="G3279">
        <v>3</v>
      </c>
      <c r="H3279">
        <v>40</v>
      </c>
      <c r="I3279" s="6" t="s">
        <v>39</v>
      </c>
      <c r="J3279" s="6" t="s">
        <v>37</v>
      </c>
      <c r="K3279">
        <v>4</v>
      </c>
      <c r="M3279" s="1" t="b">
        <f>Employee__2[[#This Row],[Experience]]&gt;1</f>
        <v>1</v>
      </c>
      <c r="N3279" s="1" t="str">
        <f>IF(Employee__2[[#This Row],[City]]="Pune","Yes","No")</f>
        <v>No</v>
      </c>
      <c r="O3279" s="1" t="str">
        <f>IF(AND(Employee__2[[#This Row],[Education]]="Bachelors",Employee__2[[#This Row],[City]]="Pune"),"Yes","No")</f>
        <v>No</v>
      </c>
      <c r="P3279" s="1" t="str">
        <f>IF(OR(Employee__2[[#This Row],[Age]]&gt;=30,Employee__2[[#This Row],[Gender]]="Male"),"Mached","Not mached")</f>
        <v>Mached</v>
      </c>
    </row>
    <row r="3280" spans="4:16" x14ac:dyDescent="0.25">
      <c r="D3280" s="6" t="s">
        <v>34</v>
      </c>
      <c r="E3280">
        <v>2018</v>
      </c>
      <c r="F3280" s="6" t="s">
        <v>38</v>
      </c>
      <c r="G3280">
        <v>2</v>
      </c>
      <c r="H3280">
        <v>35</v>
      </c>
      <c r="I3280" s="6" t="s">
        <v>39</v>
      </c>
      <c r="J3280" s="6" t="s">
        <v>37</v>
      </c>
      <c r="K3280">
        <v>2</v>
      </c>
      <c r="M3280" s="1" t="b">
        <f>Employee__2[[#This Row],[Experience]]&gt;1</f>
        <v>1</v>
      </c>
      <c r="N3280" s="1" t="str">
        <f>IF(Employee__2[[#This Row],[City]]="Pune","Yes","No")</f>
        <v>Yes</v>
      </c>
      <c r="O3280" s="1" t="str">
        <f>IF(AND(Employee__2[[#This Row],[Education]]="Bachelors",Employee__2[[#This Row],[City]]="Pune"),"Yes","No")</f>
        <v>Yes</v>
      </c>
      <c r="P3280" s="1" t="str">
        <f>IF(OR(Employee__2[[#This Row],[Age]]&gt;=30,Employee__2[[#This Row],[Gender]]="Male"),"Mached","Not mached")</f>
        <v>Mached</v>
      </c>
    </row>
    <row r="3281" spans="4:16" x14ac:dyDescent="0.25">
      <c r="D3281" s="6" t="s">
        <v>41</v>
      </c>
      <c r="E3281">
        <v>2017</v>
      </c>
      <c r="F3281" s="6" t="s">
        <v>40</v>
      </c>
      <c r="G3281">
        <v>2</v>
      </c>
      <c r="H3281">
        <v>37</v>
      </c>
      <c r="I3281" s="6" t="s">
        <v>39</v>
      </c>
      <c r="J3281" s="6" t="s">
        <v>37</v>
      </c>
      <c r="K3281">
        <v>4</v>
      </c>
      <c r="M3281" s="1" t="b">
        <f>Employee__2[[#This Row],[Experience]]&gt;1</f>
        <v>1</v>
      </c>
      <c r="N3281" s="1" t="str">
        <f>IF(Employee__2[[#This Row],[City]]="Pune","Yes","No")</f>
        <v>No</v>
      </c>
      <c r="O3281" s="1" t="str">
        <f>IF(AND(Employee__2[[#This Row],[Education]]="Bachelors",Employee__2[[#This Row],[City]]="Pune"),"Yes","No")</f>
        <v>No</v>
      </c>
      <c r="P3281" s="1" t="str">
        <f>IF(OR(Employee__2[[#This Row],[Age]]&gt;=30,Employee__2[[#This Row],[Gender]]="Male"),"Mached","Not mached")</f>
        <v>Mached</v>
      </c>
    </row>
    <row r="3282" spans="4:16" x14ac:dyDescent="0.25">
      <c r="D3282" s="6" t="s">
        <v>34</v>
      </c>
      <c r="E3282">
        <v>2017</v>
      </c>
      <c r="F3282" s="6" t="s">
        <v>35</v>
      </c>
      <c r="G3282">
        <v>3</v>
      </c>
      <c r="H3282">
        <v>34</v>
      </c>
      <c r="I3282" s="6" t="s">
        <v>36</v>
      </c>
      <c r="J3282" s="6" t="s">
        <v>37</v>
      </c>
      <c r="K3282">
        <v>3</v>
      </c>
      <c r="M3282" s="1" t="b">
        <f>Employee__2[[#This Row],[Experience]]&gt;1</f>
        <v>1</v>
      </c>
      <c r="N3282" s="1" t="str">
        <f>IF(Employee__2[[#This Row],[City]]="Pune","Yes","No")</f>
        <v>No</v>
      </c>
      <c r="O3282" s="1" t="str">
        <f>IF(AND(Employee__2[[#This Row],[Education]]="Bachelors",Employee__2[[#This Row],[City]]="Pune"),"Yes","No")</f>
        <v>No</v>
      </c>
      <c r="P3282" s="1" t="str">
        <f>IF(OR(Employee__2[[#This Row],[Age]]&gt;=30,Employee__2[[#This Row],[Gender]]="Male"),"Mached","Not mached")</f>
        <v>Mached</v>
      </c>
    </row>
    <row r="3283" spans="4:16" x14ac:dyDescent="0.25">
      <c r="D3283" s="6" t="s">
        <v>34</v>
      </c>
      <c r="E3283">
        <v>2012</v>
      </c>
      <c r="F3283" s="6" t="s">
        <v>38</v>
      </c>
      <c r="G3283">
        <v>3</v>
      </c>
      <c r="H3283">
        <v>36</v>
      </c>
      <c r="I3283" s="6" t="s">
        <v>36</v>
      </c>
      <c r="J3283" s="6" t="s">
        <v>37</v>
      </c>
      <c r="K3283">
        <v>1</v>
      </c>
      <c r="M3283" s="1" t="b">
        <f>Employee__2[[#This Row],[Experience]]&gt;1</f>
        <v>0</v>
      </c>
      <c r="N3283" s="1" t="str">
        <f>IF(Employee__2[[#This Row],[City]]="Pune","Yes","No")</f>
        <v>Yes</v>
      </c>
      <c r="O3283" s="1" t="str">
        <f>IF(AND(Employee__2[[#This Row],[Education]]="Bachelors",Employee__2[[#This Row],[City]]="Pune"),"Yes","No")</f>
        <v>Yes</v>
      </c>
      <c r="P3283" s="1" t="str">
        <f>IF(OR(Employee__2[[#This Row],[Age]]&gt;=30,Employee__2[[#This Row],[Gender]]="Male"),"Mached","Not mached")</f>
        <v>Mached</v>
      </c>
    </row>
    <row r="3284" spans="4:16" x14ac:dyDescent="0.25">
      <c r="D3284" s="6" t="s">
        <v>34</v>
      </c>
      <c r="E3284">
        <v>2015</v>
      </c>
      <c r="F3284" s="6" t="s">
        <v>40</v>
      </c>
      <c r="G3284">
        <v>3</v>
      </c>
      <c r="H3284">
        <v>37</v>
      </c>
      <c r="I3284" s="6" t="s">
        <v>36</v>
      </c>
      <c r="J3284" s="6" t="s">
        <v>37</v>
      </c>
      <c r="K3284">
        <v>4</v>
      </c>
      <c r="M3284" s="1" t="b">
        <f>Employee__2[[#This Row],[Experience]]&gt;1</f>
        <v>1</v>
      </c>
      <c r="N3284" s="1" t="str">
        <f>IF(Employee__2[[#This Row],[City]]="Pune","Yes","No")</f>
        <v>No</v>
      </c>
      <c r="O3284" s="1" t="str">
        <f>IF(AND(Employee__2[[#This Row],[Education]]="Bachelors",Employee__2[[#This Row],[City]]="Pune"),"Yes","No")</f>
        <v>No</v>
      </c>
      <c r="P3284" s="1" t="str">
        <f>IF(OR(Employee__2[[#This Row],[Age]]&gt;=30,Employee__2[[#This Row],[Gender]]="Male"),"Mached","Not mached")</f>
        <v>Mached</v>
      </c>
    </row>
    <row r="3285" spans="4:16" x14ac:dyDescent="0.25">
      <c r="D3285" s="6" t="s">
        <v>34</v>
      </c>
      <c r="E3285">
        <v>2014</v>
      </c>
      <c r="F3285" s="6" t="s">
        <v>35</v>
      </c>
      <c r="G3285">
        <v>3</v>
      </c>
      <c r="H3285">
        <v>39</v>
      </c>
      <c r="I3285" s="6" t="s">
        <v>36</v>
      </c>
      <c r="J3285" s="6" t="s">
        <v>37</v>
      </c>
      <c r="K3285">
        <v>5</v>
      </c>
      <c r="M3285" s="1" t="b">
        <f>Employee__2[[#This Row],[Experience]]&gt;1</f>
        <v>1</v>
      </c>
      <c r="N3285" s="1" t="str">
        <f>IF(Employee__2[[#This Row],[City]]="Pune","Yes","No")</f>
        <v>No</v>
      </c>
      <c r="O3285" s="1" t="str">
        <f>IF(AND(Employee__2[[#This Row],[Education]]="Bachelors",Employee__2[[#This Row],[City]]="Pune"),"Yes","No")</f>
        <v>No</v>
      </c>
      <c r="P3285" s="1" t="str">
        <f>IF(OR(Employee__2[[#This Row],[Age]]&gt;=30,Employee__2[[#This Row],[Gender]]="Male"),"Mached","Not mached")</f>
        <v>Mached</v>
      </c>
    </row>
    <row r="3286" spans="4:16" x14ac:dyDescent="0.25">
      <c r="D3286" s="6" t="s">
        <v>34</v>
      </c>
      <c r="E3286">
        <v>2017</v>
      </c>
      <c r="F3286" s="6" t="s">
        <v>40</v>
      </c>
      <c r="G3286">
        <v>2</v>
      </c>
      <c r="H3286">
        <v>39</v>
      </c>
      <c r="I3286" s="6" t="s">
        <v>39</v>
      </c>
      <c r="J3286" s="6" t="s">
        <v>37</v>
      </c>
      <c r="K3286">
        <v>0</v>
      </c>
      <c r="M3286" s="1" t="b">
        <f>Employee__2[[#This Row],[Experience]]&gt;1</f>
        <v>0</v>
      </c>
      <c r="N3286" s="1" t="str">
        <f>IF(Employee__2[[#This Row],[City]]="Pune","Yes","No")</f>
        <v>No</v>
      </c>
      <c r="O3286" s="1" t="str">
        <f>IF(AND(Employee__2[[#This Row],[Education]]="Bachelors",Employee__2[[#This Row],[City]]="Pune"),"Yes","No")</f>
        <v>No</v>
      </c>
      <c r="P3286" s="1" t="str">
        <f>IF(OR(Employee__2[[#This Row],[Age]]&gt;=30,Employee__2[[#This Row],[Gender]]="Male"),"Mached","Not mached")</f>
        <v>Mached</v>
      </c>
    </row>
    <row r="3287" spans="4:16" x14ac:dyDescent="0.25">
      <c r="D3287" s="6" t="s">
        <v>41</v>
      </c>
      <c r="E3287">
        <v>2018</v>
      </c>
      <c r="F3287" s="6" t="s">
        <v>40</v>
      </c>
      <c r="G3287">
        <v>3</v>
      </c>
      <c r="H3287">
        <v>38</v>
      </c>
      <c r="I3287" s="6" t="s">
        <v>36</v>
      </c>
      <c r="J3287" s="6" t="s">
        <v>37</v>
      </c>
      <c r="K3287">
        <v>2</v>
      </c>
      <c r="M3287" s="1" t="b">
        <f>Employee__2[[#This Row],[Experience]]&gt;1</f>
        <v>1</v>
      </c>
      <c r="N3287" s="1" t="str">
        <f>IF(Employee__2[[#This Row],[City]]="Pune","Yes","No")</f>
        <v>No</v>
      </c>
      <c r="O3287" s="1" t="str">
        <f>IF(AND(Employee__2[[#This Row],[Education]]="Bachelors",Employee__2[[#This Row],[City]]="Pune"),"Yes","No")</f>
        <v>No</v>
      </c>
      <c r="P3287" s="1" t="str">
        <f>IF(OR(Employee__2[[#This Row],[Age]]&gt;=30,Employee__2[[#This Row],[Gender]]="Male"),"Mached","Not mached")</f>
        <v>Mached</v>
      </c>
    </row>
    <row r="3288" spans="4:16" x14ac:dyDescent="0.25">
      <c r="D3288" s="6" t="s">
        <v>34</v>
      </c>
      <c r="E3288">
        <v>2013</v>
      </c>
      <c r="F3288" s="6" t="s">
        <v>40</v>
      </c>
      <c r="G3288">
        <v>3</v>
      </c>
      <c r="H3288">
        <v>37</v>
      </c>
      <c r="I3288" s="6" t="s">
        <v>39</v>
      </c>
      <c r="J3288" s="6" t="s">
        <v>37</v>
      </c>
      <c r="K3288">
        <v>1</v>
      </c>
      <c r="M3288" s="1" t="b">
        <f>Employee__2[[#This Row],[Experience]]&gt;1</f>
        <v>0</v>
      </c>
      <c r="N3288" s="1" t="str">
        <f>IF(Employee__2[[#This Row],[City]]="Pune","Yes","No")</f>
        <v>No</v>
      </c>
      <c r="O3288" s="1" t="str">
        <f>IF(AND(Employee__2[[#This Row],[Education]]="Bachelors",Employee__2[[#This Row],[City]]="Pune"),"Yes","No")</f>
        <v>No</v>
      </c>
      <c r="P3288" s="1" t="str">
        <f>IF(OR(Employee__2[[#This Row],[Age]]&gt;=30,Employee__2[[#This Row],[Gender]]="Male"),"Mached","Not mached")</f>
        <v>Mached</v>
      </c>
    </row>
    <row r="3289" spans="4:16" x14ac:dyDescent="0.25">
      <c r="D3289" s="6" t="s">
        <v>34</v>
      </c>
      <c r="E3289">
        <v>2012</v>
      </c>
      <c r="F3289" s="6" t="s">
        <v>40</v>
      </c>
      <c r="G3289">
        <v>2</v>
      </c>
      <c r="H3289">
        <v>33</v>
      </c>
      <c r="I3289" s="6" t="s">
        <v>39</v>
      </c>
      <c r="J3289" s="6" t="s">
        <v>37</v>
      </c>
      <c r="K3289">
        <v>0</v>
      </c>
      <c r="M3289" s="1" t="b">
        <f>Employee__2[[#This Row],[Experience]]&gt;1</f>
        <v>0</v>
      </c>
      <c r="N3289" s="1" t="str">
        <f>IF(Employee__2[[#This Row],[City]]="Pune","Yes","No")</f>
        <v>No</v>
      </c>
      <c r="O3289" s="1" t="str">
        <f>IF(AND(Employee__2[[#This Row],[Education]]="Bachelors",Employee__2[[#This Row],[City]]="Pune"),"Yes","No")</f>
        <v>No</v>
      </c>
      <c r="P3289" s="1" t="str">
        <f>IF(OR(Employee__2[[#This Row],[Age]]&gt;=30,Employee__2[[#This Row],[Gender]]="Male"),"Mached","Not mached")</f>
        <v>Mached</v>
      </c>
    </row>
    <row r="3290" spans="4:16" x14ac:dyDescent="0.25">
      <c r="D3290" s="6" t="s">
        <v>43</v>
      </c>
      <c r="E3290">
        <v>2014</v>
      </c>
      <c r="F3290" s="6" t="s">
        <v>35</v>
      </c>
      <c r="G3290">
        <v>3</v>
      </c>
      <c r="H3290">
        <v>38</v>
      </c>
      <c r="I3290" s="6" t="s">
        <v>39</v>
      </c>
      <c r="J3290" s="6" t="s">
        <v>37</v>
      </c>
      <c r="K3290">
        <v>3</v>
      </c>
      <c r="M3290" s="1" t="b">
        <f>Employee__2[[#This Row],[Experience]]&gt;1</f>
        <v>1</v>
      </c>
      <c r="N3290" s="1" t="str">
        <f>IF(Employee__2[[#This Row],[City]]="Pune","Yes","No")</f>
        <v>No</v>
      </c>
      <c r="O3290" s="1" t="str">
        <f>IF(AND(Employee__2[[#This Row],[Education]]="Bachelors",Employee__2[[#This Row],[City]]="Pune"),"Yes","No")</f>
        <v>No</v>
      </c>
      <c r="P3290" s="1" t="str">
        <f>IF(OR(Employee__2[[#This Row],[Age]]&gt;=30,Employee__2[[#This Row],[Gender]]="Male"),"Mached","Not mached")</f>
        <v>Mached</v>
      </c>
    </row>
    <row r="3291" spans="4:16" x14ac:dyDescent="0.25">
      <c r="D3291" s="6" t="s">
        <v>41</v>
      </c>
      <c r="E3291">
        <v>2017</v>
      </c>
      <c r="F3291" s="6" t="s">
        <v>40</v>
      </c>
      <c r="G3291">
        <v>2</v>
      </c>
      <c r="H3291">
        <v>40</v>
      </c>
      <c r="I3291" s="6" t="s">
        <v>39</v>
      </c>
      <c r="J3291" s="6" t="s">
        <v>37</v>
      </c>
      <c r="K3291">
        <v>2</v>
      </c>
      <c r="M3291" s="1" t="b">
        <f>Employee__2[[#This Row],[Experience]]&gt;1</f>
        <v>1</v>
      </c>
      <c r="N3291" s="1" t="str">
        <f>IF(Employee__2[[#This Row],[City]]="Pune","Yes","No")</f>
        <v>No</v>
      </c>
      <c r="O3291" s="1" t="str">
        <f>IF(AND(Employee__2[[#This Row],[Education]]="Bachelors",Employee__2[[#This Row],[City]]="Pune"),"Yes","No")</f>
        <v>No</v>
      </c>
      <c r="P3291" s="1" t="str">
        <f>IF(OR(Employee__2[[#This Row],[Age]]&gt;=30,Employee__2[[#This Row],[Gender]]="Male"),"Mached","Not mached")</f>
        <v>Mached</v>
      </c>
    </row>
    <row r="3292" spans="4:16" x14ac:dyDescent="0.25">
      <c r="D3292" s="6" t="s">
        <v>34</v>
      </c>
      <c r="E3292">
        <v>2012</v>
      </c>
      <c r="F3292" s="6" t="s">
        <v>35</v>
      </c>
      <c r="G3292">
        <v>3</v>
      </c>
      <c r="H3292">
        <v>41</v>
      </c>
      <c r="I3292" s="6" t="s">
        <v>36</v>
      </c>
      <c r="J3292" s="6" t="s">
        <v>37</v>
      </c>
      <c r="K3292">
        <v>5</v>
      </c>
      <c r="M3292" s="1" t="b">
        <f>Employee__2[[#This Row],[Experience]]&gt;1</f>
        <v>1</v>
      </c>
      <c r="N3292" s="1" t="str">
        <f>IF(Employee__2[[#This Row],[City]]="Pune","Yes","No")</f>
        <v>No</v>
      </c>
      <c r="O3292" s="1" t="str">
        <f>IF(AND(Employee__2[[#This Row],[Education]]="Bachelors",Employee__2[[#This Row],[City]]="Pune"),"Yes","No")</f>
        <v>No</v>
      </c>
      <c r="P3292" s="1" t="str">
        <f>IF(OR(Employee__2[[#This Row],[Age]]&gt;=30,Employee__2[[#This Row],[Gender]]="Male"),"Mached","Not mached")</f>
        <v>Mached</v>
      </c>
    </row>
    <row r="3293" spans="4:16" x14ac:dyDescent="0.25">
      <c r="D3293" s="6" t="s">
        <v>34</v>
      </c>
      <c r="E3293">
        <v>2013</v>
      </c>
      <c r="F3293" s="6" t="s">
        <v>35</v>
      </c>
      <c r="G3293">
        <v>2</v>
      </c>
      <c r="H3293">
        <v>38</v>
      </c>
      <c r="I3293" s="6" t="s">
        <v>39</v>
      </c>
      <c r="J3293" s="6" t="s">
        <v>37</v>
      </c>
      <c r="K3293">
        <v>1</v>
      </c>
      <c r="M3293" s="1" t="b">
        <f>Employee__2[[#This Row],[Experience]]&gt;1</f>
        <v>0</v>
      </c>
      <c r="N3293" s="1" t="str">
        <f>IF(Employee__2[[#This Row],[City]]="Pune","Yes","No")</f>
        <v>No</v>
      </c>
      <c r="O3293" s="1" t="str">
        <f>IF(AND(Employee__2[[#This Row],[Education]]="Bachelors",Employee__2[[#This Row],[City]]="Pune"),"Yes","No")</f>
        <v>No</v>
      </c>
      <c r="P3293" s="1" t="str">
        <f>IF(OR(Employee__2[[#This Row],[Age]]&gt;=30,Employee__2[[#This Row],[Gender]]="Male"),"Mached","Not mached")</f>
        <v>Mached</v>
      </c>
    </row>
    <row r="3294" spans="4:16" x14ac:dyDescent="0.25">
      <c r="D3294" s="6" t="s">
        <v>34</v>
      </c>
      <c r="E3294">
        <v>2012</v>
      </c>
      <c r="F3294" s="6" t="s">
        <v>35</v>
      </c>
      <c r="G3294">
        <v>3</v>
      </c>
      <c r="H3294">
        <v>37</v>
      </c>
      <c r="I3294" s="6" t="s">
        <v>36</v>
      </c>
      <c r="J3294" s="6" t="s">
        <v>37</v>
      </c>
      <c r="K3294">
        <v>4</v>
      </c>
      <c r="M3294" s="1" t="b">
        <f>Employee__2[[#This Row],[Experience]]&gt;1</f>
        <v>1</v>
      </c>
      <c r="N3294" s="1" t="str">
        <f>IF(Employee__2[[#This Row],[City]]="Pune","Yes","No")</f>
        <v>No</v>
      </c>
      <c r="O3294" s="1" t="str">
        <f>IF(AND(Employee__2[[#This Row],[Education]]="Bachelors",Employee__2[[#This Row],[City]]="Pune"),"Yes","No")</f>
        <v>No</v>
      </c>
      <c r="P3294" s="1" t="str">
        <f>IF(OR(Employee__2[[#This Row],[Age]]&gt;=30,Employee__2[[#This Row],[Gender]]="Male"),"Mached","Not mached")</f>
        <v>Mached</v>
      </c>
    </row>
    <row r="3295" spans="4:16" x14ac:dyDescent="0.25">
      <c r="D3295" s="6" t="s">
        <v>34</v>
      </c>
      <c r="E3295">
        <v>2014</v>
      </c>
      <c r="F3295" s="6" t="s">
        <v>35</v>
      </c>
      <c r="G3295">
        <v>3</v>
      </c>
      <c r="H3295">
        <v>39</v>
      </c>
      <c r="I3295" s="6" t="s">
        <v>36</v>
      </c>
      <c r="J3295" s="6" t="s">
        <v>37</v>
      </c>
      <c r="K3295">
        <v>5</v>
      </c>
      <c r="M3295" s="1" t="b">
        <f>Employee__2[[#This Row],[Experience]]&gt;1</f>
        <v>1</v>
      </c>
      <c r="N3295" s="1" t="str">
        <f>IF(Employee__2[[#This Row],[City]]="Pune","Yes","No")</f>
        <v>No</v>
      </c>
      <c r="O3295" s="1" t="str">
        <f>IF(AND(Employee__2[[#This Row],[Education]]="Bachelors",Employee__2[[#This Row],[City]]="Pune"),"Yes","No")</f>
        <v>No</v>
      </c>
      <c r="P3295" s="1" t="str">
        <f>IF(OR(Employee__2[[#This Row],[Age]]&gt;=30,Employee__2[[#This Row],[Gender]]="Male"),"Mached","Not mached")</f>
        <v>Mached</v>
      </c>
    </row>
    <row r="3296" spans="4:16" x14ac:dyDescent="0.25">
      <c r="D3296" s="6" t="s">
        <v>34</v>
      </c>
      <c r="E3296">
        <v>2018</v>
      </c>
      <c r="F3296" s="6" t="s">
        <v>35</v>
      </c>
      <c r="G3296">
        <v>3</v>
      </c>
      <c r="H3296">
        <v>35</v>
      </c>
      <c r="I3296" s="6" t="s">
        <v>36</v>
      </c>
      <c r="J3296" s="6" t="s">
        <v>37</v>
      </c>
      <c r="K3296">
        <v>1</v>
      </c>
      <c r="M3296" s="1" t="b">
        <f>Employee__2[[#This Row],[Experience]]&gt;1</f>
        <v>0</v>
      </c>
      <c r="N3296" s="1" t="str">
        <f>IF(Employee__2[[#This Row],[City]]="Pune","Yes","No")</f>
        <v>No</v>
      </c>
      <c r="O3296" s="1" t="str">
        <f>IF(AND(Employee__2[[#This Row],[Education]]="Bachelors",Employee__2[[#This Row],[City]]="Pune"),"Yes","No")</f>
        <v>No</v>
      </c>
      <c r="P3296" s="1" t="str">
        <f>IF(OR(Employee__2[[#This Row],[Age]]&gt;=30,Employee__2[[#This Row],[Gender]]="Male"),"Mached","Not mached")</f>
        <v>Mached</v>
      </c>
    </row>
    <row r="3297" spans="4:16" x14ac:dyDescent="0.25">
      <c r="D3297" s="6" t="s">
        <v>41</v>
      </c>
      <c r="E3297">
        <v>2017</v>
      </c>
      <c r="F3297" s="6" t="s">
        <v>40</v>
      </c>
      <c r="G3297">
        <v>3</v>
      </c>
      <c r="H3297">
        <v>39</v>
      </c>
      <c r="I3297" s="6" t="s">
        <v>39</v>
      </c>
      <c r="J3297" s="6" t="s">
        <v>37</v>
      </c>
      <c r="K3297">
        <v>5</v>
      </c>
      <c r="M3297" s="1" t="b">
        <f>Employee__2[[#This Row],[Experience]]&gt;1</f>
        <v>1</v>
      </c>
      <c r="N3297" s="1" t="str">
        <f>IF(Employee__2[[#This Row],[City]]="Pune","Yes","No")</f>
        <v>No</v>
      </c>
      <c r="O3297" s="1" t="str">
        <f>IF(AND(Employee__2[[#This Row],[Education]]="Bachelors",Employee__2[[#This Row],[City]]="Pune"),"Yes","No")</f>
        <v>No</v>
      </c>
      <c r="P3297" s="1" t="str">
        <f>IF(OR(Employee__2[[#This Row],[Age]]&gt;=30,Employee__2[[#This Row],[Gender]]="Male"),"Mached","Not mached")</f>
        <v>Mached</v>
      </c>
    </row>
    <row r="3298" spans="4:16" x14ac:dyDescent="0.25">
      <c r="D3298" s="6" t="s">
        <v>34</v>
      </c>
      <c r="E3298">
        <v>2015</v>
      </c>
      <c r="F3298" s="6" t="s">
        <v>38</v>
      </c>
      <c r="G3298">
        <v>2</v>
      </c>
      <c r="H3298">
        <v>31</v>
      </c>
      <c r="I3298" s="6" t="s">
        <v>39</v>
      </c>
      <c r="J3298" s="6" t="s">
        <v>37</v>
      </c>
      <c r="K3298">
        <v>1</v>
      </c>
      <c r="M3298" s="1" t="b">
        <f>Employee__2[[#This Row],[Experience]]&gt;1</f>
        <v>0</v>
      </c>
      <c r="N3298" s="1" t="str">
        <f>IF(Employee__2[[#This Row],[City]]="Pune","Yes","No")</f>
        <v>Yes</v>
      </c>
      <c r="O3298" s="1" t="str">
        <f>IF(AND(Employee__2[[#This Row],[Education]]="Bachelors",Employee__2[[#This Row],[City]]="Pune"),"Yes","No")</f>
        <v>Yes</v>
      </c>
      <c r="P3298" s="1" t="str">
        <f>IF(OR(Employee__2[[#This Row],[Age]]&gt;=30,Employee__2[[#This Row],[Gender]]="Male"),"Mached","Not mached")</f>
        <v>Mached</v>
      </c>
    </row>
    <row r="3299" spans="4:16" x14ac:dyDescent="0.25">
      <c r="D3299" s="6" t="s">
        <v>34</v>
      </c>
      <c r="E3299">
        <v>2012</v>
      </c>
      <c r="F3299" s="6" t="s">
        <v>38</v>
      </c>
      <c r="G3299">
        <v>3</v>
      </c>
      <c r="H3299">
        <v>33</v>
      </c>
      <c r="I3299" s="6" t="s">
        <v>36</v>
      </c>
      <c r="J3299" s="6" t="s">
        <v>37</v>
      </c>
      <c r="K3299">
        <v>2</v>
      </c>
      <c r="M3299" s="1" t="b">
        <f>Employee__2[[#This Row],[Experience]]&gt;1</f>
        <v>1</v>
      </c>
      <c r="N3299" s="1" t="str">
        <f>IF(Employee__2[[#This Row],[City]]="Pune","Yes","No")</f>
        <v>Yes</v>
      </c>
      <c r="O3299" s="1" t="str">
        <f>IF(AND(Employee__2[[#This Row],[Education]]="Bachelors",Employee__2[[#This Row],[City]]="Pune"),"Yes","No")</f>
        <v>Yes</v>
      </c>
      <c r="P3299" s="1" t="str">
        <f>IF(OR(Employee__2[[#This Row],[Age]]&gt;=30,Employee__2[[#This Row],[Gender]]="Male"),"Mached","Not mached")</f>
        <v>Mached</v>
      </c>
    </row>
    <row r="3300" spans="4:16" x14ac:dyDescent="0.25">
      <c r="D3300" s="6" t="s">
        <v>34</v>
      </c>
      <c r="E3300">
        <v>2017</v>
      </c>
      <c r="F3300" s="6" t="s">
        <v>38</v>
      </c>
      <c r="G3300">
        <v>3</v>
      </c>
      <c r="H3300">
        <v>33</v>
      </c>
      <c r="I3300" s="6" t="s">
        <v>36</v>
      </c>
      <c r="J3300" s="6" t="s">
        <v>37</v>
      </c>
      <c r="K3300">
        <v>2</v>
      </c>
      <c r="M3300" s="1" t="b">
        <f>Employee__2[[#This Row],[Experience]]&gt;1</f>
        <v>1</v>
      </c>
      <c r="N3300" s="1" t="str">
        <f>IF(Employee__2[[#This Row],[City]]="Pune","Yes","No")</f>
        <v>Yes</v>
      </c>
      <c r="O3300" s="1" t="str">
        <f>IF(AND(Employee__2[[#This Row],[Education]]="Bachelors",Employee__2[[#This Row],[City]]="Pune"),"Yes","No")</f>
        <v>Yes</v>
      </c>
      <c r="P3300" s="1" t="str">
        <f>IF(OR(Employee__2[[#This Row],[Age]]&gt;=30,Employee__2[[#This Row],[Gender]]="Male"),"Mached","Not mached")</f>
        <v>Mached</v>
      </c>
    </row>
    <row r="3301" spans="4:16" x14ac:dyDescent="0.25">
      <c r="D3301" s="6" t="s">
        <v>34</v>
      </c>
      <c r="E3301">
        <v>2013</v>
      </c>
      <c r="F3301" s="6" t="s">
        <v>38</v>
      </c>
      <c r="G3301">
        <v>3</v>
      </c>
      <c r="H3301">
        <v>32</v>
      </c>
      <c r="I3301" s="6" t="s">
        <v>36</v>
      </c>
      <c r="J3301" s="6" t="s">
        <v>37</v>
      </c>
      <c r="K3301">
        <v>2</v>
      </c>
      <c r="M3301" s="1" t="b">
        <f>Employee__2[[#This Row],[Experience]]&gt;1</f>
        <v>1</v>
      </c>
      <c r="N3301" s="1" t="str">
        <f>IF(Employee__2[[#This Row],[City]]="Pune","Yes","No")</f>
        <v>Yes</v>
      </c>
      <c r="O3301" s="1" t="str">
        <f>IF(AND(Employee__2[[#This Row],[Education]]="Bachelors",Employee__2[[#This Row],[City]]="Pune"),"Yes","No")</f>
        <v>Yes</v>
      </c>
      <c r="P3301" s="1" t="str">
        <f>IF(OR(Employee__2[[#This Row],[Age]]&gt;=30,Employee__2[[#This Row],[Gender]]="Male"),"Mached","Not mached")</f>
        <v>Mached</v>
      </c>
    </row>
    <row r="3302" spans="4:16" x14ac:dyDescent="0.25">
      <c r="D3302" s="6" t="s">
        <v>34</v>
      </c>
      <c r="E3302">
        <v>2015</v>
      </c>
      <c r="F3302" s="6" t="s">
        <v>38</v>
      </c>
      <c r="G3302">
        <v>2</v>
      </c>
      <c r="H3302">
        <v>40</v>
      </c>
      <c r="I3302" s="6" t="s">
        <v>39</v>
      </c>
      <c r="J3302" s="6" t="s">
        <v>37</v>
      </c>
      <c r="K3302">
        <v>4</v>
      </c>
      <c r="M3302" s="1" t="b">
        <f>Employee__2[[#This Row],[Experience]]&gt;1</f>
        <v>1</v>
      </c>
      <c r="N3302" s="1" t="str">
        <f>IF(Employee__2[[#This Row],[City]]="Pune","Yes","No")</f>
        <v>Yes</v>
      </c>
      <c r="O3302" s="1" t="str">
        <f>IF(AND(Employee__2[[#This Row],[Education]]="Bachelors",Employee__2[[#This Row],[City]]="Pune"),"Yes","No")</f>
        <v>Yes</v>
      </c>
      <c r="P3302" s="1" t="str">
        <f>IF(OR(Employee__2[[#This Row],[Age]]&gt;=30,Employee__2[[#This Row],[Gender]]="Male"),"Mached","Not mached")</f>
        <v>Mached</v>
      </c>
    </row>
    <row r="3303" spans="4:16" x14ac:dyDescent="0.25">
      <c r="D3303" s="6" t="s">
        <v>34</v>
      </c>
      <c r="E3303">
        <v>2013</v>
      </c>
      <c r="F3303" s="6" t="s">
        <v>40</v>
      </c>
      <c r="G3303">
        <v>3</v>
      </c>
      <c r="H3303">
        <v>38</v>
      </c>
      <c r="I3303" s="6" t="s">
        <v>39</v>
      </c>
      <c r="J3303" s="6" t="s">
        <v>37</v>
      </c>
      <c r="K3303">
        <v>4</v>
      </c>
      <c r="M3303" s="1" t="b">
        <f>Employee__2[[#This Row],[Experience]]&gt;1</f>
        <v>1</v>
      </c>
      <c r="N3303" s="1" t="str">
        <f>IF(Employee__2[[#This Row],[City]]="Pune","Yes","No")</f>
        <v>No</v>
      </c>
      <c r="O3303" s="1" t="str">
        <f>IF(AND(Employee__2[[#This Row],[Education]]="Bachelors",Employee__2[[#This Row],[City]]="Pune"),"Yes","No")</f>
        <v>No</v>
      </c>
      <c r="P3303" s="1" t="str">
        <f>IF(OR(Employee__2[[#This Row],[Age]]&gt;=30,Employee__2[[#This Row],[Gender]]="Male"),"Mached","Not mached")</f>
        <v>Mached</v>
      </c>
    </row>
    <row r="3304" spans="4:16" x14ac:dyDescent="0.25">
      <c r="D3304" s="6" t="s">
        <v>34</v>
      </c>
      <c r="E3304">
        <v>2016</v>
      </c>
      <c r="F3304" s="6" t="s">
        <v>35</v>
      </c>
      <c r="G3304">
        <v>3</v>
      </c>
      <c r="H3304">
        <v>34</v>
      </c>
      <c r="I3304" s="6" t="s">
        <v>36</v>
      </c>
      <c r="J3304" s="6" t="s">
        <v>42</v>
      </c>
      <c r="K3304">
        <v>2</v>
      </c>
      <c r="M3304" s="1" t="b">
        <f>Employee__2[[#This Row],[Experience]]&gt;1</f>
        <v>1</v>
      </c>
      <c r="N3304" s="1" t="str">
        <f>IF(Employee__2[[#This Row],[City]]="Pune","Yes","No")</f>
        <v>No</v>
      </c>
      <c r="O3304" s="1" t="str">
        <f>IF(AND(Employee__2[[#This Row],[Education]]="Bachelors",Employee__2[[#This Row],[City]]="Pune"),"Yes","No")</f>
        <v>No</v>
      </c>
      <c r="P3304" s="1" t="str">
        <f>IF(OR(Employee__2[[#This Row],[Age]]&gt;=30,Employee__2[[#This Row],[Gender]]="Male"),"Mached","Not mached")</f>
        <v>Mached</v>
      </c>
    </row>
    <row r="3305" spans="4:16" x14ac:dyDescent="0.25">
      <c r="D3305" s="6" t="s">
        <v>34</v>
      </c>
      <c r="E3305">
        <v>2016</v>
      </c>
      <c r="F3305" s="6" t="s">
        <v>35</v>
      </c>
      <c r="G3305">
        <v>1</v>
      </c>
      <c r="H3305">
        <v>39</v>
      </c>
      <c r="I3305" s="6" t="s">
        <v>36</v>
      </c>
      <c r="J3305" s="6" t="s">
        <v>37</v>
      </c>
      <c r="K3305">
        <v>2</v>
      </c>
      <c r="M3305" s="1" t="b">
        <f>Employee__2[[#This Row],[Experience]]&gt;1</f>
        <v>1</v>
      </c>
      <c r="N3305" s="1" t="str">
        <f>IF(Employee__2[[#This Row],[City]]="Pune","Yes","No")</f>
        <v>No</v>
      </c>
      <c r="O3305" s="1" t="str">
        <f>IF(AND(Employee__2[[#This Row],[Education]]="Bachelors",Employee__2[[#This Row],[City]]="Pune"),"Yes","No")</f>
        <v>No</v>
      </c>
      <c r="P3305" s="1" t="str">
        <f>IF(OR(Employee__2[[#This Row],[Age]]&gt;=30,Employee__2[[#This Row],[Gender]]="Male"),"Mached","Not mached")</f>
        <v>Mached</v>
      </c>
    </row>
    <row r="3306" spans="4:16" x14ac:dyDescent="0.25">
      <c r="D3306" s="6" t="s">
        <v>34</v>
      </c>
      <c r="E3306">
        <v>2012</v>
      </c>
      <c r="F3306" s="6" t="s">
        <v>35</v>
      </c>
      <c r="G3306">
        <v>3</v>
      </c>
      <c r="H3306">
        <v>38</v>
      </c>
      <c r="I3306" s="6" t="s">
        <v>36</v>
      </c>
      <c r="J3306" s="6" t="s">
        <v>37</v>
      </c>
      <c r="K3306">
        <v>2</v>
      </c>
      <c r="M3306" s="1" t="b">
        <f>Employee__2[[#This Row],[Experience]]&gt;1</f>
        <v>1</v>
      </c>
      <c r="N3306" s="1" t="str">
        <f>IF(Employee__2[[#This Row],[City]]="Pune","Yes","No")</f>
        <v>No</v>
      </c>
      <c r="O3306" s="1" t="str">
        <f>IF(AND(Employee__2[[#This Row],[Education]]="Bachelors",Employee__2[[#This Row],[City]]="Pune"),"Yes","No")</f>
        <v>No</v>
      </c>
      <c r="P3306" s="1" t="str">
        <f>IF(OR(Employee__2[[#This Row],[Age]]&gt;=30,Employee__2[[#This Row],[Gender]]="Male"),"Mached","Not mached")</f>
        <v>Mached</v>
      </c>
    </row>
    <row r="3307" spans="4:16" x14ac:dyDescent="0.25">
      <c r="D3307" s="6" t="s">
        <v>41</v>
      </c>
      <c r="E3307">
        <v>2017</v>
      </c>
      <c r="F3307" s="6" t="s">
        <v>40</v>
      </c>
      <c r="G3307">
        <v>2</v>
      </c>
      <c r="H3307">
        <v>31</v>
      </c>
      <c r="I3307" s="6" t="s">
        <v>39</v>
      </c>
      <c r="J3307" s="6" t="s">
        <v>37</v>
      </c>
      <c r="K3307">
        <v>2</v>
      </c>
      <c r="M3307" s="1" t="b">
        <f>Employee__2[[#This Row],[Experience]]&gt;1</f>
        <v>1</v>
      </c>
      <c r="N3307" s="1" t="str">
        <f>IF(Employee__2[[#This Row],[City]]="Pune","Yes","No")</f>
        <v>No</v>
      </c>
      <c r="O3307" s="1" t="str">
        <f>IF(AND(Employee__2[[#This Row],[Education]]="Bachelors",Employee__2[[#This Row],[City]]="Pune"),"Yes","No")</f>
        <v>No</v>
      </c>
      <c r="P3307" s="1" t="str">
        <f>IF(OR(Employee__2[[#This Row],[Age]]&gt;=30,Employee__2[[#This Row],[Gender]]="Male"),"Mached","Not mached")</f>
        <v>Mached</v>
      </c>
    </row>
    <row r="3308" spans="4:16" x14ac:dyDescent="0.25">
      <c r="D3308" s="6" t="s">
        <v>34</v>
      </c>
      <c r="E3308">
        <v>2017</v>
      </c>
      <c r="F3308" s="6" t="s">
        <v>35</v>
      </c>
      <c r="G3308">
        <v>3</v>
      </c>
      <c r="H3308">
        <v>35</v>
      </c>
      <c r="I3308" s="6" t="s">
        <v>39</v>
      </c>
      <c r="J3308" s="6" t="s">
        <v>37</v>
      </c>
      <c r="K3308">
        <v>5</v>
      </c>
      <c r="M3308" s="1" t="b">
        <f>Employee__2[[#This Row],[Experience]]&gt;1</f>
        <v>1</v>
      </c>
      <c r="N3308" s="1" t="str">
        <f>IF(Employee__2[[#This Row],[City]]="Pune","Yes","No")</f>
        <v>No</v>
      </c>
      <c r="O3308" s="1" t="str">
        <f>IF(AND(Employee__2[[#This Row],[Education]]="Bachelors",Employee__2[[#This Row],[City]]="Pune"),"Yes","No")</f>
        <v>No</v>
      </c>
      <c r="P3308" s="1" t="str">
        <f>IF(OR(Employee__2[[#This Row],[Age]]&gt;=30,Employee__2[[#This Row],[Gender]]="Male"),"Mached","Not mached")</f>
        <v>Mached</v>
      </c>
    </row>
    <row r="3309" spans="4:16" x14ac:dyDescent="0.25">
      <c r="D3309" s="6" t="s">
        <v>34</v>
      </c>
      <c r="E3309">
        <v>2013</v>
      </c>
      <c r="F3309" s="6" t="s">
        <v>35</v>
      </c>
      <c r="G3309">
        <v>3</v>
      </c>
      <c r="H3309">
        <v>31</v>
      </c>
      <c r="I3309" s="6" t="s">
        <v>36</v>
      </c>
      <c r="J3309" s="6" t="s">
        <v>37</v>
      </c>
      <c r="K3309">
        <v>2</v>
      </c>
      <c r="M3309" s="1" t="b">
        <f>Employee__2[[#This Row],[Experience]]&gt;1</f>
        <v>1</v>
      </c>
      <c r="N3309" s="1" t="str">
        <f>IF(Employee__2[[#This Row],[City]]="Pune","Yes","No")</f>
        <v>No</v>
      </c>
      <c r="O3309" s="1" t="str">
        <f>IF(AND(Employee__2[[#This Row],[Education]]="Bachelors",Employee__2[[#This Row],[City]]="Pune"),"Yes","No")</f>
        <v>No</v>
      </c>
      <c r="P3309" s="1" t="str">
        <f>IF(OR(Employee__2[[#This Row],[Age]]&gt;=30,Employee__2[[#This Row],[Gender]]="Male"),"Mached","Not mached")</f>
        <v>Mached</v>
      </c>
    </row>
    <row r="3310" spans="4:16" x14ac:dyDescent="0.25">
      <c r="D3310" s="6" t="s">
        <v>34</v>
      </c>
      <c r="E3310">
        <v>2012</v>
      </c>
      <c r="F3310" s="6" t="s">
        <v>38</v>
      </c>
      <c r="G3310">
        <v>3</v>
      </c>
      <c r="H3310">
        <v>33</v>
      </c>
      <c r="I3310" s="6" t="s">
        <v>36</v>
      </c>
      <c r="J3310" s="6" t="s">
        <v>37</v>
      </c>
      <c r="K3310">
        <v>1</v>
      </c>
      <c r="M3310" s="1" t="b">
        <f>Employee__2[[#This Row],[Experience]]&gt;1</f>
        <v>0</v>
      </c>
      <c r="N3310" s="1" t="str">
        <f>IF(Employee__2[[#This Row],[City]]="Pune","Yes","No")</f>
        <v>Yes</v>
      </c>
      <c r="O3310" s="1" t="str">
        <f>IF(AND(Employee__2[[#This Row],[Education]]="Bachelors",Employee__2[[#This Row],[City]]="Pune"),"Yes","No")</f>
        <v>Yes</v>
      </c>
      <c r="P3310" s="1" t="str">
        <f>IF(OR(Employee__2[[#This Row],[Age]]&gt;=30,Employee__2[[#This Row],[Gender]]="Male"),"Mached","Not mached")</f>
        <v>Mached</v>
      </c>
    </row>
    <row r="3311" spans="4:16" x14ac:dyDescent="0.25">
      <c r="D3311" s="6" t="s">
        <v>34</v>
      </c>
      <c r="E3311">
        <v>2015</v>
      </c>
      <c r="F3311" s="6" t="s">
        <v>38</v>
      </c>
      <c r="G3311">
        <v>2</v>
      </c>
      <c r="H3311">
        <v>37</v>
      </c>
      <c r="I3311" s="6" t="s">
        <v>39</v>
      </c>
      <c r="J3311" s="6" t="s">
        <v>37</v>
      </c>
      <c r="K3311">
        <v>3</v>
      </c>
      <c r="M3311" s="1" t="b">
        <f>Employee__2[[#This Row],[Experience]]&gt;1</f>
        <v>1</v>
      </c>
      <c r="N3311" s="1" t="str">
        <f>IF(Employee__2[[#This Row],[City]]="Pune","Yes","No")</f>
        <v>Yes</v>
      </c>
      <c r="O3311" s="1" t="str">
        <f>IF(AND(Employee__2[[#This Row],[Education]]="Bachelors",Employee__2[[#This Row],[City]]="Pune"),"Yes","No")</f>
        <v>Yes</v>
      </c>
      <c r="P3311" s="1" t="str">
        <f>IF(OR(Employee__2[[#This Row],[Age]]&gt;=30,Employee__2[[#This Row],[Gender]]="Male"),"Mached","Not mached")</f>
        <v>Mached</v>
      </c>
    </row>
    <row r="3312" spans="4:16" x14ac:dyDescent="0.25">
      <c r="D3312" s="6" t="s">
        <v>41</v>
      </c>
      <c r="E3312">
        <v>2018</v>
      </c>
      <c r="F3312" s="6" t="s">
        <v>40</v>
      </c>
      <c r="G3312">
        <v>3</v>
      </c>
      <c r="H3312">
        <v>40</v>
      </c>
      <c r="I3312" s="6" t="s">
        <v>39</v>
      </c>
      <c r="J3312" s="6" t="s">
        <v>37</v>
      </c>
      <c r="K3312">
        <v>2</v>
      </c>
      <c r="M3312" s="1" t="b">
        <f>Employee__2[[#This Row],[Experience]]&gt;1</f>
        <v>1</v>
      </c>
      <c r="N3312" s="1" t="str">
        <f>IF(Employee__2[[#This Row],[City]]="Pune","Yes","No")</f>
        <v>No</v>
      </c>
      <c r="O3312" s="1" t="str">
        <f>IF(AND(Employee__2[[#This Row],[Education]]="Bachelors",Employee__2[[#This Row],[City]]="Pune"),"Yes","No")</f>
        <v>No</v>
      </c>
      <c r="P3312" s="1" t="str">
        <f>IF(OR(Employee__2[[#This Row],[Age]]&gt;=30,Employee__2[[#This Row],[Gender]]="Male"),"Mached","Not mached")</f>
        <v>Mached</v>
      </c>
    </row>
    <row r="3313" spans="4:16" x14ac:dyDescent="0.25">
      <c r="D3313" s="6" t="s">
        <v>34</v>
      </c>
      <c r="E3313">
        <v>2014</v>
      </c>
      <c r="F3313" s="6" t="s">
        <v>35</v>
      </c>
      <c r="G3313">
        <v>3</v>
      </c>
      <c r="H3313">
        <v>38</v>
      </c>
      <c r="I3313" s="6" t="s">
        <v>36</v>
      </c>
      <c r="J3313" s="6" t="s">
        <v>37</v>
      </c>
      <c r="K3313">
        <v>0</v>
      </c>
      <c r="M3313" s="1" t="b">
        <f>Employee__2[[#This Row],[Experience]]&gt;1</f>
        <v>0</v>
      </c>
      <c r="N3313" s="1" t="str">
        <f>IF(Employee__2[[#This Row],[City]]="Pune","Yes","No")</f>
        <v>No</v>
      </c>
      <c r="O3313" s="1" t="str">
        <f>IF(AND(Employee__2[[#This Row],[Education]]="Bachelors",Employee__2[[#This Row],[City]]="Pune"),"Yes","No")</f>
        <v>No</v>
      </c>
      <c r="P3313" s="1" t="str">
        <f>IF(OR(Employee__2[[#This Row],[Age]]&gt;=30,Employee__2[[#This Row],[Gender]]="Male"),"Mached","Not mached")</f>
        <v>Mached</v>
      </c>
    </row>
    <row r="3314" spans="4:16" x14ac:dyDescent="0.25">
      <c r="D3314" s="6" t="s">
        <v>34</v>
      </c>
      <c r="E3314">
        <v>2012</v>
      </c>
      <c r="F3314" s="6" t="s">
        <v>35</v>
      </c>
      <c r="G3314">
        <v>3</v>
      </c>
      <c r="H3314">
        <v>31</v>
      </c>
      <c r="I3314" s="6" t="s">
        <v>36</v>
      </c>
      <c r="J3314" s="6" t="s">
        <v>42</v>
      </c>
      <c r="K3314">
        <v>5</v>
      </c>
      <c r="M3314" s="1" t="b">
        <f>Employee__2[[#This Row],[Experience]]&gt;1</f>
        <v>1</v>
      </c>
      <c r="N3314" s="1" t="str">
        <f>IF(Employee__2[[#This Row],[City]]="Pune","Yes","No")</f>
        <v>No</v>
      </c>
      <c r="O3314" s="1" t="str">
        <f>IF(AND(Employee__2[[#This Row],[Education]]="Bachelors",Employee__2[[#This Row],[City]]="Pune"),"Yes","No")</f>
        <v>No</v>
      </c>
      <c r="P3314" s="1" t="str">
        <f>IF(OR(Employee__2[[#This Row],[Age]]&gt;=30,Employee__2[[#This Row],[Gender]]="Male"),"Mached","Not mached")</f>
        <v>Mached</v>
      </c>
    </row>
    <row r="3315" spans="4:16" x14ac:dyDescent="0.25">
      <c r="D3315" s="6" t="s">
        <v>43</v>
      </c>
      <c r="E3315">
        <v>2014</v>
      </c>
      <c r="F3315" s="6" t="s">
        <v>35</v>
      </c>
      <c r="G3315">
        <v>3</v>
      </c>
      <c r="H3315">
        <v>39</v>
      </c>
      <c r="I3315" s="6" t="s">
        <v>36</v>
      </c>
      <c r="J3315" s="6" t="s">
        <v>37</v>
      </c>
      <c r="K3315">
        <v>1</v>
      </c>
      <c r="M3315" s="1" t="b">
        <f>Employee__2[[#This Row],[Experience]]&gt;1</f>
        <v>0</v>
      </c>
      <c r="N3315" s="1" t="str">
        <f>IF(Employee__2[[#This Row],[City]]="Pune","Yes","No")</f>
        <v>No</v>
      </c>
      <c r="O3315" s="1" t="str">
        <f>IF(AND(Employee__2[[#This Row],[Education]]="Bachelors",Employee__2[[#This Row],[City]]="Pune"),"Yes","No")</f>
        <v>No</v>
      </c>
      <c r="P3315" s="1" t="str">
        <f>IF(OR(Employee__2[[#This Row],[Age]]&gt;=30,Employee__2[[#This Row],[Gender]]="Male"),"Mached","Not mached")</f>
        <v>Mached</v>
      </c>
    </row>
    <row r="3316" spans="4:16" x14ac:dyDescent="0.25">
      <c r="D3316" s="6" t="s">
        <v>34</v>
      </c>
      <c r="E3316">
        <v>2016</v>
      </c>
      <c r="F3316" s="6" t="s">
        <v>40</v>
      </c>
      <c r="G3316">
        <v>3</v>
      </c>
      <c r="H3316">
        <v>40</v>
      </c>
      <c r="I3316" s="6" t="s">
        <v>36</v>
      </c>
      <c r="J3316" s="6" t="s">
        <v>37</v>
      </c>
      <c r="K3316">
        <v>0</v>
      </c>
      <c r="M3316" s="1" t="b">
        <f>Employee__2[[#This Row],[Experience]]&gt;1</f>
        <v>0</v>
      </c>
      <c r="N3316" s="1" t="str">
        <f>IF(Employee__2[[#This Row],[City]]="Pune","Yes","No")</f>
        <v>No</v>
      </c>
      <c r="O3316" s="1" t="str">
        <f>IF(AND(Employee__2[[#This Row],[Education]]="Bachelors",Employee__2[[#This Row],[City]]="Pune"),"Yes","No")</f>
        <v>No</v>
      </c>
      <c r="P3316" s="1" t="str">
        <f>IF(OR(Employee__2[[#This Row],[Age]]&gt;=30,Employee__2[[#This Row],[Gender]]="Male"),"Mached","Not mached")</f>
        <v>Mached</v>
      </c>
    </row>
    <row r="3317" spans="4:16" x14ac:dyDescent="0.25">
      <c r="D3317" s="6" t="s">
        <v>34</v>
      </c>
      <c r="E3317">
        <v>2017</v>
      </c>
      <c r="F3317" s="6" t="s">
        <v>38</v>
      </c>
      <c r="G3317">
        <v>3</v>
      </c>
      <c r="H3317">
        <v>36</v>
      </c>
      <c r="I3317" s="6" t="s">
        <v>39</v>
      </c>
      <c r="J3317" s="6" t="s">
        <v>37</v>
      </c>
      <c r="K3317">
        <v>0</v>
      </c>
      <c r="M3317" s="1" t="b">
        <f>Employee__2[[#This Row],[Experience]]&gt;1</f>
        <v>0</v>
      </c>
      <c r="N3317" s="1" t="str">
        <f>IF(Employee__2[[#This Row],[City]]="Pune","Yes","No")</f>
        <v>Yes</v>
      </c>
      <c r="O3317" s="1" t="str">
        <f>IF(AND(Employee__2[[#This Row],[Education]]="Bachelors",Employee__2[[#This Row],[City]]="Pune"),"Yes","No")</f>
        <v>Yes</v>
      </c>
      <c r="P3317" s="1" t="str">
        <f>IF(OR(Employee__2[[#This Row],[Age]]&gt;=30,Employee__2[[#This Row],[Gender]]="Male"),"Mached","Not mached")</f>
        <v>Mached</v>
      </c>
    </row>
    <row r="3318" spans="4:16" x14ac:dyDescent="0.25">
      <c r="D3318" s="6" t="s">
        <v>34</v>
      </c>
      <c r="E3318">
        <v>2015</v>
      </c>
      <c r="F3318" s="6" t="s">
        <v>35</v>
      </c>
      <c r="G3318">
        <v>3</v>
      </c>
      <c r="H3318">
        <v>39</v>
      </c>
      <c r="I3318" s="6" t="s">
        <v>39</v>
      </c>
      <c r="J3318" s="6" t="s">
        <v>37</v>
      </c>
      <c r="K3318">
        <v>3</v>
      </c>
      <c r="M3318" s="1" t="b">
        <f>Employee__2[[#This Row],[Experience]]&gt;1</f>
        <v>1</v>
      </c>
      <c r="N3318" s="1" t="str">
        <f>IF(Employee__2[[#This Row],[City]]="Pune","Yes","No")</f>
        <v>No</v>
      </c>
      <c r="O3318" s="1" t="str">
        <f>IF(AND(Employee__2[[#This Row],[Education]]="Bachelors",Employee__2[[#This Row],[City]]="Pune"),"Yes","No")</f>
        <v>No</v>
      </c>
      <c r="P3318" s="1" t="str">
        <f>IF(OR(Employee__2[[#This Row],[Age]]&gt;=30,Employee__2[[#This Row],[Gender]]="Male"),"Mached","Not mached")</f>
        <v>Mached</v>
      </c>
    </row>
    <row r="3319" spans="4:16" x14ac:dyDescent="0.25">
      <c r="D3319" s="6" t="s">
        <v>34</v>
      </c>
      <c r="E3319">
        <v>2012</v>
      </c>
      <c r="F3319" s="6" t="s">
        <v>35</v>
      </c>
      <c r="G3319">
        <v>3</v>
      </c>
      <c r="H3319">
        <v>39</v>
      </c>
      <c r="I3319" s="6" t="s">
        <v>36</v>
      </c>
      <c r="J3319" s="6" t="s">
        <v>37</v>
      </c>
      <c r="K3319">
        <v>0</v>
      </c>
      <c r="M3319" s="1" t="b">
        <f>Employee__2[[#This Row],[Experience]]&gt;1</f>
        <v>0</v>
      </c>
      <c r="N3319" s="1" t="str">
        <f>IF(Employee__2[[#This Row],[City]]="Pune","Yes","No")</f>
        <v>No</v>
      </c>
      <c r="O3319" s="1" t="str">
        <f>IF(AND(Employee__2[[#This Row],[Education]]="Bachelors",Employee__2[[#This Row],[City]]="Pune"),"Yes","No")</f>
        <v>No</v>
      </c>
      <c r="P3319" s="1" t="str">
        <f>IF(OR(Employee__2[[#This Row],[Age]]&gt;=30,Employee__2[[#This Row],[Gender]]="Male"),"Mached","Not mached")</f>
        <v>Mached</v>
      </c>
    </row>
    <row r="3320" spans="4:16" x14ac:dyDescent="0.25">
      <c r="D3320" s="6" t="s">
        <v>34</v>
      </c>
      <c r="E3320">
        <v>2013</v>
      </c>
      <c r="F3320" s="6" t="s">
        <v>35</v>
      </c>
      <c r="G3320">
        <v>3</v>
      </c>
      <c r="H3320">
        <v>35</v>
      </c>
      <c r="I3320" s="6" t="s">
        <v>39</v>
      </c>
      <c r="J3320" s="6" t="s">
        <v>37</v>
      </c>
      <c r="K3320">
        <v>0</v>
      </c>
      <c r="M3320" s="1" t="b">
        <f>Employee__2[[#This Row],[Experience]]&gt;1</f>
        <v>0</v>
      </c>
      <c r="N3320" s="1" t="str">
        <f>IF(Employee__2[[#This Row],[City]]="Pune","Yes","No")</f>
        <v>No</v>
      </c>
      <c r="O3320" s="1" t="str">
        <f>IF(AND(Employee__2[[#This Row],[Education]]="Bachelors",Employee__2[[#This Row],[City]]="Pune"),"Yes","No")</f>
        <v>No</v>
      </c>
      <c r="P3320" s="1" t="str">
        <f>IF(OR(Employee__2[[#This Row],[Age]]&gt;=30,Employee__2[[#This Row],[Gender]]="Male"),"Mached","Not mached")</f>
        <v>Mached</v>
      </c>
    </row>
    <row r="3321" spans="4:16" x14ac:dyDescent="0.25">
      <c r="D3321" s="6" t="s">
        <v>41</v>
      </c>
      <c r="E3321">
        <v>2013</v>
      </c>
      <c r="F3321" s="6" t="s">
        <v>40</v>
      </c>
      <c r="G3321">
        <v>3</v>
      </c>
      <c r="H3321">
        <v>35</v>
      </c>
      <c r="I3321" s="6" t="s">
        <v>36</v>
      </c>
      <c r="J3321" s="6" t="s">
        <v>37</v>
      </c>
      <c r="K3321">
        <v>2</v>
      </c>
      <c r="M3321" s="1" t="b">
        <f>Employee__2[[#This Row],[Experience]]&gt;1</f>
        <v>1</v>
      </c>
      <c r="N3321" s="1" t="str">
        <f>IF(Employee__2[[#This Row],[City]]="Pune","Yes","No")</f>
        <v>No</v>
      </c>
      <c r="O3321" s="1" t="str">
        <f>IF(AND(Employee__2[[#This Row],[Education]]="Bachelors",Employee__2[[#This Row],[City]]="Pune"),"Yes","No")</f>
        <v>No</v>
      </c>
      <c r="P3321" s="1" t="str">
        <f>IF(OR(Employee__2[[#This Row],[Age]]&gt;=30,Employee__2[[#This Row],[Gender]]="Male"),"Mached","Not mached")</f>
        <v>Mached</v>
      </c>
    </row>
    <row r="3322" spans="4:16" x14ac:dyDescent="0.25">
      <c r="D3322" s="6" t="s">
        <v>34</v>
      </c>
      <c r="E3322">
        <v>2013</v>
      </c>
      <c r="F3322" s="6" t="s">
        <v>35</v>
      </c>
      <c r="G3322">
        <v>3</v>
      </c>
      <c r="H3322">
        <v>35</v>
      </c>
      <c r="I3322" s="6" t="s">
        <v>36</v>
      </c>
      <c r="J3322" s="6" t="s">
        <v>37</v>
      </c>
      <c r="K3322">
        <v>5</v>
      </c>
      <c r="M3322" s="1" t="b">
        <f>Employee__2[[#This Row],[Experience]]&gt;1</f>
        <v>1</v>
      </c>
      <c r="N3322" s="1" t="str">
        <f>IF(Employee__2[[#This Row],[City]]="Pune","Yes","No")</f>
        <v>No</v>
      </c>
      <c r="O3322" s="1" t="str">
        <f>IF(AND(Employee__2[[#This Row],[Education]]="Bachelors",Employee__2[[#This Row],[City]]="Pune"),"Yes","No")</f>
        <v>No</v>
      </c>
      <c r="P3322" s="1" t="str">
        <f>IF(OR(Employee__2[[#This Row],[Age]]&gt;=30,Employee__2[[#This Row],[Gender]]="Male"),"Mached","Not mached")</f>
        <v>Mached</v>
      </c>
    </row>
    <row r="3323" spans="4:16" x14ac:dyDescent="0.25">
      <c r="D3323" s="6" t="s">
        <v>41</v>
      </c>
      <c r="E3323">
        <v>2017</v>
      </c>
      <c r="F3323" s="6" t="s">
        <v>35</v>
      </c>
      <c r="G3323">
        <v>3</v>
      </c>
      <c r="H3323">
        <v>34</v>
      </c>
      <c r="I3323" s="6" t="s">
        <v>39</v>
      </c>
      <c r="J3323" s="6" t="s">
        <v>37</v>
      </c>
      <c r="K3323">
        <v>4</v>
      </c>
      <c r="M3323" s="1" t="b">
        <f>Employee__2[[#This Row],[Experience]]&gt;1</f>
        <v>1</v>
      </c>
      <c r="N3323" s="1" t="str">
        <f>IF(Employee__2[[#This Row],[City]]="Pune","Yes","No")</f>
        <v>No</v>
      </c>
      <c r="O3323" s="1" t="str">
        <f>IF(AND(Employee__2[[#This Row],[Education]]="Bachelors",Employee__2[[#This Row],[City]]="Pune"),"Yes","No")</f>
        <v>No</v>
      </c>
      <c r="P3323" s="1" t="str">
        <f>IF(OR(Employee__2[[#This Row],[Age]]&gt;=30,Employee__2[[#This Row],[Gender]]="Male"),"Mached","Not mached")</f>
        <v>Mached</v>
      </c>
    </row>
    <row r="3324" spans="4:16" x14ac:dyDescent="0.25">
      <c r="D3324" s="6" t="s">
        <v>34</v>
      </c>
      <c r="E3324">
        <v>2014</v>
      </c>
      <c r="F3324" s="6" t="s">
        <v>35</v>
      </c>
      <c r="G3324">
        <v>3</v>
      </c>
      <c r="H3324">
        <v>41</v>
      </c>
      <c r="I3324" s="6" t="s">
        <v>36</v>
      </c>
      <c r="J3324" s="6" t="s">
        <v>37</v>
      </c>
      <c r="K3324">
        <v>4</v>
      </c>
      <c r="M3324" s="1" t="b">
        <f>Employee__2[[#This Row],[Experience]]&gt;1</f>
        <v>1</v>
      </c>
      <c r="N3324" s="1" t="str">
        <f>IF(Employee__2[[#This Row],[City]]="Pune","Yes","No")</f>
        <v>No</v>
      </c>
      <c r="O3324" s="1" t="str">
        <f>IF(AND(Employee__2[[#This Row],[Education]]="Bachelors",Employee__2[[#This Row],[City]]="Pune"),"Yes","No")</f>
        <v>No</v>
      </c>
      <c r="P3324" s="1" t="str">
        <f>IF(OR(Employee__2[[#This Row],[Age]]&gt;=30,Employee__2[[#This Row],[Gender]]="Male"),"Mached","Not mached")</f>
        <v>Mached</v>
      </c>
    </row>
    <row r="3325" spans="4:16" x14ac:dyDescent="0.25">
      <c r="D3325" s="6" t="s">
        <v>34</v>
      </c>
      <c r="E3325">
        <v>2017</v>
      </c>
      <c r="F3325" s="6" t="s">
        <v>35</v>
      </c>
      <c r="G3325">
        <v>3</v>
      </c>
      <c r="H3325">
        <v>35</v>
      </c>
      <c r="I3325" s="6" t="s">
        <v>36</v>
      </c>
      <c r="J3325" s="6" t="s">
        <v>37</v>
      </c>
      <c r="K3325">
        <v>5</v>
      </c>
      <c r="M3325" s="1" t="b">
        <f>Employee__2[[#This Row],[Experience]]&gt;1</f>
        <v>1</v>
      </c>
      <c r="N3325" s="1" t="str">
        <f>IF(Employee__2[[#This Row],[City]]="Pune","Yes","No")</f>
        <v>No</v>
      </c>
      <c r="O3325" s="1" t="str">
        <f>IF(AND(Employee__2[[#This Row],[Education]]="Bachelors",Employee__2[[#This Row],[City]]="Pune"),"Yes","No")</f>
        <v>No</v>
      </c>
      <c r="P3325" s="1" t="str">
        <f>IF(OR(Employee__2[[#This Row],[Age]]&gt;=30,Employee__2[[#This Row],[Gender]]="Male"),"Mached","Not mached")</f>
        <v>Mached</v>
      </c>
    </row>
    <row r="3326" spans="4:16" x14ac:dyDescent="0.25">
      <c r="D3326" s="6" t="s">
        <v>34</v>
      </c>
      <c r="E3326">
        <v>2013</v>
      </c>
      <c r="F3326" s="6" t="s">
        <v>35</v>
      </c>
      <c r="G3326">
        <v>3</v>
      </c>
      <c r="H3326">
        <v>40</v>
      </c>
      <c r="I3326" s="6" t="s">
        <v>36</v>
      </c>
      <c r="J3326" s="6" t="s">
        <v>37</v>
      </c>
      <c r="K3326">
        <v>1</v>
      </c>
      <c r="M3326" s="1" t="b">
        <f>Employee__2[[#This Row],[Experience]]&gt;1</f>
        <v>0</v>
      </c>
      <c r="N3326" s="1" t="str">
        <f>IF(Employee__2[[#This Row],[City]]="Pune","Yes","No")</f>
        <v>No</v>
      </c>
      <c r="O3326" s="1" t="str">
        <f>IF(AND(Employee__2[[#This Row],[Education]]="Bachelors",Employee__2[[#This Row],[City]]="Pune"),"Yes","No")</f>
        <v>No</v>
      </c>
      <c r="P3326" s="1" t="str">
        <f>IF(OR(Employee__2[[#This Row],[Age]]&gt;=30,Employee__2[[#This Row],[Gender]]="Male"),"Mached","Not mached")</f>
        <v>Mached</v>
      </c>
    </row>
    <row r="3327" spans="4:16" x14ac:dyDescent="0.25">
      <c r="D3327" s="6" t="s">
        <v>41</v>
      </c>
      <c r="E3327">
        <v>2017</v>
      </c>
      <c r="F3327" s="6" t="s">
        <v>38</v>
      </c>
      <c r="G3327">
        <v>3</v>
      </c>
      <c r="H3327">
        <v>31</v>
      </c>
      <c r="I3327" s="6" t="s">
        <v>36</v>
      </c>
      <c r="J3327" s="6" t="s">
        <v>37</v>
      </c>
      <c r="K3327">
        <v>3</v>
      </c>
      <c r="M3327" s="1" t="b">
        <f>Employee__2[[#This Row],[Experience]]&gt;1</f>
        <v>1</v>
      </c>
      <c r="N3327" s="1" t="str">
        <f>IF(Employee__2[[#This Row],[City]]="Pune","Yes","No")</f>
        <v>Yes</v>
      </c>
      <c r="O3327" s="1" t="str">
        <f>IF(AND(Employee__2[[#This Row],[Education]]="Bachelors",Employee__2[[#This Row],[City]]="Pune"),"Yes","No")</f>
        <v>No</v>
      </c>
      <c r="P3327" s="1" t="str">
        <f>IF(OR(Employee__2[[#This Row],[Age]]&gt;=30,Employee__2[[#This Row],[Gender]]="Male"),"Mached","Not mached")</f>
        <v>Mached</v>
      </c>
    </row>
    <row r="3328" spans="4:16" x14ac:dyDescent="0.25">
      <c r="D3328" s="6" t="s">
        <v>41</v>
      </c>
      <c r="E3328">
        <v>2014</v>
      </c>
      <c r="F3328" s="6" t="s">
        <v>40</v>
      </c>
      <c r="G3328">
        <v>3</v>
      </c>
      <c r="H3328">
        <v>33</v>
      </c>
      <c r="I3328" s="6" t="s">
        <v>36</v>
      </c>
      <c r="J3328" s="6" t="s">
        <v>37</v>
      </c>
      <c r="K3328">
        <v>3</v>
      </c>
      <c r="M3328" s="1" t="b">
        <f>Employee__2[[#This Row],[Experience]]&gt;1</f>
        <v>1</v>
      </c>
      <c r="N3328" s="1" t="str">
        <f>IF(Employee__2[[#This Row],[City]]="Pune","Yes","No")</f>
        <v>No</v>
      </c>
      <c r="O3328" s="1" t="str">
        <f>IF(AND(Employee__2[[#This Row],[Education]]="Bachelors",Employee__2[[#This Row],[City]]="Pune"),"Yes","No")</f>
        <v>No</v>
      </c>
      <c r="P3328" s="1" t="str">
        <f>IF(OR(Employee__2[[#This Row],[Age]]&gt;=30,Employee__2[[#This Row],[Gender]]="Male"),"Mached","Not mached")</f>
        <v>Mached</v>
      </c>
    </row>
    <row r="3329" spans="4:16" x14ac:dyDescent="0.25">
      <c r="D3329" s="6" t="s">
        <v>34</v>
      </c>
      <c r="E3329">
        <v>2017</v>
      </c>
      <c r="F3329" s="6" t="s">
        <v>38</v>
      </c>
      <c r="G3329">
        <v>2</v>
      </c>
      <c r="H3329">
        <v>33</v>
      </c>
      <c r="I3329" s="6" t="s">
        <v>39</v>
      </c>
      <c r="J3329" s="6" t="s">
        <v>37</v>
      </c>
      <c r="K3329">
        <v>2</v>
      </c>
      <c r="M3329" s="1" t="b">
        <f>Employee__2[[#This Row],[Experience]]&gt;1</f>
        <v>1</v>
      </c>
      <c r="N3329" s="1" t="str">
        <f>IF(Employee__2[[#This Row],[City]]="Pune","Yes","No")</f>
        <v>Yes</v>
      </c>
      <c r="O3329" s="1" t="str">
        <f>IF(AND(Employee__2[[#This Row],[Education]]="Bachelors",Employee__2[[#This Row],[City]]="Pune"),"Yes","No")</f>
        <v>Yes</v>
      </c>
      <c r="P3329" s="1" t="str">
        <f>IF(OR(Employee__2[[#This Row],[Age]]&gt;=30,Employee__2[[#This Row],[Gender]]="Male"),"Mached","Not mached")</f>
        <v>Mached</v>
      </c>
    </row>
    <row r="3330" spans="4:16" x14ac:dyDescent="0.25">
      <c r="D3330" s="6" t="s">
        <v>34</v>
      </c>
      <c r="E3330">
        <v>2016</v>
      </c>
      <c r="F3330" s="6" t="s">
        <v>35</v>
      </c>
      <c r="G3330">
        <v>3</v>
      </c>
      <c r="H3330">
        <v>39</v>
      </c>
      <c r="I3330" s="6" t="s">
        <v>39</v>
      </c>
      <c r="J3330" s="6" t="s">
        <v>37</v>
      </c>
      <c r="K3330">
        <v>5</v>
      </c>
      <c r="M3330" s="1" t="b">
        <f>Employee__2[[#This Row],[Experience]]&gt;1</f>
        <v>1</v>
      </c>
      <c r="N3330" s="1" t="str">
        <f>IF(Employee__2[[#This Row],[City]]="Pune","Yes","No")</f>
        <v>No</v>
      </c>
      <c r="O3330" s="1" t="str">
        <f>IF(AND(Employee__2[[#This Row],[Education]]="Bachelors",Employee__2[[#This Row],[City]]="Pune"),"Yes","No")</f>
        <v>No</v>
      </c>
      <c r="P3330" s="1" t="str">
        <f>IF(OR(Employee__2[[#This Row],[Age]]&gt;=30,Employee__2[[#This Row],[Gender]]="Male"),"Mached","Not mached")</f>
        <v>Mached</v>
      </c>
    </row>
    <row r="3331" spans="4:16" x14ac:dyDescent="0.25">
      <c r="D3331" s="6" t="s">
        <v>34</v>
      </c>
      <c r="E3331">
        <v>2016</v>
      </c>
      <c r="F3331" s="6" t="s">
        <v>35</v>
      </c>
      <c r="G3331">
        <v>3</v>
      </c>
      <c r="H3331">
        <v>41</v>
      </c>
      <c r="I3331" s="6" t="s">
        <v>36</v>
      </c>
      <c r="J3331" s="6" t="s">
        <v>37</v>
      </c>
      <c r="K3331">
        <v>1</v>
      </c>
      <c r="M3331" s="1" t="b">
        <f>Employee__2[[#This Row],[Experience]]&gt;1</f>
        <v>0</v>
      </c>
      <c r="N3331" s="1" t="str">
        <f>IF(Employee__2[[#This Row],[City]]="Pune","Yes","No")</f>
        <v>No</v>
      </c>
      <c r="O3331" s="1" t="str">
        <f>IF(AND(Employee__2[[#This Row],[Education]]="Bachelors",Employee__2[[#This Row],[City]]="Pune"),"Yes","No")</f>
        <v>No</v>
      </c>
      <c r="P3331" s="1" t="str">
        <f>IF(OR(Employee__2[[#This Row],[Age]]&gt;=30,Employee__2[[#This Row],[Gender]]="Male"),"Mached","Not mached")</f>
        <v>Mached</v>
      </c>
    </row>
    <row r="3332" spans="4:16" x14ac:dyDescent="0.25">
      <c r="D3332" s="6" t="s">
        <v>34</v>
      </c>
      <c r="E3332">
        <v>2017</v>
      </c>
      <c r="F3332" s="6" t="s">
        <v>35</v>
      </c>
      <c r="G3332">
        <v>3</v>
      </c>
      <c r="H3332">
        <v>32</v>
      </c>
      <c r="I3332" s="6" t="s">
        <v>36</v>
      </c>
      <c r="J3332" s="6" t="s">
        <v>37</v>
      </c>
      <c r="K3332">
        <v>5</v>
      </c>
      <c r="M3332" s="1" t="b">
        <f>Employee__2[[#This Row],[Experience]]&gt;1</f>
        <v>1</v>
      </c>
      <c r="N3332" s="1" t="str">
        <f>IF(Employee__2[[#This Row],[City]]="Pune","Yes","No")</f>
        <v>No</v>
      </c>
      <c r="O3332" s="1" t="str">
        <f>IF(AND(Employee__2[[#This Row],[Education]]="Bachelors",Employee__2[[#This Row],[City]]="Pune"),"Yes","No")</f>
        <v>No</v>
      </c>
      <c r="P3332" s="1" t="str">
        <f>IF(OR(Employee__2[[#This Row],[Age]]&gt;=30,Employee__2[[#This Row],[Gender]]="Male"),"Mached","Not mached")</f>
        <v>Mached</v>
      </c>
    </row>
    <row r="3333" spans="4:16" x14ac:dyDescent="0.25">
      <c r="D3333" s="6" t="s">
        <v>34</v>
      </c>
      <c r="E3333">
        <v>2014</v>
      </c>
      <c r="F3333" s="6" t="s">
        <v>38</v>
      </c>
      <c r="G3333">
        <v>2</v>
      </c>
      <c r="H3333">
        <v>39</v>
      </c>
      <c r="I3333" s="6" t="s">
        <v>39</v>
      </c>
      <c r="J3333" s="6" t="s">
        <v>37</v>
      </c>
      <c r="K3333">
        <v>5</v>
      </c>
      <c r="M3333" s="1" t="b">
        <f>Employee__2[[#This Row],[Experience]]&gt;1</f>
        <v>1</v>
      </c>
      <c r="N3333" s="1" t="str">
        <f>IF(Employee__2[[#This Row],[City]]="Pune","Yes","No")</f>
        <v>Yes</v>
      </c>
      <c r="O3333" s="1" t="str">
        <f>IF(AND(Employee__2[[#This Row],[Education]]="Bachelors",Employee__2[[#This Row],[City]]="Pune"),"Yes","No")</f>
        <v>Yes</v>
      </c>
      <c r="P3333" s="1" t="str">
        <f>IF(OR(Employee__2[[#This Row],[Age]]&gt;=30,Employee__2[[#This Row],[Gender]]="Male"),"Mached","Not mached")</f>
        <v>Mached</v>
      </c>
    </row>
    <row r="3334" spans="4:16" x14ac:dyDescent="0.25">
      <c r="D3334" s="6" t="s">
        <v>34</v>
      </c>
      <c r="E3334">
        <v>2014</v>
      </c>
      <c r="F3334" s="6" t="s">
        <v>35</v>
      </c>
      <c r="G3334">
        <v>3</v>
      </c>
      <c r="H3334">
        <v>31</v>
      </c>
      <c r="I3334" s="6" t="s">
        <v>36</v>
      </c>
      <c r="J3334" s="6" t="s">
        <v>37</v>
      </c>
      <c r="K3334">
        <v>1</v>
      </c>
      <c r="M3334" s="1" t="b">
        <f>Employee__2[[#This Row],[Experience]]&gt;1</f>
        <v>0</v>
      </c>
      <c r="N3334" s="1" t="str">
        <f>IF(Employee__2[[#This Row],[City]]="Pune","Yes","No")</f>
        <v>No</v>
      </c>
      <c r="O3334" s="1" t="str">
        <f>IF(AND(Employee__2[[#This Row],[Education]]="Bachelors",Employee__2[[#This Row],[City]]="Pune"),"Yes","No")</f>
        <v>No</v>
      </c>
      <c r="P3334" s="1" t="str">
        <f>IF(OR(Employee__2[[#This Row],[Age]]&gt;=30,Employee__2[[#This Row],[Gender]]="Male"),"Mached","Not mached")</f>
        <v>Mached</v>
      </c>
    </row>
    <row r="3335" spans="4:16" x14ac:dyDescent="0.25">
      <c r="D3335" s="6" t="s">
        <v>34</v>
      </c>
      <c r="E3335">
        <v>2012</v>
      </c>
      <c r="F3335" s="6" t="s">
        <v>35</v>
      </c>
      <c r="G3335">
        <v>3</v>
      </c>
      <c r="H3335">
        <v>40</v>
      </c>
      <c r="I3335" s="6" t="s">
        <v>36</v>
      </c>
      <c r="J3335" s="6" t="s">
        <v>37</v>
      </c>
      <c r="K3335">
        <v>3</v>
      </c>
      <c r="M3335" s="1" t="b">
        <f>Employee__2[[#This Row],[Experience]]&gt;1</f>
        <v>1</v>
      </c>
      <c r="N3335" s="1" t="str">
        <f>IF(Employee__2[[#This Row],[City]]="Pune","Yes","No")</f>
        <v>No</v>
      </c>
      <c r="O3335" s="1" t="str">
        <f>IF(AND(Employee__2[[#This Row],[Education]]="Bachelors",Employee__2[[#This Row],[City]]="Pune"),"Yes","No")</f>
        <v>No</v>
      </c>
      <c r="P3335" s="1" t="str">
        <f>IF(OR(Employee__2[[#This Row],[Age]]&gt;=30,Employee__2[[#This Row],[Gender]]="Male"),"Mached","Not mached")</f>
        <v>Mached</v>
      </c>
    </row>
    <row r="3336" spans="4:16" x14ac:dyDescent="0.25">
      <c r="D3336" s="6" t="s">
        <v>41</v>
      </c>
      <c r="E3336">
        <v>2018</v>
      </c>
      <c r="F3336" s="6" t="s">
        <v>40</v>
      </c>
      <c r="G3336">
        <v>3</v>
      </c>
      <c r="H3336">
        <v>34</v>
      </c>
      <c r="I3336" s="6" t="s">
        <v>36</v>
      </c>
      <c r="J3336" s="6" t="s">
        <v>37</v>
      </c>
      <c r="K3336">
        <v>2</v>
      </c>
      <c r="M3336" s="1" t="b">
        <f>Employee__2[[#This Row],[Experience]]&gt;1</f>
        <v>1</v>
      </c>
      <c r="N3336" s="1" t="str">
        <f>IF(Employee__2[[#This Row],[City]]="Pune","Yes","No")</f>
        <v>No</v>
      </c>
      <c r="O3336" s="1" t="str">
        <f>IF(AND(Employee__2[[#This Row],[Education]]="Bachelors",Employee__2[[#This Row],[City]]="Pune"),"Yes","No")</f>
        <v>No</v>
      </c>
      <c r="P3336" s="1" t="str">
        <f>IF(OR(Employee__2[[#This Row],[Age]]&gt;=30,Employee__2[[#This Row],[Gender]]="Male"),"Mached","Not mached")</f>
        <v>Mached</v>
      </c>
    </row>
    <row r="3337" spans="4:16" x14ac:dyDescent="0.25">
      <c r="D3337" s="6" t="s">
        <v>34</v>
      </c>
      <c r="E3337">
        <v>2018</v>
      </c>
      <c r="F3337" s="6" t="s">
        <v>40</v>
      </c>
      <c r="G3337">
        <v>3</v>
      </c>
      <c r="H3337">
        <v>37</v>
      </c>
      <c r="I3337" s="6" t="s">
        <v>36</v>
      </c>
      <c r="J3337" s="6" t="s">
        <v>37</v>
      </c>
      <c r="K3337">
        <v>4</v>
      </c>
      <c r="M3337" s="1" t="b">
        <f>Employee__2[[#This Row],[Experience]]&gt;1</f>
        <v>1</v>
      </c>
      <c r="N3337" s="1" t="str">
        <f>IF(Employee__2[[#This Row],[City]]="Pune","Yes","No")</f>
        <v>No</v>
      </c>
      <c r="O3337" s="1" t="str">
        <f>IF(AND(Employee__2[[#This Row],[Education]]="Bachelors",Employee__2[[#This Row],[City]]="Pune"),"Yes","No")</f>
        <v>No</v>
      </c>
      <c r="P3337" s="1" t="str">
        <f>IF(OR(Employee__2[[#This Row],[Age]]&gt;=30,Employee__2[[#This Row],[Gender]]="Male"),"Mached","Not mached")</f>
        <v>Mached</v>
      </c>
    </row>
    <row r="3338" spans="4:16" x14ac:dyDescent="0.25">
      <c r="D3338" s="6" t="s">
        <v>34</v>
      </c>
      <c r="E3338">
        <v>2016</v>
      </c>
      <c r="F3338" s="6" t="s">
        <v>35</v>
      </c>
      <c r="G3338">
        <v>3</v>
      </c>
      <c r="H3338">
        <v>37</v>
      </c>
      <c r="I3338" s="6" t="s">
        <v>39</v>
      </c>
      <c r="J3338" s="6" t="s">
        <v>37</v>
      </c>
      <c r="K3338">
        <v>0</v>
      </c>
      <c r="M3338" s="1" t="b">
        <f>Employee__2[[#This Row],[Experience]]&gt;1</f>
        <v>0</v>
      </c>
      <c r="N3338" s="1" t="str">
        <f>IF(Employee__2[[#This Row],[City]]="Pune","Yes","No")</f>
        <v>No</v>
      </c>
      <c r="O3338" s="1" t="str">
        <f>IF(AND(Employee__2[[#This Row],[Education]]="Bachelors",Employee__2[[#This Row],[City]]="Pune"),"Yes","No")</f>
        <v>No</v>
      </c>
      <c r="P3338" s="1" t="str">
        <f>IF(OR(Employee__2[[#This Row],[Age]]&gt;=30,Employee__2[[#This Row],[Gender]]="Male"),"Mached","Not mached")</f>
        <v>Mached</v>
      </c>
    </row>
    <row r="3339" spans="4:16" x14ac:dyDescent="0.25">
      <c r="D3339" s="6" t="s">
        <v>34</v>
      </c>
      <c r="E3339">
        <v>2014</v>
      </c>
      <c r="F3339" s="6" t="s">
        <v>35</v>
      </c>
      <c r="G3339">
        <v>3</v>
      </c>
      <c r="H3339">
        <v>36</v>
      </c>
      <c r="I3339" s="6" t="s">
        <v>39</v>
      </c>
      <c r="J3339" s="6" t="s">
        <v>37</v>
      </c>
      <c r="K3339">
        <v>3</v>
      </c>
      <c r="M3339" s="1" t="b">
        <f>Employee__2[[#This Row],[Experience]]&gt;1</f>
        <v>1</v>
      </c>
      <c r="N3339" s="1" t="str">
        <f>IF(Employee__2[[#This Row],[City]]="Pune","Yes","No")</f>
        <v>No</v>
      </c>
      <c r="O3339" s="1" t="str">
        <f>IF(AND(Employee__2[[#This Row],[Education]]="Bachelors",Employee__2[[#This Row],[City]]="Pune"),"Yes","No")</f>
        <v>No</v>
      </c>
      <c r="P3339" s="1" t="str">
        <f>IF(OR(Employee__2[[#This Row],[Age]]&gt;=30,Employee__2[[#This Row],[Gender]]="Male"),"Mached","Not mached")</f>
        <v>Mached</v>
      </c>
    </row>
    <row r="3340" spans="4:16" x14ac:dyDescent="0.25">
      <c r="D3340" s="6" t="s">
        <v>34</v>
      </c>
      <c r="E3340">
        <v>2015</v>
      </c>
      <c r="F3340" s="6" t="s">
        <v>35</v>
      </c>
      <c r="G3340">
        <v>2</v>
      </c>
      <c r="H3340">
        <v>39</v>
      </c>
      <c r="I3340" s="6" t="s">
        <v>39</v>
      </c>
      <c r="J3340" s="6" t="s">
        <v>37</v>
      </c>
      <c r="K3340">
        <v>0</v>
      </c>
      <c r="M3340" s="1" t="b">
        <f>Employee__2[[#This Row],[Experience]]&gt;1</f>
        <v>0</v>
      </c>
      <c r="N3340" s="1" t="str">
        <f>IF(Employee__2[[#This Row],[City]]="Pune","Yes","No")</f>
        <v>No</v>
      </c>
      <c r="O3340" s="1" t="str">
        <f>IF(AND(Employee__2[[#This Row],[Education]]="Bachelors",Employee__2[[#This Row],[City]]="Pune"),"Yes","No")</f>
        <v>No</v>
      </c>
      <c r="P3340" s="1" t="str">
        <f>IF(OR(Employee__2[[#This Row],[Age]]&gt;=30,Employee__2[[#This Row],[Gender]]="Male"),"Mached","Not mached")</f>
        <v>Mached</v>
      </c>
    </row>
    <row r="3341" spans="4:16" x14ac:dyDescent="0.25">
      <c r="D3341" s="6" t="s">
        <v>34</v>
      </c>
      <c r="E3341">
        <v>2014</v>
      </c>
      <c r="F3341" s="6" t="s">
        <v>38</v>
      </c>
      <c r="G3341">
        <v>3</v>
      </c>
      <c r="H3341">
        <v>37</v>
      </c>
      <c r="I3341" s="6" t="s">
        <v>36</v>
      </c>
      <c r="J3341" s="6" t="s">
        <v>37</v>
      </c>
      <c r="K3341">
        <v>1</v>
      </c>
      <c r="M3341" s="1" t="b">
        <f>Employee__2[[#This Row],[Experience]]&gt;1</f>
        <v>0</v>
      </c>
      <c r="N3341" s="1" t="str">
        <f>IF(Employee__2[[#This Row],[City]]="Pune","Yes","No")</f>
        <v>Yes</v>
      </c>
      <c r="O3341" s="1" t="str">
        <f>IF(AND(Employee__2[[#This Row],[Education]]="Bachelors",Employee__2[[#This Row],[City]]="Pune"),"Yes","No")</f>
        <v>Yes</v>
      </c>
      <c r="P3341" s="1" t="str">
        <f>IF(OR(Employee__2[[#This Row],[Age]]&gt;=30,Employee__2[[#This Row],[Gender]]="Male"),"Mached","Not mached")</f>
        <v>Mached</v>
      </c>
    </row>
    <row r="3342" spans="4:16" x14ac:dyDescent="0.25">
      <c r="D3342" s="6" t="s">
        <v>41</v>
      </c>
      <c r="E3342">
        <v>2014</v>
      </c>
      <c r="F3342" s="6" t="s">
        <v>40</v>
      </c>
      <c r="G3342">
        <v>3</v>
      </c>
      <c r="H3342">
        <v>37</v>
      </c>
      <c r="I3342" s="6" t="s">
        <v>36</v>
      </c>
      <c r="J3342" s="6" t="s">
        <v>37</v>
      </c>
      <c r="K3342">
        <v>2</v>
      </c>
      <c r="M3342" s="1" t="b">
        <f>Employee__2[[#This Row],[Experience]]&gt;1</f>
        <v>1</v>
      </c>
      <c r="N3342" s="1" t="str">
        <f>IF(Employee__2[[#This Row],[City]]="Pune","Yes","No")</f>
        <v>No</v>
      </c>
      <c r="O3342" s="1" t="str">
        <f>IF(AND(Employee__2[[#This Row],[Education]]="Bachelors",Employee__2[[#This Row],[City]]="Pune"),"Yes","No")</f>
        <v>No</v>
      </c>
      <c r="P3342" s="1" t="str">
        <f>IF(OR(Employee__2[[#This Row],[Age]]&gt;=30,Employee__2[[#This Row],[Gender]]="Male"),"Mached","Not mached")</f>
        <v>Mached</v>
      </c>
    </row>
    <row r="3343" spans="4:16" x14ac:dyDescent="0.25">
      <c r="D3343" s="6" t="s">
        <v>41</v>
      </c>
      <c r="E3343">
        <v>2017</v>
      </c>
      <c r="F3343" s="6" t="s">
        <v>40</v>
      </c>
      <c r="G3343">
        <v>3</v>
      </c>
      <c r="H3343">
        <v>32</v>
      </c>
      <c r="I3343" s="6" t="s">
        <v>36</v>
      </c>
      <c r="J3343" s="6" t="s">
        <v>37</v>
      </c>
      <c r="K3343">
        <v>2</v>
      </c>
      <c r="M3343" s="1" t="b">
        <f>Employee__2[[#This Row],[Experience]]&gt;1</f>
        <v>1</v>
      </c>
      <c r="N3343" s="1" t="str">
        <f>IF(Employee__2[[#This Row],[City]]="Pune","Yes","No")</f>
        <v>No</v>
      </c>
      <c r="O3343" s="1" t="str">
        <f>IF(AND(Employee__2[[#This Row],[Education]]="Bachelors",Employee__2[[#This Row],[City]]="Pune"),"Yes","No")</f>
        <v>No</v>
      </c>
      <c r="P3343" s="1" t="str">
        <f>IF(OR(Employee__2[[#This Row],[Age]]&gt;=30,Employee__2[[#This Row],[Gender]]="Male"),"Mached","Not mached")</f>
        <v>Mached</v>
      </c>
    </row>
    <row r="3344" spans="4:16" x14ac:dyDescent="0.25">
      <c r="D3344" s="6" t="s">
        <v>34</v>
      </c>
      <c r="E3344">
        <v>2014</v>
      </c>
      <c r="F3344" s="6" t="s">
        <v>40</v>
      </c>
      <c r="G3344">
        <v>3</v>
      </c>
      <c r="H3344">
        <v>37</v>
      </c>
      <c r="I3344" s="6" t="s">
        <v>36</v>
      </c>
      <c r="J3344" s="6" t="s">
        <v>37</v>
      </c>
      <c r="K3344">
        <v>3</v>
      </c>
      <c r="M3344" s="1" t="b">
        <f>Employee__2[[#This Row],[Experience]]&gt;1</f>
        <v>1</v>
      </c>
      <c r="N3344" s="1" t="str">
        <f>IF(Employee__2[[#This Row],[City]]="Pune","Yes","No")</f>
        <v>No</v>
      </c>
      <c r="O3344" s="1" t="str">
        <f>IF(AND(Employee__2[[#This Row],[Education]]="Bachelors",Employee__2[[#This Row],[City]]="Pune"),"Yes","No")</f>
        <v>No</v>
      </c>
      <c r="P3344" s="1" t="str">
        <f>IF(OR(Employee__2[[#This Row],[Age]]&gt;=30,Employee__2[[#This Row],[Gender]]="Male"),"Mached","Not mached")</f>
        <v>Mached</v>
      </c>
    </row>
    <row r="3345" spans="4:16" x14ac:dyDescent="0.25">
      <c r="D3345" s="6" t="s">
        <v>34</v>
      </c>
      <c r="E3345">
        <v>2017</v>
      </c>
      <c r="F3345" s="6" t="s">
        <v>35</v>
      </c>
      <c r="G3345">
        <v>3</v>
      </c>
      <c r="H3345">
        <v>36</v>
      </c>
      <c r="I3345" s="6" t="s">
        <v>39</v>
      </c>
      <c r="J3345" s="6" t="s">
        <v>37</v>
      </c>
      <c r="K3345">
        <v>3</v>
      </c>
      <c r="M3345" s="1" t="b">
        <f>Employee__2[[#This Row],[Experience]]&gt;1</f>
        <v>1</v>
      </c>
      <c r="N3345" s="1" t="str">
        <f>IF(Employee__2[[#This Row],[City]]="Pune","Yes","No")</f>
        <v>No</v>
      </c>
      <c r="O3345" s="1" t="str">
        <f>IF(AND(Employee__2[[#This Row],[Education]]="Bachelors",Employee__2[[#This Row],[City]]="Pune"),"Yes","No")</f>
        <v>No</v>
      </c>
      <c r="P3345" s="1" t="str">
        <f>IF(OR(Employee__2[[#This Row],[Age]]&gt;=30,Employee__2[[#This Row],[Gender]]="Male"),"Mached","Not mached")</f>
        <v>Mached</v>
      </c>
    </row>
    <row r="3346" spans="4:16" x14ac:dyDescent="0.25">
      <c r="D3346" s="6" t="s">
        <v>34</v>
      </c>
      <c r="E3346">
        <v>2015</v>
      </c>
      <c r="F3346" s="6" t="s">
        <v>38</v>
      </c>
      <c r="G3346">
        <v>2</v>
      </c>
      <c r="H3346">
        <v>40</v>
      </c>
      <c r="I3346" s="6" t="s">
        <v>39</v>
      </c>
      <c r="J3346" s="6" t="s">
        <v>37</v>
      </c>
      <c r="K3346">
        <v>2</v>
      </c>
      <c r="M3346" s="1" t="b">
        <f>Employee__2[[#This Row],[Experience]]&gt;1</f>
        <v>1</v>
      </c>
      <c r="N3346" s="1" t="str">
        <f>IF(Employee__2[[#This Row],[City]]="Pune","Yes","No")</f>
        <v>Yes</v>
      </c>
      <c r="O3346" s="1" t="str">
        <f>IF(AND(Employee__2[[#This Row],[Education]]="Bachelors",Employee__2[[#This Row],[City]]="Pune"),"Yes","No")</f>
        <v>Yes</v>
      </c>
      <c r="P3346" s="1" t="str">
        <f>IF(OR(Employee__2[[#This Row],[Age]]&gt;=30,Employee__2[[#This Row],[Gender]]="Male"),"Mached","Not mached")</f>
        <v>Mached</v>
      </c>
    </row>
    <row r="3347" spans="4:16" x14ac:dyDescent="0.25">
      <c r="D3347" s="6" t="s">
        <v>34</v>
      </c>
      <c r="E3347">
        <v>2014</v>
      </c>
      <c r="F3347" s="6" t="s">
        <v>35</v>
      </c>
      <c r="G3347">
        <v>3</v>
      </c>
      <c r="H3347">
        <v>40</v>
      </c>
      <c r="I3347" s="6" t="s">
        <v>36</v>
      </c>
      <c r="J3347" s="6" t="s">
        <v>37</v>
      </c>
      <c r="K3347">
        <v>0</v>
      </c>
      <c r="M3347" s="1" t="b">
        <f>Employee__2[[#This Row],[Experience]]&gt;1</f>
        <v>0</v>
      </c>
      <c r="N3347" s="1" t="str">
        <f>IF(Employee__2[[#This Row],[City]]="Pune","Yes","No")</f>
        <v>No</v>
      </c>
      <c r="O3347" s="1" t="str">
        <f>IF(AND(Employee__2[[#This Row],[Education]]="Bachelors",Employee__2[[#This Row],[City]]="Pune"),"Yes","No")</f>
        <v>No</v>
      </c>
      <c r="P3347" s="1" t="str">
        <f>IF(OR(Employee__2[[#This Row],[Age]]&gt;=30,Employee__2[[#This Row],[Gender]]="Male"),"Mached","Not mached")</f>
        <v>Mached</v>
      </c>
    </row>
    <row r="3348" spans="4:16" x14ac:dyDescent="0.25">
      <c r="D3348" s="6" t="s">
        <v>34</v>
      </c>
      <c r="E3348">
        <v>2012</v>
      </c>
      <c r="F3348" s="6" t="s">
        <v>38</v>
      </c>
      <c r="G3348">
        <v>3</v>
      </c>
      <c r="H3348">
        <v>32</v>
      </c>
      <c r="I3348" s="6" t="s">
        <v>36</v>
      </c>
      <c r="J3348" s="6" t="s">
        <v>37</v>
      </c>
      <c r="K3348">
        <v>3</v>
      </c>
      <c r="M3348" s="1" t="b">
        <f>Employee__2[[#This Row],[Experience]]&gt;1</f>
        <v>1</v>
      </c>
      <c r="N3348" s="1" t="str">
        <f>IF(Employee__2[[#This Row],[City]]="Pune","Yes","No")</f>
        <v>Yes</v>
      </c>
      <c r="O3348" s="1" t="str">
        <f>IF(AND(Employee__2[[#This Row],[Education]]="Bachelors",Employee__2[[#This Row],[City]]="Pune"),"Yes","No")</f>
        <v>Yes</v>
      </c>
      <c r="P3348" s="1" t="str">
        <f>IF(OR(Employee__2[[#This Row],[Age]]&gt;=30,Employee__2[[#This Row],[Gender]]="Male"),"Mached","Not mached")</f>
        <v>Mached</v>
      </c>
    </row>
    <row r="3349" spans="4:16" x14ac:dyDescent="0.25">
      <c r="D3349" s="6" t="s">
        <v>34</v>
      </c>
      <c r="E3349">
        <v>2012</v>
      </c>
      <c r="F3349" s="6" t="s">
        <v>35</v>
      </c>
      <c r="G3349">
        <v>3</v>
      </c>
      <c r="H3349">
        <v>37</v>
      </c>
      <c r="I3349" s="6" t="s">
        <v>36</v>
      </c>
      <c r="J3349" s="6" t="s">
        <v>37</v>
      </c>
      <c r="K3349">
        <v>3</v>
      </c>
      <c r="M3349" s="1" t="b">
        <f>Employee__2[[#This Row],[Experience]]&gt;1</f>
        <v>1</v>
      </c>
      <c r="N3349" s="1" t="str">
        <f>IF(Employee__2[[#This Row],[City]]="Pune","Yes","No")</f>
        <v>No</v>
      </c>
      <c r="O3349" s="1" t="str">
        <f>IF(AND(Employee__2[[#This Row],[Education]]="Bachelors",Employee__2[[#This Row],[City]]="Pune"),"Yes","No")</f>
        <v>No</v>
      </c>
      <c r="P3349" s="1" t="str">
        <f>IF(OR(Employee__2[[#This Row],[Age]]&gt;=30,Employee__2[[#This Row],[Gender]]="Male"),"Mached","Not mached")</f>
        <v>Mached</v>
      </c>
    </row>
    <row r="3350" spans="4:16" x14ac:dyDescent="0.25">
      <c r="D3350" s="6" t="s">
        <v>34</v>
      </c>
      <c r="E3350">
        <v>2017</v>
      </c>
      <c r="F3350" s="6" t="s">
        <v>38</v>
      </c>
      <c r="G3350">
        <v>3</v>
      </c>
      <c r="H3350">
        <v>40</v>
      </c>
      <c r="I3350" s="6" t="s">
        <v>39</v>
      </c>
      <c r="J3350" s="6" t="s">
        <v>37</v>
      </c>
      <c r="K3350">
        <v>1</v>
      </c>
      <c r="M3350" s="1" t="b">
        <f>Employee__2[[#This Row],[Experience]]&gt;1</f>
        <v>0</v>
      </c>
      <c r="N3350" s="1" t="str">
        <f>IF(Employee__2[[#This Row],[City]]="Pune","Yes","No")</f>
        <v>Yes</v>
      </c>
      <c r="O3350" s="1" t="str">
        <f>IF(AND(Employee__2[[#This Row],[Education]]="Bachelors",Employee__2[[#This Row],[City]]="Pune"),"Yes","No")</f>
        <v>Yes</v>
      </c>
      <c r="P3350" s="1" t="str">
        <f>IF(OR(Employee__2[[#This Row],[Age]]&gt;=30,Employee__2[[#This Row],[Gender]]="Male"),"Mached","Not mached")</f>
        <v>Mached</v>
      </c>
    </row>
    <row r="3351" spans="4:16" x14ac:dyDescent="0.25">
      <c r="D3351" s="6" t="s">
        <v>34</v>
      </c>
      <c r="E3351">
        <v>2014</v>
      </c>
      <c r="F3351" s="6" t="s">
        <v>38</v>
      </c>
      <c r="G3351">
        <v>3</v>
      </c>
      <c r="H3351">
        <v>40</v>
      </c>
      <c r="I3351" s="6" t="s">
        <v>36</v>
      </c>
      <c r="J3351" s="6" t="s">
        <v>37</v>
      </c>
      <c r="K3351">
        <v>5</v>
      </c>
      <c r="M3351" s="1" t="b">
        <f>Employee__2[[#This Row],[Experience]]&gt;1</f>
        <v>1</v>
      </c>
      <c r="N3351" s="1" t="str">
        <f>IF(Employee__2[[#This Row],[City]]="Pune","Yes","No")</f>
        <v>Yes</v>
      </c>
      <c r="O3351" s="1" t="str">
        <f>IF(AND(Employee__2[[#This Row],[Education]]="Bachelors",Employee__2[[#This Row],[City]]="Pune"),"Yes","No")</f>
        <v>Yes</v>
      </c>
      <c r="P3351" s="1" t="str">
        <f>IF(OR(Employee__2[[#This Row],[Age]]&gt;=30,Employee__2[[#This Row],[Gender]]="Male"),"Mached","Not mached")</f>
        <v>Mached</v>
      </c>
    </row>
    <row r="3352" spans="4:16" x14ac:dyDescent="0.25">
      <c r="D3352" s="6" t="s">
        <v>34</v>
      </c>
      <c r="E3352">
        <v>2017</v>
      </c>
      <c r="F3352" s="6" t="s">
        <v>35</v>
      </c>
      <c r="G3352">
        <v>3</v>
      </c>
      <c r="H3352">
        <v>34</v>
      </c>
      <c r="I3352" s="6" t="s">
        <v>39</v>
      </c>
      <c r="J3352" s="6" t="s">
        <v>42</v>
      </c>
      <c r="K3352">
        <v>0</v>
      </c>
      <c r="M3352" s="1" t="b">
        <f>Employee__2[[#This Row],[Experience]]&gt;1</f>
        <v>0</v>
      </c>
      <c r="N3352" s="1" t="str">
        <f>IF(Employee__2[[#This Row],[City]]="Pune","Yes","No")</f>
        <v>No</v>
      </c>
      <c r="O3352" s="1" t="str">
        <f>IF(AND(Employee__2[[#This Row],[Education]]="Bachelors",Employee__2[[#This Row],[City]]="Pune"),"Yes","No")</f>
        <v>No</v>
      </c>
      <c r="P3352" s="1" t="str">
        <f>IF(OR(Employee__2[[#This Row],[Age]]&gt;=30,Employee__2[[#This Row],[Gender]]="Male"),"Mached","Not mached")</f>
        <v>Mached</v>
      </c>
    </row>
    <row r="3353" spans="4:16" x14ac:dyDescent="0.25">
      <c r="D3353" s="6" t="s">
        <v>34</v>
      </c>
      <c r="E3353">
        <v>2012</v>
      </c>
      <c r="F3353" s="6" t="s">
        <v>35</v>
      </c>
      <c r="G3353">
        <v>3</v>
      </c>
      <c r="H3353">
        <v>37</v>
      </c>
      <c r="I3353" s="6" t="s">
        <v>36</v>
      </c>
      <c r="J3353" s="6" t="s">
        <v>37</v>
      </c>
      <c r="K3353">
        <v>3</v>
      </c>
      <c r="M3353" s="1" t="b">
        <f>Employee__2[[#This Row],[Experience]]&gt;1</f>
        <v>1</v>
      </c>
      <c r="N3353" s="1" t="str">
        <f>IF(Employee__2[[#This Row],[City]]="Pune","Yes","No")</f>
        <v>No</v>
      </c>
      <c r="O3353" s="1" t="str">
        <f>IF(AND(Employee__2[[#This Row],[Education]]="Bachelors",Employee__2[[#This Row],[City]]="Pune"),"Yes","No")</f>
        <v>No</v>
      </c>
      <c r="P3353" s="1" t="str">
        <f>IF(OR(Employee__2[[#This Row],[Age]]&gt;=30,Employee__2[[#This Row],[Gender]]="Male"),"Mached","Not mached")</f>
        <v>Mached</v>
      </c>
    </row>
    <row r="3354" spans="4:16" x14ac:dyDescent="0.25">
      <c r="D3354" s="6" t="s">
        <v>34</v>
      </c>
      <c r="E3354">
        <v>2017</v>
      </c>
      <c r="F3354" s="6" t="s">
        <v>35</v>
      </c>
      <c r="G3354">
        <v>3</v>
      </c>
      <c r="H3354">
        <v>35</v>
      </c>
      <c r="I3354" s="6" t="s">
        <v>36</v>
      </c>
      <c r="J3354" s="6" t="s">
        <v>37</v>
      </c>
      <c r="K3354">
        <v>3</v>
      </c>
      <c r="M3354" s="1" t="b">
        <f>Employee__2[[#This Row],[Experience]]&gt;1</f>
        <v>1</v>
      </c>
      <c r="N3354" s="1" t="str">
        <f>IF(Employee__2[[#This Row],[City]]="Pune","Yes","No")</f>
        <v>No</v>
      </c>
      <c r="O3354" s="1" t="str">
        <f>IF(AND(Employee__2[[#This Row],[Education]]="Bachelors",Employee__2[[#This Row],[City]]="Pune"),"Yes","No")</f>
        <v>No</v>
      </c>
      <c r="P3354" s="1" t="str">
        <f>IF(OR(Employee__2[[#This Row],[Age]]&gt;=30,Employee__2[[#This Row],[Gender]]="Male"),"Mached","Not mached")</f>
        <v>Mached</v>
      </c>
    </row>
    <row r="3355" spans="4:16" x14ac:dyDescent="0.25">
      <c r="D3355" s="6" t="s">
        <v>34</v>
      </c>
      <c r="E3355">
        <v>2017</v>
      </c>
      <c r="F3355" s="6" t="s">
        <v>38</v>
      </c>
      <c r="G3355">
        <v>3</v>
      </c>
      <c r="H3355">
        <v>37</v>
      </c>
      <c r="I3355" s="6" t="s">
        <v>39</v>
      </c>
      <c r="J3355" s="6" t="s">
        <v>37</v>
      </c>
      <c r="K3355">
        <v>2</v>
      </c>
      <c r="M3355" s="1" t="b">
        <f>Employee__2[[#This Row],[Experience]]&gt;1</f>
        <v>1</v>
      </c>
      <c r="N3355" s="1" t="str">
        <f>IF(Employee__2[[#This Row],[City]]="Pune","Yes","No")</f>
        <v>Yes</v>
      </c>
      <c r="O3355" s="1" t="str">
        <f>IF(AND(Employee__2[[#This Row],[Education]]="Bachelors",Employee__2[[#This Row],[City]]="Pune"),"Yes","No")</f>
        <v>Yes</v>
      </c>
      <c r="P3355" s="1" t="str">
        <f>IF(OR(Employee__2[[#This Row],[Age]]&gt;=30,Employee__2[[#This Row],[Gender]]="Male"),"Mached","Not mached")</f>
        <v>Mached</v>
      </c>
    </row>
    <row r="3356" spans="4:16" x14ac:dyDescent="0.25">
      <c r="D3356" s="6" t="s">
        <v>34</v>
      </c>
      <c r="E3356">
        <v>2012</v>
      </c>
      <c r="F3356" s="6" t="s">
        <v>40</v>
      </c>
      <c r="G3356">
        <v>3</v>
      </c>
      <c r="H3356">
        <v>35</v>
      </c>
      <c r="I3356" s="6" t="s">
        <v>39</v>
      </c>
      <c r="J3356" s="6" t="s">
        <v>37</v>
      </c>
      <c r="K3356">
        <v>2</v>
      </c>
      <c r="M3356" s="1" t="b">
        <f>Employee__2[[#This Row],[Experience]]&gt;1</f>
        <v>1</v>
      </c>
      <c r="N3356" s="1" t="str">
        <f>IF(Employee__2[[#This Row],[City]]="Pune","Yes","No")</f>
        <v>No</v>
      </c>
      <c r="O3356" s="1" t="str">
        <f>IF(AND(Employee__2[[#This Row],[Education]]="Bachelors",Employee__2[[#This Row],[City]]="Pune"),"Yes","No")</f>
        <v>No</v>
      </c>
      <c r="P3356" s="1" t="str">
        <f>IF(OR(Employee__2[[#This Row],[Age]]&gt;=30,Employee__2[[#This Row],[Gender]]="Male"),"Mached","Not mached")</f>
        <v>Mached</v>
      </c>
    </row>
    <row r="3357" spans="4:16" x14ac:dyDescent="0.25">
      <c r="D3357" s="6" t="s">
        <v>34</v>
      </c>
      <c r="E3357">
        <v>2014</v>
      </c>
      <c r="F3357" s="6" t="s">
        <v>35</v>
      </c>
      <c r="G3357">
        <v>3</v>
      </c>
      <c r="H3357">
        <v>31</v>
      </c>
      <c r="I3357" s="6" t="s">
        <v>36</v>
      </c>
      <c r="J3357" s="6" t="s">
        <v>37</v>
      </c>
      <c r="K3357">
        <v>0</v>
      </c>
      <c r="M3357" s="1" t="b">
        <f>Employee__2[[#This Row],[Experience]]&gt;1</f>
        <v>0</v>
      </c>
      <c r="N3357" s="1" t="str">
        <f>IF(Employee__2[[#This Row],[City]]="Pune","Yes","No")</f>
        <v>No</v>
      </c>
      <c r="O3357" s="1" t="str">
        <f>IF(AND(Employee__2[[#This Row],[Education]]="Bachelors",Employee__2[[#This Row],[City]]="Pune"),"Yes","No")</f>
        <v>No</v>
      </c>
      <c r="P3357" s="1" t="str">
        <f>IF(OR(Employee__2[[#This Row],[Age]]&gt;=30,Employee__2[[#This Row],[Gender]]="Male"),"Mached","Not mached")</f>
        <v>Mached</v>
      </c>
    </row>
    <row r="3358" spans="4:16" x14ac:dyDescent="0.25">
      <c r="D3358" s="6" t="s">
        <v>34</v>
      </c>
      <c r="E3358">
        <v>2016</v>
      </c>
      <c r="F3358" s="6" t="s">
        <v>35</v>
      </c>
      <c r="G3358">
        <v>3</v>
      </c>
      <c r="H3358">
        <v>41</v>
      </c>
      <c r="I3358" s="6" t="s">
        <v>36</v>
      </c>
      <c r="J3358" s="6" t="s">
        <v>37</v>
      </c>
      <c r="K3358">
        <v>4</v>
      </c>
      <c r="M3358" s="1" t="b">
        <f>Employee__2[[#This Row],[Experience]]&gt;1</f>
        <v>1</v>
      </c>
      <c r="N3358" s="1" t="str">
        <f>IF(Employee__2[[#This Row],[City]]="Pune","Yes","No")</f>
        <v>No</v>
      </c>
      <c r="O3358" s="1" t="str">
        <f>IF(AND(Employee__2[[#This Row],[Education]]="Bachelors",Employee__2[[#This Row],[City]]="Pune"),"Yes","No")</f>
        <v>No</v>
      </c>
      <c r="P3358" s="1" t="str">
        <f>IF(OR(Employee__2[[#This Row],[Age]]&gt;=30,Employee__2[[#This Row],[Gender]]="Male"),"Mached","Not mached")</f>
        <v>Mached</v>
      </c>
    </row>
    <row r="3359" spans="4:16" x14ac:dyDescent="0.25">
      <c r="D3359" s="6" t="s">
        <v>41</v>
      </c>
      <c r="E3359">
        <v>2017</v>
      </c>
      <c r="F3359" s="6" t="s">
        <v>40</v>
      </c>
      <c r="G3359">
        <v>3</v>
      </c>
      <c r="H3359">
        <v>37</v>
      </c>
      <c r="I3359" s="6" t="s">
        <v>39</v>
      </c>
      <c r="J3359" s="6" t="s">
        <v>37</v>
      </c>
      <c r="K3359">
        <v>3</v>
      </c>
      <c r="M3359" s="1" t="b">
        <f>Employee__2[[#This Row],[Experience]]&gt;1</f>
        <v>1</v>
      </c>
      <c r="N3359" s="1" t="str">
        <f>IF(Employee__2[[#This Row],[City]]="Pune","Yes","No")</f>
        <v>No</v>
      </c>
      <c r="O3359" s="1" t="str">
        <f>IF(AND(Employee__2[[#This Row],[Education]]="Bachelors",Employee__2[[#This Row],[City]]="Pune"),"Yes","No")</f>
        <v>No</v>
      </c>
      <c r="P3359" s="1" t="str">
        <f>IF(OR(Employee__2[[#This Row],[Age]]&gt;=30,Employee__2[[#This Row],[Gender]]="Male"),"Mached","Not mached")</f>
        <v>Mached</v>
      </c>
    </row>
    <row r="3360" spans="4:16" x14ac:dyDescent="0.25">
      <c r="D3360" s="6" t="s">
        <v>34</v>
      </c>
      <c r="E3360">
        <v>2018</v>
      </c>
      <c r="F3360" s="6" t="s">
        <v>38</v>
      </c>
      <c r="G3360">
        <v>3</v>
      </c>
      <c r="H3360">
        <v>40</v>
      </c>
      <c r="I3360" s="6" t="s">
        <v>36</v>
      </c>
      <c r="J3360" s="6" t="s">
        <v>37</v>
      </c>
      <c r="K3360">
        <v>0</v>
      </c>
      <c r="M3360" s="1" t="b">
        <f>Employee__2[[#This Row],[Experience]]&gt;1</f>
        <v>0</v>
      </c>
      <c r="N3360" s="1" t="str">
        <f>IF(Employee__2[[#This Row],[City]]="Pune","Yes","No")</f>
        <v>Yes</v>
      </c>
      <c r="O3360" s="1" t="str">
        <f>IF(AND(Employee__2[[#This Row],[Education]]="Bachelors",Employee__2[[#This Row],[City]]="Pune"),"Yes","No")</f>
        <v>Yes</v>
      </c>
      <c r="P3360" s="1" t="str">
        <f>IF(OR(Employee__2[[#This Row],[Age]]&gt;=30,Employee__2[[#This Row],[Gender]]="Male"),"Mached","Not mached")</f>
        <v>Mached</v>
      </c>
    </row>
    <row r="3361" spans="4:16" x14ac:dyDescent="0.25">
      <c r="D3361" s="6" t="s">
        <v>34</v>
      </c>
      <c r="E3361">
        <v>2018</v>
      </c>
      <c r="F3361" s="6" t="s">
        <v>35</v>
      </c>
      <c r="G3361">
        <v>1</v>
      </c>
      <c r="H3361">
        <v>36</v>
      </c>
      <c r="I3361" s="6" t="s">
        <v>36</v>
      </c>
      <c r="J3361" s="6" t="s">
        <v>42</v>
      </c>
      <c r="K3361">
        <v>1</v>
      </c>
      <c r="M3361" s="1" t="b">
        <f>Employee__2[[#This Row],[Experience]]&gt;1</f>
        <v>0</v>
      </c>
      <c r="N3361" s="1" t="str">
        <f>IF(Employee__2[[#This Row],[City]]="Pune","Yes","No")</f>
        <v>No</v>
      </c>
      <c r="O3361" s="1" t="str">
        <f>IF(AND(Employee__2[[#This Row],[Education]]="Bachelors",Employee__2[[#This Row],[City]]="Pune"),"Yes","No")</f>
        <v>No</v>
      </c>
      <c r="P3361" s="1" t="str">
        <f>IF(OR(Employee__2[[#This Row],[Age]]&gt;=30,Employee__2[[#This Row],[Gender]]="Male"),"Mached","Not mached")</f>
        <v>Mached</v>
      </c>
    </row>
    <row r="3362" spans="4:16" x14ac:dyDescent="0.25">
      <c r="D3362" s="6" t="s">
        <v>43</v>
      </c>
      <c r="E3362">
        <v>2018</v>
      </c>
      <c r="F3362" s="6" t="s">
        <v>40</v>
      </c>
      <c r="G3362">
        <v>3</v>
      </c>
      <c r="H3362">
        <v>37</v>
      </c>
      <c r="I3362" s="6" t="s">
        <v>39</v>
      </c>
      <c r="J3362" s="6" t="s">
        <v>37</v>
      </c>
      <c r="K3362">
        <v>2</v>
      </c>
      <c r="M3362" s="1" t="b">
        <f>Employee__2[[#This Row],[Experience]]&gt;1</f>
        <v>1</v>
      </c>
      <c r="N3362" s="1" t="str">
        <f>IF(Employee__2[[#This Row],[City]]="Pune","Yes","No")</f>
        <v>No</v>
      </c>
      <c r="O3362" s="1" t="str">
        <f>IF(AND(Employee__2[[#This Row],[Education]]="Bachelors",Employee__2[[#This Row],[City]]="Pune"),"Yes","No")</f>
        <v>No</v>
      </c>
      <c r="P3362" s="1" t="str">
        <f>IF(OR(Employee__2[[#This Row],[Age]]&gt;=30,Employee__2[[#This Row],[Gender]]="Male"),"Mached","Not mached")</f>
        <v>Mached</v>
      </c>
    </row>
    <row r="3363" spans="4:16" x14ac:dyDescent="0.25">
      <c r="D3363" s="6" t="s">
        <v>34</v>
      </c>
      <c r="E3363">
        <v>2014</v>
      </c>
      <c r="F3363" s="6" t="s">
        <v>35</v>
      </c>
      <c r="G3363">
        <v>3</v>
      </c>
      <c r="H3363">
        <v>40</v>
      </c>
      <c r="I3363" s="6" t="s">
        <v>39</v>
      </c>
      <c r="J3363" s="6" t="s">
        <v>37</v>
      </c>
      <c r="K3363">
        <v>0</v>
      </c>
      <c r="M3363" s="1" t="b">
        <f>Employee__2[[#This Row],[Experience]]&gt;1</f>
        <v>0</v>
      </c>
      <c r="N3363" s="1" t="str">
        <f>IF(Employee__2[[#This Row],[City]]="Pune","Yes","No")</f>
        <v>No</v>
      </c>
      <c r="O3363" s="1" t="str">
        <f>IF(AND(Employee__2[[#This Row],[Education]]="Bachelors",Employee__2[[#This Row],[City]]="Pune"),"Yes","No")</f>
        <v>No</v>
      </c>
      <c r="P3363" s="1" t="str">
        <f>IF(OR(Employee__2[[#This Row],[Age]]&gt;=30,Employee__2[[#This Row],[Gender]]="Male"),"Mached","Not mached")</f>
        <v>Mached</v>
      </c>
    </row>
    <row r="3364" spans="4:16" x14ac:dyDescent="0.25">
      <c r="D3364" s="6" t="s">
        <v>34</v>
      </c>
      <c r="E3364">
        <v>2017</v>
      </c>
      <c r="F3364" s="6" t="s">
        <v>35</v>
      </c>
      <c r="G3364">
        <v>3</v>
      </c>
      <c r="H3364">
        <v>34</v>
      </c>
      <c r="I3364" s="6" t="s">
        <v>36</v>
      </c>
      <c r="J3364" s="6" t="s">
        <v>37</v>
      </c>
      <c r="K3364">
        <v>3</v>
      </c>
      <c r="M3364" s="1" t="b">
        <f>Employee__2[[#This Row],[Experience]]&gt;1</f>
        <v>1</v>
      </c>
      <c r="N3364" s="1" t="str">
        <f>IF(Employee__2[[#This Row],[City]]="Pune","Yes","No")</f>
        <v>No</v>
      </c>
      <c r="O3364" s="1" t="str">
        <f>IF(AND(Employee__2[[#This Row],[Education]]="Bachelors",Employee__2[[#This Row],[City]]="Pune"),"Yes","No")</f>
        <v>No</v>
      </c>
      <c r="P3364" s="1" t="str">
        <f>IF(OR(Employee__2[[#This Row],[Age]]&gt;=30,Employee__2[[#This Row],[Gender]]="Male"),"Mached","Not mached")</f>
        <v>Mached</v>
      </c>
    </row>
    <row r="3365" spans="4:16" x14ac:dyDescent="0.25">
      <c r="D3365" s="6" t="s">
        <v>34</v>
      </c>
      <c r="E3365">
        <v>2018</v>
      </c>
      <c r="F3365" s="6" t="s">
        <v>38</v>
      </c>
      <c r="G3365">
        <v>3</v>
      </c>
      <c r="H3365">
        <v>37</v>
      </c>
      <c r="I3365" s="6" t="s">
        <v>36</v>
      </c>
      <c r="J3365" s="6" t="s">
        <v>37</v>
      </c>
      <c r="K3365">
        <v>5</v>
      </c>
      <c r="M3365" s="1" t="b">
        <f>Employee__2[[#This Row],[Experience]]&gt;1</f>
        <v>1</v>
      </c>
      <c r="N3365" s="1" t="str">
        <f>IF(Employee__2[[#This Row],[City]]="Pune","Yes","No")</f>
        <v>Yes</v>
      </c>
      <c r="O3365" s="1" t="str">
        <f>IF(AND(Employee__2[[#This Row],[Education]]="Bachelors",Employee__2[[#This Row],[City]]="Pune"),"Yes","No")</f>
        <v>Yes</v>
      </c>
      <c r="P3365" s="1" t="str">
        <f>IF(OR(Employee__2[[#This Row],[Age]]&gt;=30,Employee__2[[#This Row],[Gender]]="Male"),"Mached","Not mached")</f>
        <v>Mached</v>
      </c>
    </row>
    <row r="3366" spans="4:16" x14ac:dyDescent="0.25">
      <c r="D3366" s="6" t="s">
        <v>34</v>
      </c>
      <c r="E3366">
        <v>2016</v>
      </c>
      <c r="F3366" s="6" t="s">
        <v>38</v>
      </c>
      <c r="G3366">
        <v>3</v>
      </c>
      <c r="H3366">
        <v>38</v>
      </c>
      <c r="I3366" s="6" t="s">
        <v>36</v>
      </c>
      <c r="J3366" s="6" t="s">
        <v>37</v>
      </c>
      <c r="K3366">
        <v>0</v>
      </c>
      <c r="M3366" s="1" t="b">
        <f>Employee__2[[#This Row],[Experience]]&gt;1</f>
        <v>0</v>
      </c>
      <c r="N3366" s="1" t="str">
        <f>IF(Employee__2[[#This Row],[City]]="Pune","Yes","No")</f>
        <v>Yes</v>
      </c>
      <c r="O3366" s="1" t="str">
        <f>IF(AND(Employee__2[[#This Row],[Education]]="Bachelors",Employee__2[[#This Row],[City]]="Pune"),"Yes","No")</f>
        <v>Yes</v>
      </c>
      <c r="P3366" s="1" t="str">
        <f>IF(OR(Employee__2[[#This Row],[Age]]&gt;=30,Employee__2[[#This Row],[Gender]]="Male"),"Mached","Not mached")</f>
        <v>Mached</v>
      </c>
    </row>
    <row r="3367" spans="4:16" x14ac:dyDescent="0.25">
      <c r="D3367" s="6" t="s">
        <v>34</v>
      </c>
      <c r="E3367">
        <v>2017</v>
      </c>
      <c r="F3367" s="6" t="s">
        <v>35</v>
      </c>
      <c r="G3367">
        <v>2</v>
      </c>
      <c r="H3367">
        <v>37</v>
      </c>
      <c r="I3367" s="6" t="s">
        <v>36</v>
      </c>
      <c r="J3367" s="6" t="s">
        <v>37</v>
      </c>
      <c r="K3367">
        <v>2</v>
      </c>
      <c r="M3367" s="1" t="b">
        <f>Employee__2[[#This Row],[Experience]]&gt;1</f>
        <v>1</v>
      </c>
      <c r="N3367" s="1" t="str">
        <f>IF(Employee__2[[#This Row],[City]]="Pune","Yes","No")</f>
        <v>No</v>
      </c>
      <c r="O3367" s="1" t="str">
        <f>IF(AND(Employee__2[[#This Row],[Education]]="Bachelors",Employee__2[[#This Row],[City]]="Pune"),"Yes","No")</f>
        <v>No</v>
      </c>
      <c r="P3367" s="1" t="str">
        <f>IF(OR(Employee__2[[#This Row],[Age]]&gt;=30,Employee__2[[#This Row],[Gender]]="Male"),"Mached","Not mached")</f>
        <v>Mached</v>
      </c>
    </row>
    <row r="3368" spans="4:16" x14ac:dyDescent="0.25">
      <c r="D3368" s="6" t="s">
        <v>34</v>
      </c>
      <c r="E3368">
        <v>2016</v>
      </c>
      <c r="F3368" s="6" t="s">
        <v>38</v>
      </c>
      <c r="G3368">
        <v>3</v>
      </c>
      <c r="H3368">
        <v>32</v>
      </c>
      <c r="I3368" s="6" t="s">
        <v>36</v>
      </c>
      <c r="J3368" s="6" t="s">
        <v>37</v>
      </c>
      <c r="K3368">
        <v>1</v>
      </c>
      <c r="M3368" s="1" t="b">
        <f>Employee__2[[#This Row],[Experience]]&gt;1</f>
        <v>0</v>
      </c>
      <c r="N3368" s="1" t="str">
        <f>IF(Employee__2[[#This Row],[City]]="Pune","Yes","No")</f>
        <v>Yes</v>
      </c>
      <c r="O3368" s="1" t="str">
        <f>IF(AND(Employee__2[[#This Row],[Education]]="Bachelors",Employee__2[[#This Row],[City]]="Pune"),"Yes","No")</f>
        <v>Yes</v>
      </c>
      <c r="P3368" s="1" t="str">
        <f>IF(OR(Employee__2[[#This Row],[Age]]&gt;=30,Employee__2[[#This Row],[Gender]]="Male"),"Mached","Not mached")</f>
        <v>Mached</v>
      </c>
    </row>
    <row r="3369" spans="4:16" x14ac:dyDescent="0.25">
      <c r="D3369" s="6" t="s">
        <v>34</v>
      </c>
      <c r="E3369">
        <v>2016</v>
      </c>
      <c r="F3369" s="6" t="s">
        <v>35</v>
      </c>
      <c r="G3369">
        <v>3</v>
      </c>
      <c r="H3369">
        <v>31</v>
      </c>
      <c r="I3369" s="6" t="s">
        <v>36</v>
      </c>
      <c r="J3369" s="6" t="s">
        <v>37</v>
      </c>
      <c r="K3369">
        <v>3</v>
      </c>
      <c r="M3369" s="1" t="b">
        <f>Employee__2[[#This Row],[Experience]]&gt;1</f>
        <v>1</v>
      </c>
      <c r="N3369" s="1" t="str">
        <f>IF(Employee__2[[#This Row],[City]]="Pune","Yes","No")</f>
        <v>No</v>
      </c>
      <c r="O3369" s="1" t="str">
        <f>IF(AND(Employee__2[[#This Row],[Education]]="Bachelors",Employee__2[[#This Row],[City]]="Pune"),"Yes","No")</f>
        <v>No</v>
      </c>
      <c r="P3369" s="1" t="str">
        <f>IF(OR(Employee__2[[#This Row],[Age]]&gt;=30,Employee__2[[#This Row],[Gender]]="Male"),"Mached","Not mached")</f>
        <v>Mached</v>
      </c>
    </row>
    <row r="3370" spans="4:16" x14ac:dyDescent="0.25">
      <c r="D3370" s="6" t="s">
        <v>34</v>
      </c>
      <c r="E3370">
        <v>2013</v>
      </c>
      <c r="F3370" s="6" t="s">
        <v>35</v>
      </c>
      <c r="G3370">
        <v>1</v>
      </c>
      <c r="H3370">
        <v>40</v>
      </c>
      <c r="I3370" s="6" t="s">
        <v>36</v>
      </c>
      <c r="J3370" s="6" t="s">
        <v>37</v>
      </c>
      <c r="K3370">
        <v>2</v>
      </c>
      <c r="M3370" s="1" t="b">
        <f>Employee__2[[#This Row],[Experience]]&gt;1</f>
        <v>1</v>
      </c>
      <c r="N3370" s="1" t="str">
        <f>IF(Employee__2[[#This Row],[City]]="Pune","Yes","No")</f>
        <v>No</v>
      </c>
      <c r="O3370" s="1" t="str">
        <f>IF(AND(Employee__2[[#This Row],[Education]]="Bachelors",Employee__2[[#This Row],[City]]="Pune"),"Yes","No")</f>
        <v>No</v>
      </c>
      <c r="P3370" s="1" t="str">
        <f>IF(OR(Employee__2[[#This Row],[Age]]&gt;=30,Employee__2[[#This Row],[Gender]]="Male"),"Mached","Not mached")</f>
        <v>Mached</v>
      </c>
    </row>
    <row r="3371" spans="4:16" x14ac:dyDescent="0.25">
      <c r="D3371" s="6" t="s">
        <v>34</v>
      </c>
      <c r="E3371">
        <v>2017</v>
      </c>
      <c r="F3371" s="6" t="s">
        <v>35</v>
      </c>
      <c r="G3371">
        <v>3</v>
      </c>
      <c r="H3371">
        <v>40</v>
      </c>
      <c r="I3371" s="6" t="s">
        <v>39</v>
      </c>
      <c r="J3371" s="6" t="s">
        <v>37</v>
      </c>
      <c r="K3371">
        <v>4</v>
      </c>
      <c r="M3371" s="1" t="b">
        <f>Employee__2[[#This Row],[Experience]]&gt;1</f>
        <v>1</v>
      </c>
      <c r="N3371" s="1" t="str">
        <f>IF(Employee__2[[#This Row],[City]]="Pune","Yes","No")</f>
        <v>No</v>
      </c>
      <c r="O3371" s="1" t="str">
        <f>IF(AND(Employee__2[[#This Row],[Education]]="Bachelors",Employee__2[[#This Row],[City]]="Pune"),"Yes","No")</f>
        <v>No</v>
      </c>
      <c r="P3371" s="1" t="str">
        <f>IF(OR(Employee__2[[#This Row],[Age]]&gt;=30,Employee__2[[#This Row],[Gender]]="Male"),"Mached","Not mached")</f>
        <v>Mached</v>
      </c>
    </row>
    <row r="3372" spans="4:16" x14ac:dyDescent="0.25">
      <c r="D3372" s="6" t="s">
        <v>34</v>
      </c>
      <c r="E3372">
        <v>2015</v>
      </c>
      <c r="F3372" s="6" t="s">
        <v>35</v>
      </c>
      <c r="G3372">
        <v>3</v>
      </c>
      <c r="H3372">
        <v>31</v>
      </c>
      <c r="I3372" s="6" t="s">
        <v>36</v>
      </c>
      <c r="J3372" s="6" t="s">
        <v>37</v>
      </c>
      <c r="K3372">
        <v>1</v>
      </c>
      <c r="M3372" s="1" t="b">
        <f>Employee__2[[#This Row],[Experience]]&gt;1</f>
        <v>0</v>
      </c>
      <c r="N3372" s="1" t="str">
        <f>IF(Employee__2[[#This Row],[City]]="Pune","Yes","No")</f>
        <v>No</v>
      </c>
      <c r="O3372" s="1" t="str">
        <f>IF(AND(Employee__2[[#This Row],[Education]]="Bachelors",Employee__2[[#This Row],[City]]="Pune"),"Yes","No")</f>
        <v>No</v>
      </c>
      <c r="P3372" s="1" t="str">
        <f>IF(OR(Employee__2[[#This Row],[Age]]&gt;=30,Employee__2[[#This Row],[Gender]]="Male"),"Mached","Not mached")</f>
        <v>Mached</v>
      </c>
    </row>
    <row r="3373" spans="4:16" x14ac:dyDescent="0.25">
      <c r="D3373" s="6" t="s">
        <v>41</v>
      </c>
      <c r="E3373">
        <v>2017</v>
      </c>
      <c r="F3373" s="6" t="s">
        <v>38</v>
      </c>
      <c r="G3373">
        <v>2</v>
      </c>
      <c r="H3373">
        <v>36</v>
      </c>
      <c r="I3373" s="6" t="s">
        <v>36</v>
      </c>
      <c r="J3373" s="6" t="s">
        <v>37</v>
      </c>
      <c r="K3373">
        <v>2</v>
      </c>
      <c r="M3373" s="1" t="b">
        <f>Employee__2[[#This Row],[Experience]]&gt;1</f>
        <v>1</v>
      </c>
      <c r="N3373" s="1" t="str">
        <f>IF(Employee__2[[#This Row],[City]]="Pune","Yes","No")</f>
        <v>Yes</v>
      </c>
      <c r="O3373" s="1" t="str">
        <f>IF(AND(Employee__2[[#This Row],[Education]]="Bachelors",Employee__2[[#This Row],[City]]="Pune"),"Yes","No")</f>
        <v>No</v>
      </c>
      <c r="P3373" s="1" t="str">
        <f>IF(OR(Employee__2[[#This Row],[Age]]&gt;=30,Employee__2[[#This Row],[Gender]]="Male"),"Mached","Not mached")</f>
        <v>Mached</v>
      </c>
    </row>
    <row r="3374" spans="4:16" x14ac:dyDescent="0.25">
      <c r="D3374" s="6" t="s">
        <v>34</v>
      </c>
      <c r="E3374">
        <v>2017</v>
      </c>
      <c r="F3374" s="6" t="s">
        <v>35</v>
      </c>
      <c r="G3374">
        <v>3</v>
      </c>
      <c r="H3374">
        <v>38</v>
      </c>
      <c r="I3374" s="6" t="s">
        <v>36</v>
      </c>
      <c r="J3374" s="6" t="s">
        <v>42</v>
      </c>
      <c r="K3374">
        <v>2</v>
      </c>
      <c r="M3374" s="1" t="b">
        <f>Employee__2[[#This Row],[Experience]]&gt;1</f>
        <v>1</v>
      </c>
      <c r="N3374" s="1" t="str">
        <f>IF(Employee__2[[#This Row],[City]]="Pune","Yes","No")</f>
        <v>No</v>
      </c>
      <c r="O3374" s="1" t="str">
        <f>IF(AND(Employee__2[[#This Row],[Education]]="Bachelors",Employee__2[[#This Row],[City]]="Pune"),"Yes","No")</f>
        <v>No</v>
      </c>
      <c r="P3374" s="1" t="str">
        <f>IF(OR(Employee__2[[#This Row],[Age]]&gt;=30,Employee__2[[#This Row],[Gender]]="Male"),"Mached","Not mached")</f>
        <v>Mached</v>
      </c>
    </row>
    <row r="3375" spans="4:16" x14ac:dyDescent="0.25">
      <c r="D3375" s="6" t="s">
        <v>34</v>
      </c>
      <c r="E3375">
        <v>2014</v>
      </c>
      <c r="F3375" s="6" t="s">
        <v>38</v>
      </c>
      <c r="G3375">
        <v>3</v>
      </c>
      <c r="H3375">
        <v>37</v>
      </c>
      <c r="I3375" s="6" t="s">
        <v>39</v>
      </c>
      <c r="J3375" s="6" t="s">
        <v>37</v>
      </c>
      <c r="K3375">
        <v>5</v>
      </c>
      <c r="M3375" s="1" t="b">
        <f>Employee__2[[#This Row],[Experience]]&gt;1</f>
        <v>1</v>
      </c>
      <c r="N3375" s="1" t="str">
        <f>IF(Employee__2[[#This Row],[City]]="Pune","Yes","No")</f>
        <v>Yes</v>
      </c>
      <c r="O3375" s="1" t="str">
        <f>IF(AND(Employee__2[[#This Row],[Education]]="Bachelors",Employee__2[[#This Row],[City]]="Pune"),"Yes","No")</f>
        <v>Yes</v>
      </c>
      <c r="P3375" s="1" t="str">
        <f>IF(OR(Employee__2[[#This Row],[Age]]&gt;=30,Employee__2[[#This Row],[Gender]]="Male"),"Mached","Not mached")</f>
        <v>Mached</v>
      </c>
    </row>
    <row r="3376" spans="4:16" x14ac:dyDescent="0.25">
      <c r="D3376" s="6" t="s">
        <v>34</v>
      </c>
      <c r="E3376">
        <v>2014</v>
      </c>
      <c r="F3376" s="6" t="s">
        <v>38</v>
      </c>
      <c r="G3376">
        <v>3</v>
      </c>
      <c r="H3376">
        <v>34</v>
      </c>
      <c r="I3376" s="6" t="s">
        <v>39</v>
      </c>
      <c r="J3376" s="6" t="s">
        <v>37</v>
      </c>
      <c r="K3376">
        <v>2</v>
      </c>
      <c r="M3376" s="1" t="b">
        <f>Employee__2[[#This Row],[Experience]]&gt;1</f>
        <v>1</v>
      </c>
      <c r="N3376" s="1" t="str">
        <f>IF(Employee__2[[#This Row],[City]]="Pune","Yes","No")</f>
        <v>Yes</v>
      </c>
      <c r="O3376" s="1" t="str">
        <f>IF(AND(Employee__2[[#This Row],[Education]]="Bachelors",Employee__2[[#This Row],[City]]="Pune"),"Yes","No")</f>
        <v>Yes</v>
      </c>
      <c r="P3376" s="1" t="str">
        <f>IF(OR(Employee__2[[#This Row],[Age]]&gt;=30,Employee__2[[#This Row],[Gender]]="Male"),"Mached","Not mached")</f>
        <v>Mached</v>
      </c>
    </row>
    <row r="3377" spans="4:16" x14ac:dyDescent="0.25">
      <c r="D3377" s="6" t="s">
        <v>34</v>
      </c>
      <c r="E3377">
        <v>2013</v>
      </c>
      <c r="F3377" s="6" t="s">
        <v>35</v>
      </c>
      <c r="G3377">
        <v>3</v>
      </c>
      <c r="H3377">
        <v>41</v>
      </c>
      <c r="I3377" s="6" t="s">
        <v>36</v>
      </c>
      <c r="J3377" s="6" t="s">
        <v>42</v>
      </c>
      <c r="K3377">
        <v>2</v>
      </c>
      <c r="M3377" s="1" t="b">
        <f>Employee__2[[#This Row],[Experience]]&gt;1</f>
        <v>1</v>
      </c>
      <c r="N3377" s="1" t="str">
        <f>IF(Employee__2[[#This Row],[City]]="Pune","Yes","No")</f>
        <v>No</v>
      </c>
      <c r="O3377" s="1" t="str">
        <f>IF(AND(Employee__2[[#This Row],[Education]]="Bachelors",Employee__2[[#This Row],[City]]="Pune"),"Yes","No")</f>
        <v>No</v>
      </c>
      <c r="P3377" s="1" t="str">
        <f>IF(OR(Employee__2[[#This Row],[Age]]&gt;=30,Employee__2[[#This Row],[Gender]]="Male"),"Mached","Not mached")</f>
        <v>Mached</v>
      </c>
    </row>
    <row r="3378" spans="4:16" x14ac:dyDescent="0.25">
      <c r="D3378" s="6" t="s">
        <v>34</v>
      </c>
      <c r="E3378">
        <v>2015</v>
      </c>
      <c r="F3378" s="6" t="s">
        <v>38</v>
      </c>
      <c r="G3378">
        <v>2</v>
      </c>
      <c r="H3378">
        <v>32</v>
      </c>
      <c r="I3378" s="6" t="s">
        <v>39</v>
      </c>
      <c r="J3378" s="6" t="s">
        <v>37</v>
      </c>
      <c r="K3378">
        <v>3</v>
      </c>
      <c r="M3378" s="1" t="b">
        <f>Employee__2[[#This Row],[Experience]]&gt;1</f>
        <v>1</v>
      </c>
      <c r="N3378" s="1" t="str">
        <f>IF(Employee__2[[#This Row],[City]]="Pune","Yes","No")</f>
        <v>Yes</v>
      </c>
      <c r="O3378" s="1" t="str">
        <f>IF(AND(Employee__2[[#This Row],[Education]]="Bachelors",Employee__2[[#This Row],[City]]="Pune"),"Yes","No")</f>
        <v>Yes</v>
      </c>
      <c r="P3378" s="1" t="str">
        <f>IF(OR(Employee__2[[#This Row],[Age]]&gt;=30,Employee__2[[#This Row],[Gender]]="Male"),"Mached","Not mached")</f>
        <v>Mached</v>
      </c>
    </row>
    <row r="3379" spans="4:16" x14ac:dyDescent="0.25">
      <c r="D3379" s="6" t="s">
        <v>34</v>
      </c>
      <c r="E3379">
        <v>2015</v>
      </c>
      <c r="F3379" s="6" t="s">
        <v>38</v>
      </c>
      <c r="G3379">
        <v>3</v>
      </c>
      <c r="H3379">
        <v>34</v>
      </c>
      <c r="I3379" s="6" t="s">
        <v>36</v>
      </c>
      <c r="J3379" s="6" t="s">
        <v>37</v>
      </c>
      <c r="K3379">
        <v>5</v>
      </c>
      <c r="M3379" s="1" t="b">
        <f>Employee__2[[#This Row],[Experience]]&gt;1</f>
        <v>1</v>
      </c>
      <c r="N3379" s="1" t="str">
        <f>IF(Employee__2[[#This Row],[City]]="Pune","Yes","No")</f>
        <v>Yes</v>
      </c>
      <c r="O3379" s="1" t="str">
        <f>IF(AND(Employee__2[[#This Row],[Education]]="Bachelors",Employee__2[[#This Row],[City]]="Pune"),"Yes","No")</f>
        <v>Yes</v>
      </c>
      <c r="P3379" s="1" t="str">
        <f>IF(OR(Employee__2[[#This Row],[Age]]&gt;=30,Employee__2[[#This Row],[Gender]]="Male"),"Mached","Not mached")</f>
        <v>Mached</v>
      </c>
    </row>
    <row r="3380" spans="4:16" x14ac:dyDescent="0.25">
      <c r="D3380" s="6" t="s">
        <v>43</v>
      </c>
      <c r="E3380">
        <v>2013</v>
      </c>
      <c r="F3380" s="6" t="s">
        <v>35</v>
      </c>
      <c r="G3380">
        <v>3</v>
      </c>
      <c r="H3380">
        <v>39</v>
      </c>
      <c r="I3380" s="6" t="s">
        <v>36</v>
      </c>
      <c r="J3380" s="6" t="s">
        <v>37</v>
      </c>
      <c r="K3380">
        <v>2</v>
      </c>
      <c r="M3380" s="1" t="b">
        <f>Employee__2[[#This Row],[Experience]]&gt;1</f>
        <v>1</v>
      </c>
      <c r="N3380" s="1" t="str">
        <f>IF(Employee__2[[#This Row],[City]]="Pune","Yes","No")</f>
        <v>No</v>
      </c>
      <c r="O3380" s="1" t="str">
        <f>IF(AND(Employee__2[[#This Row],[Education]]="Bachelors",Employee__2[[#This Row],[City]]="Pune"),"Yes","No")</f>
        <v>No</v>
      </c>
      <c r="P3380" s="1" t="str">
        <f>IF(OR(Employee__2[[#This Row],[Age]]&gt;=30,Employee__2[[#This Row],[Gender]]="Male"),"Mached","Not mached")</f>
        <v>Mached</v>
      </c>
    </row>
    <row r="3381" spans="4:16" x14ac:dyDescent="0.25">
      <c r="D3381" s="6" t="s">
        <v>41</v>
      </c>
      <c r="E3381">
        <v>2013</v>
      </c>
      <c r="F3381" s="6" t="s">
        <v>40</v>
      </c>
      <c r="G3381">
        <v>2</v>
      </c>
      <c r="H3381">
        <v>32</v>
      </c>
      <c r="I3381" s="6" t="s">
        <v>36</v>
      </c>
      <c r="J3381" s="6" t="s">
        <v>37</v>
      </c>
      <c r="K3381">
        <v>2</v>
      </c>
      <c r="M3381" s="1" t="b">
        <f>Employee__2[[#This Row],[Experience]]&gt;1</f>
        <v>1</v>
      </c>
      <c r="N3381" s="1" t="str">
        <f>IF(Employee__2[[#This Row],[City]]="Pune","Yes","No")</f>
        <v>No</v>
      </c>
      <c r="O3381" s="1" t="str">
        <f>IF(AND(Employee__2[[#This Row],[Education]]="Bachelors",Employee__2[[#This Row],[City]]="Pune"),"Yes","No")</f>
        <v>No</v>
      </c>
      <c r="P3381" s="1" t="str">
        <f>IF(OR(Employee__2[[#This Row],[Age]]&gt;=30,Employee__2[[#This Row],[Gender]]="Male"),"Mached","Not mached")</f>
        <v>Mached</v>
      </c>
    </row>
    <row r="3382" spans="4:16" x14ac:dyDescent="0.25">
      <c r="D3382" s="6" t="s">
        <v>34</v>
      </c>
      <c r="E3382">
        <v>2012</v>
      </c>
      <c r="F3382" s="6" t="s">
        <v>35</v>
      </c>
      <c r="G3382">
        <v>3</v>
      </c>
      <c r="H3382">
        <v>31</v>
      </c>
      <c r="I3382" s="6" t="s">
        <v>39</v>
      </c>
      <c r="J3382" s="6" t="s">
        <v>37</v>
      </c>
      <c r="K3382">
        <v>3</v>
      </c>
      <c r="M3382" s="1" t="b">
        <f>Employee__2[[#This Row],[Experience]]&gt;1</f>
        <v>1</v>
      </c>
      <c r="N3382" s="1" t="str">
        <f>IF(Employee__2[[#This Row],[City]]="Pune","Yes","No")</f>
        <v>No</v>
      </c>
      <c r="O3382" s="1" t="str">
        <f>IF(AND(Employee__2[[#This Row],[Education]]="Bachelors",Employee__2[[#This Row],[City]]="Pune"),"Yes","No")</f>
        <v>No</v>
      </c>
      <c r="P3382" s="1" t="str">
        <f>IF(OR(Employee__2[[#This Row],[Age]]&gt;=30,Employee__2[[#This Row],[Gender]]="Male"),"Mached","Not mached")</f>
        <v>Mached</v>
      </c>
    </row>
    <row r="3383" spans="4:16" x14ac:dyDescent="0.25">
      <c r="D3383" s="6" t="s">
        <v>43</v>
      </c>
      <c r="E3383">
        <v>2016</v>
      </c>
      <c r="F3383" s="6" t="s">
        <v>40</v>
      </c>
      <c r="G3383">
        <v>3</v>
      </c>
      <c r="H3383">
        <v>40</v>
      </c>
      <c r="I3383" s="6" t="s">
        <v>36</v>
      </c>
      <c r="J3383" s="6" t="s">
        <v>37</v>
      </c>
      <c r="K3383">
        <v>1</v>
      </c>
      <c r="M3383" s="1" t="b">
        <f>Employee__2[[#This Row],[Experience]]&gt;1</f>
        <v>0</v>
      </c>
      <c r="N3383" s="1" t="str">
        <f>IF(Employee__2[[#This Row],[City]]="Pune","Yes","No")</f>
        <v>No</v>
      </c>
      <c r="O3383" s="1" t="str">
        <f>IF(AND(Employee__2[[#This Row],[Education]]="Bachelors",Employee__2[[#This Row],[City]]="Pune"),"Yes","No")</f>
        <v>No</v>
      </c>
      <c r="P3383" s="1" t="str">
        <f>IF(OR(Employee__2[[#This Row],[Age]]&gt;=30,Employee__2[[#This Row],[Gender]]="Male"),"Mached","Not mached")</f>
        <v>Mached</v>
      </c>
    </row>
    <row r="3384" spans="4:16" x14ac:dyDescent="0.25">
      <c r="D3384" s="6" t="s">
        <v>34</v>
      </c>
      <c r="E3384">
        <v>2015</v>
      </c>
      <c r="F3384" s="6" t="s">
        <v>35</v>
      </c>
      <c r="G3384">
        <v>3</v>
      </c>
      <c r="H3384">
        <v>37</v>
      </c>
      <c r="I3384" s="6" t="s">
        <v>39</v>
      </c>
      <c r="J3384" s="6" t="s">
        <v>37</v>
      </c>
      <c r="K3384">
        <v>0</v>
      </c>
      <c r="M3384" s="1" t="b">
        <f>Employee__2[[#This Row],[Experience]]&gt;1</f>
        <v>0</v>
      </c>
      <c r="N3384" s="1" t="str">
        <f>IF(Employee__2[[#This Row],[City]]="Pune","Yes","No")</f>
        <v>No</v>
      </c>
      <c r="O3384" s="1" t="str">
        <f>IF(AND(Employee__2[[#This Row],[Education]]="Bachelors",Employee__2[[#This Row],[City]]="Pune"),"Yes","No")</f>
        <v>No</v>
      </c>
      <c r="P3384" s="1" t="str">
        <f>IF(OR(Employee__2[[#This Row],[Age]]&gt;=30,Employee__2[[#This Row],[Gender]]="Male"),"Mached","Not mached")</f>
        <v>Mached</v>
      </c>
    </row>
    <row r="3385" spans="4:16" x14ac:dyDescent="0.25">
      <c r="D3385" s="6" t="s">
        <v>41</v>
      </c>
      <c r="E3385">
        <v>2017</v>
      </c>
      <c r="F3385" s="6" t="s">
        <v>40</v>
      </c>
      <c r="G3385">
        <v>3</v>
      </c>
      <c r="H3385">
        <v>40</v>
      </c>
      <c r="I3385" s="6" t="s">
        <v>39</v>
      </c>
      <c r="J3385" s="6" t="s">
        <v>37</v>
      </c>
      <c r="K3385">
        <v>0</v>
      </c>
      <c r="M3385" s="1" t="b">
        <f>Employee__2[[#This Row],[Experience]]&gt;1</f>
        <v>0</v>
      </c>
      <c r="N3385" s="1" t="str">
        <f>IF(Employee__2[[#This Row],[City]]="Pune","Yes","No")</f>
        <v>No</v>
      </c>
      <c r="O3385" s="1" t="str">
        <f>IF(AND(Employee__2[[#This Row],[Education]]="Bachelors",Employee__2[[#This Row],[City]]="Pune"),"Yes","No")</f>
        <v>No</v>
      </c>
      <c r="P3385" s="1" t="str">
        <f>IF(OR(Employee__2[[#This Row],[Age]]&gt;=30,Employee__2[[#This Row],[Gender]]="Male"),"Mached","Not mached")</f>
        <v>Mached</v>
      </c>
    </row>
    <row r="3386" spans="4:16" x14ac:dyDescent="0.25">
      <c r="D3386" s="6" t="s">
        <v>34</v>
      </c>
      <c r="E3386">
        <v>2013</v>
      </c>
      <c r="F3386" s="6" t="s">
        <v>35</v>
      </c>
      <c r="G3386">
        <v>3</v>
      </c>
      <c r="H3386">
        <v>31</v>
      </c>
      <c r="I3386" s="6" t="s">
        <v>36</v>
      </c>
      <c r="J3386" s="6" t="s">
        <v>37</v>
      </c>
      <c r="K3386">
        <v>1</v>
      </c>
      <c r="M3386" s="1" t="b">
        <f>Employee__2[[#This Row],[Experience]]&gt;1</f>
        <v>0</v>
      </c>
      <c r="N3386" s="1" t="str">
        <f>IF(Employee__2[[#This Row],[City]]="Pune","Yes","No")</f>
        <v>No</v>
      </c>
      <c r="O3386" s="1" t="str">
        <f>IF(AND(Employee__2[[#This Row],[Education]]="Bachelors",Employee__2[[#This Row],[City]]="Pune"),"Yes","No")</f>
        <v>No</v>
      </c>
      <c r="P3386" s="1" t="str">
        <f>IF(OR(Employee__2[[#This Row],[Age]]&gt;=30,Employee__2[[#This Row],[Gender]]="Male"),"Mached","Not mached")</f>
        <v>Mached</v>
      </c>
    </row>
    <row r="3387" spans="4:16" x14ac:dyDescent="0.25">
      <c r="D3387" s="6" t="s">
        <v>34</v>
      </c>
      <c r="E3387">
        <v>2017</v>
      </c>
      <c r="F3387" s="6" t="s">
        <v>35</v>
      </c>
      <c r="G3387">
        <v>3</v>
      </c>
      <c r="H3387">
        <v>32</v>
      </c>
      <c r="I3387" s="6" t="s">
        <v>36</v>
      </c>
      <c r="J3387" s="6" t="s">
        <v>37</v>
      </c>
      <c r="K3387">
        <v>2</v>
      </c>
      <c r="M3387" s="1" t="b">
        <f>Employee__2[[#This Row],[Experience]]&gt;1</f>
        <v>1</v>
      </c>
      <c r="N3387" s="1" t="str">
        <f>IF(Employee__2[[#This Row],[City]]="Pune","Yes","No")</f>
        <v>No</v>
      </c>
      <c r="O3387" s="1" t="str">
        <f>IF(AND(Employee__2[[#This Row],[Education]]="Bachelors",Employee__2[[#This Row],[City]]="Pune"),"Yes","No")</f>
        <v>No</v>
      </c>
      <c r="P3387" s="1" t="str">
        <f>IF(OR(Employee__2[[#This Row],[Age]]&gt;=30,Employee__2[[#This Row],[Gender]]="Male"),"Mached","Not mached")</f>
        <v>Mached</v>
      </c>
    </row>
    <row r="3388" spans="4:16" x14ac:dyDescent="0.25">
      <c r="D3388" s="6" t="s">
        <v>34</v>
      </c>
      <c r="E3388">
        <v>2017</v>
      </c>
      <c r="F3388" s="6" t="s">
        <v>35</v>
      </c>
      <c r="G3388">
        <v>3</v>
      </c>
      <c r="H3388">
        <v>34</v>
      </c>
      <c r="I3388" s="6" t="s">
        <v>39</v>
      </c>
      <c r="J3388" s="6" t="s">
        <v>42</v>
      </c>
      <c r="K3388">
        <v>1</v>
      </c>
      <c r="M3388" s="1" t="b">
        <f>Employee__2[[#This Row],[Experience]]&gt;1</f>
        <v>0</v>
      </c>
      <c r="N3388" s="1" t="str">
        <f>IF(Employee__2[[#This Row],[City]]="Pune","Yes","No")</f>
        <v>No</v>
      </c>
      <c r="O3388" s="1" t="str">
        <f>IF(AND(Employee__2[[#This Row],[Education]]="Bachelors",Employee__2[[#This Row],[City]]="Pune"),"Yes","No")</f>
        <v>No</v>
      </c>
      <c r="P3388" s="1" t="str">
        <f>IF(OR(Employee__2[[#This Row],[Age]]&gt;=30,Employee__2[[#This Row],[Gender]]="Male"),"Mached","Not mached")</f>
        <v>Mached</v>
      </c>
    </row>
    <row r="3389" spans="4:16" x14ac:dyDescent="0.25">
      <c r="D3389" s="6" t="s">
        <v>41</v>
      </c>
      <c r="E3389">
        <v>2013</v>
      </c>
      <c r="F3389" s="6" t="s">
        <v>38</v>
      </c>
      <c r="G3389">
        <v>2</v>
      </c>
      <c r="H3389">
        <v>41</v>
      </c>
      <c r="I3389" s="6" t="s">
        <v>36</v>
      </c>
      <c r="J3389" s="6" t="s">
        <v>37</v>
      </c>
      <c r="K3389">
        <v>2</v>
      </c>
      <c r="M3389" s="1" t="b">
        <f>Employee__2[[#This Row],[Experience]]&gt;1</f>
        <v>1</v>
      </c>
      <c r="N3389" s="1" t="str">
        <f>IF(Employee__2[[#This Row],[City]]="Pune","Yes","No")</f>
        <v>Yes</v>
      </c>
      <c r="O3389" s="1" t="str">
        <f>IF(AND(Employee__2[[#This Row],[Education]]="Bachelors",Employee__2[[#This Row],[City]]="Pune"),"Yes","No")</f>
        <v>No</v>
      </c>
      <c r="P3389" s="1" t="str">
        <f>IF(OR(Employee__2[[#This Row],[Age]]&gt;=30,Employee__2[[#This Row],[Gender]]="Male"),"Mached","Not mached")</f>
        <v>Mached</v>
      </c>
    </row>
    <row r="3390" spans="4:16" x14ac:dyDescent="0.25">
      <c r="D3390" s="6" t="s">
        <v>41</v>
      </c>
      <c r="E3390">
        <v>2015</v>
      </c>
      <c r="F3390" s="6" t="s">
        <v>40</v>
      </c>
      <c r="G3390">
        <v>3</v>
      </c>
      <c r="H3390">
        <v>37</v>
      </c>
      <c r="I3390" s="6" t="s">
        <v>36</v>
      </c>
      <c r="J3390" s="6" t="s">
        <v>37</v>
      </c>
      <c r="K3390">
        <v>2</v>
      </c>
      <c r="M3390" s="1" t="b">
        <f>Employee__2[[#This Row],[Experience]]&gt;1</f>
        <v>1</v>
      </c>
      <c r="N3390" s="1" t="str">
        <f>IF(Employee__2[[#This Row],[City]]="Pune","Yes","No")</f>
        <v>No</v>
      </c>
      <c r="O3390" s="1" t="str">
        <f>IF(AND(Employee__2[[#This Row],[Education]]="Bachelors",Employee__2[[#This Row],[City]]="Pune"),"Yes","No")</f>
        <v>No</v>
      </c>
      <c r="P3390" s="1" t="str">
        <f>IF(OR(Employee__2[[#This Row],[Age]]&gt;=30,Employee__2[[#This Row],[Gender]]="Male"),"Mached","Not mached")</f>
        <v>Mached</v>
      </c>
    </row>
    <row r="3391" spans="4:16" x14ac:dyDescent="0.25">
      <c r="D3391" s="6" t="s">
        <v>34</v>
      </c>
      <c r="E3391">
        <v>2015</v>
      </c>
      <c r="F3391" s="6" t="s">
        <v>35</v>
      </c>
      <c r="G3391">
        <v>3</v>
      </c>
      <c r="H3391">
        <v>40</v>
      </c>
      <c r="I3391" s="6" t="s">
        <v>39</v>
      </c>
      <c r="J3391" s="6" t="s">
        <v>37</v>
      </c>
      <c r="K3391">
        <v>1</v>
      </c>
      <c r="M3391" s="1" t="b">
        <f>Employee__2[[#This Row],[Experience]]&gt;1</f>
        <v>0</v>
      </c>
      <c r="N3391" s="1" t="str">
        <f>IF(Employee__2[[#This Row],[City]]="Pune","Yes","No")</f>
        <v>No</v>
      </c>
      <c r="O3391" s="1" t="str">
        <f>IF(AND(Employee__2[[#This Row],[Education]]="Bachelors",Employee__2[[#This Row],[City]]="Pune"),"Yes","No")</f>
        <v>No</v>
      </c>
      <c r="P3391" s="1" t="str">
        <f>IF(OR(Employee__2[[#This Row],[Age]]&gt;=30,Employee__2[[#This Row],[Gender]]="Male"),"Mached","Not mached")</f>
        <v>Mached</v>
      </c>
    </row>
    <row r="3392" spans="4:16" x14ac:dyDescent="0.25">
      <c r="D3392" s="6" t="s">
        <v>41</v>
      </c>
      <c r="E3392">
        <v>2017</v>
      </c>
      <c r="F3392" s="6" t="s">
        <v>38</v>
      </c>
      <c r="G3392">
        <v>2</v>
      </c>
      <c r="H3392">
        <v>35</v>
      </c>
      <c r="I3392" s="6" t="s">
        <v>36</v>
      </c>
      <c r="J3392" s="6" t="s">
        <v>37</v>
      </c>
      <c r="K3392">
        <v>2</v>
      </c>
      <c r="M3392" s="1" t="b">
        <f>Employee__2[[#This Row],[Experience]]&gt;1</f>
        <v>1</v>
      </c>
      <c r="N3392" s="1" t="str">
        <f>IF(Employee__2[[#This Row],[City]]="Pune","Yes","No")</f>
        <v>Yes</v>
      </c>
      <c r="O3392" s="1" t="str">
        <f>IF(AND(Employee__2[[#This Row],[Education]]="Bachelors",Employee__2[[#This Row],[City]]="Pune"),"Yes","No")</f>
        <v>No</v>
      </c>
      <c r="P3392" s="1" t="str">
        <f>IF(OR(Employee__2[[#This Row],[Age]]&gt;=30,Employee__2[[#This Row],[Gender]]="Male"),"Mached","Not mached")</f>
        <v>Mached</v>
      </c>
    </row>
    <row r="3393" spans="4:16" x14ac:dyDescent="0.25">
      <c r="D3393" s="6" t="s">
        <v>34</v>
      </c>
      <c r="E3393">
        <v>2012</v>
      </c>
      <c r="F3393" s="6" t="s">
        <v>35</v>
      </c>
      <c r="G3393">
        <v>3</v>
      </c>
      <c r="H3393">
        <v>39</v>
      </c>
      <c r="I3393" s="6" t="s">
        <v>36</v>
      </c>
      <c r="J3393" s="6" t="s">
        <v>37</v>
      </c>
      <c r="K3393">
        <v>3</v>
      </c>
      <c r="M3393" s="1" t="b">
        <f>Employee__2[[#This Row],[Experience]]&gt;1</f>
        <v>1</v>
      </c>
      <c r="N3393" s="1" t="str">
        <f>IF(Employee__2[[#This Row],[City]]="Pune","Yes","No")</f>
        <v>No</v>
      </c>
      <c r="O3393" s="1" t="str">
        <f>IF(AND(Employee__2[[#This Row],[Education]]="Bachelors",Employee__2[[#This Row],[City]]="Pune"),"Yes","No")</f>
        <v>No</v>
      </c>
      <c r="P3393" s="1" t="str">
        <f>IF(OR(Employee__2[[#This Row],[Age]]&gt;=30,Employee__2[[#This Row],[Gender]]="Male"),"Mached","Not mached")</f>
        <v>Mached</v>
      </c>
    </row>
    <row r="3394" spans="4:16" x14ac:dyDescent="0.25">
      <c r="D3394" s="6" t="s">
        <v>34</v>
      </c>
      <c r="E3394">
        <v>2017</v>
      </c>
      <c r="F3394" s="6" t="s">
        <v>38</v>
      </c>
      <c r="G3394">
        <v>3</v>
      </c>
      <c r="H3394">
        <v>41</v>
      </c>
      <c r="I3394" s="6" t="s">
        <v>36</v>
      </c>
      <c r="J3394" s="6" t="s">
        <v>37</v>
      </c>
      <c r="K3394">
        <v>4</v>
      </c>
      <c r="M3394" s="1" t="b">
        <f>Employee__2[[#This Row],[Experience]]&gt;1</f>
        <v>1</v>
      </c>
      <c r="N3394" s="1" t="str">
        <f>IF(Employee__2[[#This Row],[City]]="Pune","Yes","No")</f>
        <v>Yes</v>
      </c>
      <c r="O3394" s="1" t="str">
        <f>IF(AND(Employee__2[[#This Row],[Education]]="Bachelors",Employee__2[[#This Row],[City]]="Pune"),"Yes","No")</f>
        <v>Yes</v>
      </c>
      <c r="P3394" s="1" t="str">
        <f>IF(OR(Employee__2[[#This Row],[Age]]&gt;=30,Employee__2[[#This Row],[Gender]]="Male"),"Mached","Not mached")</f>
        <v>Mached</v>
      </c>
    </row>
    <row r="3395" spans="4:16" x14ac:dyDescent="0.25">
      <c r="D3395" s="6" t="s">
        <v>34</v>
      </c>
      <c r="E3395">
        <v>2015</v>
      </c>
      <c r="F3395" s="6" t="s">
        <v>35</v>
      </c>
      <c r="G3395">
        <v>3</v>
      </c>
      <c r="H3395">
        <v>36</v>
      </c>
      <c r="I3395" s="6" t="s">
        <v>36</v>
      </c>
      <c r="J3395" s="6" t="s">
        <v>37</v>
      </c>
      <c r="K3395">
        <v>4</v>
      </c>
      <c r="M3395" s="1" t="b">
        <f>Employee__2[[#This Row],[Experience]]&gt;1</f>
        <v>1</v>
      </c>
      <c r="N3395" s="1" t="str">
        <f>IF(Employee__2[[#This Row],[City]]="Pune","Yes","No")</f>
        <v>No</v>
      </c>
      <c r="O3395" s="1" t="str">
        <f>IF(AND(Employee__2[[#This Row],[Education]]="Bachelors",Employee__2[[#This Row],[City]]="Pune"),"Yes","No")</f>
        <v>No</v>
      </c>
      <c r="P3395" s="1" t="str">
        <f>IF(OR(Employee__2[[#This Row],[Age]]&gt;=30,Employee__2[[#This Row],[Gender]]="Male"),"Mached","Not mached")</f>
        <v>Mached</v>
      </c>
    </row>
    <row r="3396" spans="4:16" x14ac:dyDescent="0.25">
      <c r="D3396" s="6" t="s">
        <v>34</v>
      </c>
      <c r="E3396">
        <v>2014</v>
      </c>
      <c r="F3396" s="6" t="s">
        <v>35</v>
      </c>
      <c r="G3396">
        <v>3</v>
      </c>
      <c r="H3396">
        <v>32</v>
      </c>
      <c r="I3396" s="6" t="s">
        <v>36</v>
      </c>
      <c r="J3396" s="6" t="s">
        <v>37</v>
      </c>
      <c r="K3396">
        <v>5</v>
      </c>
      <c r="M3396" s="1" t="b">
        <f>Employee__2[[#This Row],[Experience]]&gt;1</f>
        <v>1</v>
      </c>
      <c r="N3396" s="1" t="str">
        <f>IF(Employee__2[[#This Row],[City]]="Pune","Yes","No")</f>
        <v>No</v>
      </c>
      <c r="O3396" s="1" t="str">
        <f>IF(AND(Employee__2[[#This Row],[Education]]="Bachelors",Employee__2[[#This Row],[City]]="Pune"),"Yes","No")</f>
        <v>No</v>
      </c>
      <c r="P3396" s="1" t="str">
        <f>IF(OR(Employee__2[[#This Row],[Age]]&gt;=30,Employee__2[[#This Row],[Gender]]="Male"),"Mached","Not mached")</f>
        <v>Mached</v>
      </c>
    </row>
    <row r="3397" spans="4:16" x14ac:dyDescent="0.25">
      <c r="D3397" s="6" t="s">
        <v>34</v>
      </c>
      <c r="E3397">
        <v>2013</v>
      </c>
      <c r="F3397" s="6" t="s">
        <v>35</v>
      </c>
      <c r="G3397">
        <v>3</v>
      </c>
      <c r="H3397">
        <v>41</v>
      </c>
      <c r="I3397" s="6" t="s">
        <v>36</v>
      </c>
      <c r="J3397" s="6" t="s">
        <v>37</v>
      </c>
      <c r="K3397">
        <v>2</v>
      </c>
      <c r="M3397" s="1" t="b">
        <f>Employee__2[[#This Row],[Experience]]&gt;1</f>
        <v>1</v>
      </c>
      <c r="N3397" s="1" t="str">
        <f>IF(Employee__2[[#This Row],[City]]="Pune","Yes","No")</f>
        <v>No</v>
      </c>
      <c r="O3397" s="1" t="str">
        <f>IF(AND(Employee__2[[#This Row],[Education]]="Bachelors",Employee__2[[#This Row],[City]]="Pune"),"Yes","No")</f>
        <v>No</v>
      </c>
      <c r="P3397" s="1" t="str">
        <f>IF(OR(Employee__2[[#This Row],[Age]]&gt;=30,Employee__2[[#This Row],[Gender]]="Male"),"Mached","Not mached")</f>
        <v>Mached</v>
      </c>
    </row>
    <row r="3398" spans="4:16" x14ac:dyDescent="0.25">
      <c r="D3398" s="6" t="s">
        <v>34</v>
      </c>
      <c r="E3398">
        <v>2013</v>
      </c>
      <c r="F3398" s="6" t="s">
        <v>35</v>
      </c>
      <c r="G3398">
        <v>3</v>
      </c>
      <c r="H3398">
        <v>32</v>
      </c>
      <c r="I3398" s="6" t="s">
        <v>36</v>
      </c>
      <c r="J3398" s="6" t="s">
        <v>37</v>
      </c>
      <c r="K3398">
        <v>0</v>
      </c>
      <c r="M3398" s="1" t="b">
        <f>Employee__2[[#This Row],[Experience]]&gt;1</f>
        <v>0</v>
      </c>
      <c r="N3398" s="1" t="str">
        <f>IF(Employee__2[[#This Row],[City]]="Pune","Yes","No")</f>
        <v>No</v>
      </c>
      <c r="O3398" s="1" t="str">
        <f>IF(AND(Employee__2[[#This Row],[Education]]="Bachelors",Employee__2[[#This Row],[City]]="Pune"),"Yes","No")</f>
        <v>No</v>
      </c>
      <c r="P3398" s="1" t="str">
        <f>IF(OR(Employee__2[[#This Row],[Age]]&gt;=30,Employee__2[[#This Row],[Gender]]="Male"),"Mached","Not mached")</f>
        <v>Mached</v>
      </c>
    </row>
    <row r="3399" spans="4:16" x14ac:dyDescent="0.25">
      <c r="D3399" s="6" t="s">
        <v>34</v>
      </c>
      <c r="E3399">
        <v>2017</v>
      </c>
      <c r="F3399" s="6" t="s">
        <v>35</v>
      </c>
      <c r="G3399">
        <v>3</v>
      </c>
      <c r="H3399">
        <v>36</v>
      </c>
      <c r="I3399" s="6" t="s">
        <v>36</v>
      </c>
      <c r="J3399" s="6" t="s">
        <v>37</v>
      </c>
      <c r="K3399">
        <v>2</v>
      </c>
      <c r="M3399" s="1" t="b">
        <f>Employee__2[[#This Row],[Experience]]&gt;1</f>
        <v>1</v>
      </c>
      <c r="N3399" s="1" t="str">
        <f>IF(Employee__2[[#This Row],[City]]="Pune","Yes","No")</f>
        <v>No</v>
      </c>
      <c r="O3399" s="1" t="str">
        <f>IF(AND(Employee__2[[#This Row],[Education]]="Bachelors",Employee__2[[#This Row],[City]]="Pune"),"Yes","No")</f>
        <v>No</v>
      </c>
      <c r="P3399" s="1" t="str">
        <f>IF(OR(Employee__2[[#This Row],[Age]]&gt;=30,Employee__2[[#This Row],[Gender]]="Male"),"Mached","Not mached")</f>
        <v>Mached</v>
      </c>
    </row>
    <row r="3400" spans="4:16" x14ac:dyDescent="0.25">
      <c r="D3400" s="6" t="s">
        <v>34</v>
      </c>
      <c r="E3400">
        <v>2013</v>
      </c>
      <c r="F3400" s="6" t="s">
        <v>35</v>
      </c>
      <c r="G3400">
        <v>3</v>
      </c>
      <c r="H3400">
        <v>40</v>
      </c>
      <c r="I3400" s="6" t="s">
        <v>36</v>
      </c>
      <c r="J3400" s="6" t="s">
        <v>37</v>
      </c>
      <c r="K3400">
        <v>4</v>
      </c>
      <c r="M3400" s="1" t="b">
        <f>Employee__2[[#This Row],[Experience]]&gt;1</f>
        <v>1</v>
      </c>
      <c r="N3400" s="1" t="str">
        <f>IF(Employee__2[[#This Row],[City]]="Pune","Yes","No")</f>
        <v>No</v>
      </c>
      <c r="O3400" s="1" t="str">
        <f>IF(AND(Employee__2[[#This Row],[Education]]="Bachelors",Employee__2[[#This Row],[City]]="Pune"),"Yes","No")</f>
        <v>No</v>
      </c>
      <c r="P3400" s="1" t="str">
        <f>IF(OR(Employee__2[[#This Row],[Age]]&gt;=30,Employee__2[[#This Row],[Gender]]="Male"),"Mached","Not mached")</f>
        <v>Mached</v>
      </c>
    </row>
    <row r="3401" spans="4:16" x14ac:dyDescent="0.25">
      <c r="D3401" s="6" t="s">
        <v>34</v>
      </c>
      <c r="E3401">
        <v>2018</v>
      </c>
      <c r="F3401" s="6" t="s">
        <v>35</v>
      </c>
      <c r="G3401">
        <v>3</v>
      </c>
      <c r="H3401">
        <v>32</v>
      </c>
      <c r="I3401" s="6" t="s">
        <v>36</v>
      </c>
      <c r="J3401" s="6" t="s">
        <v>42</v>
      </c>
      <c r="K3401">
        <v>1</v>
      </c>
      <c r="M3401" s="1" t="b">
        <f>Employee__2[[#This Row],[Experience]]&gt;1</f>
        <v>0</v>
      </c>
      <c r="N3401" s="1" t="str">
        <f>IF(Employee__2[[#This Row],[City]]="Pune","Yes","No")</f>
        <v>No</v>
      </c>
      <c r="O3401" s="1" t="str">
        <f>IF(AND(Employee__2[[#This Row],[Education]]="Bachelors",Employee__2[[#This Row],[City]]="Pune"),"Yes","No")</f>
        <v>No</v>
      </c>
      <c r="P3401" s="1" t="str">
        <f>IF(OR(Employee__2[[#This Row],[Age]]&gt;=30,Employee__2[[#This Row],[Gender]]="Male"),"Mached","Not mached")</f>
        <v>Mached</v>
      </c>
    </row>
    <row r="3402" spans="4:16" x14ac:dyDescent="0.25">
      <c r="D3402" s="6" t="s">
        <v>34</v>
      </c>
      <c r="E3402">
        <v>2016</v>
      </c>
      <c r="F3402" s="6" t="s">
        <v>35</v>
      </c>
      <c r="G3402">
        <v>3</v>
      </c>
      <c r="H3402">
        <v>38</v>
      </c>
      <c r="I3402" s="6" t="s">
        <v>36</v>
      </c>
      <c r="J3402" s="6" t="s">
        <v>37</v>
      </c>
      <c r="K3402">
        <v>1</v>
      </c>
      <c r="M3402" s="1" t="b">
        <f>Employee__2[[#This Row],[Experience]]&gt;1</f>
        <v>0</v>
      </c>
      <c r="N3402" s="1" t="str">
        <f>IF(Employee__2[[#This Row],[City]]="Pune","Yes","No")</f>
        <v>No</v>
      </c>
      <c r="O3402" s="1" t="str">
        <f>IF(AND(Employee__2[[#This Row],[Education]]="Bachelors",Employee__2[[#This Row],[City]]="Pune"),"Yes","No")</f>
        <v>No</v>
      </c>
      <c r="P3402" s="1" t="str">
        <f>IF(OR(Employee__2[[#This Row],[Age]]&gt;=30,Employee__2[[#This Row],[Gender]]="Male"),"Mached","Not mached")</f>
        <v>Mached</v>
      </c>
    </row>
    <row r="3403" spans="4:16" x14ac:dyDescent="0.25">
      <c r="D3403" s="6" t="s">
        <v>34</v>
      </c>
      <c r="E3403">
        <v>2018</v>
      </c>
      <c r="F3403" s="6" t="s">
        <v>35</v>
      </c>
      <c r="G3403">
        <v>3</v>
      </c>
      <c r="H3403">
        <v>41</v>
      </c>
      <c r="I3403" s="6" t="s">
        <v>36</v>
      </c>
      <c r="J3403" s="6" t="s">
        <v>37</v>
      </c>
      <c r="K3403">
        <v>4</v>
      </c>
      <c r="M3403" s="1" t="b">
        <f>Employee__2[[#This Row],[Experience]]&gt;1</f>
        <v>1</v>
      </c>
      <c r="N3403" s="1" t="str">
        <f>IF(Employee__2[[#This Row],[City]]="Pune","Yes","No")</f>
        <v>No</v>
      </c>
      <c r="O3403" s="1" t="str">
        <f>IF(AND(Employee__2[[#This Row],[Education]]="Bachelors",Employee__2[[#This Row],[City]]="Pune"),"Yes","No")</f>
        <v>No</v>
      </c>
      <c r="P3403" s="1" t="str">
        <f>IF(OR(Employee__2[[#This Row],[Age]]&gt;=30,Employee__2[[#This Row],[Gender]]="Male"),"Mached","Not mached")</f>
        <v>Mached</v>
      </c>
    </row>
    <row r="3404" spans="4:16" x14ac:dyDescent="0.25">
      <c r="D3404" s="6" t="s">
        <v>41</v>
      </c>
      <c r="E3404">
        <v>2017</v>
      </c>
      <c r="F3404" s="6" t="s">
        <v>38</v>
      </c>
      <c r="G3404">
        <v>2</v>
      </c>
      <c r="H3404">
        <v>35</v>
      </c>
      <c r="I3404" s="6" t="s">
        <v>36</v>
      </c>
      <c r="J3404" s="6" t="s">
        <v>37</v>
      </c>
      <c r="K3404">
        <v>3</v>
      </c>
      <c r="M3404" s="1" t="b">
        <f>Employee__2[[#This Row],[Experience]]&gt;1</f>
        <v>1</v>
      </c>
      <c r="N3404" s="1" t="str">
        <f>IF(Employee__2[[#This Row],[City]]="Pune","Yes","No")</f>
        <v>Yes</v>
      </c>
      <c r="O3404" s="1" t="str">
        <f>IF(AND(Employee__2[[#This Row],[Education]]="Bachelors",Employee__2[[#This Row],[City]]="Pune"),"Yes","No")</f>
        <v>No</v>
      </c>
      <c r="P3404" s="1" t="str">
        <f>IF(OR(Employee__2[[#This Row],[Age]]&gt;=30,Employee__2[[#This Row],[Gender]]="Male"),"Mached","Not mached")</f>
        <v>Mached</v>
      </c>
    </row>
    <row r="3405" spans="4:16" x14ac:dyDescent="0.25">
      <c r="D3405" s="6" t="s">
        <v>34</v>
      </c>
      <c r="E3405">
        <v>2016</v>
      </c>
      <c r="F3405" s="6" t="s">
        <v>35</v>
      </c>
      <c r="G3405">
        <v>3</v>
      </c>
      <c r="H3405">
        <v>36</v>
      </c>
      <c r="I3405" s="6" t="s">
        <v>39</v>
      </c>
      <c r="J3405" s="6" t="s">
        <v>37</v>
      </c>
      <c r="K3405">
        <v>1</v>
      </c>
      <c r="M3405" s="1" t="b">
        <f>Employee__2[[#This Row],[Experience]]&gt;1</f>
        <v>0</v>
      </c>
      <c r="N3405" s="1" t="str">
        <f>IF(Employee__2[[#This Row],[City]]="Pune","Yes","No")</f>
        <v>No</v>
      </c>
      <c r="O3405" s="1" t="str">
        <f>IF(AND(Employee__2[[#This Row],[Education]]="Bachelors",Employee__2[[#This Row],[City]]="Pune"),"Yes","No")</f>
        <v>No</v>
      </c>
      <c r="P3405" s="1" t="str">
        <f>IF(OR(Employee__2[[#This Row],[Age]]&gt;=30,Employee__2[[#This Row],[Gender]]="Male"),"Mached","Not mached")</f>
        <v>Mached</v>
      </c>
    </row>
    <row r="3406" spans="4:16" x14ac:dyDescent="0.25">
      <c r="D3406" s="6" t="s">
        <v>34</v>
      </c>
      <c r="E3406">
        <v>2014</v>
      </c>
      <c r="F3406" s="6" t="s">
        <v>35</v>
      </c>
      <c r="G3406">
        <v>3</v>
      </c>
      <c r="H3406">
        <v>35</v>
      </c>
      <c r="I3406" s="6" t="s">
        <v>39</v>
      </c>
      <c r="J3406" s="6" t="s">
        <v>37</v>
      </c>
      <c r="K3406">
        <v>4</v>
      </c>
      <c r="M3406" s="1" t="b">
        <f>Employee__2[[#This Row],[Experience]]&gt;1</f>
        <v>1</v>
      </c>
      <c r="N3406" s="1" t="str">
        <f>IF(Employee__2[[#This Row],[City]]="Pune","Yes","No")</f>
        <v>No</v>
      </c>
      <c r="O3406" s="1" t="str">
        <f>IF(AND(Employee__2[[#This Row],[Education]]="Bachelors",Employee__2[[#This Row],[City]]="Pune"),"Yes","No")</f>
        <v>No</v>
      </c>
      <c r="P3406" s="1" t="str">
        <f>IF(OR(Employee__2[[#This Row],[Age]]&gt;=30,Employee__2[[#This Row],[Gender]]="Male"),"Mached","Not mached")</f>
        <v>Mached</v>
      </c>
    </row>
    <row r="3407" spans="4:16" x14ac:dyDescent="0.25">
      <c r="D3407" s="6" t="s">
        <v>34</v>
      </c>
      <c r="E3407">
        <v>2016</v>
      </c>
      <c r="F3407" s="6" t="s">
        <v>35</v>
      </c>
      <c r="G3407">
        <v>3</v>
      </c>
      <c r="H3407">
        <v>31</v>
      </c>
      <c r="I3407" s="6" t="s">
        <v>36</v>
      </c>
      <c r="J3407" s="6" t="s">
        <v>37</v>
      </c>
      <c r="K3407">
        <v>2</v>
      </c>
      <c r="M3407" s="1" t="b">
        <f>Employee__2[[#This Row],[Experience]]&gt;1</f>
        <v>1</v>
      </c>
      <c r="N3407" s="1" t="str">
        <f>IF(Employee__2[[#This Row],[City]]="Pune","Yes","No")</f>
        <v>No</v>
      </c>
      <c r="O3407" s="1" t="str">
        <f>IF(AND(Employee__2[[#This Row],[Education]]="Bachelors",Employee__2[[#This Row],[City]]="Pune"),"Yes","No")</f>
        <v>No</v>
      </c>
      <c r="P3407" s="1" t="str">
        <f>IF(OR(Employee__2[[#This Row],[Age]]&gt;=30,Employee__2[[#This Row],[Gender]]="Male"),"Mached","Not mached")</f>
        <v>Mached</v>
      </c>
    </row>
    <row r="3408" spans="4:16" x14ac:dyDescent="0.25">
      <c r="D3408" s="6" t="s">
        <v>43</v>
      </c>
      <c r="E3408">
        <v>2015</v>
      </c>
      <c r="F3408" s="6" t="s">
        <v>38</v>
      </c>
      <c r="G3408">
        <v>3</v>
      </c>
      <c r="H3408">
        <v>37</v>
      </c>
      <c r="I3408" s="6" t="s">
        <v>36</v>
      </c>
      <c r="J3408" s="6" t="s">
        <v>37</v>
      </c>
      <c r="K3408">
        <v>2</v>
      </c>
      <c r="M3408" s="1" t="b">
        <f>Employee__2[[#This Row],[Experience]]&gt;1</f>
        <v>1</v>
      </c>
      <c r="N3408" s="1" t="str">
        <f>IF(Employee__2[[#This Row],[City]]="Pune","Yes","No")</f>
        <v>Yes</v>
      </c>
      <c r="O3408" s="1" t="str">
        <f>IF(AND(Employee__2[[#This Row],[Education]]="Bachelors",Employee__2[[#This Row],[City]]="Pune"),"Yes","No")</f>
        <v>No</v>
      </c>
      <c r="P3408" s="1" t="str">
        <f>IF(OR(Employee__2[[#This Row],[Age]]&gt;=30,Employee__2[[#This Row],[Gender]]="Male"),"Mached","Not mached")</f>
        <v>Mached</v>
      </c>
    </row>
    <row r="3409" spans="4:16" x14ac:dyDescent="0.25">
      <c r="D3409" s="6" t="s">
        <v>34</v>
      </c>
      <c r="E3409">
        <v>2013</v>
      </c>
      <c r="F3409" s="6" t="s">
        <v>35</v>
      </c>
      <c r="G3409">
        <v>3</v>
      </c>
      <c r="H3409">
        <v>41</v>
      </c>
      <c r="I3409" s="6" t="s">
        <v>39</v>
      </c>
      <c r="J3409" s="6" t="s">
        <v>37</v>
      </c>
      <c r="K3409">
        <v>4</v>
      </c>
      <c r="M3409" s="1" t="b">
        <f>Employee__2[[#This Row],[Experience]]&gt;1</f>
        <v>1</v>
      </c>
      <c r="N3409" s="1" t="str">
        <f>IF(Employee__2[[#This Row],[City]]="Pune","Yes","No")</f>
        <v>No</v>
      </c>
      <c r="O3409" s="1" t="str">
        <f>IF(AND(Employee__2[[#This Row],[Education]]="Bachelors",Employee__2[[#This Row],[City]]="Pune"),"Yes","No")</f>
        <v>No</v>
      </c>
      <c r="P3409" s="1" t="str">
        <f>IF(OR(Employee__2[[#This Row],[Age]]&gt;=30,Employee__2[[#This Row],[Gender]]="Male"),"Mached","Not mached")</f>
        <v>Mached</v>
      </c>
    </row>
    <row r="3410" spans="4:16" x14ac:dyDescent="0.25">
      <c r="D3410" s="6" t="s">
        <v>34</v>
      </c>
      <c r="E3410">
        <v>2013</v>
      </c>
      <c r="F3410" s="6" t="s">
        <v>35</v>
      </c>
      <c r="G3410">
        <v>3</v>
      </c>
      <c r="H3410">
        <v>31</v>
      </c>
      <c r="I3410" s="6" t="s">
        <v>36</v>
      </c>
      <c r="J3410" s="6" t="s">
        <v>37</v>
      </c>
      <c r="K3410">
        <v>0</v>
      </c>
      <c r="M3410" s="1" t="b">
        <f>Employee__2[[#This Row],[Experience]]&gt;1</f>
        <v>0</v>
      </c>
      <c r="N3410" s="1" t="str">
        <f>IF(Employee__2[[#This Row],[City]]="Pune","Yes","No")</f>
        <v>No</v>
      </c>
      <c r="O3410" s="1" t="str">
        <f>IF(AND(Employee__2[[#This Row],[Education]]="Bachelors",Employee__2[[#This Row],[City]]="Pune"),"Yes","No")</f>
        <v>No</v>
      </c>
      <c r="P3410" s="1" t="str">
        <f>IF(OR(Employee__2[[#This Row],[Age]]&gt;=30,Employee__2[[#This Row],[Gender]]="Male"),"Mached","Not mached")</f>
        <v>Mached</v>
      </c>
    </row>
    <row r="3411" spans="4:16" x14ac:dyDescent="0.25">
      <c r="D3411" s="6" t="s">
        <v>34</v>
      </c>
      <c r="E3411">
        <v>2017</v>
      </c>
      <c r="F3411" s="6" t="s">
        <v>40</v>
      </c>
      <c r="G3411">
        <v>2</v>
      </c>
      <c r="H3411">
        <v>36</v>
      </c>
      <c r="I3411" s="6" t="s">
        <v>36</v>
      </c>
      <c r="J3411" s="6" t="s">
        <v>37</v>
      </c>
      <c r="K3411">
        <v>2</v>
      </c>
      <c r="M3411" s="1" t="b">
        <f>Employee__2[[#This Row],[Experience]]&gt;1</f>
        <v>1</v>
      </c>
      <c r="N3411" s="1" t="str">
        <f>IF(Employee__2[[#This Row],[City]]="Pune","Yes","No")</f>
        <v>No</v>
      </c>
      <c r="O3411" s="1" t="str">
        <f>IF(AND(Employee__2[[#This Row],[Education]]="Bachelors",Employee__2[[#This Row],[City]]="Pune"),"Yes","No")</f>
        <v>No</v>
      </c>
      <c r="P3411" s="1" t="str">
        <f>IF(OR(Employee__2[[#This Row],[Age]]&gt;=30,Employee__2[[#This Row],[Gender]]="Male"),"Mached","Not mached")</f>
        <v>Mached</v>
      </c>
    </row>
    <row r="3412" spans="4:16" x14ac:dyDescent="0.25">
      <c r="D3412" s="6" t="s">
        <v>34</v>
      </c>
      <c r="E3412">
        <v>2015</v>
      </c>
      <c r="F3412" s="6" t="s">
        <v>40</v>
      </c>
      <c r="G3412">
        <v>3</v>
      </c>
      <c r="H3412">
        <v>32</v>
      </c>
      <c r="I3412" s="6" t="s">
        <v>36</v>
      </c>
      <c r="J3412" s="6" t="s">
        <v>37</v>
      </c>
      <c r="K3412">
        <v>1</v>
      </c>
      <c r="M3412" s="1" t="b">
        <f>Employee__2[[#This Row],[Experience]]&gt;1</f>
        <v>0</v>
      </c>
      <c r="N3412" s="1" t="str">
        <f>IF(Employee__2[[#This Row],[City]]="Pune","Yes","No")</f>
        <v>No</v>
      </c>
      <c r="O3412" s="1" t="str">
        <f>IF(AND(Employee__2[[#This Row],[Education]]="Bachelors",Employee__2[[#This Row],[City]]="Pune"),"Yes","No")</f>
        <v>No</v>
      </c>
      <c r="P3412" s="1" t="str">
        <f>IF(OR(Employee__2[[#This Row],[Age]]&gt;=30,Employee__2[[#This Row],[Gender]]="Male"),"Mached","Not mached")</f>
        <v>Mached</v>
      </c>
    </row>
    <row r="3413" spans="4:16" x14ac:dyDescent="0.25">
      <c r="D3413" s="6" t="s">
        <v>34</v>
      </c>
      <c r="E3413">
        <v>2017</v>
      </c>
      <c r="F3413" s="6" t="s">
        <v>35</v>
      </c>
      <c r="G3413">
        <v>3</v>
      </c>
      <c r="H3413">
        <v>34</v>
      </c>
      <c r="I3413" s="6" t="s">
        <v>36</v>
      </c>
      <c r="J3413" s="6" t="s">
        <v>37</v>
      </c>
      <c r="K3413">
        <v>0</v>
      </c>
      <c r="M3413" s="1" t="b">
        <f>Employee__2[[#This Row],[Experience]]&gt;1</f>
        <v>0</v>
      </c>
      <c r="N3413" s="1" t="str">
        <f>IF(Employee__2[[#This Row],[City]]="Pune","Yes","No")</f>
        <v>No</v>
      </c>
      <c r="O3413" s="1" t="str">
        <f>IF(AND(Employee__2[[#This Row],[Education]]="Bachelors",Employee__2[[#This Row],[City]]="Pune"),"Yes","No")</f>
        <v>No</v>
      </c>
      <c r="P3413" s="1" t="str">
        <f>IF(OR(Employee__2[[#This Row],[Age]]&gt;=30,Employee__2[[#This Row],[Gender]]="Male"),"Mached","Not mached")</f>
        <v>Mached</v>
      </c>
    </row>
    <row r="3414" spans="4:16" x14ac:dyDescent="0.25">
      <c r="D3414" s="6" t="s">
        <v>34</v>
      </c>
      <c r="E3414">
        <v>2015</v>
      </c>
      <c r="F3414" s="6" t="s">
        <v>35</v>
      </c>
      <c r="G3414">
        <v>3</v>
      </c>
      <c r="H3414">
        <v>39</v>
      </c>
      <c r="I3414" s="6" t="s">
        <v>39</v>
      </c>
      <c r="J3414" s="6" t="s">
        <v>37</v>
      </c>
      <c r="K3414">
        <v>0</v>
      </c>
      <c r="M3414" s="1" t="b">
        <f>Employee__2[[#This Row],[Experience]]&gt;1</f>
        <v>0</v>
      </c>
      <c r="N3414" s="1" t="str">
        <f>IF(Employee__2[[#This Row],[City]]="Pune","Yes","No")</f>
        <v>No</v>
      </c>
      <c r="O3414" s="1" t="str">
        <f>IF(AND(Employee__2[[#This Row],[Education]]="Bachelors",Employee__2[[#This Row],[City]]="Pune"),"Yes","No")</f>
        <v>No</v>
      </c>
      <c r="P3414" s="1" t="str">
        <f>IF(OR(Employee__2[[#This Row],[Age]]&gt;=30,Employee__2[[#This Row],[Gender]]="Male"),"Mached","Not mached")</f>
        <v>Mached</v>
      </c>
    </row>
    <row r="3415" spans="4:16" x14ac:dyDescent="0.25">
      <c r="D3415" s="6" t="s">
        <v>34</v>
      </c>
      <c r="E3415">
        <v>2014</v>
      </c>
      <c r="F3415" s="6" t="s">
        <v>35</v>
      </c>
      <c r="G3415">
        <v>3</v>
      </c>
      <c r="H3415">
        <v>33</v>
      </c>
      <c r="I3415" s="6" t="s">
        <v>36</v>
      </c>
      <c r="J3415" s="6" t="s">
        <v>37</v>
      </c>
      <c r="K3415">
        <v>1</v>
      </c>
      <c r="M3415" s="1" t="b">
        <f>Employee__2[[#This Row],[Experience]]&gt;1</f>
        <v>0</v>
      </c>
      <c r="N3415" s="1" t="str">
        <f>IF(Employee__2[[#This Row],[City]]="Pune","Yes","No")</f>
        <v>No</v>
      </c>
      <c r="O3415" s="1" t="str">
        <f>IF(AND(Employee__2[[#This Row],[Education]]="Bachelors",Employee__2[[#This Row],[City]]="Pune"),"Yes","No")</f>
        <v>No</v>
      </c>
      <c r="P3415" s="1" t="str">
        <f>IF(OR(Employee__2[[#This Row],[Age]]&gt;=30,Employee__2[[#This Row],[Gender]]="Male"),"Mached","Not mached")</f>
        <v>Mached</v>
      </c>
    </row>
    <row r="3416" spans="4:16" x14ac:dyDescent="0.25">
      <c r="D3416" s="6" t="s">
        <v>34</v>
      </c>
      <c r="E3416">
        <v>2017</v>
      </c>
      <c r="F3416" s="6" t="s">
        <v>40</v>
      </c>
      <c r="G3416">
        <v>2</v>
      </c>
      <c r="H3416">
        <v>36</v>
      </c>
      <c r="I3416" s="6" t="s">
        <v>36</v>
      </c>
      <c r="J3416" s="6" t="s">
        <v>37</v>
      </c>
      <c r="K3416">
        <v>3</v>
      </c>
      <c r="M3416" s="1" t="b">
        <f>Employee__2[[#This Row],[Experience]]&gt;1</f>
        <v>1</v>
      </c>
      <c r="N3416" s="1" t="str">
        <f>IF(Employee__2[[#This Row],[City]]="Pune","Yes","No")</f>
        <v>No</v>
      </c>
      <c r="O3416" s="1" t="str">
        <f>IF(AND(Employee__2[[#This Row],[Education]]="Bachelors",Employee__2[[#This Row],[City]]="Pune"),"Yes","No")</f>
        <v>No</v>
      </c>
      <c r="P3416" s="1" t="str">
        <f>IF(OR(Employee__2[[#This Row],[Age]]&gt;=30,Employee__2[[#This Row],[Gender]]="Male"),"Mached","Not mached")</f>
        <v>Mached</v>
      </c>
    </row>
    <row r="3417" spans="4:16" x14ac:dyDescent="0.25">
      <c r="D3417" s="6" t="s">
        <v>34</v>
      </c>
      <c r="E3417">
        <v>2016</v>
      </c>
      <c r="F3417" s="6" t="s">
        <v>35</v>
      </c>
      <c r="G3417">
        <v>1</v>
      </c>
      <c r="H3417">
        <v>34</v>
      </c>
      <c r="I3417" s="6" t="s">
        <v>36</v>
      </c>
      <c r="J3417" s="6" t="s">
        <v>42</v>
      </c>
      <c r="K3417">
        <v>2</v>
      </c>
      <c r="M3417" s="1" t="b">
        <f>Employee__2[[#This Row],[Experience]]&gt;1</f>
        <v>1</v>
      </c>
      <c r="N3417" s="1" t="str">
        <f>IF(Employee__2[[#This Row],[City]]="Pune","Yes","No")</f>
        <v>No</v>
      </c>
      <c r="O3417" s="1" t="str">
        <f>IF(AND(Employee__2[[#This Row],[Education]]="Bachelors",Employee__2[[#This Row],[City]]="Pune"),"Yes","No")</f>
        <v>No</v>
      </c>
      <c r="P3417" s="1" t="str">
        <f>IF(OR(Employee__2[[#This Row],[Age]]&gt;=30,Employee__2[[#This Row],[Gender]]="Male"),"Mached","Not mached")</f>
        <v>Mached</v>
      </c>
    </row>
    <row r="3418" spans="4:16" x14ac:dyDescent="0.25">
      <c r="D3418" s="6" t="s">
        <v>34</v>
      </c>
      <c r="E3418">
        <v>2017</v>
      </c>
      <c r="F3418" s="6" t="s">
        <v>38</v>
      </c>
      <c r="G3418">
        <v>2</v>
      </c>
      <c r="H3418">
        <v>33</v>
      </c>
      <c r="I3418" s="6" t="s">
        <v>36</v>
      </c>
      <c r="J3418" s="6" t="s">
        <v>37</v>
      </c>
      <c r="K3418">
        <v>1</v>
      </c>
      <c r="M3418" s="1" t="b">
        <f>Employee__2[[#This Row],[Experience]]&gt;1</f>
        <v>0</v>
      </c>
      <c r="N3418" s="1" t="str">
        <f>IF(Employee__2[[#This Row],[City]]="Pune","Yes","No")</f>
        <v>Yes</v>
      </c>
      <c r="O3418" s="1" t="str">
        <f>IF(AND(Employee__2[[#This Row],[Education]]="Bachelors",Employee__2[[#This Row],[City]]="Pune"),"Yes","No")</f>
        <v>Yes</v>
      </c>
      <c r="P3418" s="1" t="str">
        <f>IF(OR(Employee__2[[#This Row],[Age]]&gt;=30,Employee__2[[#This Row],[Gender]]="Male"),"Mached","Not mached")</f>
        <v>Mached</v>
      </c>
    </row>
    <row r="3419" spans="4:16" x14ac:dyDescent="0.25">
      <c r="D3419" s="6" t="s">
        <v>34</v>
      </c>
      <c r="E3419">
        <v>2012</v>
      </c>
      <c r="F3419" s="6" t="s">
        <v>35</v>
      </c>
      <c r="G3419">
        <v>3</v>
      </c>
      <c r="H3419">
        <v>38</v>
      </c>
      <c r="I3419" s="6" t="s">
        <v>39</v>
      </c>
      <c r="J3419" s="6" t="s">
        <v>37</v>
      </c>
      <c r="K3419">
        <v>4</v>
      </c>
      <c r="M3419" s="1" t="b">
        <f>Employee__2[[#This Row],[Experience]]&gt;1</f>
        <v>1</v>
      </c>
      <c r="N3419" s="1" t="str">
        <f>IF(Employee__2[[#This Row],[City]]="Pune","Yes","No")</f>
        <v>No</v>
      </c>
      <c r="O3419" s="1" t="str">
        <f>IF(AND(Employee__2[[#This Row],[Education]]="Bachelors",Employee__2[[#This Row],[City]]="Pune"),"Yes","No")</f>
        <v>No</v>
      </c>
      <c r="P3419" s="1" t="str">
        <f>IF(OR(Employee__2[[#This Row],[Age]]&gt;=30,Employee__2[[#This Row],[Gender]]="Male"),"Mached","Not mached")</f>
        <v>Mached</v>
      </c>
    </row>
    <row r="3420" spans="4:16" x14ac:dyDescent="0.25">
      <c r="D3420" s="6" t="s">
        <v>34</v>
      </c>
      <c r="E3420">
        <v>2013</v>
      </c>
      <c r="F3420" s="6" t="s">
        <v>35</v>
      </c>
      <c r="G3420">
        <v>3</v>
      </c>
      <c r="H3420">
        <v>35</v>
      </c>
      <c r="I3420" s="6" t="s">
        <v>36</v>
      </c>
      <c r="J3420" s="6" t="s">
        <v>37</v>
      </c>
      <c r="K3420">
        <v>3</v>
      </c>
      <c r="M3420" s="1" t="b">
        <f>Employee__2[[#This Row],[Experience]]&gt;1</f>
        <v>1</v>
      </c>
      <c r="N3420" s="1" t="str">
        <f>IF(Employee__2[[#This Row],[City]]="Pune","Yes","No")</f>
        <v>No</v>
      </c>
      <c r="O3420" s="1" t="str">
        <f>IF(AND(Employee__2[[#This Row],[Education]]="Bachelors",Employee__2[[#This Row],[City]]="Pune"),"Yes","No")</f>
        <v>No</v>
      </c>
      <c r="P3420" s="1" t="str">
        <f>IF(OR(Employee__2[[#This Row],[Age]]&gt;=30,Employee__2[[#This Row],[Gender]]="Male"),"Mached","Not mached")</f>
        <v>Mached</v>
      </c>
    </row>
    <row r="3421" spans="4:16" x14ac:dyDescent="0.25">
      <c r="D3421" s="6" t="s">
        <v>34</v>
      </c>
      <c r="E3421">
        <v>2017</v>
      </c>
      <c r="F3421" s="6" t="s">
        <v>38</v>
      </c>
      <c r="G3421">
        <v>3</v>
      </c>
      <c r="H3421">
        <v>31</v>
      </c>
      <c r="I3421" s="6" t="s">
        <v>36</v>
      </c>
      <c r="J3421" s="6" t="s">
        <v>37</v>
      </c>
      <c r="K3421">
        <v>1</v>
      </c>
      <c r="M3421" s="1" t="b">
        <f>Employee__2[[#This Row],[Experience]]&gt;1</f>
        <v>0</v>
      </c>
      <c r="N3421" s="1" t="str">
        <f>IF(Employee__2[[#This Row],[City]]="Pune","Yes","No")</f>
        <v>Yes</v>
      </c>
      <c r="O3421" s="1" t="str">
        <f>IF(AND(Employee__2[[#This Row],[Education]]="Bachelors",Employee__2[[#This Row],[City]]="Pune"),"Yes","No")</f>
        <v>Yes</v>
      </c>
      <c r="P3421" s="1" t="str">
        <f>IF(OR(Employee__2[[#This Row],[Age]]&gt;=30,Employee__2[[#This Row],[Gender]]="Male"),"Mached","Not mached")</f>
        <v>Mached</v>
      </c>
    </row>
    <row r="3422" spans="4:16" x14ac:dyDescent="0.25">
      <c r="D3422" s="6" t="s">
        <v>34</v>
      </c>
      <c r="E3422">
        <v>2013</v>
      </c>
      <c r="F3422" s="6" t="s">
        <v>38</v>
      </c>
      <c r="G3422">
        <v>3</v>
      </c>
      <c r="H3422">
        <v>37</v>
      </c>
      <c r="I3422" s="6" t="s">
        <v>36</v>
      </c>
      <c r="J3422" s="6" t="s">
        <v>37</v>
      </c>
      <c r="K3422">
        <v>2</v>
      </c>
      <c r="M3422" s="1" t="b">
        <f>Employee__2[[#This Row],[Experience]]&gt;1</f>
        <v>1</v>
      </c>
      <c r="N3422" s="1" t="str">
        <f>IF(Employee__2[[#This Row],[City]]="Pune","Yes","No")</f>
        <v>Yes</v>
      </c>
      <c r="O3422" s="1" t="str">
        <f>IF(AND(Employee__2[[#This Row],[Education]]="Bachelors",Employee__2[[#This Row],[City]]="Pune"),"Yes","No")</f>
        <v>Yes</v>
      </c>
      <c r="P3422" s="1" t="str">
        <f>IF(OR(Employee__2[[#This Row],[Age]]&gt;=30,Employee__2[[#This Row],[Gender]]="Male"),"Mached","Not mached")</f>
        <v>Mached</v>
      </c>
    </row>
    <row r="3423" spans="4:16" x14ac:dyDescent="0.25">
      <c r="D3423" s="6" t="s">
        <v>34</v>
      </c>
      <c r="E3423">
        <v>2012</v>
      </c>
      <c r="F3423" s="6" t="s">
        <v>35</v>
      </c>
      <c r="G3423">
        <v>3</v>
      </c>
      <c r="H3423">
        <v>32</v>
      </c>
      <c r="I3423" s="6" t="s">
        <v>39</v>
      </c>
      <c r="J3423" s="6" t="s">
        <v>37</v>
      </c>
      <c r="K3423">
        <v>2</v>
      </c>
      <c r="M3423" s="1" t="b">
        <f>Employee__2[[#This Row],[Experience]]&gt;1</f>
        <v>1</v>
      </c>
      <c r="N3423" s="1" t="str">
        <f>IF(Employee__2[[#This Row],[City]]="Pune","Yes","No")</f>
        <v>No</v>
      </c>
      <c r="O3423" s="1" t="str">
        <f>IF(AND(Employee__2[[#This Row],[Education]]="Bachelors",Employee__2[[#This Row],[City]]="Pune"),"Yes","No")</f>
        <v>No</v>
      </c>
      <c r="P3423" s="1" t="str">
        <f>IF(OR(Employee__2[[#This Row],[Age]]&gt;=30,Employee__2[[#This Row],[Gender]]="Male"),"Mached","Not mached")</f>
        <v>Mached</v>
      </c>
    </row>
    <row r="3424" spans="4:16" x14ac:dyDescent="0.25">
      <c r="D3424" s="6" t="s">
        <v>34</v>
      </c>
      <c r="E3424">
        <v>2013</v>
      </c>
      <c r="F3424" s="6" t="s">
        <v>38</v>
      </c>
      <c r="G3424">
        <v>3</v>
      </c>
      <c r="H3424">
        <v>34</v>
      </c>
      <c r="I3424" s="6" t="s">
        <v>36</v>
      </c>
      <c r="J3424" s="6" t="s">
        <v>42</v>
      </c>
      <c r="K3424">
        <v>5</v>
      </c>
      <c r="M3424" s="1" t="b">
        <f>Employee__2[[#This Row],[Experience]]&gt;1</f>
        <v>1</v>
      </c>
      <c r="N3424" s="1" t="str">
        <f>IF(Employee__2[[#This Row],[City]]="Pune","Yes","No")</f>
        <v>Yes</v>
      </c>
      <c r="O3424" s="1" t="str">
        <f>IF(AND(Employee__2[[#This Row],[Education]]="Bachelors",Employee__2[[#This Row],[City]]="Pune"),"Yes","No")</f>
        <v>Yes</v>
      </c>
      <c r="P3424" s="1" t="str">
        <f>IF(OR(Employee__2[[#This Row],[Age]]&gt;=30,Employee__2[[#This Row],[Gender]]="Male"),"Mached","Not mached")</f>
        <v>Mached</v>
      </c>
    </row>
    <row r="3425" spans="4:16" x14ac:dyDescent="0.25">
      <c r="D3425" s="6" t="s">
        <v>43</v>
      </c>
      <c r="E3425">
        <v>2013</v>
      </c>
      <c r="F3425" s="6" t="s">
        <v>35</v>
      </c>
      <c r="G3425">
        <v>2</v>
      </c>
      <c r="H3425">
        <v>41</v>
      </c>
      <c r="I3425" s="6" t="s">
        <v>36</v>
      </c>
      <c r="J3425" s="6" t="s">
        <v>37</v>
      </c>
      <c r="K3425">
        <v>2</v>
      </c>
      <c r="M3425" s="1" t="b">
        <f>Employee__2[[#This Row],[Experience]]&gt;1</f>
        <v>1</v>
      </c>
      <c r="N3425" s="1" t="str">
        <f>IF(Employee__2[[#This Row],[City]]="Pune","Yes","No")</f>
        <v>No</v>
      </c>
      <c r="O3425" s="1" t="str">
        <f>IF(AND(Employee__2[[#This Row],[Education]]="Bachelors",Employee__2[[#This Row],[City]]="Pune"),"Yes","No")</f>
        <v>No</v>
      </c>
      <c r="P3425" s="1" t="str">
        <f>IF(OR(Employee__2[[#This Row],[Age]]&gt;=30,Employee__2[[#This Row],[Gender]]="Male"),"Mached","Not mached")</f>
        <v>Mached</v>
      </c>
    </row>
    <row r="3426" spans="4:16" x14ac:dyDescent="0.25">
      <c r="D3426" s="6" t="s">
        <v>41</v>
      </c>
      <c r="E3426">
        <v>2015</v>
      </c>
      <c r="F3426" s="6" t="s">
        <v>40</v>
      </c>
      <c r="G3426">
        <v>3</v>
      </c>
      <c r="H3426">
        <v>32</v>
      </c>
      <c r="I3426" s="6" t="s">
        <v>36</v>
      </c>
      <c r="J3426" s="6" t="s">
        <v>37</v>
      </c>
      <c r="K3426">
        <v>0</v>
      </c>
      <c r="M3426" s="1" t="b">
        <f>Employee__2[[#This Row],[Experience]]&gt;1</f>
        <v>0</v>
      </c>
      <c r="N3426" s="1" t="str">
        <f>IF(Employee__2[[#This Row],[City]]="Pune","Yes","No")</f>
        <v>No</v>
      </c>
      <c r="O3426" s="1" t="str">
        <f>IF(AND(Employee__2[[#This Row],[Education]]="Bachelors",Employee__2[[#This Row],[City]]="Pune"),"Yes","No")</f>
        <v>No</v>
      </c>
      <c r="P3426" s="1" t="str">
        <f>IF(OR(Employee__2[[#This Row],[Age]]&gt;=30,Employee__2[[#This Row],[Gender]]="Male"),"Mached","Not mached")</f>
        <v>Mached</v>
      </c>
    </row>
    <row r="3427" spans="4:16" x14ac:dyDescent="0.25">
      <c r="D3427" s="6" t="s">
        <v>34</v>
      </c>
      <c r="E3427">
        <v>2013</v>
      </c>
      <c r="F3427" s="6" t="s">
        <v>35</v>
      </c>
      <c r="G3427">
        <v>3</v>
      </c>
      <c r="H3427">
        <v>39</v>
      </c>
      <c r="I3427" s="6" t="s">
        <v>36</v>
      </c>
      <c r="J3427" s="6" t="s">
        <v>37</v>
      </c>
      <c r="K3427">
        <v>2</v>
      </c>
      <c r="M3427" s="1" t="b">
        <f>Employee__2[[#This Row],[Experience]]&gt;1</f>
        <v>1</v>
      </c>
      <c r="N3427" s="1" t="str">
        <f>IF(Employee__2[[#This Row],[City]]="Pune","Yes","No")</f>
        <v>No</v>
      </c>
      <c r="O3427" s="1" t="str">
        <f>IF(AND(Employee__2[[#This Row],[Education]]="Bachelors",Employee__2[[#This Row],[City]]="Pune"),"Yes","No")</f>
        <v>No</v>
      </c>
      <c r="P3427" s="1" t="str">
        <f>IF(OR(Employee__2[[#This Row],[Age]]&gt;=30,Employee__2[[#This Row],[Gender]]="Male"),"Mached","Not mached")</f>
        <v>Mached</v>
      </c>
    </row>
    <row r="3428" spans="4:16" x14ac:dyDescent="0.25">
      <c r="D3428" s="6" t="s">
        <v>34</v>
      </c>
      <c r="E3428">
        <v>2012</v>
      </c>
      <c r="F3428" s="6" t="s">
        <v>35</v>
      </c>
      <c r="G3428">
        <v>3</v>
      </c>
      <c r="H3428">
        <v>31</v>
      </c>
      <c r="I3428" s="6" t="s">
        <v>36</v>
      </c>
      <c r="J3428" s="6" t="s">
        <v>42</v>
      </c>
      <c r="K3428">
        <v>0</v>
      </c>
      <c r="M3428" s="1" t="b">
        <f>Employee__2[[#This Row],[Experience]]&gt;1</f>
        <v>0</v>
      </c>
      <c r="N3428" s="1" t="str">
        <f>IF(Employee__2[[#This Row],[City]]="Pune","Yes","No")</f>
        <v>No</v>
      </c>
      <c r="O3428" s="1" t="str">
        <f>IF(AND(Employee__2[[#This Row],[Education]]="Bachelors",Employee__2[[#This Row],[City]]="Pune"),"Yes","No")</f>
        <v>No</v>
      </c>
      <c r="P3428" s="1" t="str">
        <f>IF(OR(Employee__2[[#This Row],[Age]]&gt;=30,Employee__2[[#This Row],[Gender]]="Male"),"Mached","Not mached")</f>
        <v>Mached</v>
      </c>
    </row>
    <row r="3429" spans="4:16" x14ac:dyDescent="0.25">
      <c r="D3429" s="6" t="s">
        <v>34</v>
      </c>
      <c r="E3429">
        <v>2017</v>
      </c>
      <c r="F3429" s="6" t="s">
        <v>40</v>
      </c>
      <c r="G3429">
        <v>2</v>
      </c>
      <c r="H3429">
        <v>41</v>
      </c>
      <c r="I3429" s="6" t="s">
        <v>36</v>
      </c>
      <c r="J3429" s="6" t="s">
        <v>37</v>
      </c>
      <c r="K3429">
        <v>1</v>
      </c>
      <c r="M3429" s="1" t="b">
        <f>Employee__2[[#This Row],[Experience]]&gt;1</f>
        <v>0</v>
      </c>
      <c r="N3429" s="1" t="str">
        <f>IF(Employee__2[[#This Row],[City]]="Pune","Yes","No")</f>
        <v>No</v>
      </c>
      <c r="O3429" s="1" t="str">
        <f>IF(AND(Employee__2[[#This Row],[Education]]="Bachelors",Employee__2[[#This Row],[City]]="Pune"),"Yes","No")</f>
        <v>No</v>
      </c>
      <c r="P3429" s="1" t="str">
        <f>IF(OR(Employee__2[[#This Row],[Age]]&gt;=30,Employee__2[[#This Row],[Gender]]="Male"),"Mached","Not mached")</f>
        <v>Mached</v>
      </c>
    </row>
    <row r="3430" spans="4:16" x14ac:dyDescent="0.25">
      <c r="D3430" s="6" t="s">
        <v>34</v>
      </c>
      <c r="E3430">
        <v>2016</v>
      </c>
      <c r="F3430" s="6" t="s">
        <v>35</v>
      </c>
      <c r="G3430">
        <v>3</v>
      </c>
      <c r="H3430">
        <v>36</v>
      </c>
      <c r="I3430" s="6" t="s">
        <v>36</v>
      </c>
      <c r="J3430" s="6" t="s">
        <v>37</v>
      </c>
      <c r="K3430">
        <v>2</v>
      </c>
      <c r="M3430" s="1" t="b">
        <f>Employee__2[[#This Row],[Experience]]&gt;1</f>
        <v>1</v>
      </c>
      <c r="N3430" s="1" t="str">
        <f>IF(Employee__2[[#This Row],[City]]="Pune","Yes","No")</f>
        <v>No</v>
      </c>
      <c r="O3430" s="1" t="str">
        <f>IF(AND(Employee__2[[#This Row],[Education]]="Bachelors",Employee__2[[#This Row],[City]]="Pune"),"Yes","No")</f>
        <v>No</v>
      </c>
      <c r="P3430" s="1" t="str">
        <f>IF(OR(Employee__2[[#This Row],[Age]]&gt;=30,Employee__2[[#This Row],[Gender]]="Male"),"Mached","Not mached")</f>
        <v>Mached</v>
      </c>
    </row>
    <row r="3431" spans="4:16" x14ac:dyDescent="0.25">
      <c r="D3431" s="6" t="s">
        <v>34</v>
      </c>
      <c r="E3431">
        <v>2017</v>
      </c>
      <c r="F3431" s="6" t="s">
        <v>35</v>
      </c>
      <c r="G3431">
        <v>2</v>
      </c>
      <c r="H3431">
        <v>38</v>
      </c>
      <c r="I3431" s="6" t="s">
        <v>39</v>
      </c>
      <c r="J3431" s="6" t="s">
        <v>37</v>
      </c>
      <c r="K3431">
        <v>5</v>
      </c>
      <c r="M3431" s="1" t="b">
        <f>Employee__2[[#This Row],[Experience]]&gt;1</f>
        <v>1</v>
      </c>
      <c r="N3431" s="1" t="str">
        <f>IF(Employee__2[[#This Row],[City]]="Pune","Yes","No")</f>
        <v>No</v>
      </c>
      <c r="O3431" s="1" t="str">
        <f>IF(AND(Employee__2[[#This Row],[Education]]="Bachelors",Employee__2[[#This Row],[City]]="Pune"),"Yes","No")</f>
        <v>No</v>
      </c>
      <c r="P3431" s="1" t="str">
        <f>IF(OR(Employee__2[[#This Row],[Age]]&gt;=30,Employee__2[[#This Row],[Gender]]="Male"),"Mached","Not mached")</f>
        <v>Mached</v>
      </c>
    </row>
    <row r="3432" spans="4:16" x14ac:dyDescent="0.25">
      <c r="D3432" s="6" t="s">
        <v>34</v>
      </c>
      <c r="E3432">
        <v>2012</v>
      </c>
      <c r="F3432" s="6" t="s">
        <v>35</v>
      </c>
      <c r="G3432">
        <v>3</v>
      </c>
      <c r="H3432">
        <v>32</v>
      </c>
      <c r="I3432" s="6" t="s">
        <v>36</v>
      </c>
      <c r="J3432" s="6" t="s">
        <v>37</v>
      </c>
      <c r="K3432">
        <v>5</v>
      </c>
      <c r="M3432" s="1" t="b">
        <f>Employee__2[[#This Row],[Experience]]&gt;1</f>
        <v>1</v>
      </c>
      <c r="N3432" s="1" t="str">
        <f>IF(Employee__2[[#This Row],[City]]="Pune","Yes","No")</f>
        <v>No</v>
      </c>
      <c r="O3432" s="1" t="str">
        <f>IF(AND(Employee__2[[#This Row],[Education]]="Bachelors",Employee__2[[#This Row],[City]]="Pune"),"Yes","No")</f>
        <v>No</v>
      </c>
      <c r="P3432" s="1" t="str">
        <f>IF(OR(Employee__2[[#This Row],[Age]]&gt;=30,Employee__2[[#This Row],[Gender]]="Male"),"Mached","Not mached")</f>
        <v>Mached</v>
      </c>
    </row>
    <row r="3433" spans="4:16" x14ac:dyDescent="0.25">
      <c r="D3433" s="6" t="s">
        <v>34</v>
      </c>
      <c r="E3433">
        <v>2018</v>
      </c>
      <c r="F3433" s="6" t="s">
        <v>38</v>
      </c>
      <c r="G3433">
        <v>3</v>
      </c>
      <c r="H3433">
        <v>35</v>
      </c>
      <c r="I3433" s="6" t="s">
        <v>39</v>
      </c>
      <c r="J3433" s="6" t="s">
        <v>37</v>
      </c>
      <c r="K3433">
        <v>3</v>
      </c>
      <c r="M3433" s="1" t="b">
        <f>Employee__2[[#This Row],[Experience]]&gt;1</f>
        <v>1</v>
      </c>
      <c r="N3433" s="1" t="str">
        <f>IF(Employee__2[[#This Row],[City]]="Pune","Yes","No")</f>
        <v>Yes</v>
      </c>
      <c r="O3433" s="1" t="str">
        <f>IF(AND(Employee__2[[#This Row],[Education]]="Bachelors",Employee__2[[#This Row],[City]]="Pune"),"Yes","No")</f>
        <v>Yes</v>
      </c>
      <c r="P3433" s="1" t="str">
        <f>IF(OR(Employee__2[[#This Row],[Age]]&gt;=30,Employee__2[[#This Row],[Gender]]="Male"),"Mached","Not mached")</f>
        <v>Mached</v>
      </c>
    </row>
    <row r="3434" spans="4:16" x14ac:dyDescent="0.25">
      <c r="D3434" s="6" t="s">
        <v>34</v>
      </c>
      <c r="E3434">
        <v>2017</v>
      </c>
      <c r="F3434" s="6" t="s">
        <v>35</v>
      </c>
      <c r="G3434">
        <v>3</v>
      </c>
      <c r="H3434">
        <v>39</v>
      </c>
      <c r="I3434" s="6" t="s">
        <v>36</v>
      </c>
      <c r="J3434" s="6" t="s">
        <v>37</v>
      </c>
      <c r="K3434">
        <v>2</v>
      </c>
      <c r="M3434" s="1" t="b">
        <f>Employee__2[[#This Row],[Experience]]&gt;1</f>
        <v>1</v>
      </c>
      <c r="N3434" s="1" t="str">
        <f>IF(Employee__2[[#This Row],[City]]="Pune","Yes","No")</f>
        <v>No</v>
      </c>
      <c r="O3434" s="1" t="str">
        <f>IF(AND(Employee__2[[#This Row],[Education]]="Bachelors",Employee__2[[#This Row],[City]]="Pune"),"Yes","No")</f>
        <v>No</v>
      </c>
      <c r="P3434" s="1" t="str">
        <f>IF(OR(Employee__2[[#This Row],[Age]]&gt;=30,Employee__2[[#This Row],[Gender]]="Male"),"Mached","Not mached")</f>
        <v>Mached</v>
      </c>
    </row>
    <row r="3435" spans="4:16" x14ac:dyDescent="0.25">
      <c r="D3435" s="6" t="s">
        <v>41</v>
      </c>
      <c r="E3435">
        <v>2017</v>
      </c>
      <c r="F3435" s="6" t="s">
        <v>40</v>
      </c>
      <c r="G3435">
        <v>2</v>
      </c>
      <c r="H3435">
        <v>36</v>
      </c>
      <c r="I3435" s="6" t="s">
        <v>36</v>
      </c>
      <c r="J3435" s="6" t="s">
        <v>42</v>
      </c>
      <c r="K3435">
        <v>2</v>
      </c>
      <c r="M3435" s="1" t="b">
        <f>Employee__2[[#This Row],[Experience]]&gt;1</f>
        <v>1</v>
      </c>
      <c r="N3435" s="1" t="str">
        <f>IF(Employee__2[[#This Row],[City]]="Pune","Yes","No")</f>
        <v>No</v>
      </c>
      <c r="O3435" s="1" t="str">
        <f>IF(AND(Employee__2[[#This Row],[Education]]="Bachelors",Employee__2[[#This Row],[City]]="Pune"),"Yes","No")</f>
        <v>No</v>
      </c>
      <c r="P3435" s="1" t="str">
        <f>IF(OR(Employee__2[[#This Row],[Age]]&gt;=30,Employee__2[[#This Row],[Gender]]="Male"),"Mached","Not mached")</f>
        <v>Mached</v>
      </c>
    </row>
    <row r="3436" spans="4:16" x14ac:dyDescent="0.25">
      <c r="D3436" s="6" t="s">
        <v>34</v>
      </c>
      <c r="E3436">
        <v>2013</v>
      </c>
      <c r="F3436" s="6" t="s">
        <v>38</v>
      </c>
      <c r="G3436">
        <v>3</v>
      </c>
      <c r="H3436">
        <v>33</v>
      </c>
      <c r="I3436" s="6" t="s">
        <v>36</v>
      </c>
      <c r="J3436" s="6" t="s">
        <v>37</v>
      </c>
      <c r="K3436">
        <v>4</v>
      </c>
      <c r="M3436" s="1" t="b">
        <f>Employee__2[[#This Row],[Experience]]&gt;1</f>
        <v>1</v>
      </c>
      <c r="N3436" s="1" t="str">
        <f>IF(Employee__2[[#This Row],[City]]="Pune","Yes","No")</f>
        <v>Yes</v>
      </c>
      <c r="O3436" s="1" t="str">
        <f>IF(AND(Employee__2[[#This Row],[Education]]="Bachelors",Employee__2[[#This Row],[City]]="Pune"),"Yes","No")</f>
        <v>Yes</v>
      </c>
      <c r="P3436" s="1" t="str">
        <f>IF(OR(Employee__2[[#This Row],[Age]]&gt;=30,Employee__2[[#This Row],[Gender]]="Male"),"Mached","Not mached")</f>
        <v>Mached</v>
      </c>
    </row>
    <row r="3437" spans="4:16" x14ac:dyDescent="0.25">
      <c r="D3437" s="6" t="s">
        <v>34</v>
      </c>
      <c r="E3437">
        <v>2013</v>
      </c>
      <c r="F3437" s="6" t="s">
        <v>38</v>
      </c>
      <c r="G3437">
        <v>3</v>
      </c>
      <c r="H3437">
        <v>32</v>
      </c>
      <c r="I3437" s="6" t="s">
        <v>36</v>
      </c>
      <c r="J3437" s="6" t="s">
        <v>42</v>
      </c>
      <c r="K3437">
        <v>5</v>
      </c>
      <c r="M3437" s="1" t="b">
        <f>Employee__2[[#This Row],[Experience]]&gt;1</f>
        <v>1</v>
      </c>
      <c r="N3437" s="1" t="str">
        <f>IF(Employee__2[[#This Row],[City]]="Pune","Yes","No")</f>
        <v>Yes</v>
      </c>
      <c r="O3437" s="1" t="str">
        <f>IF(AND(Employee__2[[#This Row],[Education]]="Bachelors",Employee__2[[#This Row],[City]]="Pune"),"Yes","No")</f>
        <v>Yes</v>
      </c>
      <c r="P3437" s="1" t="str">
        <f>IF(OR(Employee__2[[#This Row],[Age]]&gt;=30,Employee__2[[#This Row],[Gender]]="Male"),"Mached","Not mached")</f>
        <v>Mached</v>
      </c>
    </row>
    <row r="3438" spans="4:16" x14ac:dyDescent="0.25">
      <c r="D3438" s="6" t="s">
        <v>34</v>
      </c>
      <c r="E3438">
        <v>2017</v>
      </c>
      <c r="F3438" s="6" t="s">
        <v>35</v>
      </c>
      <c r="G3438">
        <v>3</v>
      </c>
      <c r="H3438">
        <v>35</v>
      </c>
      <c r="I3438" s="6" t="s">
        <v>36</v>
      </c>
      <c r="J3438" s="6" t="s">
        <v>37</v>
      </c>
      <c r="K3438">
        <v>1</v>
      </c>
      <c r="M3438" s="1" t="b">
        <f>Employee__2[[#This Row],[Experience]]&gt;1</f>
        <v>0</v>
      </c>
      <c r="N3438" s="1" t="str">
        <f>IF(Employee__2[[#This Row],[City]]="Pune","Yes","No")</f>
        <v>No</v>
      </c>
      <c r="O3438" s="1" t="str">
        <f>IF(AND(Employee__2[[#This Row],[Education]]="Bachelors",Employee__2[[#This Row],[City]]="Pune"),"Yes","No")</f>
        <v>No</v>
      </c>
      <c r="P3438" s="1" t="str">
        <f>IF(OR(Employee__2[[#This Row],[Age]]&gt;=30,Employee__2[[#This Row],[Gender]]="Male"),"Mached","Not mached")</f>
        <v>Mached</v>
      </c>
    </row>
    <row r="3439" spans="4:16" x14ac:dyDescent="0.25">
      <c r="D3439" s="6" t="s">
        <v>34</v>
      </c>
      <c r="E3439">
        <v>2015</v>
      </c>
      <c r="F3439" s="6" t="s">
        <v>35</v>
      </c>
      <c r="G3439">
        <v>3</v>
      </c>
      <c r="H3439">
        <v>36</v>
      </c>
      <c r="I3439" s="6" t="s">
        <v>36</v>
      </c>
      <c r="J3439" s="6" t="s">
        <v>37</v>
      </c>
      <c r="K3439">
        <v>1</v>
      </c>
      <c r="M3439" s="1" t="b">
        <f>Employee__2[[#This Row],[Experience]]&gt;1</f>
        <v>0</v>
      </c>
      <c r="N3439" s="1" t="str">
        <f>IF(Employee__2[[#This Row],[City]]="Pune","Yes","No")</f>
        <v>No</v>
      </c>
      <c r="O3439" s="1" t="str">
        <f>IF(AND(Employee__2[[#This Row],[Education]]="Bachelors",Employee__2[[#This Row],[City]]="Pune"),"Yes","No")</f>
        <v>No</v>
      </c>
      <c r="P3439" s="1" t="str">
        <f>IF(OR(Employee__2[[#This Row],[Age]]&gt;=30,Employee__2[[#This Row],[Gender]]="Male"),"Mached","Not mached")</f>
        <v>Mached</v>
      </c>
    </row>
    <row r="3440" spans="4:16" x14ac:dyDescent="0.25">
      <c r="D3440" s="6" t="s">
        <v>41</v>
      </c>
      <c r="E3440">
        <v>2014</v>
      </c>
      <c r="F3440" s="6" t="s">
        <v>38</v>
      </c>
      <c r="G3440">
        <v>3</v>
      </c>
      <c r="H3440">
        <v>39</v>
      </c>
      <c r="I3440" s="6" t="s">
        <v>36</v>
      </c>
      <c r="J3440" s="6" t="s">
        <v>37</v>
      </c>
      <c r="K3440">
        <v>4</v>
      </c>
      <c r="M3440" s="1" t="b">
        <f>Employee__2[[#This Row],[Experience]]&gt;1</f>
        <v>1</v>
      </c>
      <c r="N3440" s="1" t="str">
        <f>IF(Employee__2[[#This Row],[City]]="Pune","Yes","No")</f>
        <v>Yes</v>
      </c>
      <c r="O3440" s="1" t="str">
        <f>IF(AND(Employee__2[[#This Row],[Education]]="Bachelors",Employee__2[[#This Row],[City]]="Pune"),"Yes","No")</f>
        <v>No</v>
      </c>
      <c r="P3440" s="1" t="str">
        <f>IF(OR(Employee__2[[#This Row],[Age]]&gt;=30,Employee__2[[#This Row],[Gender]]="Male"),"Mached","Not mached")</f>
        <v>Mached</v>
      </c>
    </row>
    <row r="3441" spans="4:16" x14ac:dyDescent="0.25">
      <c r="D3441" s="6" t="s">
        <v>34</v>
      </c>
      <c r="E3441">
        <v>2016</v>
      </c>
      <c r="F3441" s="6" t="s">
        <v>35</v>
      </c>
      <c r="G3441">
        <v>3</v>
      </c>
      <c r="H3441">
        <v>40</v>
      </c>
      <c r="I3441" s="6" t="s">
        <v>36</v>
      </c>
      <c r="J3441" s="6" t="s">
        <v>37</v>
      </c>
      <c r="K3441">
        <v>0</v>
      </c>
      <c r="M3441" s="1" t="b">
        <f>Employee__2[[#This Row],[Experience]]&gt;1</f>
        <v>0</v>
      </c>
      <c r="N3441" s="1" t="str">
        <f>IF(Employee__2[[#This Row],[City]]="Pune","Yes","No")</f>
        <v>No</v>
      </c>
      <c r="O3441" s="1" t="str">
        <f>IF(AND(Employee__2[[#This Row],[Education]]="Bachelors",Employee__2[[#This Row],[City]]="Pune"),"Yes","No")</f>
        <v>No</v>
      </c>
      <c r="P3441" s="1" t="str">
        <f>IF(OR(Employee__2[[#This Row],[Age]]&gt;=30,Employee__2[[#This Row],[Gender]]="Male"),"Mached","Not mached")</f>
        <v>Mached</v>
      </c>
    </row>
    <row r="3442" spans="4:16" x14ac:dyDescent="0.25">
      <c r="D3442" s="6" t="s">
        <v>34</v>
      </c>
      <c r="E3442">
        <v>2012</v>
      </c>
      <c r="F3442" s="6" t="s">
        <v>35</v>
      </c>
      <c r="G3442">
        <v>3</v>
      </c>
      <c r="H3442">
        <v>37</v>
      </c>
      <c r="I3442" s="6" t="s">
        <v>36</v>
      </c>
      <c r="J3442" s="6" t="s">
        <v>37</v>
      </c>
      <c r="K3442">
        <v>3</v>
      </c>
      <c r="M3442" s="1" t="b">
        <f>Employee__2[[#This Row],[Experience]]&gt;1</f>
        <v>1</v>
      </c>
      <c r="N3442" s="1" t="str">
        <f>IF(Employee__2[[#This Row],[City]]="Pune","Yes","No")</f>
        <v>No</v>
      </c>
      <c r="O3442" s="1" t="str">
        <f>IF(AND(Employee__2[[#This Row],[Education]]="Bachelors",Employee__2[[#This Row],[City]]="Pune"),"Yes","No")</f>
        <v>No</v>
      </c>
      <c r="P3442" s="1" t="str">
        <f>IF(OR(Employee__2[[#This Row],[Age]]&gt;=30,Employee__2[[#This Row],[Gender]]="Male"),"Mached","Not mached")</f>
        <v>Mached</v>
      </c>
    </row>
    <row r="3443" spans="4:16" x14ac:dyDescent="0.25">
      <c r="D3443" s="6" t="s">
        <v>41</v>
      </c>
      <c r="E3443">
        <v>2015</v>
      </c>
      <c r="F3443" s="6" t="s">
        <v>38</v>
      </c>
      <c r="G3443">
        <v>1</v>
      </c>
      <c r="H3443">
        <v>38</v>
      </c>
      <c r="I3443" s="6" t="s">
        <v>39</v>
      </c>
      <c r="J3443" s="6" t="s">
        <v>37</v>
      </c>
      <c r="K3443">
        <v>0</v>
      </c>
      <c r="M3443" s="1" t="b">
        <f>Employee__2[[#This Row],[Experience]]&gt;1</f>
        <v>0</v>
      </c>
      <c r="N3443" s="1" t="str">
        <f>IF(Employee__2[[#This Row],[City]]="Pune","Yes","No")</f>
        <v>Yes</v>
      </c>
      <c r="O3443" s="1" t="str">
        <f>IF(AND(Employee__2[[#This Row],[Education]]="Bachelors",Employee__2[[#This Row],[City]]="Pune"),"Yes","No")</f>
        <v>No</v>
      </c>
      <c r="P3443" s="1" t="str">
        <f>IF(OR(Employee__2[[#This Row],[Age]]&gt;=30,Employee__2[[#This Row],[Gender]]="Male"),"Mached","Not mached")</f>
        <v>Mached</v>
      </c>
    </row>
    <row r="3444" spans="4:16" x14ac:dyDescent="0.25">
      <c r="D3444" s="6" t="s">
        <v>34</v>
      </c>
      <c r="E3444">
        <v>2017</v>
      </c>
      <c r="F3444" s="6" t="s">
        <v>40</v>
      </c>
      <c r="G3444">
        <v>3</v>
      </c>
      <c r="H3444">
        <v>40</v>
      </c>
      <c r="I3444" s="6" t="s">
        <v>36</v>
      </c>
      <c r="J3444" s="6" t="s">
        <v>37</v>
      </c>
      <c r="K3444">
        <v>1</v>
      </c>
      <c r="M3444" s="1" t="b">
        <f>Employee__2[[#This Row],[Experience]]&gt;1</f>
        <v>0</v>
      </c>
      <c r="N3444" s="1" t="str">
        <f>IF(Employee__2[[#This Row],[City]]="Pune","Yes","No")</f>
        <v>No</v>
      </c>
      <c r="O3444" s="1" t="str">
        <f>IF(AND(Employee__2[[#This Row],[Education]]="Bachelors",Employee__2[[#This Row],[City]]="Pune"),"Yes","No")</f>
        <v>No</v>
      </c>
      <c r="P3444" s="1" t="str">
        <f>IF(OR(Employee__2[[#This Row],[Age]]&gt;=30,Employee__2[[#This Row],[Gender]]="Male"),"Mached","Not mached")</f>
        <v>Mached</v>
      </c>
    </row>
    <row r="3445" spans="4:16" x14ac:dyDescent="0.25">
      <c r="D3445" s="6" t="s">
        <v>34</v>
      </c>
      <c r="E3445">
        <v>2013</v>
      </c>
      <c r="F3445" s="6" t="s">
        <v>35</v>
      </c>
      <c r="G3445">
        <v>3</v>
      </c>
      <c r="H3445">
        <v>34</v>
      </c>
      <c r="I3445" s="6" t="s">
        <v>39</v>
      </c>
      <c r="J3445" s="6" t="s">
        <v>37</v>
      </c>
      <c r="K3445">
        <v>2</v>
      </c>
      <c r="M3445" s="1" t="b">
        <f>Employee__2[[#This Row],[Experience]]&gt;1</f>
        <v>1</v>
      </c>
      <c r="N3445" s="1" t="str">
        <f>IF(Employee__2[[#This Row],[City]]="Pune","Yes","No")</f>
        <v>No</v>
      </c>
      <c r="O3445" s="1" t="str">
        <f>IF(AND(Employee__2[[#This Row],[Education]]="Bachelors",Employee__2[[#This Row],[City]]="Pune"),"Yes","No")</f>
        <v>No</v>
      </c>
      <c r="P3445" s="1" t="str">
        <f>IF(OR(Employee__2[[#This Row],[Age]]&gt;=30,Employee__2[[#This Row],[Gender]]="Male"),"Mached","Not mached")</f>
        <v>Mached</v>
      </c>
    </row>
    <row r="3446" spans="4:16" x14ac:dyDescent="0.25">
      <c r="D3446" s="6" t="s">
        <v>34</v>
      </c>
      <c r="E3446">
        <v>2013</v>
      </c>
      <c r="F3446" s="6" t="s">
        <v>35</v>
      </c>
      <c r="G3446">
        <v>3</v>
      </c>
      <c r="H3446">
        <v>31</v>
      </c>
      <c r="I3446" s="6" t="s">
        <v>36</v>
      </c>
      <c r="J3446" s="6" t="s">
        <v>42</v>
      </c>
      <c r="K3446">
        <v>4</v>
      </c>
      <c r="M3446" s="1" t="b">
        <f>Employee__2[[#This Row],[Experience]]&gt;1</f>
        <v>1</v>
      </c>
      <c r="N3446" s="1" t="str">
        <f>IF(Employee__2[[#This Row],[City]]="Pune","Yes","No")</f>
        <v>No</v>
      </c>
      <c r="O3446" s="1" t="str">
        <f>IF(AND(Employee__2[[#This Row],[Education]]="Bachelors",Employee__2[[#This Row],[City]]="Pune"),"Yes","No")</f>
        <v>No</v>
      </c>
      <c r="P3446" s="1" t="str">
        <f>IF(OR(Employee__2[[#This Row],[Age]]&gt;=30,Employee__2[[#This Row],[Gender]]="Male"),"Mached","Not mached")</f>
        <v>Mached</v>
      </c>
    </row>
    <row r="3447" spans="4:16" x14ac:dyDescent="0.25">
      <c r="D3447" s="6" t="s">
        <v>34</v>
      </c>
      <c r="E3447">
        <v>2014</v>
      </c>
      <c r="F3447" s="6" t="s">
        <v>40</v>
      </c>
      <c r="G3447">
        <v>3</v>
      </c>
      <c r="H3447">
        <v>40</v>
      </c>
      <c r="I3447" s="6" t="s">
        <v>39</v>
      </c>
      <c r="J3447" s="6" t="s">
        <v>37</v>
      </c>
      <c r="K3447">
        <v>3</v>
      </c>
      <c r="M3447" s="1" t="b">
        <f>Employee__2[[#This Row],[Experience]]&gt;1</f>
        <v>1</v>
      </c>
      <c r="N3447" s="1" t="str">
        <f>IF(Employee__2[[#This Row],[City]]="Pune","Yes","No")</f>
        <v>No</v>
      </c>
      <c r="O3447" s="1" t="str">
        <f>IF(AND(Employee__2[[#This Row],[Education]]="Bachelors",Employee__2[[#This Row],[City]]="Pune"),"Yes","No")</f>
        <v>No</v>
      </c>
      <c r="P3447" s="1" t="str">
        <f>IF(OR(Employee__2[[#This Row],[Age]]&gt;=30,Employee__2[[#This Row],[Gender]]="Male"),"Mached","Not mached")</f>
        <v>Mached</v>
      </c>
    </row>
    <row r="3448" spans="4:16" x14ac:dyDescent="0.25">
      <c r="D3448" s="6" t="s">
        <v>34</v>
      </c>
      <c r="E3448">
        <v>2013</v>
      </c>
      <c r="F3448" s="6" t="s">
        <v>35</v>
      </c>
      <c r="G3448">
        <v>3</v>
      </c>
      <c r="H3448">
        <v>37</v>
      </c>
      <c r="I3448" s="6" t="s">
        <v>36</v>
      </c>
      <c r="J3448" s="6" t="s">
        <v>37</v>
      </c>
      <c r="K3448">
        <v>2</v>
      </c>
      <c r="M3448" s="1" t="b">
        <f>Employee__2[[#This Row],[Experience]]&gt;1</f>
        <v>1</v>
      </c>
      <c r="N3448" s="1" t="str">
        <f>IF(Employee__2[[#This Row],[City]]="Pune","Yes","No")</f>
        <v>No</v>
      </c>
      <c r="O3448" s="1" t="str">
        <f>IF(AND(Employee__2[[#This Row],[Education]]="Bachelors",Employee__2[[#This Row],[City]]="Pune"),"Yes","No")</f>
        <v>No</v>
      </c>
      <c r="P3448" s="1" t="str">
        <f>IF(OR(Employee__2[[#This Row],[Age]]&gt;=30,Employee__2[[#This Row],[Gender]]="Male"),"Mached","Not mached")</f>
        <v>Mached</v>
      </c>
    </row>
    <row r="3449" spans="4:16" x14ac:dyDescent="0.25">
      <c r="D3449" s="6" t="s">
        <v>34</v>
      </c>
      <c r="E3449">
        <v>2012</v>
      </c>
      <c r="F3449" s="6" t="s">
        <v>40</v>
      </c>
      <c r="G3449">
        <v>3</v>
      </c>
      <c r="H3449">
        <v>33</v>
      </c>
      <c r="I3449" s="6" t="s">
        <v>36</v>
      </c>
      <c r="J3449" s="6" t="s">
        <v>37</v>
      </c>
      <c r="K3449">
        <v>3</v>
      </c>
      <c r="M3449" s="1" t="b">
        <f>Employee__2[[#This Row],[Experience]]&gt;1</f>
        <v>1</v>
      </c>
      <c r="N3449" s="1" t="str">
        <f>IF(Employee__2[[#This Row],[City]]="Pune","Yes","No")</f>
        <v>No</v>
      </c>
      <c r="O3449" s="1" t="str">
        <f>IF(AND(Employee__2[[#This Row],[Education]]="Bachelors",Employee__2[[#This Row],[City]]="Pune"),"Yes","No")</f>
        <v>No</v>
      </c>
      <c r="P3449" s="1" t="str">
        <f>IF(OR(Employee__2[[#This Row],[Age]]&gt;=30,Employee__2[[#This Row],[Gender]]="Male"),"Mached","Not mached")</f>
        <v>Mached</v>
      </c>
    </row>
    <row r="3450" spans="4:16" x14ac:dyDescent="0.25">
      <c r="D3450" s="6" t="s">
        <v>34</v>
      </c>
      <c r="E3450">
        <v>2015</v>
      </c>
      <c r="F3450" s="6" t="s">
        <v>35</v>
      </c>
      <c r="G3450">
        <v>3</v>
      </c>
      <c r="H3450">
        <v>36</v>
      </c>
      <c r="I3450" s="6" t="s">
        <v>36</v>
      </c>
      <c r="J3450" s="6" t="s">
        <v>42</v>
      </c>
      <c r="K3450">
        <v>4</v>
      </c>
      <c r="M3450" s="1" t="b">
        <f>Employee__2[[#This Row],[Experience]]&gt;1</f>
        <v>1</v>
      </c>
      <c r="N3450" s="1" t="str">
        <f>IF(Employee__2[[#This Row],[City]]="Pune","Yes","No")</f>
        <v>No</v>
      </c>
      <c r="O3450" s="1" t="str">
        <f>IF(AND(Employee__2[[#This Row],[Education]]="Bachelors",Employee__2[[#This Row],[City]]="Pune"),"Yes","No")</f>
        <v>No</v>
      </c>
      <c r="P3450" s="1" t="str">
        <f>IF(OR(Employee__2[[#This Row],[Age]]&gt;=30,Employee__2[[#This Row],[Gender]]="Male"),"Mached","Not mached")</f>
        <v>Mached</v>
      </c>
    </row>
    <row r="3451" spans="4:16" x14ac:dyDescent="0.25">
      <c r="D3451" s="6" t="s">
        <v>34</v>
      </c>
      <c r="E3451">
        <v>2014</v>
      </c>
      <c r="F3451" s="6" t="s">
        <v>35</v>
      </c>
      <c r="G3451">
        <v>3</v>
      </c>
      <c r="H3451">
        <v>35</v>
      </c>
      <c r="I3451" s="6" t="s">
        <v>39</v>
      </c>
      <c r="J3451" s="6" t="s">
        <v>37</v>
      </c>
      <c r="K3451">
        <v>4</v>
      </c>
      <c r="M3451" s="1" t="b">
        <f>Employee__2[[#This Row],[Experience]]&gt;1</f>
        <v>1</v>
      </c>
      <c r="N3451" s="1" t="str">
        <f>IF(Employee__2[[#This Row],[City]]="Pune","Yes","No")</f>
        <v>No</v>
      </c>
      <c r="O3451" s="1" t="str">
        <f>IF(AND(Employee__2[[#This Row],[Education]]="Bachelors",Employee__2[[#This Row],[City]]="Pune"),"Yes","No")</f>
        <v>No</v>
      </c>
      <c r="P3451" s="1" t="str">
        <f>IF(OR(Employee__2[[#This Row],[Age]]&gt;=30,Employee__2[[#This Row],[Gender]]="Male"),"Mached","Not mached")</f>
        <v>Mached</v>
      </c>
    </row>
    <row r="3452" spans="4:16" x14ac:dyDescent="0.25">
      <c r="D3452" s="6" t="s">
        <v>34</v>
      </c>
      <c r="E3452">
        <v>2014</v>
      </c>
      <c r="F3452" s="6" t="s">
        <v>35</v>
      </c>
      <c r="G3452">
        <v>3</v>
      </c>
      <c r="H3452">
        <v>34</v>
      </c>
      <c r="I3452" s="6" t="s">
        <v>36</v>
      </c>
      <c r="J3452" s="6" t="s">
        <v>37</v>
      </c>
      <c r="K3452">
        <v>5</v>
      </c>
      <c r="M3452" s="1" t="b">
        <f>Employee__2[[#This Row],[Experience]]&gt;1</f>
        <v>1</v>
      </c>
      <c r="N3452" s="1" t="str">
        <f>IF(Employee__2[[#This Row],[City]]="Pune","Yes","No")</f>
        <v>No</v>
      </c>
      <c r="O3452" s="1" t="str">
        <f>IF(AND(Employee__2[[#This Row],[Education]]="Bachelors",Employee__2[[#This Row],[City]]="Pune"),"Yes","No")</f>
        <v>No</v>
      </c>
      <c r="P3452" s="1" t="str">
        <f>IF(OR(Employee__2[[#This Row],[Age]]&gt;=30,Employee__2[[#This Row],[Gender]]="Male"),"Mached","Not mached")</f>
        <v>Mached</v>
      </c>
    </row>
    <row r="3453" spans="4:16" x14ac:dyDescent="0.25">
      <c r="D3453" s="6" t="s">
        <v>34</v>
      </c>
      <c r="E3453">
        <v>2013</v>
      </c>
      <c r="F3453" s="6" t="s">
        <v>35</v>
      </c>
      <c r="G3453">
        <v>3</v>
      </c>
      <c r="H3453">
        <v>35</v>
      </c>
      <c r="I3453" s="6" t="s">
        <v>36</v>
      </c>
      <c r="J3453" s="6" t="s">
        <v>37</v>
      </c>
      <c r="K3453">
        <v>0</v>
      </c>
      <c r="M3453" s="1" t="b">
        <f>Employee__2[[#This Row],[Experience]]&gt;1</f>
        <v>0</v>
      </c>
      <c r="N3453" s="1" t="str">
        <f>IF(Employee__2[[#This Row],[City]]="Pune","Yes","No")</f>
        <v>No</v>
      </c>
      <c r="O3453" s="1" t="str">
        <f>IF(AND(Employee__2[[#This Row],[Education]]="Bachelors",Employee__2[[#This Row],[City]]="Pune"),"Yes","No")</f>
        <v>No</v>
      </c>
      <c r="P3453" s="1" t="str">
        <f>IF(OR(Employee__2[[#This Row],[Age]]&gt;=30,Employee__2[[#This Row],[Gender]]="Male"),"Mached","Not mached")</f>
        <v>Mached</v>
      </c>
    </row>
    <row r="3454" spans="4:16" x14ac:dyDescent="0.25">
      <c r="D3454" s="6" t="s">
        <v>41</v>
      </c>
      <c r="E3454">
        <v>2014</v>
      </c>
      <c r="F3454" s="6" t="s">
        <v>40</v>
      </c>
      <c r="G3454">
        <v>3</v>
      </c>
      <c r="H3454">
        <v>39</v>
      </c>
      <c r="I3454" s="6" t="s">
        <v>36</v>
      </c>
      <c r="J3454" s="6" t="s">
        <v>37</v>
      </c>
      <c r="K3454">
        <v>2</v>
      </c>
      <c r="M3454" s="1" t="b">
        <f>Employee__2[[#This Row],[Experience]]&gt;1</f>
        <v>1</v>
      </c>
      <c r="N3454" s="1" t="str">
        <f>IF(Employee__2[[#This Row],[City]]="Pune","Yes","No")</f>
        <v>No</v>
      </c>
      <c r="O3454" s="1" t="str">
        <f>IF(AND(Employee__2[[#This Row],[Education]]="Bachelors",Employee__2[[#This Row],[City]]="Pune"),"Yes","No")</f>
        <v>No</v>
      </c>
      <c r="P3454" s="1" t="str">
        <f>IF(OR(Employee__2[[#This Row],[Age]]&gt;=30,Employee__2[[#This Row],[Gender]]="Male"),"Mached","Not mached")</f>
        <v>Mached</v>
      </c>
    </row>
    <row r="3455" spans="4:16" x14ac:dyDescent="0.25">
      <c r="D3455" s="6" t="s">
        <v>34</v>
      </c>
      <c r="E3455">
        <v>2015</v>
      </c>
      <c r="F3455" s="6" t="s">
        <v>38</v>
      </c>
      <c r="G3455">
        <v>3</v>
      </c>
      <c r="H3455">
        <v>35</v>
      </c>
      <c r="I3455" s="6" t="s">
        <v>39</v>
      </c>
      <c r="J3455" s="6" t="s">
        <v>37</v>
      </c>
      <c r="K3455">
        <v>1</v>
      </c>
      <c r="M3455" s="1" t="b">
        <f>Employee__2[[#This Row],[Experience]]&gt;1</f>
        <v>0</v>
      </c>
      <c r="N3455" s="1" t="str">
        <f>IF(Employee__2[[#This Row],[City]]="Pune","Yes","No")</f>
        <v>Yes</v>
      </c>
      <c r="O3455" s="1" t="str">
        <f>IF(AND(Employee__2[[#This Row],[Education]]="Bachelors",Employee__2[[#This Row],[City]]="Pune"),"Yes","No")</f>
        <v>Yes</v>
      </c>
      <c r="P3455" s="1" t="str">
        <f>IF(OR(Employee__2[[#This Row],[Age]]&gt;=30,Employee__2[[#This Row],[Gender]]="Male"),"Mached","Not mached")</f>
        <v>Mached</v>
      </c>
    </row>
    <row r="3456" spans="4:16" x14ac:dyDescent="0.25">
      <c r="D3456" s="6" t="s">
        <v>41</v>
      </c>
      <c r="E3456">
        <v>2014</v>
      </c>
      <c r="F3456" s="6" t="s">
        <v>40</v>
      </c>
      <c r="G3456">
        <v>3</v>
      </c>
      <c r="H3456">
        <v>34</v>
      </c>
      <c r="I3456" s="6" t="s">
        <v>36</v>
      </c>
      <c r="J3456" s="6" t="s">
        <v>37</v>
      </c>
      <c r="K3456">
        <v>5</v>
      </c>
      <c r="M3456" s="1" t="b">
        <f>Employee__2[[#This Row],[Experience]]&gt;1</f>
        <v>1</v>
      </c>
      <c r="N3456" s="1" t="str">
        <f>IF(Employee__2[[#This Row],[City]]="Pune","Yes","No")</f>
        <v>No</v>
      </c>
      <c r="O3456" s="1" t="str">
        <f>IF(AND(Employee__2[[#This Row],[Education]]="Bachelors",Employee__2[[#This Row],[City]]="Pune"),"Yes","No")</f>
        <v>No</v>
      </c>
      <c r="P3456" s="1" t="str">
        <f>IF(OR(Employee__2[[#This Row],[Age]]&gt;=30,Employee__2[[#This Row],[Gender]]="Male"),"Mached","Not mached")</f>
        <v>Mached</v>
      </c>
    </row>
    <row r="3457" spans="4:16" x14ac:dyDescent="0.25">
      <c r="D3457" s="6" t="s">
        <v>34</v>
      </c>
      <c r="E3457">
        <v>2017</v>
      </c>
      <c r="F3457" s="6" t="s">
        <v>38</v>
      </c>
      <c r="G3457">
        <v>2</v>
      </c>
      <c r="H3457">
        <v>32</v>
      </c>
      <c r="I3457" s="6" t="s">
        <v>39</v>
      </c>
      <c r="J3457" s="6" t="s">
        <v>37</v>
      </c>
      <c r="K3457">
        <v>2</v>
      </c>
      <c r="M3457" s="1" t="b">
        <f>Employee__2[[#This Row],[Experience]]&gt;1</f>
        <v>1</v>
      </c>
      <c r="N3457" s="1" t="str">
        <f>IF(Employee__2[[#This Row],[City]]="Pune","Yes","No")</f>
        <v>Yes</v>
      </c>
      <c r="O3457" s="1" t="str">
        <f>IF(AND(Employee__2[[#This Row],[Education]]="Bachelors",Employee__2[[#This Row],[City]]="Pune"),"Yes","No")</f>
        <v>Yes</v>
      </c>
      <c r="P3457" s="1" t="str">
        <f>IF(OR(Employee__2[[#This Row],[Age]]&gt;=30,Employee__2[[#This Row],[Gender]]="Male"),"Mached","Not mached")</f>
        <v>Mached</v>
      </c>
    </row>
    <row r="3458" spans="4:16" x14ac:dyDescent="0.25">
      <c r="D3458" s="6" t="s">
        <v>34</v>
      </c>
      <c r="E3458">
        <v>2015</v>
      </c>
      <c r="F3458" s="6" t="s">
        <v>40</v>
      </c>
      <c r="G3458">
        <v>3</v>
      </c>
      <c r="H3458">
        <v>32</v>
      </c>
      <c r="I3458" s="6" t="s">
        <v>39</v>
      </c>
      <c r="J3458" s="6" t="s">
        <v>37</v>
      </c>
      <c r="K3458">
        <v>2</v>
      </c>
      <c r="M3458" s="1" t="b">
        <f>Employee__2[[#This Row],[Experience]]&gt;1</f>
        <v>1</v>
      </c>
      <c r="N3458" s="1" t="str">
        <f>IF(Employee__2[[#This Row],[City]]="Pune","Yes","No")</f>
        <v>No</v>
      </c>
      <c r="O3458" s="1" t="str">
        <f>IF(AND(Employee__2[[#This Row],[Education]]="Bachelors",Employee__2[[#This Row],[City]]="Pune"),"Yes","No")</f>
        <v>No</v>
      </c>
      <c r="P3458" s="1" t="str">
        <f>IF(OR(Employee__2[[#This Row],[Age]]&gt;=30,Employee__2[[#This Row],[Gender]]="Male"),"Mached","Not mached")</f>
        <v>Mached</v>
      </c>
    </row>
    <row r="3459" spans="4:16" x14ac:dyDescent="0.25">
      <c r="D3459" s="6" t="s">
        <v>34</v>
      </c>
      <c r="E3459">
        <v>2014</v>
      </c>
      <c r="F3459" s="6" t="s">
        <v>35</v>
      </c>
      <c r="G3459">
        <v>3</v>
      </c>
      <c r="H3459">
        <v>33</v>
      </c>
      <c r="I3459" s="6" t="s">
        <v>36</v>
      </c>
      <c r="J3459" s="6" t="s">
        <v>37</v>
      </c>
      <c r="K3459">
        <v>5</v>
      </c>
      <c r="M3459" s="1" t="b">
        <f>Employee__2[[#This Row],[Experience]]&gt;1</f>
        <v>1</v>
      </c>
      <c r="N3459" s="1" t="str">
        <f>IF(Employee__2[[#This Row],[City]]="Pune","Yes","No")</f>
        <v>No</v>
      </c>
      <c r="O3459" s="1" t="str">
        <f>IF(AND(Employee__2[[#This Row],[Education]]="Bachelors",Employee__2[[#This Row],[City]]="Pune"),"Yes","No")</f>
        <v>No</v>
      </c>
      <c r="P3459" s="1" t="str">
        <f>IF(OR(Employee__2[[#This Row],[Age]]&gt;=30,Employee__2[[#This Row],[Gender]]="Male"),"Mached","Not mached")</f>
        <v>Mached</v>
      </c>
    </row>
    <row r="3460" spans="4:16" x14ac:dyDescent="0.25">
      <c r="D3460" s="6" t="s">
        <v>41</v>
      </c>
      <c r="E3460">
        <v>2017</v>
      </c>
      <c r="F3460" s="6" t="s">
        <v>40</v>
      </c>
      <c r="G3460">
        <v>2</v>
      </c>
      <c r="H3460">
        <v>34</v>
      </c>
      <c r="I3460" s="6" t="s">
        <v>36</v>
      </c>
      <c r="J3460" s="6" t="s">
        <v>37</v>
      </c>
      <c r="K3460">
        <v>2</v>
      </c>
      <c r="M3460" s="1" t="b">
        <f>Employee__2[[#This Row],[Experience]]&gt;1</f>
        <v>1</v>
      </c>
      <c r="N3460" s="1" t="str">
        <f>IF(Employee__2[[#This Row],[City]]="Pune","Yes","No")</f>
        <v>No</v>
      </c>
      <c r="O3460" s="1" t="str">
        <f>IF(AND(Employee__2[[#This Row],[Education]]="Bachelors",Employee__2[[#This Row],[City]]="Pune"),"Yes","No")</f>
        <v>No</v>
      </c>
      <c r="P3460" s="1" t="str">
        <f>IF(OR(Employee__2[[#This Row],[Age]]&gt;=30,Employee__2[[#This Row],[Gender]]="Male"),"Mached","Not mached")</f>
        <v>Mached</v>
      </c>
    </row>
    <row r="3461" spans="4:16" x14ac:dyDescent="0.25">
      <c r="D3461" s="6" t="s">
        <v>41</v>
      </c>
      <c r="E3461">
        <v>2016</v>
      </c>
      <c r="F3461" s="6" t="s">
        <v>35</v>
      </c>
      <c r="G3461">
        <v>3</v>
      </c>
      <c r="H3461">
        <v>35</v>
      </c>
      <c r="I3461" s="6" t="s">
        <v>39</v>
      </c>
      <c r="J3461" s="6" t="s">
        <v>37</v>
      </c>
      <c r="K3461">
        <v>1</v>
      </c>
      <c r="M3461" s="1" t="b">
        <f>Employee__2[[#This Row],[Experience]]&gt;1</f>
        <v>0</v>
      </c>
      <c r="N3461" s="1" t="str">
        <f>IF(Employee__2[[#This Row],[City]]="Pune","Yes","No")</f>
        <v>No</v>
      </c>
      <c r="O3461" s="1" t="str">
        <f>IF(AND(Employee__2[[#This Row],[Education]]="Bachelors",Employee__2[[#This Row],[City]]="Pune"),"Yes","No")</f>
        <v>No</v>
      </c>
      <c r="P3461" s="1" t="str">
        <f>IF(OR(Employee__2[[#This Row],[Age]]&gt;=30,Employee__2[[#This Row],[Gender]]="Male"),"Mached","Not mached")</f>
        <v>Mached</v>
      </c>
    </row>
    <row r="3462" spans="4:16" x14ac:dyDescent="0.25">
      <c r="D3462" s="6" t="s">
        <v>41</v>
      </c>
      <c r="E3462">
        <v>2017</v>
      </c>
      <c r="F3462" s="6" t="s">
        <v>40</v>
      </c>
      <c r="G3462">
        <v>3</v>
      </c>
      <c r="H3462">
        <v>35</v>
      </c>
      <c r="I3462" s="6" t="s">
        <v>36</v>
      </c>
      <c r="J3462" s="6" t="s">
        <v>42</v>
      </c>
      <c r="K3462">
        <v>2</v>
      </c>
      <c r="M3462" s="1" t="b">
        <f>Employee__2[[#This Row],[Experience]]&gt;1</f>
        <v>1</v>
      </c>
      <c r="N3462" s="1" t="str">
        <f>IF(Employee__2[[#This Row],[City]]="Pune","Yes","No")</f>
        <v>No</v>
      </c>
      <c r="O3462" s="1" t="str">
        <f>IF(AND(Employee__2[[#This Row],[Education]]="Bachelors",Employee__2[[#This Row],[City]]="Pune"),"Yes","No")</f>
        <v>No</v>
      </c>
      <c r="P3462" s="1" t="str">
        <f>IF(OR(Employee__2[[#This Row],[Age]]&gt;=30,Employee__2[[#This Row],[Gender]]="Male"),"Mached","Not mached")</f>
        <v>Mached</v>
      </c>
    </row>
    <row r="3463" spans="4:16" x14ac:dyDescent="0.25">
      <c r="D3463" s="6" t="s">
        <v>34</v>
      </c>
      <c r="E3463">
        <v>2014</v>
      </c>
      <c r="F3463" s="6" t="s">
        <v>38</v>
      </c>
      <c r="G3463">
        <v>2</v>
      </c>
      <c r="H3463">
        <v>38</v>
      </c>
      <c r="I3463" s="6" t="s">
        <v>39</v>
      </c>
      <c r="J3463" s="6" t="s">
        <v>37</v>
      </c>
      <c r="K3463">
        <v>3</v>
      </c>
      <c r="M3463" s="1" t="b">
        <f>Employee__2[[#This Row],[Experience]]&gt;1</f>
        <v>1</v>
      </c>
      <c r="N3463" s="1" t="str">
        <f>IF(Employee__2[[#This Row],[City]]="Pune","Yes","No")</f>
        <v>Yes</v>
      </c>
      <c r="O3463" s="1" t="str">
        <f>IF(AND(Employee__2[[#This Row],[Education]]="Bachelors",Employee__2[[#This Row],[City]]="Pune"),"Yes","No")</f>
        <v>Yes</v>
      </c>
      <c r="P3463" s="1" t="str">
        <f>IF(OR(Employee__2[[#This Row],[Age]]&gt;=30,Employee__2[[#This Row],[Gender]]="Male"),"Mached","Not mached")</f>
        <v>Mached</v>
      </c>
    </row>
    <row r="3464" spans="4:16" x14ac:dyDescent="0.25">
      <c r="D3464" s="6" t="s">
        <v>34</v>
      </c>
      <c r="E3464">
        <v>2016</v>
      </c>
      <c r="F3464" s="6" t="s">
        <v>35</v>
      </c>
      <c r="G3464">
        <v>3</v>
      </c>
      <c r="H3464">
        <v>37</v>
      </c>
      <c r="I3464" s="6" t="s">
        <v>36</v>
      </c>
      <c r="J3464" s="6" t="s">
        <v>37</v>
      </c>
      <c r="K3464">
        <v>0</v>
      </c>
      <c r="M3464" s="1" t="b">
        <f>Employee__2[[#This Row],[Experience]]&gt;1</f>
        <v>0</v>
      </c>
      <c r="N3464" s="1" t="str">
        <f>IF(Employee__2[[#This Row],[City]]="Pune","Yes","No")</f>
        <v>No</v>
      </c>
      <c r="O3464" s="1" t="str">
        <f>IF(AND(Employee__2[[#This Row],[Education]]="Bachelors",Employee__2[[#This Row],[City]]="Pune"),"Yes","No")</f>
        <v>No</v>
      </c>
      <c r="P3464" s="1" t="str">
        <f>IF(OR(Employee__2[[#This Row],[Age]]&gt;=30,Employee__2[[#This Row],[Gender]]="Male"),"Mached","Not mached")</f>
        <v>Mached</v>
      </c>
    </row>
    <row r="3465" spans="4:16" x14ac:dyDescent="0.25">
      <c r="D3465" s="6" t="s">
        <v>34</v>
      </c>
      <c r="E3465">
        <v>2013</v>
      </c>
      <c r="F3465" s="6" t="s">
        <v>35</v>
      </c>
      <c r="G3465">
        <v>3</v>
      </c>
      <c r="H3465">
        <v>38</v>
      </c>
      <c r="I3465" s="6" t="s">
        <v>39</v>
      </c>
      <c r="J3465" s="6" t="s">
        <v>37</v>
      </c>
      <c r="K3465">
        <v>4</v>
      </c>
      <c r="M3465" s="1" t="b">
        <f>Employee__2[[#This Row],[Experience]]&gt;1</f>
        <v>1</v>
      </c>
      <c r="N3465" s="1" t="str">
        <f>IF(Employee__2[[#This Row],[City]]="Pune","Yes","No")</f>
        <v>No</v>
      </c>
      <c r="O3465" s="1" t="str">
        <f>IF(AND(Employee__2[[#This Row],[Education]]="Bachelors",Employee__2[[#This Row],[City]]="Pune"),"Yes","No")</f>
        <v>No</v>
      </c>
      <c r="P3465" s="1" t="str">
        <f>IF(OR(Employee__2[[#This Row],[Age]]&gt;=30,Employee__2[[#This Row],[Gender]]="Male"),"Mached","Not mached")</f>
        <v>Mached</v>
      </c>
    </row>
    <row r="3466" spans="4:16" x14ac:dyDescent="0.25">
      <c r="D3466" s="6" t="s">
        <v>34</v>
      </c>
      <c r="E3466">
        <v>2015</v>
      </c>
      <c r="F3466" s="6" t="s">
        <v>35</v>
      </c>
      <c r="G3466">
        <v>3</v>
      </c>
      <c r="H3466">
        <v>41</v>
      </c>
      <c r="I3466" s="6" t="s">
        <v>36</v>
      </c>
      <c r="J3466" s="6" t="s">
        <v>37</v>
      </c>
      <c r="K3466">
        <v>0</v>
      </c>
      <c r="M3466" s="1" t="b">
        <f>Employee__2[[#This Row],[Experience]]&gt;1</f>
        <v>0</v>
      </c>
      <c r="N3466" s="1" t="str">
        <f>IF(Employee__2[[#This Row],[City]]="Pune","Yes","No")</f>
        <v>No</v>
      </c>
      <c r="O3466" s="1" t="str">
        <f>IF(AND(Employee__2[[#This Row],[Education]]="Bachelors",Employee__2[[#This Row],[City]]="Pune"),"Yes","No")</f>
        <v>No</v>
      </c>
      <c r="P3466" s="1" t="str">
        <f>IF(OR(Employee__2[[#This Row],[Age]]&gt;=30,Employee__2[[#This Row],[Gender]]="Male"),"Mached","Not mached")</f>
        <v>Mached</v>
      </c>
    </row>
    <row r="3467" spans="4:16" x14ac:dyDescent="0.25">
      <c r="D3467" s="6" t="s">
        <v>41</v>
      </c>
      <c r="E3467">
        <v>2017</v>
      </c>
      <c r="F3467" s="6" t="s">
        <v>35</v>
      </c>
      <c r="G3467">
        <v>3</v>
      </c>
      <c r="H3467">
        <v>40</v>
      </c>
      <c r="I3467" s="6" t="s">
        <v>36</v>
      </c>
      <c r="J3467" s="6" t="s">
        <v>37</v>
      </c>
      <c r="K3467">
        <v>4</v>
      </c>
      <c r="M3467" s="1" t="b">
        <f>Employee__2[[#This Row],[Experience]]&gt;1</f>
        <v>1</v>
      </c>
      <c r="N3467" s="1" t="str">
        <f>IF(Employee__2[[#This Row],[City]]="Pune","Yes","No")</f>
        <v>No</v>
      </c>
      <c r="O3467" s="1" t="str">
        <f>IF(AND(Employee__2[[#This Row],[Education]]="Bachelors",Employee__2[[#This Row],[City]]="Pune"),"Yes","No")</f>
        <v>No</v>
      </c>
      <c r="P3467" s="1" t="str">
        <f>IF(OR(Employee__2[[#This Row],[Age]]&gt;=30,Employee__2[[#This Row],[Gender]]="Male"),"Mached","Not mached")</f>
        <v>Mached</v>
      </c>
    </row>
    <row r="3468" spans="4:16" x14ac:dyDescent="0.25">
      <c r="D3468" s="6" t="s">
        <v>34</v>
      </c>
      <c r="E3468">
        <v>2017</v>
      </c>
      <c r="F3468" s="6" t="s">
        <v>35</v>
      </c>
      <c r="G3468">
        <v>3</v>
      </c>
      <c r="H3468">
        <v>39</v>
      </c>
      <c r="I3468" s="6" t="s">
        <v>39</v>
      </c>
      <c r="J3468" s="6" t="s">
        <v>37</v>
      </c>
      <c r="K3468">
        <v>3</v>
      </c>
      <c r="M3468" s="1" t="b">
        <f>Employee__2[[#This Row],[Experience]]&gt;1</f>
        <v>1</v>
      </c>
      <c r="N3468" s="1" t="str">
        <f>IF(Employee__2[[#This Row],[City]]="Pune","Yes","No")</f>
        <v>No</v>
      </c>
      <c r="O3468" s="1" t="str">
        <f>IF(AND(Employee__2[[#This Row],[Education]]="Bachelors",Employee__2[[#This Row],[City]]="Pune"),"Yes","No")</f>
        <v>No</v>
      </c>
      <c r="P3468" s="1" t="str">
        <f>IF(OR(Employee__2[[#This Row],[Age]]&gt;=30,Employee__2[[#This Row],[Gender]]="Male"),"Mached","Not mached")</f>
        <v>Mached</v>
      </c>
    </row>
    <row r="3469" spans="4:16" x14ac:dyDescent="0.25">
      <c r="D3469" s="6" t="s">
        <v>34</v>
      </c>
      <c r="E3469">
        <v>2017</v>
      </c>
      <c r="F3469" s="6" t="s">
        <v>38</v>
      </c>
      <c r="G3469">
        <v>2</v>
      </c>
      <c r="H3469">
        <v>32</v>
      </c>
      <c r="I3469" s="6" t="s">
        <v>36</v>
      </c>
      <c r="J3469" s="6" t="s">
        <v>37</v>
      </c>
      <c r="K3469">
        <v>2</v>
      </c>
      <c r="M3469" s="1" t="b">
        <f>Employee__2[[#This Row],[Experience]]&gt;1</f>
        <v>1</v>
      </c>
      <c r="N3469" s="1" t="str">
        <f>IF(Employee__2[[#This Row],[City]]="Pune","Yes","No")</f>
        <v>Yes</v>
      </c>
      <c r="O3469" s="1" t="str">
        <f>IF(AND(Employee__2[[#This Row],[Education]]="Bachelors",Employee__2[[#This Row],[City]]="Pune"),"Yes","No")</f>
        <v>Yes</v>
      </c>
      <c r="P3469" s="1" t="str">
        <f>IF(OR(Employee__2[[#This Row],[Age]]&gt;=30,Employee__2[[#This Row],[Gender]]="Male"),"Mached","Not mached")</f>
        <v>Mached</v>
      </c>
    </row>
    <row r="3470" spans="4:16" x14ac:dyDescent="0.25">
      <c r="D3470" s="6" t="s">
        <v>34</v>
      </c>
      <c r="E3470">
        <v>2018</v>
      </c>
      <c r="F3470" s="6" t="s">
        <v>40</v>
      </c>
      <c r="G3470">
        <v>3</v>
      </c>
      <c r="H3470">
        <v>40</v>
      </c>
      <c r="I3470" s="6" t="s">
        <v>36</v>
      </c>
      <c r="J3470" s="6" t="s">
        <v>42</v>
      </c>
      <c r="K3470">
        <v>4</v>
      </c>
      <c r="M3470" s="1" t="b">
        <f>Employee__2[[#This Row],[Experience]]&gt;1</f>
        <v>1</v>
      </c>
      <c r="N3470" s="1" t="str">
        <f>IF(Employee__2[[#This Row],[City]]="Pune","Yes","No")</f>
        <v>No</v>
      </c>
      <c r="O3470" s="1" t="str">
        <f>IF(AND(Employee__2[[#This Row],[Education]]="Bachelors",Employee__2[[#This Row],[City]]="Pune"),"Yes","No")</f>
        <v>No</v>
      </c>
      <c r="P3470" s="1" t="str">
        <f>IF(OR(Employee__2[[#This Row],[Age]]&gt;=30,Employee__2[[#This Row],[Gender]]="Male"),"Mached","Not mached")</f>
        <v>Mached</v>
      </c>
    </row>
    <row r="3471" spans="4:16" x14ac:dyDescent="0.25">
      <c r="D3471" s="6" t="s">
        <v>34</v>
      </c>
      <c r="E3471">
        <v>2016</v>
      </c>
      <c r="F3471" s="6" t="s">
        <v>35</v>
      </c>
      <c r="G3471">
        <v>3</v>
      </c>
      <c r="H3471">
        <v>40</v>
      </c>
      <c r="I3471" s="6" t="s">
        <v>36</v>
      </c>
      <c r="J3471" s="6" t="s">
        <v>37</v>
      </c>
      <c r="K3471">
        <v>0</v>
      </c>
      <c r="M3471" s="1" t="b">
        <f>Employee__2[[#This Row],[Experience]]&gt;1</f>
        <v>0</v>
      </c>
      <c r="N3471" s="1" t="str">
        <f>IF(Employee__2[[#This Row],[City]]="Pune","Yes","No")</f>
        <v>No</v>
      </c>
      <c r="O3471" s="1" t="str">
        <f>IF(AND(Employee__2[[#This Row],[Education]]="Bachelors",Employee__2[[#This Row],[City]]="Pune"),"Yes","No")</f>
        <v>No</v>
      </c>
      <c r="P3471" s="1" t="str">
        <f>IF(OR(Employee__2[[#This Row],[Age]]&gt;=30,Employee__2[[#This Row],[Gender]]="Male"),"Mached","Not mached")</f>
        <v>Mached</v>
      </c>
    </row>
    <row r="3472" spans="4:16" x14ac:dyDescent="0.25">
      <c r="D3472" s="6" t="s">
        <v>34</v>
      </c>
      <c r="E3472">
        <v>2016</v>
      </c>
      <c r="F3472" s="6" t="s">
        <v>35</v>
      </c>
      <c r="G3472">
        <v>3</v>
      </c>
      <c r="H3472">
        <v>41</v>
      </c>
      <c r="I3472" s="6" t="s">
        <v>39</v>
      </c>
      <c r="J3472" s="6" t="s">
        <v>37</v>
      </c>
      <c r="K3472">
        <v>1</v>
      </c>
      <c r="M3472" s="1" t="b">
        <f>Employee__2[[#This Row],[Experience]]&gt;1</f>
        <v>0</v>
      </c>
      <c r="N3472" s="1" t="str">
        <f>IF(Employee__2[[#This Row],[City]]="Pune","Yes","No")</f>
        <v>No</v>
      </c>
      <c r="O3472" s="1" t="str">
        <f>IF(AND(Employee__2[[#This Row],[Education]]="Bachelors",Employee__2[[#This Row],[City]]="Pune"),"Yes","No")</f>
        <v>No</v>
      </c>
      <c r="P3472" s="1" t="str">
        <f>IF(OR(Employee__2[[#This Row],[Age]]&gt;=30,Employee__2[[#This Row],[Gender]]="Male"),"Mached","Not mached")</f>
        <v>Mached</v>
      </c>
    </row>
    <row r="3473" spans="4:16" x14ac:dyDescent="0.25">
      <c r="D3473" s="6" t="s">
        <v>34</v>
      </c>
      <c r="E3473">
        <v>2015</v>
      </c>
      <c r="F3473" s="6" t="s">
        <v>35</v>
      </c>
      <c r="G3473">
        <v>3</v>
      </c>
      <c r="H3473">
        <v>38</v>
      </c>
      <c r="I3473" s="6" t="s">
        <v>36</v>
      </c>
      <c r="J3473" s="6" t="s">
        <v>42</v>
      </c>
      <c r="K3473">
        <v>4</v>
      </c>
      <c r="M3473" s="1" t="b">
        <f>Employee__2[[#This Row],[Experience]]&gt;1</f>
        <v>1</v>
      </c>
      <c r="N3473" s="1" t="str">
        <f>IF(Employee__2[[#This Row],[City]]="Pune","Yes","No")</f>
        <v>No</v>
      </c>
      <c r="O3473" s="1" t="str">
        <f>IF(AND(Employee__2[[#This Row],[Education]]="Bachelors",Employee__2[[#This Row],[City]]="Pune"),"Yes","No")</f>
        <v>No</v>
      </c>
      <c r="P3473" s="1" t="str">
        <f>IF(OR(Employee__2[[#This Row],[Age]]&gt;=30,Employee__2[[#This Row],[Gender]]="Male"),"Mached","Not mached")</f>
        <v>Mached</v>
      </c>
    </row>
    <row r="3474" spans="4:16" x14ac:dyDescent="0.25">
      <c r="D3474" s="6" t="s">
        <v>41</v>
      </c>
      <c r="E3474">
        <v>2017</v>
      </c>
      <c r="F3474" s="6" t="s">
        <v>38</v>
      </c>
      <c r="G3474">
        <v>1</v>
      </c>
      <c r="H3474">
        <v>38</v>
      </c>
      <c r="I3474" s="6" t="s">
        <v>36</v>
      </c>
      <c r="J3474" s="6" t="s">
        <v>37</v>
      </c>
      <c r="K3474">
        <v>0</v>
      </c>
      <c r="M3474" s="1" t="b">
        <f>Employee__2[[#This Row],[Experience]]&gt;1</f>
        <v>0</v>
      </c>
      <c r="N3474" s="1" t="str">
        <f>IF(Employee__2[[#This Row],[City]]="Pune","Yes","No")</f>
        <v>Yes</v>
      </c>
      <c r="O3474" s="1" t="str">
        <f>IF(AND(Employee__2[[#This Row],[Education]]="Bachelors",Employee__2[[#This Row],[City]]="Pune"),"Yes","No")</f>
        <v>No</v>
      </c>
      <c r="P3474" s="1" t="str">
        <f>IF(OR(Employee__2[[#This Row],[Age]]&gt;=30,Employee__2[[#This Row],[Gender]]="Male"),"Mached","Not mached")</f>
        <v>Mached</v>
      </c>
    </row>
    <row r="3475" spans="4:16" x14ac:dyDescent="0.25">
      <c r="D3475" s="6" t="s">
        <v>34</v>
      </c>
      <c r="E3475">
        <v>2018</v>
      </c>
      <c r="F3475" s="6" t="s">
        <v>35</v>
      </c>
      <c r="G3475">
        <v>3</v>
      </c>
      <c r="H3475">
        <v>41</v>
      </c>
      <c r="I3475" s="6" t="s">
        <v>39</v>
      </c>
      <c r="J3475" s="6" t="s">
        <v>37</v>
      </c>
      <c r="K3475">
        <v>2</v>
      </c>
      <c r="M3475" s="1" t="b">
        <f>Employee__2[[#This Row],[Experience]]&gt;1</f>
        <v>1</v>
      </c>
      <c r="N3475" s="1" t="str">
        <f>IF(Employee__2[[#This Row],[City]]="Pune","Yes","No")</f>
        <v>No</v>
      </c>
      <c r="O3475" s="1" t="str">
        <f>IF(AND(Employee__2[[#This Row],[Education]]="Bachelors",Employee__2[[#This Row],[City]]="Pune"),"Yes","No")</f>
        <v>No</v>
      </c>
      <c r="P3475" s="1" t="str">
        <f>IF(OR(Employee__2[[#This Row],[Age]]&gt;=30,Employee__2[[#This Row],[Gender]]="Male"),"Mached","Not mached")</f>
        <v>Mached</v>
      </c>
    </row>
    <row r="3476" spans="4:16" x14ac:dyDescent="0.25">
      <c r="D3476" s="6" t="s">
        <v>34</v>
      </c>
      <c r="E3476">
        <v>2015</v>
      </c>
      <c r="F3476" s="6" t="s">
        <v>40</v>
      </c>
      <c r="G3476">
        <v>2</v>
      </c>
      <c r="H3476">
        <v>33</v>
      </c>
      <c r="I3476" s="6" t="s">
        <v>39</v>
      </c>
      <c r="J3476" s="6" t="s">
        <v>37</v>
      </c>
      <c r="K3476">
        <v>4</v>
      </c>
      <c r="M3476" s="1" t="b">
        <f>Employee__2[[#This Row],[Experience]]&gt;1</f>
        <v>1</v>
      </c>
      <c r="N3476" s="1" t="str">
        <f>IF(Employee__2[[#This Row],[City]]="Pune","Yes","No")</f>
        <v>No</v>
      </c>
      <c r="O3476" s="1" t="str">
        <f>IF(AND(Employee__2[[#This Row],[Education]]="Bachelors",Employee__2[[#This Row],[City]]="Pune"),"Yes","No")</f>
        <v>No</v>
      </c>
      <c r="P3476" s="1" t="str">
        <f>IF(OR(Employee__2[[#This Row],[Age]]&gt;=30,Employee__2[[#This Row],[Gender]]="Male"),"Mached","Not mached")</f>
        <v>Mached</v>
      </c>
    </row>
    <row r="3477" spans="4:16" x14ac:dyDescent="0.25">
      <c r="D3477" s="6" t="s">
        <v>34</v>
      </c>
      <c r="E3477">
        <v>2012</v>
      </c>
      <c r="F3477" s="6" t="s">
        <v>35</v>
      </c>
      <c r="G3477">
        <v>3</v>
      </c>
      <c r="H3477">
        <v>41</v>
      </c>
      <c r="I3477" s="6" t="s">
        <v>36</v>
      </c>
      <c r="J3477" s="6" t="s">
        <v>42</v>
      </c>
      <c r="K3477">
        <v>0</v>
      </c>
      <c r="M3477" s="1" t="b">
        <f>Employee__2[[#This Row],[Experience]]&gt;1</f>
        <v>0</v>
      </c>
      <c r="N3477" s="1" t="str">
        <f>IF(Employee__2[[#This Row],[City]]="Pune","Yes","No")</f>
        <v>No</v>
      </c>
      <c r="O3477" s="1" t="str">
        <f>IF(AND(Employee__2[[#This Row],[Education]]="Bachelors",Employee__2[[#This Row],[City]]="Pune"),"Yes","No")</f>
        <v>No</v>
      </c>
      <c r="P3477" s="1" t="str">
        <f>IF(OR(Employee__2[[#This Row],[Age]]&gt;=30,Employee__2[[#This Row],[Gender]]="Male"),"Mached","Not mached")</f>
        <v>Mached</v>
      </c>
    </row>
    <row r="3478" spans="4:16" x14ac:dyDescent="0.25">
      <c r="D3478" s="6" t="s">
        <v>34</v>
      </c>
      <c r="E3478">
        <v>2017</v>
      </c>
      <c r="F3478" s="6" t="s">
        <v>40</v>
      </c>
      <c r="G3478">
        <v>2</v>
      </c>
      <c r="H3478">
        <v>35</v>
      </c>
      <c r="I3478" s="6" t="s">
        <v>39</v>
      </c>
      <c r="J3478" s="6" t="s">
        <v>37</v>
      </c>
      <c r="K3478">
        <v>5</v>
      </c>
      <c r="M3478" s="1" t="b">
        <f>Employee__2[[#This Row],[Experience]]&gt;1</f>
        <v>1</v>
      </c>
      <c r="N3478" s="1" t="str">
        <f>IF(Employee__2[[#This Row],[City]]="Pune","Yes","No")</f>
        <v>No</v>
      </c>
      <c r="O3478" s="1" t="str">
        <f>IF(AND(Employee__2[[#This Row],[Education]]="Bachelors",Employee__2[[#This Row],[City]]="Pune"),"Yes","No")</f>
        <v>No</v>
      </c>
      <c r="P3478" s="1" t="str">
        <f>IF(OR(Employee__2[[#This Row],[Age]]&gt;=30,Employee__2[[#This Row],[Gender]]="Male"),"Mached","Not mached")</f>
        <v>Mached</v>
      </c>
    </row>
    <row r="3479" spans="4:16" x14ac:dyDescent="0.25">
      <c r="D3479" s="6" t="s">
        <v>34</v>
      </c>
      <c r="E3479">
        <v>2013</v>
      </c>
      <c r="F3479" s="6" t="s">
        <v>35</v>
      </c>
      <c r="G3479">
        <v>3</v>
      </c>
      <c r="H3479">
        <v>36</v>
      </c>
      <c r="I3479" s="6" t="s">
        <v>36</v>
      </c>
      <c r="J3479" s="6" t="s">
        <v>37</v>
      </c>
      <c r="K3479">
        <v>5</v>
      </c>
      <c r="M3479" s="1" t="b">
        <f>Employee__2[[#This Row],[Experience]]&gt;1</f>
        <v>1</v>
      </c>
      <c r="N3479" s="1" t="str">
        <f>IF(Employee__2[[#This Row],[City]]="Pune","Yes","No")</f>
        <v>No</v>
      </c>
      <c r="O3479" s="1" t="str">
        <f>IF(AND(Employee__2[[#This Row],[Education]]="Bachelors",Employee__2[[#This Row],[City]]="Pune"),"Yes","No")</f>
        <v>No</v>
      </c>
      <c r="P3479" s="1" t="str">
        <f>IF(OR(Employee__2[[#This Row],[Age]]&gt;=30,Employee__2[[#This Row],[Gender]]="Male"),"Mached","Not mached")</f>
        <v>Mached</v>
      </c>
    </row>
    <row r="3480" spans="4:16" x14ac:dyDescent="0.25">
      <c r="D3480" s="6" t="s">
        <v>34</v>
      </c>
      <c r="E3480">
        <v>2013</v>
      </c>
      <c r="F3480" s="6" t="s">
        <v>38</v>
      </c>
      <c r="G3480">
        <v>3</v>
      </c>
      <c r="H3480">
        <v>37</v>
      </c>
      <c r="I3480" s="6" t="s">
        <v>36</v>
      </c>
      <c r="J3480" s="6" t="s">
        <v>37</v>
      </c>
      <c r="K3480">
        <v>1</v>
      </c>
      <c r="M3480" s="1" t="b">
        <f>Employee__2[[#This Row],[Experience]]&gt;1</f>
        <v>0</v>
      </c>
      <c r="N3480" s="1" t="str">
        <f>IF(Employee__2[[#This Row],[City]]="Pune","Yes","No")</f>
        <v>Yes</v>
      </c>
      <c r="O3480" s="1" t="str">
        <f>IF(AND(Employee__2[[#This Row],[Education]]="Bachelors",Employee__2[[#This Row],[City]]="Pune"),"Yes","No")</f>
        <v>Yes</v>
      </c>
      <c r="P3480" s="1" t="str">
        <f>IF(OR(Employee__2[[#This Row],[Age]]&gt;=30,Employee__2[[#This Row],[Gender]]="Male"),"Mached","Not mached")</f>
        <v>Mached</v>
      </c>
    </row>
    <row r="3481" spans="4:16" x14ac:dyDescent="0.25">
      <c r="D3481" s="6" t="s">
        <v>34</v>
      </c>
      <c r="E3481">
        <v>2013</v>
      </c>
      <c r="F3481" s="6" t="s">
        <v>40</v>
      </c>
      <c r="G3481">
        <v>1</v>
      </c>
      <c r="H3481">
        <v>37</v>
      </c>
      <c r="I3481" s="6" t="s">
        <v>39</v>
      </c>
      <c r="J3481" s="6" t="s">
        <v>37</v>
      </c>
      <c r="K3481">
        <v>1</v>
      </c>
      <c r="M3481" s="1" t="b">
        <f>Employee__2[[#This Row],[Experience]]&gt;1</f>
        <v>0</v>
      </c>
      <c r="N3481" s="1" t="str">
        <f>IF(Employee__2[[#This Row],[City]]="Pune","Yes","No")</f>
        <v>No</v>
      </c>
      <c r="O3481" s="1" t="str">
        <f>IF(AND(Employee__2[[#This Row],[Education]]="Bachelors",Employee__2[[#This Row],[City]]="Pune"),"Yes","No")</f>
        <v>No</v>
      </c>
      <c r="P3481" s="1" t="str">
        <f>IF(OR(Employee__2[[#This Row],[Age]]&gt;=30,Employee__2[[#This Row],[Gender]]="Male"),"Mached","Not mached")</f>
        <v>Mached</v>
      </c>
    </row>
    <row r="3482" spans="4:16" x14ac:dyDescent="0.25">
      <c r="D3482" s="6" t="s">
        <v>34</v>
      </c>
      <c r="E3482">
        <v>2014</v>
      </c>
      <c r="F3482" s="6" t="s">
        <v>35</v>
      </c>
      <c r="G3482">
        <v>3</v>
      </c>
      <c r="H3482">
        <v>39</v>
      </c>
      <c r="I3482" s="6" t="s">
        <v>36</v>
      </c>
      <c r="J3482" s="6" t="s">
        <v>37</v>
      </c>
      <c r="K3482">
        <v>5</v>
      </c>
      <c r="M3482" s="1" t="b">
        <f>Employee__2[[#This Row],[Experience]]&gt;1</f>
        <v>1</v>
      </c>
      <c r="N3482" s="1" t="str">
        <f>IF(Employee__2[[#This Row],[City]]="Pune","Yes","No")</f>
        <v>No</v>
      </c>
      <c r="O3482" s="1" t="str">
        <f>IF(AND(Employee__2[[#This Row],[Education]]="Bachelors",Employee__2[[#This Row],[City]]="Pune"),"Yes","No")</f>
        <v>No</v>
      </c>
      <c r="P3482" s="1" t="str">
        <f>IF(OR(Employee__2[[#This Row],[Age]]&gt;=30,Employee__2[[#This Row],[Gender]]="Male"),"Mached","Not mached")</f>
        <v>Mached</v>
      </c>
    </row>
    <row r="3483" spans="4:16" x14ac:dyDescent="0.25">
      <c r="D3483" s="6" t="s">
        <v>34</v>
      </c>
      <c r="E3483">
        <v>2017</v>
      </c>
      <c r="F3483" s="6" t="s">
        <v>35</v>
      </c>
      <c r="G3483">
        <v>3</v>
      </c>
      <c r="H3483">
        <v>38</v>
      </c>
      <c r="I3483" s="6" t="s">
        <v>39</v>
      </c>
      <c r="J3483" s="6" t="s">
        <v>37</v>
      </c>
      <c r="K3483">
        <v>2</v>
      </c>
      <c r="M3483" s="1" t="b">
        <f>Employee__2[[#This Row],[Experience]]&gt;1</f>
        <v>1</v>
      </c>
      <c r="N3483" s="1" t="str">
        <f>IF(Employee__2[[#This Row],[City]]="Pune","Yes","No")</f>
        <v>No</v>
      </c>
      <c r="O3483" s="1" t="str">
        <f>IF(AND(Employee__2[[#This Row],[Education]]="Bachelors",Employee__2[[#This Row],[City]]="Pune"),"Yes","No")</f>
        <v>No</v>
      </c>
      <c r="P3483" s="1" t="str">
        <f>IF(OR(Employee__2[[#This Row],[Age]]&gt;=30,Employee__2[[#This Row],[Gender]]="Male"),"Mached","Not mached")</f>
        <v>Mached</v>
      </c>
    </row>
    <row r="3484" spans="4:16" x14ac:dyDescent="0.25">
      <c r="D3484" s="6" t="s">
        <v>34</v>
      </c>
      <c r="E3484">
        <v>2013</v>
      </c>
      <c r="F3484" s="6" t="s">
        <v>38</v>
      </c>
      <c r="G3484">
        <v>2</v>
      </c>
      <c r="H3484">
        <v>34</v>
      </c>
      <c r="I3484" s="6" t="s">
        <v>39</v>
      </c>
      <c r="J3484" s="6" t="s">
        <v>37</v>
      </c>
      <c r="K3484">
        <v>1</v>
      </c>
      <c r="M3484" s="1" t="b">
        <f>Employee__2[[#This Row],[Experience]]&gt;1</f>
        <v>0</v>
      </c>
      <c r="N3484" s="1" t="str">
        <f>IF(Employee__2[[#This Row],[City]]="Pune","Yes","No")</f>
        <v>Yes</v>
      </c>
      <c r="O3484" s="1" t="str">
        <f>IF(AND(Employee__2[[#This Row],[Education]]="Bachelors",Employee__2[[#This Row],[City]]="Pune"),"Yes","No")</f>
        <v>Yes</v>
      </c>
      <c r="P3484" s="1" t="str">
        <f>IF(OR(Employee__2[[#This Row],[Age]]&gt;=30,Employee__2[[#This Row],[Gender]]="Male"),"Mached","Not mached")</f>
        <v>Mached</v>
      </c>
    </row>
    <row r="3485" spans="4:16" x14ac:dyDescent="0.25">
      <c r="D3485" s="6" t="s">
        <v>34</v>
      </c>
      <c r="E3485">
        <v>2017</v>
      </c>
      <c r="F3485" s="6" t="s">
        <v>38</v>
      </c>
      <c r="G3485">
        <v>2</v>
      </c>
      <c r="H3485">
        <v>33</v>
      </c>
      <c r="I3485" s="6" t="s">
        <v>39</v>
      </c>
      <c r="J3485" s="6" t="s">
        <v>37</v>
      </c>
      <c r="K3485">
        <v>4</v>
      </c>
      <c r="M3485" s="1" t="b">
        <f>Employee__2[[#This Row],[Experience]]&gt;1</f>
        <v>1</v>
      </c>
      <c r="N3485" s="1" t="str">
        <f>IF(Employee__2[[#This Row],[City]]="Pune","Yes","No")</f>
        <v>Yes</v>
      </c>
      <c r="O3485" s="1" t="str">
        <f>IF(AND(Employee__2[[#This Row],[Education]]="Bachelors",Employee__2[[#This Row],[City]]="Pune"),"Yes","No")</f>
        <v>Yes</v>
      </c>
      <c r="P3485" s="1" t="str">
        <f>IF(OR(Employee__2[[#This Row],[Age]]&gt;=30,Employee__2[[#This Row],[Gender]]="Male"),"Mached","Not mached")</f>
        <v>Mached</v>
      </c>
    </row>
    <row r="3486" spans="4:16" x14ac:dyDescent="0.25">
      <c r="D3486" s="6" t="s">
        <v>34</v>
      </c>
      <c r="E3486">
        <v>2013</v>
      </c>
      <c r="F3486" s="6" t="s">
        <v>35</v>
      </c>
      <c r="G3486">
        <v>3</v>
      </c>
      <c r="H3486">
        <v>32</v>
      </c>
      <c r="I3486" s="6" t="s">
        <v>39</v>
      </c>
      <c r="J3486" s="6" t="s">
        <v>37</v>
      </c>
      <c r="K3486">
        <v>1</v>
      </c>
      <c r="M3486" s="1" t="b">
        <f>Employee__2[[#This Row],[Experience]]&gt;1</f>
        <v>0</v>
      </c>
      <c r="N3486" s="1" t="str">
        <f>IF(Employee__2[[#This Row],[City]]="Pune","Yes","No")</f>
        <v>No</v>
      </c>
      <c r="O3486" s="1" t="str">
        <f>IF(AND(Employee__2[[#This Row],[Education]]="Bachelors",Employee__2[[#This Row],[City]]="Pune"),"Yes","No")</f>
        <v>No</v>
      </c>
      <c r="P3486" s="1" t="str">
        <f>IF(OR(Employee__2[[#This Row],[Age]]&gt;=30,Employee__2[[#This Row],[Gender]]="Male"),"Mached","Not mached")</f>
        <v>Mached</v>
      </c>
    </row>
    <row r="3487" spans="4:16" x14ac:dyDescent="0.25">
      <c r="D3487" s="6" t="s">
        <v>41</v>
      </c>
      <c r="E3487">
        <v>2014</v>
      </c>
      <c r="F3487" s="6" t="s">
        <v>35</v>
      </c>
      <c r="G3487">
        <v>3</v>
      </c>
      <c r="H3487">
        <v>38</v>
      </c>
      <c r="I3487" s="6" t="s">
        <v>39</v>
      </c>
      <c r="J3487" s="6" t="s">
        <v>37</v>
      </c>
      <c r="K3487">
        <v>4</v>
      </c>
      <c r="M3487" s="1" t="b">
        <f>Employee__2[[#This Row],[Experience]]&gt;1</f>
        <v>1</v>
      </c>
      <c r="N3487" s="1" t="str">
        <f>IF(Employee__2[[#This Row],[City]]="Pune","Yes","No")</f>
        <v>No</v>
      </c>
      <c r="O3487" s="1" t="str">
        <f>IF(AND(Employee__2[[#This Row],[Education]]="Bachelors",Employee__2[[#This Row],[City]]="Pune"),"Yes","No")</f>
        <v>No</v>
      </c>
      <c r="P3487" s="1" t="str">
        <f>IF(OR(Employee__2[[#This Row],[Age]]&gt;=30,Employee__2[[#This Row],[Gender]]="Male"),"Mached","Not mached")</f>
        <v>Mached</v>
      </c>
    </row>
    <row r="3488" spans="4:16" x14ac:dyDescent="0.25">
      <c r="D3488" s="6" t="s">
        <v>34</v>
      </c>
      <c r="E3488">
        <v>2017</v>
      </c>
      <c r="F3488" s="6" t="s">
        <v>35</v>
      </c>
      <c r="G3488">
        <v>3</v>
      </c>
      <c r="H3488">
        <v>32</v>
      </c>
      <c r="I3488" s="6" t="s">
        <v>36</v>
      </c>
      <c r="J3488" s="6" t="s">
        <v>37</v>
      </c>
      <c r="K3488">
        <v>5</v>
      </c>
      <c r="M3488" s="1" t="b">
        <f>Employee__2[[#This Row],[Experience]]&gt;1</f>
        <v>1</v>
      </c>
      <c r="N3488" s="1" t="str">
        <f>IF(Employee__2[[#This Row],[City]]="Pune","Yes","No")</f>
        <v>No</v>
      </c>
      <c r="O3488" s="1" t="str">
        <f>IF(AND(Employee__2[[#This Row],[Education]]="Bachelors",Employee__2[[#This Row],[City]]="Pune"),"Yes","No")</f>
        <v>No</v>
      </c>
      <c r="P3488" s="1" t="str">
        <f>IF(OR(Employee__2[[#This Row],[Age]]&gt;=30,Employee__2[[#This Row],[Gender]]="Male"),"Mached","Not mached")</f>
        <v>Mached</v>
      </c>
    </row>
    <row r="3489" spans="4:16" x14ac:dyDescent="0.25">
      <c r="D3489" s="6" t="s">
        <v>41</v>
      </c>
      <c r="E3489">
        <v>2016</v>
      </c>
      <c r="F3489" s="6" t="s">
        <v>40</v>
      </c>
      <c r="G3489">
        <v>3</v>
      </c>
      <c r="H3489">
        <v>41</v>
      </c>
      <c r="I3489" s="6" t="s">
        <v>36</v>
      </c>
      <c r="J3489" s="6" t="s">
        <v>37</v>
      </c>
      <c r="K3489">
        <v>5</v>
      </c>
      <c r="M3489" s="1" t="b">
        <f>Employee__2[[#This Row],[Experience]]&gt;1</f>
        <v>1</v>
      </c>
      <c r="N3489" s="1" t="str">
        <f>IF(Employee__2[[#This Row],[City]]="Pune","Yes","No")</f>
        <v>No</v>
      </c>
      <c r="O3489" s="1" t="str">
        <f>IF(AND(Employee__2[[#This Row],[Education]]="Bachelors",Employee__2[[#This Row],[City]]="Pune"),"Yes","No")</f>
        <v>No</v>
      </c>
      <c r="P3489" s="1" t="str">
        <f>IF(OR(Employee__2[[#This Row],[Age]]&gt;=30,Employee__2[[#This Row],[Gender]]="Male"),"Mached","Not mached")</f>
        <v>Mached</v>
      </c>
    </row>
    <row r="3490" spans="4:16" x14ac:dyDescent="0.25">
      <c r="D3490" s="6" t="s">
        <v>41</v>
      </c>
      <c r="E3490">
        <v>2014</v>
      </c>
      <c r="F3490" s="6" t="s">
        <v>38</v>
      </c>
      <c r="G3490">
        <v>3</v>
      </c>
      <c r="H3490">
        <v>36</v>
      </c>
      <c r="I3490" s="6" t="s">
        <v>39</v>
      </c>
      <c r="J3490" s="6" t="s">
        <v>37</v>
      </c>
      <c r="K3490">
        <v>2</v>
      </c>
      <c r="M3490" s="1" t="b">
        <f>Employee__2[[#This Row],[Experience]]&gt;1</f>
        <v>1</v>
      </c>
      <c r="N3490" s="1" t="str">
        <f>IF(Employee__2[[#This Row],[City]]="Pune","Yes","No")</f>
        <v>Yes</v>
      </c>
      <c r="O3490" s="1" t="str">
        <f>IF(AND(Employee__2[[#This Row],[Education]]="Bachelors",Employee__2[[#This Row],[City]]="Pune"),"Yes","No")</f>
        <v>No</v>
      </c>
      <c r="P3490" s="1" t="str">
        <f>IF(OR(Employee__2[[#This Row],[Age]]&gt;=30,Employee__2[[#This Row],[Gender]]="Male"),"Mached","Not mached")</f>
        <v>Mached</v>
      </c>
    </row>
    <row r="3491" spans="4:16" x14ac:dyDescent="0.25">
      <c r="D3491" s="6" t="s">
        <v>34</v>
      </c>
      <c r="E3491">
        <v>2017</v>
      </c>
      <c r="F3491" s="6" t="s">
        <v>40</v>
      </c>
      <c r="G3491">
        <v>3</v>
      </c>
      <c r="H3491">
        <v>34</v>
      </c>
      <c r="I3491" s="6" t="s">
        <v>39</v>
      </c>
      <c r="J3491" s="6" t="s">
        <v>37</v>
      </c>
      <c r="K3491">
        <v>2</v>
      </c>
      <c r="M3491" s="1" t="b">
        <f>Employee__2[[#This Row],[Experience]]&gt;1</f>
        <v>1</v>
      </c>
      <c r="N3491" s="1" t="str">
        <f>IF(Employee__2[[#This Row],[City]]="Pune","Yes","No")</f>
        <v>No</v>
      </c>
      <c r="O3491" s="1" t="str">
        <f>IF(AND(Employee__2[[#This Row],[Education]]="Bachelors",Employee__2[[#This Row],[City]]="Pune"),"Yes","No")</f>
        <v>No</v>
      </c>
      <c r="P3491" s="1" t="str">
        <f>IF(OR(Employee__2[[#This Row],[Age]]&gt;=30,Employee__2[[#This Row],[Gender]]="Male"),"Mached","Not mached")</f>
        <v>Mached</v>
      </c>
    </row>
    <row r="3492" spans="4:16" x14ac:dyDescent="0.25">
      <c r="D3492" s="6" t="s">
        <v>34</v>
      </c>
      <c r="E3492">
        <v>2017</v>
      </c>
      <c r="F3492" s="6" t="s">
        <v>35</v>
      </c>
      <c r="G3492">
        <v>3</v>
      </c>
      <c r="H3492">
        <v>34</v>
      </c>
      <c r="I3492" s="6" t="s">
        <v>36</v>
      </c>
      <c r="J3492" s="6" t="s">
        <v>42</v>
      </c>
      <c r="K3492">
        <v>0</v>
      </c>
      <c r="M3492" s="1" t="b">
        <f>Employee__2[[#This Row],[Experience]]&gt;1</f>
        <v>0</v>
      </c>
      <c r="N3492" s="1" t="str">
        <f>IF(Employee__2[[#This Row],[City]]="Pune","Yes","No")</f>
        <v>No</v>
      </c>
      <c r="O3492" s="1" t="str">
        <f>IF(AND(Employee__2[[#This Row],[Education]]="Bachelors",Employee__2[[#This Row],[City]]="Pune"),"Yes","No")</f>
        <v>No</v>
      </c>
      <c r="P3492" s="1" t="str">
        <f>IF(OR(Employee__2[[#This Row],[Age]]&gt;=30,Employee__2[[#This Row],[Gender]]="Male"),"Mached","Not mached")</f>
        <v>Mached</v>
      </c>
    </row>
    <row r="3493" spans="4:16" x14ac:dyDescent="0.25">
      <c r="D3493" s="6" t="s">
        <v>34</v>
      </c>
      <c r="E3493">
        <v>2016</v>
      </c>
      <c r="F3493" s="6" t="s">
        <v>35</v>
      </c>
      <c r="G3493">
        <v>3</v>
      </c>
      <c r="H3493">
        <v>35</v>
      </c>
      <c r="I3493" s="6" t="s">
        <v>36</v>
      </c>
      <c r="J3493" s="6" t="s">
        <v>37</v>
      </c>
      <c r="K3493">
        <v>4</v>
      </c>
      <c r="M3493" s="1" t="b">
        <f>Employee__2[[#This Row],[Experience]]&gt;1</f>
        <v>1</v>
      </c>
      <c r="N3493" s="1" t="str">
        <f>IF(Employee__2[[#This Row],[City]]="Pune","Yes","No")</f>
        <v>No</v>
      </c>
      <c r="O3493" s="1" t="str">
        <f>IF(AND(Employee__2[[#This Row],[Education]]="Bachelors",Employee__2[[#This Row],[City]]="Pune"),"Yes","No")</f>
        <v>No</v>
      </c>
      <c r="P3493" s="1" t="str">
        <f>IF(OR(Employee__2[[#This Row],[Age]]&gt;=30,Employee__2[[#This Row],[Gender]]="Male"),"Mached","Not mached")</f>
        <v>Mached</v>
      </c>
    </row>
    <row r="3494" spans="4:16" x14ac:dyDescent="0.25">
      <c r="D3494" s="6" t="s">
        <v>41</v>
      </c>
      <c r="E3494">
        <v>2015</v>
      </c>
      <c r="F3494" s="6" t="s">
        <v>40</v>
      </c>
      <c r="G3494">
        <v>3</v>
      </c>
      <c r="H3494">
        <v>38</v>
      </c>
      <c r="I3494" s="6" t="s">
        <v>36</v>
      </c>
      <c r="J3494" s="6" t="s">
        <v>37</v>
      </c>
      <c r="K3494">
        <v>1</v>
      </c>
      <c r="M3494" s="1" t="b">
        <f>Employee__2[[#This Row],[Experience]]&gt;1</f>
        <v>0</v>
      </c>
      <c r="N3494" s="1" t="str">
        <f>IF(Employee__2[[#This Row],[City]]="Pune","Yes","No")</f>
        <v>No</v>
      </c>
      <c r="O3494" s="1" t="str">
        <f>IF(AND(Employee__2[[#This Row],[Education]]="Bachelors",Employee__2[[#This Row],[City]]="Pune"),"Yes","No")</f>
        <v>No</v>
      </c>
      <c r="P3494" s="1" t="str">
        <f>IF(OR(Employee__2[[#This Row],[Age]]&gt;=30,Employee__2[[#This Row],[Gender]]="Male"),"Mached","Not mached")</f>
        <v>Mached</v>
      </c>
    </row>
    <row r="3495" spans="4:16" x14ac:dyDescent="0.25">
      <c r="D3495" s="6" t="s">
        <v>34</v>
      </c>
      <c r="E3495">
        <v>2016</v>
      </c>
      <c r="F3495" s="6" t="s">
        <v>35</v>
      </c>
      <c r="G3495">
        <v>3</v>
      </c>
      <c r="H3495">
        <v>32</v>
      </c>
      <c r="I3495" s="6" t="s">
        <v>36</v>
      </c>
      <c r="J3495" s="6" t="s">
        <v>42</v>
      </c>
      <c r="K3495">
        <v>5</v>
      </c>
      <c r="M3495" s="1" t="b">
        <f>Employee__2[[#This Row],[Experience]]&gt;1</f>
        <v>1</v>
      </c>
      <c r="N3495" s="1" t="str">
        <f>IF(Employee__2[[#This Row],[City]]="Pune","Yes","No")</f>
        <v>No</v>
      </c>
      <c r="O3495" s="1" t="str">
        <f>IF(AND(Employee__2[[#This Row],[Education]]="Bachelors",Employee__2[[#This Row],[City]]="Pune"),"Yes","No")</f>
        <v>No</v>
      </c>
      <c r="P3495" s="1" t="str">
        <f>IF(OR(Employee__2[[#This Row],[Age]]&gt;=30,Employee__2[[#This Row],[Gender]]="Male"),"Mached","Not mached")</f>
        <v>Mached</v>
      </c>
    </row>
    <row r="3496" spans="4:16" x14ac:dyDescent="0.25">
      <c r="D3496" s="6" t="s">
        <v>34</v>
      </c>
      <c r="E3496">
        <v>2015</v>
      </c>
      <c r="F3496" s="6" t="s">
        <v>38</v>
      </c>
      <c r="G3496">
        <v>3</v>
      </c>
      <c r="H3496">
        <v>37</v>
      </c>
      <c r="I3496" s="6" t="s">
        <v>39</v>
      </c>
      <c r="J3496" s="6" t="s">
        <v>37</v>
      </c>
      <c r="K3496">
        <v>2</v>
      </c>
      <c r="M3496" s="1" t="b">
        <f>Employee__2[[#This Row],[Experience]]&gt;1</f>
        <v>1</v>
      </c>
      <c r="N3496" s="1" t="str">
        <f>IF(Employee__2[[#This Row],[City]]="Pune","Yes","No")</f>
        <v>Yes</v>
      </c>
      <c r="O3496" s="1" t="str">
        <f>IF(AND(Employee__2[[#This Row],[Education]]="Bachelors",Employee__2[[#This Row],[City]]="Pune"),"Yes","No")</f>
        <v>Yes</v>
      </c>
      <c r="P3496" s="1" t="str">
        <f>IF(OR(Employee__2[[#This Row],[Age]]&gt;=30,Employee__2[[#This Row],[Gender]]="Male"),"Mached","Not mached")</f>
        <v>Mached</v>
      </c>
    </row>
    <row r="3497" spans="4:16" x14ac:dyDescent="0.25">
      <c r="D3497" s="6" t="s">
        <v>34</v>
      </c>
      <c r="E3497">
        <v>2017</v>
      </c>
      <c r="F3497" s="6" t="s">
        <v>35</v>
      </c>
      <c r="G3497">
        <v>2</v>
      </c>
      <c r="H3497">
        <v>32</v>
      </c>
      <c r="I3497" s="6" t="s">
        <v>39</v>
      </c>
      <c r="J3497" s="6" t="s">
        <v>37</v>
      </c>
      <c r="K3497">
        <v>2</v>
      </c>
      <c r="M3497" s="1" t="b">
        <f>Employee__2[[#This Row],[Experience]]&gt;1</f>
        <v>1</v>
      </c>
      <c r="N3497" s="1" t="str">
        <f>IF(Employee__2[[#This Row],[City]]="Pune","Yes","No")</f>
        <v>No</v>
      </c>
      <c r="O3497" s="1" t="str">
        <f>IF(AND(Employee__2[[#This Row],[Education]]="Bachelors",Employee__2[[#This Row],[City]]="Pune"),"Yes","No")</f>
        <v>No</v>
      </c>
      <c r="P3497" s="1" t="str">
        <f>IF(OR(Employee__2[[#This Row],[Age]]&gt;=30,Employee__2[[#This Row],[Gender]]="Male"),"Mached","Not mached")</f>
        <v>Mached</v>
      </c>
    </row>
    <row r="3498" spans="4:16" x14ac:dyDescent="0.25">
      <c r="D3498" s="6" t="s">
        <v>41</v>
      </c>
      <c r="E3498">
        <v>2017</v>
      </c>
      <c r="F3498" s="6" t="s">
        <v>40</v>
      </c>
      <c r="G3498">
        <v>2</v>
      </c>
      <c r="H3498">
        <v>36</v>
      </c>
      <c r="I3498" s="6" t="s">
        <v>36</v>
      </c>
      <c r="J3498" s="6" t="s">
        <v>37</v>
      </c>
      <c r="K3498">
        <v>3</v>
      </c>
      <c r="M3498" s="1" t="b">
        <f>Employee__2[[#This Row],[Experience]]&gt;1</f>
        <v>1</v>
      </c>
      <c r="N3498" s="1" t="str">
        <f>IF(Employee__2[[#This Row],[City]]="Pune","Yes","No")</f>
        <v>No</v>
      </c>
      <c r="O3498" s="1" t="str">
        <f>IF(AND(Employee__2[[#This Row],[Education]]="Bachelors",Employee__2[[#This Row],[City]]="Pune"),"Yes","No")</f>
        <v>No</v>
      </c>
      <c r="P3498" s="1" t="str">
        <f>IF(OR(Employee__2[[#This Row],[Age]]&gt;=30,Employee__2[[#This Row],[Gender]]="Male"),"Mached","Not mached")</f>
        <v>Mached</v>
      </c>
    </row>
    <row r="3499" spans="4:16" x14ac:dyDescent="0.25">
      <c r="D3499" s="6" t="s">
        <v>34</v>
      </c>
      <c r="E3499">
        <v>2012</v>
      </c>
      <c r="F3499" s="6" t="s">
        <v>35</v>
      </c>
      <c r="G3499">
        <v>3</v>
      </c>
      <c r="H3499">
        <v>41</v>
      </c>
      <c r="I3499" s="6" t="s">
        <v>36</v>
      </c>
      <c r="J3499" s="6" t="s">
        <v>37</v>
      </c>
      <c r="K3499">
        <v>3</v>
      </c>
      <c r="M3499" s="1" t="b">
        <f>Employee__2[[#This Row],[Experience]]&gt;1</f>
        <v>1</v>
      </c>
      <c r="N3499" s="1" t="str">
        <f>IF(Employee__2[[#This Row],[City]]="Pune","Yes","No")</f>
        <v>No</v>
      </c>
      <c r="O3499" s="1" t="str">
        <f>IF(AND(Employee__2[[#This Row],[Education]]="Bachelors",Employee__2[[#This Row],[City]]="Pune"),"Yes","No")</f>
        <v>No</v>
      </c>
      <c r="P3499" s="1" t="str">
        <f>IF(OR(Employee__2[[#This Row],[Age]]&gt;=30,Employee__2[[#This Row],[Gender]]="Male"),"Mached","Not mached")</f>
        <v>Mached</v>
      </c>
    </row>
    <row r="3500" spans="4:16" x14ac:dyDescent="0.25">
      <c r="D3500" s="6" t="s">
        <v>34</v>
      </c>
      <c r="E3500">
        <v>2017</v>
      </c>
      <c r="F3500" s="6" t="s">
        <v>38</v>
      </c>
      <c r="G3500">
        <v>3</v>
      </c>
      <c r="H3500">
        <v>37</v>
      </c>
      <c r="I3500" s="6" t="s">
        <v>39</v>
      </c>
      <c r="J3500" s="6" t="s">
        <v>37</v>
      </c>
      <c r="K3500">
        <v>5</v>
      </c>
      <c r="M3500" s="1" t="b">
        <f>Employee__2[[#This Row],[Experience]]&gt;1</f>
        <v>1</v>
      </c>
      <c r="N3500" s="1" t="str">
        <f>IF(Employee__2[[#This Row],[City]]="Pune","Yes","No")</f>
        <v>Yes</v>
      </c>
      <c r="O3500" s="1" t="str">
        <f>IF(AND(Employee__2[[#This Row],[Education]]="Bachelors",Employee__2[[#This Row],[City]]="Pune"),"Yes","No")</f>
        <v>Yes</v>
      </c>
      <c r="P3500" s="1" t="str">
        <f>IF(OR(Employee__2[[#This Row],[Age]]&gt;=30,Employee__2[[#This Row],[Gender]]="Male"),"Mached","Not mached")</f>
        <v>Mached</v>
      </c>
    </row>
    <row r="3501" spans="4:16" x14ac:dyDescent="0.25">
      <c r="D3501" s="6" t="s">
        <v>34</v>
      </c>
      <c r="E3501">
        <v>2018</v>
      </c>
      <c r="F3501" s="6" t="s">
        <v>35</v>
      </c>
      <c r="G3501">
        <v>3</v>
      </c>
      <c r="H3501">
        <v>34</v>
      </c>
      <c r="I3501" s="6" t="s">
        <v>39</v>
      </c>
      <c r="J3501" s="6" t="s">
        <v>37</v>
      </c>
      <c r="K3501">
        <v>3</v>
      </c>
      <c r="M3501" s="1" t="b">
        <f>Employee__2[[#This Row],[Experience]]&gt;1</f>
        <v>1</v>
      </c>
      <c r="N3501" s="1" t="str">
        <f>IF(Employee__2[[#This Row],[City]]="Pune","Yes","No")</f>
        <v>No</v>
      </c>
      <c r="O3501" s="1" t="str">
        <f>IF(AND(Employee__2[[#This Row],[Education]]="Bachelors",Employee__2[[#This Row],[City]]="Pune"),"Yes","No")</f>
        <v>No</v>
      </c>
      <c r="P3501" s="1" t="str">
        <f>IF(OR(Employee__2[[#This Row],[Age]]&gt;=30,Employee__2[[#This Row],[Gender]]="Male"),"Mached","Not mached")</f>
        <v>Mached</v>
      </c>
    </row>
    <row r="3502" spans="4:16" x14ac:dyDescent="0.25">
      <c r="D3502" s="6" t="s">
        <v>34</v>
      </c>
      <c r="E3502">
        <v>2016</v>
      </c>
      <c r="F3502" s="6" t="s">
        <v>38</v>
      </c>
      <c r="G3502">
        <v>3</v>
      </c>
      <c r="H3502">
        <v>31</v>
      </c>
      <c r="I3502" s="6" t="s">
        <v>36</v>
      </c>
      <c r="J3502" s="6" t="s">
        <v>37</v>
      </c>
      <c r="K3502">
        <v>0</v>
      </c>
      <c r="M3502" s="1" t="b">
        <f>Employee__2[[#This Row],[Experience]]&gt;1</f>
        <v>0</v>
      </c>
      <c r="N3502" s="1" t="str">
        <f>IF(Employee__2[[#This Row],[City]]="Pune","Yes","No")</f>
        <v>Yes</v>
      </c>
      <c r="O3502" s="1" t="str">
        <f>IF(AND(Employee__2[[#This Row],[Education]]="Bachelors",Employee__2[[#This Row],[City]]="Pune"),"Yes","No")</f>
        <v>Yes</v>
      </c>
      <c r="P3502" s="1" t="str">
        <f>IF(OR(Employee__2[[#This Row],[Age]]&gt;=30,Employee__2[[#This Row],[Gender]]="Male"),"Mached","Not mached")</f>
        <v>Mached</v>
      </c>
    </row>
    <row r="3503" spans="4:16" x14ac:dyDescent="0.25">
      <c r="D3503" s="6" t="s">
        <v>34</v>
      </c>
      <c r="E3503">
        <v>2017</v>
      </c>
      <c r="F3503" s="6" t="s">
        <v>35</v>
      </c>
      <c r="G3503">
        <v>3</v>
      </c>
      <c r="H3503">
        <v>41</v>
      </c>
      <c r="I3503" s="6" t="s">
        <v>36</v>
      </c>
      <c r="J3503" s="6" t="s">
        <v>37</v>
      </c>
      <c r="K3503">
        <v>1</v>
      </c>
      <c r="M3503" s="1" t="b">
        <f>Employee__2[[#This Row],[Experience]]&gt;1</f>
        <v>0</v>
      </c>
      <c r="N3503" s="1" t="str">
        <f>IF(Employee__2[[#This Row],[City]]="Pune","Yes","No")</f>
        <v>No</v>
      </c>
      <c r="O3503" s="1" t="str">
        <f>IF(AND(Employee__2[[#This Row],[Education]]="Bachelors",Employee__2[[#This Row],[City]]="Pune"),"Yes","No")</f>
        <v>No</v>
      </c>
      <c r="P3503" s="1" t="str">
        <f>IF(OR(Employee__2[[#This Row],[Age]]&gt;=30,Employee__2[[#This Row],[Gender]]="Male"),"Mached","Not mached")</f>
        <v>Mached</v>
      </c>
    </row>
    <row r="3504" spans="4:16" x14ac:dyDescent="0.25">
      <c r="D3504" s="6" t="s">
        <v>34</v>
      </c>
      <c r="E3504">
        <v>2015</v>
      </c>
      <c r="F3504" s="6" t="s">
        <v>40</v>
      </c>
      <c r="G3504">
        <v>3</v>
      </c>
      <c r="H3504">
        <v>35</v>
      </c>
      <c r="I3504" s="6" t="s">
        <v>39</v>
      </c>
      <c r="J3504" s="6" t="s">
        <v>37</v>
      </c>
      <c r="K3504">
        <v>3</v>
      </c>
      <c r="M3504" s="1" t="b">
        <f>Employee__2[[#This Row],[Experience]]&gt;1</f>
        <v>1</v>
      </c>
      <c r="N3504" s="1" t="str">
        <f>IF(Employee__2[[#This Row],[City]]="Pune","Yes","No")</f>
        <v>No</v>
      </c>
      <c r="O3504" s="1" t="str">
        <f>IF(AND(Employee__2[[#This Row],[Education]]="Bachelors",Employee__2[[#This Row],[City]]="Pune"),"Yes","No")</f>
        <v>No</v>
      </c>
      <c r="P3504" s="1" t="str">
        <f>IF(OR(Employee__2[[#This Row],[Age]]&gt;=30,Employee__2[[#This Row],[Gender]]="Male"),"Mached","Not mached")</f>
        <v>Mached</v>
      </c>
    </row>
    <row r="3505" spans="4:16" x14ac:dyDescent="0.25">
      <c r="D3505" s="6" t="s">
        <v>34</v>
      </c>
      <c r="E3505">
        <v>2015</v>
      </c>
      <c r="F3505" s="6" t="s">
        <v>35</v>
      </c>
      <c r="G3505">
        <v>3</v>
      </c>
      <c r="H3505">
        <v>37</v>
      </c>
      <c r="I3505" s="6" t="s">
        <v>39</v>
      </c>
      <c r="J3505" s="6" t="s">
        <v>37</v>
      </c>
      <c r="K3505">
        <v>5</v>
      </c>
      <c r="M3505" s="1" t="b">
        <f>Employee__2[[#This Row],[Experience]]&gt;1</f>
        <v>1</v>
      </c>
      <c r="N3505" s="1" t="str">
        <f>IF(Employee__2[[#This Row],[City]]="Pune","Yes","No")</f>
        <v>No</v>
      </c>
      <c r="O3505" s="1" t="str">
        <f>IF(AND(Employee__2[[#This Row],[Education]]="Bachelors",Employee__2[[#This Row],[City]]="Pune"),"Yes","No")</f>
        <v>No</v>
      </c>
      <c r="P3505" s="1" t="str">
        <f>IF(OR(Employee__2[[#This Row],[Age]]&gt;=30,Employee__2[[#This Row],[Gender]]="Male"),"Mached","Not mached")</f>
        <v>Mached</v>
      </c>
    </row>
    <row r="3506" spans="4:16" x14ac:dyDescent="0.25">
      <c r="D3506" s="6" t="s">
        <v>34</v>
      </c>
      <c r="E3506">
        <v>2016</v>
      </c>
      <c r="F3506" s="6" t="s">
        <v>35</v>
      </c>
      <c r="G3506">
        <v>3</v>
      </c>
      <c r="H3506">
        <v>34</v>
      </c>
      <c r="I3506" s="6" t="s">
        <v>36</v>
      </c>
      <c r="J3506" s="6" t="s">
        <v>37</v>
      </c>
      <c r="K3506">
        <v>4</v>
      </c>
      <c r="M3506" s="1" t="b">
        <f>Employee__2[[#This Row],[Experience]]&gt;1</f>
        <v>1</v>
      </c>
      <c r="N3506" s="1" t="str">
        <f>IF(Employee__2[[#This Row],[City]]="Pune","Yes","No")</f>
        <v>No</v>
      </c>
      <c r="O3506" s="1" t="str">
        <f>IF(AND(Employee__2[[#This Row],[Education]]="Bachelors",Employee__2[[#This Row],[City]]="Pune"),"Yes","No")</f>
        <v>No</v>
      </c>
      <c r="P3506" s="1" t="str">
        <f>IF(OR(Employee__2[[#This Row],[Age]]&gt;=30,Employee__2[[#This Row],[Gender]]="Male"),"Mached","Not mached")</f>
        <v>Mached</v>
      </c>
    </row>
    <row r="3507" spans="4:16" x14ac:dyDescent="0.25">
      <c r="D3507" s="6" t="s">
        <v>41</v>
      </c>
      <c r="E3507">
        <v>2017</v>
      </c>
      <c r="F3507" s="6" t="s">
        <v>35</v>
      </c>
      <c r="G3507">
        <v>2</v>
      </c>
      <c r="H3507">
        <v>40</v>
      </c>
      <c r="I3507" s="6" t="s">
        <v>39</v>
      </c>
      <c r="J3507" s="6" t="s">
        <v>42</v>
      </c>
      <c r="K3507">
        <v>2</v>
      </c>
      <c r="M3507" s="1" t="b">
        <f>Employee__2[[#This Row],[Experience]]&gt;1</f>
        <v>1</v>
      </c>
      <c r="N3507" s="1" t="str">
        <f>IF(Employee__2[[#This Row],[City]]="Pune","Yes","No")</f>
        <v>No</v>
      </c>
      <c r="O3507" s="1" t="str">
        <f>IF(AND(Employee__2[[#This Row],[Education]]="Bachelors",Employee__2[[#This Row],[City]]="Pune"),"Yes","No")</f>
        <v>No</v>
      </c>
      <c r="P3507" s="1" t="str">
        <f>IF(OR(Employee__2[[#This Row],[Age]]&gt;=30,Employee__2[[#This Row],[Gender]]="Male"),"Mached","Not mached")</f>
        <v>Mached</v>
      </c>
    </row>
    <row r="3508" spans="4:16" x14ac:dyDescent="0.25">
      <c r="D3508" s="6" t="s">
        <v>34</v>
      </c>
      <c r="E3508">
        <v>2015</v>
      </c>
      <c r="F3508" s="6" t="s">
        <v>35</v>
      </c>
      <c r="G3508">
        <v>3</v>
      </c>
      <c r="H3508">
        <v>39</v>
      </c>
      <c r="I3508" s="6" t="s">
        <v>36</v>
      </c>
      <c r="J3508" s="6" t="s">
        <v>37</v>
      </c>
      <c r="K3508">
        <v>5</v>
      </c>
      <c r="M3508" s="1" t="b">
        <f>Employee__2[[#This Row],[Experience]]&gt;1</f>
        <v>1</v>
      </c>
      <c r="N3508" s="1" t="str">
        <f>IF(Employee__2[[#This Row],[City]]="Pune","Yes","No")</f>
        <v>No</v>
      </c>
      <c r="O3508" s="1" t="str">
        <f>IF(AND(Employee__2[[#This Row],[Education]]="Bachelors",Employee__2[[#This Row],[City]]="Pune"),"Yes","No")</f>
        <v>No</v>
      </c>
      <c r="P3508" s="1" t="str">
        <f>IF(OR(Employee__2[[#This Row],[Age]]&gt;=30,Employee__2[[#This Row],[Gender]]="Male"),"Mached","Not mached")</f>
        <v>Mached</v>
      </c>
    </row>
    <row r="3509" spans="4:16" x14ac:dyDescent="0.25">
      <c r="D3509" s="6" t="s">
        <v>34</v>
      </c>
      <c r="E3509">
        <v>2013</v>
      </c>
      <c r="F3509" s="6" t="s">
        <v>38</v>
      </c>
      <c r="G3509">
        <v>3</v>
      </c>
      <c r="H3509">
        <v>37</v>
      </c>
      <c r="I3509" s="6" t="s">
        <v>36</v>
      </c>
      <c r="J3509" s="6" t="s">
        <v>37</v>
      </c>
      <c r="K3509">
        <v>2</v>
      </c>
      <c r="M3509" s="1" t="b">
        <f>Employee__2[[#This Row],[Experience]]&gt;1</f>
        <v>1</v>
      </c>
      <c r="N3509" s="1" t="str">
        <f>IF(Employee__2[[#This Row],[City]]="Pune","Yes","No")</f>
        <v>Yes</v>
      </c>
      <c r="O3509" s="1" t="str">
        <f>IF(AND(Employee__2[[#This Row],[Education]]="Bachelors",Employee__2[[#This Row],[City]]="Pune"),"Yes","No")</f>
        <v>Yes</v>
      </c>
      <c r="P3509" s="1" t="str">
        <f>IF(OR(Employee__2[[#This Row],[Age]]&gt;=30,Employee__2[[#This Row],[Gender]]="Male"),"Mached","Not mached")</f>
        <v>Mached</v>
      </c>
    </row>
    <row r="3510" spans="4:16" x14ac:dyDescent="0.25">
      <c r="D3510" s="6" t="s">
        <v>34</v>
      </c>
      <c r="E3510">
        <v>2015</v>
      </c>
      <c r="F3510" s="6" t="s">
        <v>38</v>
      </c>
      <c r="G3510">
        <v>2</v>
      </c>
      <c r="H3510">
        <v>36</v>
      </c>
      <c r="I3510" s="6" t="s">
        <v>39</v>
      </c>
      <c r="J3510" s="6" t="s">
        <v>42</v>
      </c>
      <c r="K3510">
        <v>1</v>
      </c>
      <c r="M3510" s="1" t="b">
        <f>Employee__2[[#This Row],[Experience]]&gt;1</f>
        <v>0</v>
      </c>
      <c r="N3510" s="1" t="str">
        <f>IF(Employee__2[[#This Row],[City]]="Pune","Yes","No")</f>
        <v>Yes</v>
      </c>
      <c r="O3510" s="1" t="str">
        <f>IF(AND(Employee__2[[#This Row],[Education]]="Bachelors",Employee__2[[#This Row],[City]]="Pune"),"Yes","No")</f>
        <v>Yes</v>
      </c>
      <c r="P3510" s="1" t="str">
        <f>IF(OR(Employee__2[[#This Row],[Age]]&gt;=30,Employee__2[[#This Row],[Gender]]="Male"),"Mached","Not mached")</f>
        <v>Mached</v>
      </c>
    </row>
    <row r="3511" spans="4:16" x14ac:dyDescent="0.25">
      <c r="D3511" s="6" t="s">
        <v>34</v>
      </c>
      <c r="E3511">
        <v>2014</v>
      </c>
      <c r="F3511" s="6" t="s">
        <v>35</v>
      </c>
      <c r="G3511">
        <v>3</v>
      </c>
      <c r="H3511">
        <v>35</v>
      </c>
      <c r="I3511" s="6" t="s">
        <v>39</v>
      </c>
      <c r="J3511" s="6" t="s">
        <v>37</v>
      </c>
      <c r="K3511">
        <v>2</v>
      </c>
      <c r="M3511" s="1" t="b">
        <f>Employee__2[[#This Row],[Experience]]&gt;1</f>
        <v>1</v>
      </c>
      <c r="N3511" s="1" t="str">
        <f>IF(Employee__2[[#This Row],[City]]="Pune","Yes","No")</f>
        <v>No</v>
      </c>
      <c r="O3511" s="1" t="str">
        <f>IF(AND(Employee__2[[#This Row],[Education]]="Bachelors",Employee__2[[#This Row],[City]]="Pune"),"Yes","No")</f>
        <v>No</v>
      </c>
      <c r="P3511" s="1" t="str">
        <f>IF(OR(Employee__2[[#This Row],[Age]]&gt;=30,Employee__2[[#This Row],[Gender]]="Male"),"Mached","Not mached")</f>
        <v>Mached</v>
      </c>
    </row>
    <row r="3512" spans="4:16" x14ac:dyDescent="0.25">
      <c r="D3512" s="6" t="s">
        <v>41</v>
      </c>
      <c r="E3512">
        <v>2013</v>
      </c>
      <c r="F3512" s="6" t="s">
        <v>35</v>
      </c>
      <c r="G3512">
        <v>3</v>
      </c>
      <c r="H3512">
        <v>37</v>
      </c>
      <c r="I3512" s="6" t="s">
        <v>39</v>
      </c>
      <c r="J3512" s="6" t="s">
        <v>37</v>
      </c>
      <c r="K3512">
        <v>3</v>
      </c>
      <c r="M3512" s="1" t="b">
        <f>Employee__2[[#This Row],[Experience]]&gt;1</f>
        <v>1</v>
      </c>
      <c r="N3512" s="1" t="str">
        <f>IF(Employee__2[[#This Row],[City]]="Pune","Yes","No")</f>
        <v>No</v>
      </c>
      <c r="O3512" s="1" t="str">
        <f>IF(AND(Employee__2[[#This Row],[Education]]="Bachelors",Employee__2[[#This Row],[City]]="Pune"),"Yes","No")</f>
        <v>No</v>
      </c>
      <c r="P3512" s="1" t="str">
        <f>IF(OR(Employee__2[[#This Row],[Age]]&gt;=30,Employee__2[[#This Row],[Gender]]="Male"),"Mached","Not mached")</f>
        <v>Mached</v>
      </c>
    </row>
    <row r="3513" spans="4:16" x14ac:dyDescent="0.25">
      <c r="D3513" s="6" t="s">
        <v>34</v>
      </c>
      <c r="E3513">
        <v>2013</v>
      </c>
      <c r="F3513" s="6" t="s">
        <v>40</v>
      </c>
      <c r="G3513">
        <v>3</v>
      </c>
      <c r="H3513">
        <v>41</v>
      </c>
      <c r="I3513" s="6" t="s">
        <v>39</v>
      </c>
      <c r="J3513" s="6" t="s">
        <v>37</v>
      </c>
      <c r="K3513">
        <v>1</v>
      </c>
      <c r="M3513" s="1" t="b">
        <f>Employee__2[[#This Row],[Experience]]&gt;1</f>
        <v>0</v>
      </c>
      <c r="N3513" s="1" t="str">
        <f>IF(Employee__2[[#This Row],[City]]="Pune","Yes","No")</f>
        <v>No</v>
      </c>
      <c r="O3513" s="1" t="str">
        <f>IF(AND(Employee__2[[#This Row],[Education]]="Bachelors",Employee__2[[#This Row],[City]]="Pune"),"Yes","No")</f>
        <v>No</v>
      </c>
      <c r="P3513" s="1" t="str">
        <f>IF(OR(Employee__2[[#This Row],[Age]]&gt;=30,Employee__2[[#This Row],[Gender]]="Male"),"Mached","Not mached")</f>
        <v>Mached</v>
      </c>
    </row>
    <row r="3514" spans="4:16" x14ac:dyDescent="0.25">
      <c r="D3514" s="6" t="s">
        <v>41</v>
      </c>
      <c r="E3514">
        <v>2017</v>
      </c>
      <c r="F3514" s="6" t="s">
        <v>40</v>
      </c>
      <c r="G3514">
        <v>2</v>
      </c>
      <c r="H3514">
        <v>40</v>
      </c>
      <c r="I3514" s="6" t="s">
        <v>36</v>
      </c>
      <c r="J3514" s="6" t="s">
        <v>37</v>
      </c>
      <c r="K3514">
        <v>2</v>
      </c>
      <c r="M3514" s="1" t="b">
        <f>Employee__2[[#This Row],[Experience]]&gt;1</f>
        <v>1</v>
      </c>
      <c r="N3514" s="1" t="str">
        <f>IF(Employee__2[[#This Row],[City]]="Pune","Yes","No")</f>
        <v>No</v>
      </c>
      <c r="O3514" s="1" t="str">
        <f>IF(AND(Employee__2[[#This Row],[Education]]="Bachelors",Employee__2[[#This Row],[City]]="Pune"),"Yes","No")</f>
        <v>No</v>
      </c>
      <c r="P3514" s="1" t="str">
        <f>IF(OR(Employee__2[[#This Row],[Age]]&gt;=30,Employee__2[[#This Row],[Gender]]="Male"),"Mached","Not mached")</f>
        <v>Mached</v>
      </c>
    </row>
    <row r="3515" spans="4:16" x14ac:dyDescent="0.25">
      <c r="D3515" s="6" t="s">
        <v>34</v>
      </c>
      <c r="E3515">
        <v>2016</v>
      </c>
      <c r="F3515" s="6" t="s">
        <v>35</v>
      </c>
      <c r="G3515">
        <v>3</v>
      </c>
      <c r="H3515">
        <v>37</v>
      </c>
      <c r="I3515" s="6" t="s">
        <v>36</v>
      </c>
      <c r="J3515" s="6" t="s">
        <v>37</v>
      </c>
      <c r="K3515">
        <v>2</v>
      </c>
      <c r="M3515" s="1" t="b">
        <f>Employee__2[[#This Row],[Experience]]&gt;1</f>
        <v>1</v>
      </c>
      <c r="N3515" s="1" t="str">
        <f>IF(Employee__2[[#This Row],[City]]="Pune","Yes","No")</f>
        <v>No</v>
      </c>
      <c r="O3515" s="1" t="str">
        <f>IF(AND(Employee__2[[#This Row],[Education]]="Bachelors",Employee__2[[#This Row],[City]]="Pune"),"Yes","No")</f>
        <v>No</v>
      </c>
      <c r="P3515" s="1" t="str">
        <f>IF(OR(Employee__2[[#This Row],[Age]]&gt;=30,Employee__2[[#This Row],[Gender]]="Male"),"Mached","Not mached")</f>
        <v>Mached</v>
      </c>
    </row>
    <row r="3516" spans="4:16" x14ac:dyDescent="0.25">
      <c r="D3516" s="6" t="s">
        <v>41</v>
      </c>
      <c r="E3516">
        <v>2013</v>
      </c>
      <c r="F3516" s="6" t="s">
        <v>40</v>
      </c>
      <c r="G3516">
        <v>3</v>
      </c>
      <c r="H3516">
        <v>40</v>
      </c>
      <c r="I3516" s="6" t="s">
        <v>39</v>
      </c>
      <c r="J3516" s="6" t="s">
        <v>37</v>
      </c>
      <c r="K3516">
        <v>2</v>
      </c>
      <c r="M3516" s="1" t="b">
        <f>Employee__2[[#This Row],[Experience]]&gt;1</f>
        <v>1</v>
      </c>
      <c r="N3516" s="1" t="str">
        <f>IF(Employee__2[[#This Row],[City]]="Pune","Yes","No")</f>
        <v>No</v>
      </c>
      <c r="O3516" s="1" t="str">
        <f>IF(AND(Employee__2[[#This Row],[Education]]="Bachelors",Employee__2[[#This Row],[City]]="Pune"),"Yes","No")</f>
        <v>No</v>
      </c>
      <c r="P3516" s="1" t="str">
        <f>IF(OR(Employee__2[[#This Row],[Age]]&gt;=30,Employee__2[[#This Row],[Gender]]="Male"),"Mached","Not mached")</f>
        <v>Mached</v>
      </c>
    </row>
    <row r="3517" spans="4:16" x14ac:dyDescent="0.25">
      <c r="D3517" s="6" t="s">
        <v>34</v>
      </c>
      <c r="E3517">
        <v>2015</v>
      </c>
      <c r="F3517" s="6" t="s">
        <v>35</v>
      </c>
      <c r="G3517">
        <v>3</v>
      </c>
      <c r="H3517">
        <v>39</v>
      </c>
      <c r="I3517" s="6" t="s">
        <v>36</v>
      </c>
      <c r="J3517" s="6" t="s">
        <v>37</v>
      </c>
      <c r="K3517">
        <v>5</v>
      </c>
      <c r="M3517" s="1" t="b">
        <f>Employee__2[[#This Row],[Experience]]&gt;1</f>
        <v>1</v>
      </c>
      <c r="N3517" s="1" t="str">
        <f>IF(Employee__2[[#This Row],[City]]="Pune","Yes","No")</f>
        <v>No</v>
      </c>
      <c r="O3517" s="1" t="str">
        <f>IF(AND(Employee__2[[#This Row],[Education]]="Bachelors",Employee__2[[#This Row],[City]]="Pune"),"Yes","No")</f>
        <v>No</v>
      </c>
      <c r="P3517" s="1" t="str">
        <f>IF(OR(Employee__2[[#This Row],[Age]]&gt;=30,Employee__2[[#This Row],[Gender]]="Male"),"Mached","Not mached")</f>
        <v>Mached</v>
      </c>
    </row>
    <row r="3518" spans="4:16" x14ac:dyDescent="0.25">
      <c r="D3518" s="6" t="s">
        <v>41</v>
      </c>
      <c r="E3518">
        <v>2015</v>
      </c>
      <c r="F3518" s="6" t="s">
        <v>38</v>
      </c>
      <c r="G3518">
        <v>2</v>
      </c>
      <c r="H3518">
        <v>33</v>
      </c>
      <c r="I3518" s="6" t="s">
        <v>39</v>
      </c>
      <c r="J3518" s="6" t="s">
        <v>37</v>
      </c>
      <c r="K3518">
        <v>4</v>
      </c>
      <c r="M3518" s="1" t="b">
        <f>Employee__2[[#This Row],[Experience]]&gt;1</f>
        <v>1</v>
      </c>
      <c r="N3518" s="1" t="str">
        <f>IF(Employee__2[[#This Row],[City]]="Pune","Yes","No")</f>
        <v>Yes</v>
      </c>
      <c r="O3518" s="1" t="str">
        <f>IF(AND(Employee__2[[#This Row],[Education]]="Bachelors",Employee__2[[#This Row],[City]]="Pune"),"Yes","No")</f>
        <v>No</v>
      </c>
      <c r="P3518" s="1" t="str">
        <f>IF(OR(Employee__2[[#This Row],[Age]]&gt;=30,Employee__2[[#This Row],[Gender]]="Male"),"Mached","Not mached")</f>
        <v>Mached</v>
      </c>
    </row>
    <row r="3519" spans="4:16" x14ac:dyDescent="0.25">
      <c r="D3519" s="6" t="s">
        <v>34</v>
      </c>
      <c r="E3519">
        <v>2012</v>
      </c>
      <c r="F3519" s="6" t="s">
        <v>35</v>
      </c>
      <c r="G3519">
        <v>3</v>
      </c>
      <c r="H3519">
        <v>36</v>
      </c>
      <c r="I3519" s="6" t="s">
        <v>36</v>
      </c>
      <c r="J3519" s="6" t="s">
        <v>37</v>
      </c>
      <c r="K3519">
        <v>1</v>
      </c>
      <c r="M3519" s="1" t="b">
        <f>Employee__2[[#This Row],[Experience]]&gt;1</f>
        <v>0</v>
      </c>
      <c r="N3519" s="1" t="str">
        <f>IF(Employee__2[[#This Row],[City]]="Pune","Yes","No")</f>
        <v>No</v>
      </c>
      <c r="O3519" s="1" t="str">
        <f>IF(AND(Employee__2[[#This Row],[Education]]="Bachelors",Employee__2[[#This Row],[City]]="Pune"),"Yes","No")</f>
        <v>No</v>
      </c>
      <c r="P3519" s="1" t="str">
        <f>IF(OR(Employee__2[[#This Row],[Age]]&gt;=30,Employee__2[[#This Row],[Gender]]="Male"),"Mached","Not mached")</f>
        <v>Mached</v>
      </c>
    </row>
    <row r="3520" spans="4:16" x14ac:dyDescent="0.25">
      <c r="D3520" s="6" t="s">
        <v>34</v>
      </c>
      <c r="E3520">
        <v>2012</v>
      </c>
      <c r="F3520" s="6" t="s">
        <v>35</v>
      </c>
      <c r="G3520">
        <v>3</v>
      </c>
      <c r="H3520">
        <v>36</v>
      </c>
      <c r="I3520" s="6" t="s">
        <v>36</v>
      </c>
      <c r="J3520" s="6" t="s">
        <v>37</v>
      </c>
      <c r="K3520">
        <v>5</v>
      </c>
      <c r="M3520" s="1" t="b">
        <f>Employee__2[[#This Row],[Experience]]&gt;1</f>
        <v>1</v>
      </c>
      <c r="N3520" s="1" t="str">
        <f>IF(Employee__2[[#This Row],[City]]="Pune","Yes","No")</f>
        <v>No</v>
      </c>
      <c r="O3520" s="1" t="str">
        <f>IF(AND(Employee__2[[#This Row],[Education]]="Bachelors",Employee__2[[#This Row],[City]]="Pune"),"Yes","No")</f>
        <v>No</v>
      </c>
      <c r="P3520" s="1" t="str">
        <f>IF(OR(Employee__2[[#This Row],[Age]]&gt;=30,Employee__2[[#This Row],[Gender]]="Male"),"Mached","Not mached")</f>
        <v>Mached</v>
      </c>
    </row>
    <row r="3521" spans="4:16" x14ac:dyDescent="0.25">
      <c r="D3521" s="6" t="s">
        <v>34</v>
      </c>
      <c r="E3521">
        <v>2015</v>
      </c>
      <c r="F3521" s="6" t="s">
        <v>35</v>
      </c>
      <c r="G3521">
        <v>3</v>
      </c>
      <c r="H3521">
        <v>38</v>
      </c>
      <c r="I3521" s="6" t="s">
        <v>36</v>
      </c>
      <c r="J3521" s="6" t="s">
        <v>37</v>
      </c>
      <c r="K3521">
        <v>3</v>
      </c>
      <c r="M3521" s="1" t="b">
        <f>Employee__2[[#This Row],[Experience]]&gt;1</f>
        <v>1</v>
      </c>
      <c r="N3521" s="1" t="str">
        <f>IF(Employee__2[[#This Row],[City]]="Pune","Yes","No")</f>
        <v>No</v>
      </c>
      <c r="O3521" s="1" t="str">
        <f>IF(AND(Employee__2[[#This Row],[Education]]="Bachelors",Employee__2[[#This Row],[City]]="Pune"),"Yes","No")</f>
        <v>No</v>
      </c>
      <c r="P3521" s="1" t="str">
        <f>IF(OR(Employee__2[[#This Row],[Age]]&gt;=30,Employee__2[[#This Row],[Gender]]="Male"),"Mached","Not mached")</f>
        <v>Mached</v>
      </c>
    </row>
    <row r="3522" spans="4:16" x14ac:dyDescent="0.25">
      <c r="D3522" s="6" t="s">
        <v>34</v>
      </c>
      <c r="E3522">
        <v>2017</v>
      </c>
      <c r="F3522" s="6" t="s">
        <v>40</v>
      </c>
      <c r="G3522">
        <v>2</v>
      </c>
      <c r="H3522">
        <v>37</v>
      </c>
      <c r="I3522" s="6" t="s">
        <v>39</v>
      </c>
      <c r="J3522" s="6" t="s">
        <v>37</v>
      </c>
      <c r="K3522">
        <v>5</v>
      </c>
      <c r="M3522" s="1" t="b">
        <f>Employee__2[[#This Row],[Experience]]&gt;1</f>
        <v>1</v>
      </c>
      <c r="N3522" s="1" t="str">
        <f>IF(Employee__2[[#This Row],[City]]="Pune","Yes","No")</f>
        <v>No</v>
      </c>
      <c r="O3522" s="1" t="str">
        <f>IF(AND(Employee__2[[#This Row],[Education]]="Bachelors",Employee__2[[#This Row],[City]]="Pune"),"Yes","No")</f>
        <v>No</v>
      </c>
      <c r="P3522" s="1" t="str">
        <f>IF(OR(Employee__2[[#This Row],[Age]]&gt;=30,Employee__2[[#This Row],[Gender]]="Male"),"Mached","Not mached")</f>
        <v>Mached</v>
      </c>
    </row>
    <row r="3523" spans="4:16" x14ac:dyDescent="0.25">
      <c r="D3523" s="6" t="s">
        <v>41</v>
      </c>
      <c r="E3523">
        <v>2017</v>
      </c>
      <c r="F3523" s="6" t="s">
        <v>40</v>
      </c>
      <c r="G3523">
        <v>3</v>
      </c>
      <c r="H3523">
        <v>34</v>
      </c>
      <c r="I3523" s="6" t="s">
        <v>39</v>
      </c>
      <c r="J3523" s="6" t="s">
        <v>37</v>
      </c>
      <c r="K3523">
        <v>2</v>
      </c>
      <c r="M3523" s="1" t="b">
        <f>Employee__2[[#This Row],[Experience]]&gt;1</f>
        <v>1</v>
      </c>
      <c r="N3523" s="1" t="str">
        <f>IF(Employee__2[[#This Row],[City]]="Pune","Yes","No")</f>
        <v>No</v>
      </c>
      <c r="O3523" s="1" t="str">
        <f>IF(AND(Employee__2[[#This Row],[Education]]="Bachelors",Employee__2[[#This Row],[City]]="Pune"),"Yes","No")</f>
        <v>No</v>
      </c>
      <c r="P3523" s="1" t="str">
        <f>IF(OR(Employee__2[[#This Row],[Age]]&gt;=30,Employee__2[[#This Row],[Gender]]="Male"),"Mached","Not mached")</f>
        <v>Mached</v>
      </c>
    </row>
    <row r="3524" spans="4:16" x14ac:dyDescent="0.25">
      <c r="D3524" s="6" t="s">
        <v>34</v>
      </c>
      <c r="E3524">
        <v>2013</v>
      </c>
      <c r="F3524" s="6" t="s">
        <v>35</v>
      </c>
      <c r="G3524">
        <v>3</v>
      </c>
      <c r="H3524">
        <v>31</v>
      </c>
      <c r="I3524" s="6" t="s">
        <v>36</v>
      </c>
      <c r="J3524" s="6" t="s">
        <v>37</v>
      </c>
      <c r="K3524">
        <v>2</v>
      </c>
      <c r="M3524" s="1" t="b">
        <f>Employee__2[[#This Row],[Experience]]&gt;1</f>
        <v>1</v>
      </c>
      <c r="N3524" s="1" t="str">
        <f>IF(Employee__2[[#This Row],[City]]="Pune","Yes","No")</f>
        <v>No</v>
      </c>
      <c r="O3524" s="1" t="str">
        <f>IF(AND(Employee__2[[#This Row],[Education]]="Bachelors",Employee__2[[#This Row],[City]]="Pune"),"Yes","No")</f>
        <v>No</v>
      </c>
      <c r="P3524" s="1" t="str">
        <f>IF(OR(Employee__2[[#This Row],[Age]]&gt;=30,Employee__2[[#This Row],[Gender]]="Male"),"Mached","Not mached")</f>
        <v>Mached</v>
      </c>
    </row>
    <row r="3525" spans="4:16" x14ac:dyDescent="0.25">
      <c r="D3525" s="6" t="s">
        <v>34</v>
      </c>
      <c r="E3525">
        <v>2013</v>
      </c>
      <c r="F3525" s="6" t="s">
        <v>35</v>
      </c>
      <c r="G3525">
        <v>3</v>
      </c>
      <c r="H3525">
        <v>38</v>
      </c>
      <c r="I3525" s="6" t="s">
        <v>36</v>
      </c>
      <c r="J3525" s="6" t="s">
        <v>37</v>
      </c>
      <c r="K3525">
        <v>5</v>
      </c>
      <c r="M3525" s="1" t="b">
        <f>Employee__2[[#This Row],[Experience]]&gt;1</f>
        <v>1</v>
      </c>
      <c r="N3525" s="1" t="str">
        <f>IF(Employee__2[[#This Row],[City]]="Pune","Yes","No")</f>
        <v>No</v>
      </c>
      <c r="O3525" s="1" t="str">
        <f>IF(AND(Employee__2[[#This Row],[Education]]="Bachelors",Employee__2[[#This Row],[City]]="Pune"),"Yes","No")</f>
        <v>No</v>
      </c>
      <c r="P3525" s="1" t="str">
        <f>IF(OR(Employee__2[[#This Row],[Age]]&gt;=30,Employee__2[[#This Row],[Gender]]="Male"),"Mached","Not mached")</f>
        <v>Mached</v>
      </c>
    </row>
    <row r="3526" spans="4:16" x14ac:dyDescent="0.25">
      <c r="D3526" s="6" t="s">
        <v>34</v>
      </c>
      <c r="E3526">
        <v>2017</v>
      </c>
      <c r="F3526" s="6" t="s">
        <v>35</v>
      </c>
      <c r="G3526">
        <v>3</v>
      </c>
      <c r="H3526">
        <v>36</v>
      </c>
      <c r="I3526" s="6" t="s">
        <v>36</v>
      </c>
      <c r="J3526" s="6" t="s">
        <v>37</v>
      </c>
      <c r="K3526">
        <v>3</v>
      </c>
      <c r="M3526" s="1" t="b">
        <f>Employee__2[[#This Row],[Experience]]&gt;1</f>
        <v>1</v>
      </c>
      <c r="N3526" s="1" t="str">
        <f>IF(Employee__2[[#This Row],[City]]="Pune","Yes","No")</f>
        <v>No</v>
      </c>
      <c r="O3526" s="1" t="str">
        <f>IF(AND(Employee__2[[#This Row],[Education]]="Bachelors",Employee__2[[#This Row],[City]]="Pune"),"Yes","No")</f>
        <v>No</v>
      </c>
      <c r="P3526" s="1" t="str">
        <f>IF(OR(Employee__2[[#This Row],[Age]]&gt;=30,Employee__2[[#This Row],[Gender]]="Male"),"Mached","Not mached")</f>
        <v>Mached</v>
      </c>
    </row>
    <row r="3527" spans="4:16" x14ac:dyDescent="0.25">
      <c r="D3527" s="6" t="s">
        <v>34</v>
      </c>
      <c r="E3527">
        <v>2012</v>
      </c>
      <c r="F3527" s="6" t="s">
        <v>35</v>
      </c>
      <c r="G3527">
        <v>3</v>
      </c>
      <c r="H3527">
        <v>40</v>
      </c>
      <c r="I3527" s="6" t="s">
        <v>36</v>
      </c>
      <c r="J3527" s="6" t="s">
        <v>37</v>
      </c>
      <c r="K3527">
        <v>1</v>
      </c>
      <c r="M3527" s="1" t="b">
        <f>Employee__2[[#This Row],[Experience]]&gt;1</f>
        <v>0</v>
      </c>
      <c r="N3527" s="1" t="str">
        <f>IF(Employee__2[[#This Row],[City]]="Pune","Yes","No")</f>
        <v>No</v>
      </c>
      <c r="O3527" s="1" t="str">
        <f>IF(AND(Employee__2[[#This Row],[Education]]="Bachelors",Employee__2[[#This Row],[City]]="Pune"),"Yes","No")</f>
        <v>No</v>
      </c>
      <c r="P3527" s="1" t="str">
        <f>IF(OR(Employee__2[[#This Row],[Age]]&gt;=30,Employee__2[[#This Row],[Gender]]="Male"),"Mached","Not mached")</f>
        <v>Mached</v>
      </c>
    </row>
    <row r="3528" spans="4:16" x14ac:dyDescent="0.25">
      <c r="D3528" s="6" t="s">
        <v>34</v>
      </c>
      <c r="E3528">
        <v>2017</v>
      </c>
      <c r="F3528" s="6" t="s">
        <v>35</v>
      </c>
      <c r="G3528">
        <v>3</v>
      </c>
      <c r="H3528">
        <v>41</v>
      </c>
      <c r="I3528" s="6" t="s">
        <v>36</v>
      </c>
      <c r="J3528" s="6" t="s">
        <v>37</v>
      </c>
      <c r="K3528">
        <v>5</v>
      </c>
      <c r="M3528" s="1" t="b">
        <f>Employee__2[[#This Row],[Experience]]&gt;1</f>
        <v>1</v>
      </c>
      <c r="N3528" s="1" t="str">
        <f>IF(Employee__2[[#This Row],[City]]="Pune","Yes","No")</f>
        <v>No</v>
      </c>
      <c r="O3528" s="1" t="str">
        <f>IF(AND(Employee__2[[#This Row],[Education]]="Bachelors",Employee__2[[#This Row],[City]]="Pune"),"Yes","No")</f>
        <v>No</v>
      </c>
      <c r="P3528" s="1" t="str">
        <f>IF(OR(Employee__2[[#This Row],[Age]]&gt;=30,Employee__2[[#This Row],[Gender]]="Male"),"Mached","Not mached")</f>
        <v>Mached</v>
      </c>
    </row>
    <row r="3529" spans="4:16" x14ac:dyDescent="0.25">
      <c r="D3529" s="6" t="s">
        <v>34</v>
      </c>
      <c r="E3529">
        <v>2015</v>
      </c>
      <c r="F3529" s="6" t="s">
        <v>35</v>
      </c>
      <c r="G3529">
        <v>3</v>
      </c>
      <c r="H3529">
        <v>31</v>
      </c>
      <c r="I3529" s="6" t="s">
        <v>39</v>
      </c>
      <c r="J3529" s="6" t="s">
        <v>37</v>
      </c>
      <c r="K3529">
        <v>4</v>
      </c>
      <c r="M3529" s="1" t="b">
        <f>Employee__2[[#This Row],[Experience]]&gt;1</f>
        <v>1</v>
      </c>
      <c r="N3529" s="1" t="str">
        <f>IF(Employee__2[[#This Row],[City]]="Pune","Yes","No")</f>
        <v>No</v>
      </c>
      <c r="O3529" s="1" t="str">
        <f>IF(AND(Employee__2[[#This Row],[Education]]="Bachelors",Employee__2[[#This Row],[City]]="Pune"),"Yes","No")</f>
        <v>No</v>
      </c>
      <c r="P3529" s="1" t="str">
        <f>IF(OR(Employee__2[[#This Row],[Age]]&gt;=30,Employee__2[[#This Row],[Gender]]="Male"),"Mached","Not mached")</f>
        <v>Mached</v>
      </c>
    </row>
    <row r="3530" spans="4:16" x14ac:dyDescent="0.25">
      <c r="D3530" s="6" t="s">
        <v>34</v>
      </c>
      <c r="E3530">
        <v>2017</v>
      </c>
      <c r="F3530" s="6" t="s">
        <v>40</v>
      </c>
      <c r="G3530">
        <v>3</v>
      </c>
      <c r="H3530">
        <v>41</v>
      </c>
      <c r="I3530" s="6" t="s">
        <v>36</v>
      </c>
      <c r="J3530" s="6" t="s">
        <v>37</v>
      </c>
      <c r="K3530">
        <v>2</v>
      </c>
      <c r="M3530" s="1" t="b">
        <f>Employee__2[[#This Row],[Experience]]&gt;1</f>
        <v>1</v>
      </c>
      <c r="N3530" s="1" t="str">
        <f>IF(Employee__2[[#This Row],[City]]="Pune","Yes","No")</f>
        <v>No</v>
      </c>
      <c r="O3530" s="1" t="str">
        <f>IF(AND(Employee__2[[#This Row],[Education]]="Bachelors",Employee__2[[#This Row],[City]]="Pune"),"Yes","No")</f>
        <v>No</v>
      </c>
      <c r="P3530" s="1" t="str">
        <f>IF(OR(Employee__2[[#This Row],[Age]]&gt;=30,Employee__2[[#This Row],[Gender]]="Male"),"Mached","Not mached")</f>
        <v>Mached</v>
      </c>
    </row>
    <row r="3531" spans="4:16" x14ac:dyDescent="0.25">
      <c r="D3531" s="6" t="s">
        <v>34</v>
      </c>
      <c r="E3531">
        <v>2015</v>
      </c>
      <c r="F3531" s="6" t="s">
        <v>40</v>
      </c>
      <c r="G3531">
        <v>3</v>
      </c>
      <c r="H3531">
        <v>31</v>
      </c>
      <c r="I3531" s="6" t="s">
        <v>39</v>
      </c>
      <c r="J3531" s="6" t="s">
        <v>37</v>
      </c>
      <c r="K3531">
        <v>3</v>
      </c>
      <c r="M3531" s="1" t="b">
        <f>Employee__2[[#This Row],[Experience]]&gt;1</f>
        <v>1</v>
      </c>
      <c r="N3531" s="1" t="str">
        <f>IF(Employee__2[[#This Row],[City]]="Pune","Yes","No")</f>
        <v>No</v>
      </c>
      <c r="O3531" s="1" t="str">
        <f>IF(AND(Employee__2[[#This Row],[Education]]="Bachelors",Employee__2[[#This Row],[City]]="Pune"),"Yes","No")</f>
        <v>No</v>
      </c>
      <c r="P3531" s="1" t="str">
        <f>IF(OR(Employee__2[[#This Row],[Age]]&gt;=30,Employee__2[[#This Row],[Gender]]="Male"),"Mached","Not mached")</f>
        <v>Mached</v>
      </c>
    </row>
    <row r="3532" spans="4:16" x14ac:dyDescent="0.25">
      <c r="D3532" s="6" t="s">
        <v>34</v>
      </c>
      <c r="E3532">
        <v>2017</v>
      </c>
      <c r="F3532" s="6" t="s">
        <v>38</v>
      </c>
      <c r="G3532">
        <v>3</v>
      </c>
      <c r="H3532">
        <v>31</v>
      </c>
      <c r="I3532" s="6" t="s">
        <v>39</v>
      </c>
      <c r="J3532" s="6" t="s">
        <v>37</v>
      </c>
      <c r="K3532">
        <v>0</v>
      </c>
      <c r="M3532" s="1" t="b">
        <f>Employee__2[[#This Row],[Experience]]&gt;1</f>
        <v>0</v>
      </c>
      <c r="N3532" s="1" t="str">
        <f>IF(Employee__2[[#This Row],[City]]="Pune","Yes","No")</f>
        <v>Yes</v>
      </c>
      <c r="O3532" s="1" t="str">
        <f>IF(AND(Employee__2[[#This Row],[Education]]="Bachelors",Employee__2[[#This Row],[City]]="Pune"),"Yes","No")</f>
        <v>Yes</v>
      </c>
      <c r="P3532" s="1" t="str">
        <f>IF(OR(Employee__2[[#This Row],[Age]]&gt;=30,Employee__2[[#This Row],[Gender]]="Male"),"Mached","Not mached")</f>
        <v>Mached</v>
      </c>
    </row>
    <row r="3533" spans="4:16" x14ac:dyDescent="0.25">
      <c r="D3533" s="6" t="s">
        <v>34</v>
      </c>
      <c r="E3533">
        <v>2017</v>
      </c>
      <c r="F3533" s="6" t="s">
        <v>40</v>
      </c>
      <c r="G3533">
        <v>2</v>
      </c>
      <c r="H3533">
        <v>37</v>
      </c>
      <c r="I3533" s="6" t="s">
        <v>36</v>
      </c>
      <c r="J3533" s="6" t="s">
        <v>37</v>
      </c>
      <c r="K3533">
        <v>0</v>
      </c>
      <c r="M3533" s="1" t="b">
        <f>Employee__2[[#This Row],[Experience]]&gt;1</f>
        <v>0</v>
      </c>
      <c r="N3533" s="1" t="str">
        <f>IF(Employee__2[[#This Row],[City]]="Pune","Yes","No")</f>
        <v>No</v>
      </c>
      <c r="O3533" s="1" t="str">
        <f>IF(AND(Employee__2[[#This Row],[Education]]="Bachelors",Employee__2[[#This Row],[City]]="Pune"),"Yes","No")</f>
        <v>No</v>
      </c>
      <c r="P3533" s="1" t="str">
        <f>IF(OR(Employee__2[[#This Row],[Age]]&gt;=30,Employee__2[[#This Row],[Gender]]="Male"),"Mached","Not mached")</f>
        <v>Mached</v>
      </c>
    </row>
    <row r="3534" spans="4:16" x14ac:dyDescent="0.25">
      <c r="D3534" s="6" t="s">
        <v>34</v>
      </c>
      <c r="E3534">
        <v>2012</v>
      </c>
      <c r="F3534" s="6" t="s">
        <v>38</v>
      </c>
      <c r="G3534">
        <v>3</v>
      </c>
      <c r="H3534">
        <v>39</v>
      </c>
      <c r="I3534" s="6" t="s">
        <v>36</v>
      </c>
      <c r="J3534" s="6" t="s">
        <v>37</v>
      </c>
      <c r="K3534">
        <v>0</v>
      </c>
      <c r="M3534" s="1" t="b">
        <f>Employee__2[[#This Row],[Experience]]&gt;1</f>
        <v>0</v>
      </c>
      <c r="N3534" s="1" t="str">
        <f>IF(Employee__2[[#This Row],[City]]="Pune","Yes","No")</f>
        <v>Yes</v>
      </c>
      <c r="O3534" s="1" t="str">
        <f>IF(AND(Employee__2[[#This Row],[Education]]="Bachelors",Employee__2[[#This Row],[City]]="Pune"),"Yes","No")</f>
        <v>Yes</v>
      </c>
      <c r="P3534" s="1" t="str">
        <f>IF(OR(Employee__2[[#This Row],[Age]]&gt;=30,Employee__2[[#This Row],[Gender]]="Male"),"Mached","Not mached")</f>
        <v>Mached</v>
      </c>
    </row>
    <row r="3535" spans="4:16" x14ac:dyDescent="0.25">
      <c r="D3535" s="6" t="s">
        <v>34</v>
      </c>
      <c r="E3535">
        <v>2014</v>
      </c>
      <c r="F3535" s="6" t="s">
        <v>35</v>
      </c>
      <c r="G3535">
        <v>3</v>
      </c>
      <c r="H3535">
        <v>38</v>
      </c>
      <c r="I3535" s="6" t="s">
        <v>36</v>
      </c>
      <c r="J3535" s="6" t="s">
        <v>37</v>
      </c>
      <c r="K3535">
        <v>3</v>
      </c>
      <c r="M3535" s="1" t="b">
        <f>Employee__2[[#This Row],[Experience]]&gt;1</f>
        <v>1</v>
      </c>
      <c r="N3535" s="1" t="str">
        <f>IF(Employee__2[[#This Row],[City]]="Pune","Yes","No")</f>
        <v>No</v>
      </c>
      <c r="O3535" s="1" t="str">
        <f>IF(AND(Employee__2[[#This Row],[Education]]="Bachelors",Employee__2[[#This Row],[City]]="Pune"),"Yes","No")</f>
        <v>No</v>
      </c>
      <c r="P3535" s="1" t="str">
        <f>IF(OR(Employee__2[[#This Row],[Age]]&gt;=30,Employee__2[[#This Row],[Gender]]="Male"),"Mached","Not mached")</f>
        <v>Mached</v>
      </c>
    </row>
    <row r="3536" spans="4:16" x14ac:dyDescent="0.25">
      <c r="D3536" s="6" t="s">
        <v>34</v>
      </c>
      <c r="E3536">
        <v>2013</v>
      </c>
      <c r="F3536" s="6" t="s">
        <v>38</v>
      </c>
      <c r="G3536">
        <v>3</v>
      </c>
      <c r="H3536">
        <v>40</v>
      </c>
      <c r="I3536" s="6" t="s">
        <v>39</v>
      </c>
      <c r="J3536" s="6" t="s">
        <v>37</v>
      </c>
      <c r="K3536">
        <v>2</v>
      </c>
      <c r="M3536" s="1" t="b">
        <f>Employee__2[[#This Row],[Experience]]&gt;1</f>
        <v>1</v>
      </c>
      <c r="N3536" s="1" t="str">
        <f>IF(Employee__2[[#This Row],[City]]="Pune","Yes","No")</f>
        <v>Yes</v>
      </c>
      <c r="O3536" s="1" t="str">
        <f>IF(AND(Employee__2[[#This Row],[Education]]="Bachelors",Employee__2[[#This Row],[City]]="Pune"),"Yes","No")</f>
        <v>Yes</v>
      </c>
      <c r="P3536" s="1" t="str">
        <f>IF(OR(Employee__2[[#This Row],[Age]]&gt;=30,Employee__2[[#This Row],[Gender]]="Male"),"Mached","Not mached")</f>
        <v>Mached</v>
      </c>
    </row>
    <row r="3537" spans="4:16" x14ac:dyDescent="0.25">
      <c r="D3537" s="6" t="s">
        <v>34</v>
      </c>
      <c r="E3537">
        <v>2013</v>
      </c>
      <c r="F3537" s="6" t="s">
        <v>38</v>
      </c>
      <c r="G3537">
        <v>3</v>
      </c>
      <c r="H3537">
        <v>36</v>
      </c>
      <c r="I3537" s="6" t="s">
        <v>36</v>
      </c>
      <c r="J3537" s="6" t="s">
        <v>37</v>
      </c>
      <c r="K3537">
        <v>1</v>
      </c>
      <c r="M3537" s="1" t="b">
        <f>Employee__2[[#This Row],[Experience]]&gt;1</f>
        <v>0</v>
      </c>
      <c r="N3537" s="1" t="str">
        <f>IF(Employee__2[[#This Row],[City]]="Pune","Yes","No")</f>
        <v>Yes</v>
      </c>
      <c r="O3537" s="1" t="str">
        <f>IF(AND(Employee__2[[#This Row],[Education]]="Bachelors",Employee__2[[#This Row],[City]]="Pune"),"Yes","No")</f>
        <v>Yes</v>
      </c>
      <c r="P3537" s="1" t="str">
        <f>IF(OR(Employee__2[[#This Row],[Age]]&gt;=30,Employee__2[[#This Row],[Gender]]="Male"),"Mached","Not mached")</f>
        <v>Mached</v>
      </c>
    </row>
    <row r="3538" spans="4:16" x14ac:dyDescent="0.25">
      <c r="D3538" s="6" t="s">
        <v>34</v>
      </c>
      <c r="E3538">
        <v>2016</v>
      </c>
      <c r="F3538" s="6" t="s">
        <v>35</v>
      </c>
      <c r="G3538">
        <v>3</v>
      </c>
      <c r="H3538">
        <v>41</v>
      </c>
      <c r="I3538" s="6" t="s">
        <v>36</v>
      </c>
      <c r="J3538" s="6" t="s">
        <v>37</v>
      </c>
      <c r="K3538">
        <v>3</v>
      </c>
      <c r="M3538" s="1" t="b">
        <f>Employee__2[[#This Row],[Experience]]&gt;1</f>
        <v>1</v>
      </c>
      <c r="N3538" s="1" t="str">
        <f>IF(Employee__2[[#This Row],[City]]="Pune","Yes","No")</f>
        <v>No</v>
      </c>
      <c r="O3538" s="1" t="str">
        <f>IF(AND(Employee__2[[#This Row],[Education]]="Bachelors",Employee__2[[#This Row],[City]]="Pune"),"Yes","No")</f>
        <v>No</v>
      </c>
      <c r="P3538" s="1" t="str">
        <f>IF(OR(Employee__2[[#This Row],[Age]]&gt;=30,Employee__2[[#This Row],[Gender]]="Male"),"Mached","Not mached")</f>
        <v>Mached</v>
      </c>
    </row>
    <row r="3539" spans="4:16" x14ac:dyDescent="0.25">
      <c r="D3539" s="6" t="s">
        <v>34</v>
      </c>
      <c r="E3539">
        <v>2018</v>
      </c>
      <c r="F3539" s="6" t="s">
        <v>35</v>
      </c>
      <c r="G3539">
        <v>3</v>
      </c>
      <c r="H3539">
        <v>32</v>
      </c>
      <c r="I3539" s="6" t="s">
        <v>39</v>
      </c>
      <c r="J3539" s="6" t="s">
        <v>37</v>
      </c>
      <c r="K3539">
        <v>2</v>
      </c>
      <c r="M3539" s="1" t="b">
        <f>Employee__2[[#This Row],[Experience]]&gt;1</f>
        <v>1</v>
      </c>
      <c r="N3539" s="1" t="str">
        <f>IF(Employee__2[[#This Row],[City]]="Pune","Yes","No")</f>
        <v>No</v>
      </c>
      <c r="O3539" s="1" t="str">
        <f>IF(AND(Employee__2[[#This Row],[Education]]="Bachelors",Employee__2[[#This Row],[City]]="Pune"),"Yes","No")</f>
        <v>No</v>
      </c>
      <c r="P3539" s="1" t="str">
        <f>IF(OR(Employee__2[[#This Row],[Age]]&gt;=30,Employee__2[[#This Row],[Gender]]="Male"),"Mached","Not mached")</f>
        <v>Mached</v>
      </c>
    </row>
    <row r="3540" spans="4:16" x14ac:dyDescent="0.25">
      <c r="D3540" s="6" t="s">
        <v>41</v>
      </c>
      <c r="E3540">
        <v>2018</v>
      </c>
      <c r="F3540" s="6" t="s">
        <v>35</v>
      </c>
      <c r="G3540">
        <v>3</v>
      </c>
      <c r="H3540">
        <v>40</v>
      </c>
      <c r="I3540" s="6" t="s">
        <v>39</v>
      </c>
      <c r="J3540" s="6" t="s">
        <v>37</v>
      </c>
      <c r="K3540">
        <v>3</v>
      </c>
      <c r="M3540" s="1" t="b">
        <f>Employee__2[[#This Row],[Experience]]&gt;1</f>
        <v>1</v>
      </c>
      <c r="N3540" s="1" t="str">
        <f>IF(Employee__2[[#This Row],[City]]="Pune","Yes","No")</f>
        <v>No</v>
      </c>
      <c r="O3540" s="1" t="str">
        <f>IF(AND(Employee__2[[#This Row],[Education]]="Bachelors",Employee__2[[#This Row],[City]]="Pune"),"Yes","No")</f>
        <v>No</v>
      </c>
      <c r="P3540" s="1" t="str">
        <f>IF(OR(Employee__2[[#This Row],[Age]]&gt;=30,Employee__2[[#This Row],[Gender]]="Male"),"Mached","Not mached")</f>
        <v>Mached</v>
      </c>
    </row>
    <row r="3541" spans="4:16" x14ac:dyDescent="0.25">
      <c r="D3541" s="6" t="s">
        <v>34</v>
      </c>
      <c r="E3541">
        <v>2012</v>
      </c>
      <c r="F3541" s="6" t="s">
        <v>35</v>
      </c>
      <c r="G3541">
        <v>3</v>
      </c>
      <c r="H3541">
        <v>39</v>
      </c>
      <c r="I3541" s="6" t="s">
        <v>39</v>
      </c>
      <c r="J3541" s="6" t="s">
        <v>37</v>
      </c>
      <c r="K3541">
        <v>2</v>
      </c>
      <c r="M3541" s="1" t="b">
        <f>Employee__2[[#This Row],[Experience]]&gt;1</f>
        <v>1</v>
      </c>
      <c r="N3541" s="1" t="str">
        <f>IF(Employee__2[[#This Row],[City]]="Pune","Yes","No")</f>
        <v>No</v>
      </c>
      <c r="O3541" s="1" t="str">
        <f>IF(AND(Employee__2[[#This Row],[Education]]="Bachelors",Employee__2[[#This Row],[City]]="Pune"),"Yes","No")</f>
        <v>No</v>
      </c>
      <c r="P3541" s="1" t="str">
        <f>IF(OR(Employee__2[[#This Row],[Age]]&gt;=30,Employee__2[[#This Row],[Gender]]="Male"),"Mached","Not mached")</f>
        <v>Mached</v>
      </c>
    </row>
    <row r="3542" spans="4:16" x14ac:dyDescent="0.25">
      <c r="D3542" s="6" t="s">
        <v>34</v>
      </c>
      <c r="E3542">
        <v>2014</v>
      </c>
      <c r="F3542" s="6" t="s">
        <v>40</v>
      </c>
      <c r="G3542">
        <v>3</v>
      </c>
      <c r="H3542">
        <v>33</v>
      </c>
      <c r="I3542" s="6" t="s">
        <v>36</v>
      </c>
      <c r="J3542" s="6" t="s">
        <v>37</v>
      </c>
      <c r="K3542">
        <v>3</v>
      </c>
      <c r="M3542" s="1" t="b">
        <f>Employee__2[[#This Row],[Experience]]&gt;1</f>
        <v>1</v>
      </c>
      <c r="N3542" s="1" t="str">
        <f>IF(Employee__2[[#This Row],[City]]="Pune","Yes","No")</f>
        <v>No</v>
      </c>
      <c r="O3542" s="1" t="str">
        <f>IF(AND(Employee__2[[#This Row],[Education]]="Bachelors",Employee__2[[#This Row],[City]]="Pune"),"Yes","No")</f>
        <v>No</v>
      </c>
      <c r="P3542" s="1" t="str">
        <f>IF(OR(Employee__2[[#This Row],[Age]]&gt;=30,Employee__2[[#This Row],[Gender]]="Male"),"Mached","Not mached")</f>
        <v>Mached</v>
      </c>
    </row>
    <row r="3543" spans="4:16" x14ac:dyDescent="0.25">
      <c r="D3543" s="6" t="s">
        <v>34</v>
      </c>
      <c r="E3543">
        <v>2012</v>
      </c>
      <c r="F3543" s="6" t="s">
        <v>35</v>
      </c>
      <c r="G3543">
        <v>3</v>
      </c>
      <c r="H3543">
        <v>32</v>
      </c>
      <c r="I3543" s="6" t="s">
        <v>36</v>
      </c>
      <c r="J3543" s="6" t="s">
        <v>37</v>
      </c>
      <c r="K3543">
        <v>4</v>
      </c>
      <c r="M3543" s="1" t="b">
        <f>Employee__2[[#This Row],[Experience]]&gt;1</f>
        <v>1</v>
      </c>
      <c r="N3543" s="1" t="str">
        <f>IF(Employee__2[[#This Row],[City]]="Pune","Yes","No")</f>
        <v>No</v>
      </c>
      <c r="O3543" s="1" t="str">
        <f>IF(AND(Employee__2[[#This Row],[Education]]="Bachelors",Employee__2[[#This Row],[City]]="Pune"),"Yes","No")</f>
        <v>No</v>
      </c>
      <c r="P3543" s="1" t="str">
        <f>IF(OR(Employee__2[[#This Row],[Age]]&gt;=30,Employee__2[[#This Row],[Gender]]="Male"),"Mached","Not mached")</f>
        <v>Mached</v>
      </c>
    </row>
    <row r="3544" spans="4:16" x14ac:dyDescent="0.25">
      <c r="D3544" s="6" t="s">
        <v>34</v>
      </c>
      <c r="E3544">
        <v>2018</v>
      </c>
      <c r="F3544" s="6" t="s">
        <v>35</v>
      </c>
      <c r="G3544">
        <v>3</v>
      </c>
      <c r="H3544">
        <v>41</v>
      </c>
      <c r="I3544" s="6" t="s">
        <v>36</v>
      </c>
      <c r="J3544" s="6" t="s">
        <v>37</v>
      </c>
      <c r="K3544">
        <v>5</v>
      </c>
      <c r="M3544" s="1" t="b">
        <f>Employee__2[[#This Row],[Experience]]&gt;1</f>
        <v>1</v>
      </c>
      <c r="N3544" s="1" t="str">
        <f>IF(Employee__2[[#This Row],[City]]="Pune","Yes","No")</f>
        <v>No</v>
      </c>
      <c r="O3544" s="1" t="str">
        <f>IF(AND(Employee__2[[#This Row],[Education]]="Bachelors",Employee__2[[#This Row],[City]]="Pune"),"Yes","No")</f>
        <v>No</v>
      </c>
      <c r="P3544" s="1" t="str">
        <f>IF(OR(Employee__2[[#This Row],[Age]]&gt;=30,Employee__2[[#This Row],[Gender]]="Male"),"Mached","Not mached")</f>
        <v>Mached</v>
      </c>
    </row>
    <row r="3545" spans="4:16" x14ac:dyDescent="0.25">
      <c r="D3545" s="6" t="s">
        <v>34</v>
      </c>
      <c r="E3545">
        <v>2016</v>
      </c>
      <c r="F3545" s="6" t="s">
        <v>35</v>
      </c>
      <c r="G3545">
        <v>3</v>
      </c>
      <c r="H3545">
        <v>36</v>
      </c>
      <c r="I3545" s="6" t="s">
        <v>36</v>
      </c>
      <c r="J3545" s="6" t="s">
        <v>37</v>
      </c>
      <c r="K3545">
        <v>2</v>
      </c>
      <c r="M3545" s="1" t="b">
        <f>Employee__2[[#This Row],[Experience]]&gt;1</f>
        <v>1</v>
      </c>
      <c r="N3545" s="1" t="str">
        <f>IF(Employee__2[[#This Row],[City]]="Pune","Yes","No")</f>
        <v>No</v>
      </c>
      <c r="O3545" s="1" t="str">
        <f>IF(AND(Employee__2[[#This Row],[Education]]="Bachelors",Employee__2[[#This Row],[City]]="Pune"),"Yes","No")</f>
        <v>No</v>
      </c>
      <c r="P3545" s="1" t="str">
        <f>IF(OR(Employee__2[[#This Row],[Age]]&gt;=30,Employee__2[[#This Row],[Gender]]="Male"),"Mached","Not mached")</f>
        <v>Mached</v>
      </c>
    </row>
    <row r="3546" spans="4:16" x14ac:dyDescent="0.25">
      <c r="D3546" s="6" t="s">
        <v>34</v>
      </c>
      <c r="E3546">
        <v>2016</v>
      </c>
      <c r="F3546" s="6" t="s">
        <v>35</v>
      </c>
      <c r="G3546">
        <v>3</v>
      </c>
      <c r="H3546">
        <v>31</v>
      </c>
      <c r="I3546" s="6" t="s">
        <v>36</v>
      </c>
      <c r="J3546" s="6" t="s">
        <v>37</v>
      </c>
      <c r="K3546">
        <v>0</v>
      </c>
      <c r="M3546" s="1" t="b">
        <f>Employee__2[[#This Row],[Experience]]&gt;1</f>
        <v>0</v>
      </c>
      <c r="N3546" s="1" t="str">
        <f>IF(Employee__2[[#This Row],[City]]="Pune","Yes","No")</f>
        <v>No</v>
      </c>
      <c r="O3546" s="1" t="str">
        <f>IF(AND(Employee__2[[#This Row],[Education]]="Bachelors",Employee__2[[#This Row],[City]]="Pune"),"Yes","No")</f>
        <v>No</v>
      </c>
      <c r="P3546" s="1" t="str">
        <f>IF(OR(Employee__2[[#This Row],[Age]]&gt;=30,Employee__2[[#This Row],[Gender]]="Male"),"Mached","Not mached")</f>
        <v>Mached</v>
      </c>
    </row>
    <row r="3547" spans="4:16" x14ac:dyDescent="0.25">
      <c r="D3547" s="6" t="s">
        <v>34</v>
      </c>
      <c r="E3547">
        <v>2014</v>
      </c>
      <c r="F3547" s="6" t="s">
        <v>35</v>
      </c>
      <c r="G3547">
        <v>3</v>
      </c>
      <c r="H3547">
        <v>37</v>
      </c>
      <c r="I3547" s="6" t="s">
        <v>36</v>
      </c>
      <c r="J3547" s="6" t="s">
        <v>37</v>
      </c>
      <c r="K3547">
        <v>4</v>
      </c>
      <c r="M3547" s="1" t="b">
        <f>Employee__2[[#This Row],[Experience]]&gt;1</f>
        <v>1</v>
      </c>
      <c r="N3547" s="1" t="str">
        <f>IF(Employee__2[[#This Row],[City]]="Pune","Yes","No")</f>
        <v>No</v>
      </c>
      <c r="O3547" s="1" t="str">
        <f>IF(AND(Employee__2[[#This Row],[Education]]="Bachelors",Employee__2[[#This Row],[City]]="Pune"),"Yes","No")</f>
        <v>No</v>
      </c>
      <c r="P3547" s="1" t="str">
        <f>IF(OR(Employee__2[[#This Row],[Age]]&gt;=30,Employee__2[[#This Row],[Gender]]="Male"),"Mached","Not mached")</f>
        <v>Mached</v>
      </c>
    </row>
    <row r="3548" spans="4:16" x14ac:dyDescent="0.25">
      <c r="D3548" s="6" t="s">
        <v>34</v>
      </c>
      <c r="E3548">
        <v>2014</v>
      </c>
      <c r="F3548" s="6" t="s">
        <v>35</v>
      </c>
      <c r="G3548">
        <v>3</v>
      </c>
      <c r="H3548">
        <v>33</v>
      </c>
      <c r="I3548" s="6" t="s">
        <v>36</v>
      </c>
      <c r="J3548" s="6" t="s">
        <v>37</v>
      </c>
      <c r="K3548">
        <v>5</v>
      </c>
      <c r="M3548" s="1" t="b">
        <f>Employee__2[[#This Row],[Experience]]&gt;1</f>
        <v>1</v>
      </c>
      <c r="N3548" s="1" t="str">
        <f>IF(Employee__2[[#This Row],[City]]="Pune","Yes","No")</f>
        <v>No</v>
      </c>
      <c r="O3548" s="1" t="str">
        <f>IF(AND(Employee__2[[#This Row],[Education]]="Bachelors",Employee__2[[#This Row],[City]]="Pune"),"Yes","No")</f>
        <v>No</v>
      </c>
      <c r="P3548" s="1" t="str">
        <f>IF(OR(Employee__2[[#This Row],[Age]]&gt;=30,Employee__2[[#This Row],[Gender]]="Male"),"Mached","Not mached")</f>
        <v>Mached</v>
      </c>
    </row>
    <row r="3549" spans="4:16" x14ac:dyDescent="0.25">
      <c r="D3549" s="6" t="s">
        <v>41</v>
      </c>
      <c r="E3549">
        <v>2018</v>
      </c>
      <c r="F3549" s="6" t="s">
        <v>38</v>
      </c>
      <c r="G3549">
        <v>3</v>
      </c>
      <c r="H3549">
        <v>31</v>
      </c>
      <c r="I3549" s="6" t="s">
        <v>36</v>
      </c>
      <c r="J3549" s="6" t="s">
        <v>37</v>
      </c>
      <c r="K3549">
        <v>2</v>
      </c>
      <c r="M3549" s="1" t="b">
        <f>Employee__2[[#This Row],[Experience]]&gt;1</f>
        <v>1</v>
      </c>
      <c r="N3549" s="1" t="str">
        <f>IF(Employee__2[[#This Row],[City]]="Pune","Yes","No")</f>
        <v>Yes</v>
      </c>
      <c r="O3549" s="1" t="str">
        <f>IF(AND(Employee__2[[#This Row],[Education]]="Bachelors",Employee__2[[#This Row],[City]]="Pune"),"Yes","No")</f>
        <v>No</v>
      </c>
      <c r="P3549" s="1" t="str">
        <f>IF(OR(Employee__2[[#This Row],[Age]]&gt;=30,Employee__2[[#This Row],[Gender]]="Male"),"Mached","Not mached")</f>
        <v>Mached</v>
      </c>
    </row>
    <row r="3550" spans="4:16" x14ac:dyDescent="0.25">
      <c r="D3550" s="6" t="s">
        <v>34</v>
      </c>
      <c r="E3550">
        <v>2017</v>
      </c>
      <c r="F3550" s="6" t="s">
        <v>40</v>
      </c>
      <c r="G3550">
        <v>3</v>
      </c>
      <c r="H3550">
        <v>35</v>
      </c>
      <c r="I3550" s="6" t="s">
        <v>39</v>
      </c>
      <c r="J3550" s="6" t="s">
        <v>37</v>
      </c>
      <c r="K3550">
        <v>5</v>
      </c>
      <c r="M3550" s="1" t="b">
        <f>Employee__2[[#This Row],[Experience]]&gt;1</f>
        <v>1</v>
      </c>
      <c r="N3550" s="1" t="str">
        <f>IF(Employee__2[[#This Row],[City]]="Pune","Yes","No")</f>
        <v>No</v>
      </c>
      <c r="O3550" s="1" t="str">
        <f>IF(AND(Employee__2[[#This Row],[Education]]="Bachelors",Employee__2[[#This Row],[City]]="Pune"),"Yes","No")</f>
        <v>No</v>
      </c>
      <c r="P3550" s="1" t="str">
        <f>IF(OR(Employee__2[[#This Row],[Age]]&gt;=30,Employee__2[[#This Row],[Gender]]="Male"),"Mached","Not mached")</f>
        <v>Mached</v>
      </c>
    </row>
    <row r="3551" spans="4:16" x14ac:dyDescent="0.25">
      <c r="D3551" s="6" t="s">
        <v>34</v>
      </c>
      <c r="E3551">
        <v>2015</v>
      </c>
      <c r="F3551" s="6" t="s">
        <v>38</v>
      </c>
      <c r="G3551">
        <v>1</v>
      </c>
      <c r="H3551">
        <v>32</v>
      </c>
      <c r="I3551" s="6" t="s">
        <v>39</v>
      </c>
      <c r="J3551" s="6" t="s">
        <v>37</v>
      </c>
      <c r="K3551">
        <v>5</v>
      </c>
      <c r="M3551" s="1" t="b">
        <f>Employee__2[[#This Row],[Experience]]&gt;1</f>
        <v>1</v>
      </c>
      <c r="N3551" s="1" t="str">
        <f>IF(Employee__2[[#This Row],[City]]="Pune","Yes","No")</f>
        <v>Yes</v>
      </c>
      <c r="O3551" s="1" t="str">
        <f>IF(AND(Employee__2[[#This Row],[Education]]="Bachelors",Employee__2[[#This Row],[City]]="Pune"),"Yes","No")</f>
        <v>Yes</v>
      </c>
      <c r="P3551" s="1" t="str">
        <f>IF(OR(Employee__2[[#This Row],[Age]]&gt;=30,Employee__2[[#This Row],[Gender]]="Male"),"Mached","Not mached")</f>
        <v>Mached</v>
      </c>
    </row>
    <row r="3552" spans="4:16" x14ac:dyDescent="0.25">
      <c r="D3552" s="6" t="s">
        <v>41</v>
      </c>
      <c r="E3552">
        <v>2017</v>
      </c>
      <c r="F3552" s="6" t="s">
        <v>40</v>
      </c>
      <c r="G3552">
        <v>3</v>
      </c>
      <c r="H3552">
        <v>41</v>
      </c>
      <c r="I3552" s="6" t="s">
        <v>39</v>
      </c>
      <c r="J3552" s="6" t="s">
        <v>37</v>
      </c>
      <c r="K3552">
        <v>2</v>
      </c>
      <c r="M3552" s="1" t="b">
        <f>Employee__2[[#This Row],[Experience]]&gt;1</f>
        <v>1</v>
      </c>
      <c r="N3552" s="1" t="str">
        <f>IF(Employee__2[[#This Row],[City]]="Pune","Yes","No")</f>
        <v>No</v>
      </c>
      <c r="O3552" s="1" t="str">
        <f>IF(AND(Employee__2[[#This Row],[Education]]="Bachelors",Employee__2[[#This Row],[City]]="Pune"),"Yes","No")</f>
        <v>No</v>
      </c>
      <c r="P3552" s="1" t="str">
        <f>IF(OR(Employee__2[[#This Row],[Age]]&gt;=30,Employee__2[[#This Row],[Gender]]="Male"),"Mached","Not mached")</f>
        <v>Mached</v>
      </c>
    </row>
    <row r="3553" spans="4:16" x14ac:dyDescent="0.25">
      <c r="D3553" s="6" t="s">
        <v>41</v>
      </c>
      <c r="E3553">
        <v>2017</v>
      </c>
      <c r="F3553" s="6" t="s">
        <v>40</v>
      </c>
      <c r="G3553">
        <v>2</v>
      </c>
      <c r="H3553">
        <v>36</v>
      </c>
      <c r="I3553" s="6" t="s">
        <v>39</v>
      </c>
      <c r="J3553" s="6" t="s">
        <v>37</v>
      </c>
      <c r="K3553">
        <v>1</v>
      </c>
      <c r="M3553" s="1" t="b">
        <f>Employee__2[[#This Row],[Experience]]&gt;1</f>
        <v>0</v>
      </c>
      <c r="N3553" s="1" t="str">
        <f>IF(Employee__2[[#This Row],[City]]="Pune","Yes","No")</f>
        <v>No</v>
      </c>
      <c r="O3553" s="1" t="str">
        <f>IF(AND(Employee__2[[#This Row],[Education]]="Bachelors",Employee__2[[#This Row],[City]]="Pune"),"Yes","No")</f>
        <v>No</v>
      </c>
      <c r="P3553" s="1" t="str">
        <f>IF(OR(Employee__2[[#This Row],[Age]]&gt;=30,Employee__2[[#This Row],[Gender]]="Male"),"Mached","Not mached")</f>
        <v>Mached</v>
      </c>
    </row>
    <row r="3554" spans="4:16" x14ac:dyDescent="0.25">
      <c r="D3554" s="6" t="s">
        <v>41</v>
      </c>
      <c r="E3554">
        <v>2017</v>
      </c>
      <c r="F3554" s="6" t="s">
        <v>38</v>
      </c>
      <c r="G3554">
        <v>3</v>
      </c>
      <c r="H3554">
        <v>35</v>
      </c>
      <c r="I3554" s="6" t="s">
        <v>36</v>
      </c>
      <c r="J3554" s="6" t="s">
        <v>37</v>
      </c>
      <c r="K3554">
        <v>1</v>
      </c>
      <c r="M3554" s="1" t="b">
        <f>Employee__2[[#This Row],[Experience]]&gt;1</f>
        <v>0</v>
      </c>
      <c r="N3554" s="1" t="str">
        <f>IF(Employee__2[[#This Row],[City]]="Pune","Yes","No")</f>
        <v>Yes</v>
      </c>
      <c r="O3554" s="1" t="str">
        <f>IF(AND(Employee__2[[#This Row],[Education]]="Bachelors",Employee__2[[#This Row],[City]]="Pune"),"Yes","No")</f>
        <v>No</v>
      </c>
      <c r="P3554" s="1" t="str">
        <f>IF(OR(Employee__2[[#This Row],[Age]]&gt;=30,Employee__2[[#This Row],[Gender]]="Male"),"Mached","Not mached")</f>
        <v>Mached</v>
      </c>
    </row>
    <row r="3555" spans="4:16" x14ac:dyDescent="0.25">
      <c r="D3555" s="6" t="s">
        <v>41</v>
      </c>
      <c r="E3555">
        <v>2017</v>
      </c>
      <c r="F3555" s="6" t="s">
        <v>40</v>
      </c>
      <c r="G3555">
        <v>3</v>
      </c>
      <c r="H3555">
        <v>35</v>
      </c>
      <c r="I3555" s="6" t="s">
        <v>36</v>
      </c>
      <c r="J3555" s="6" t="s">
        <v>37</v>
      </c>
      <c r="K3555">
        <v>1</v>
      </c>
      <c r="M3555" s="1" t="b">
        <f>Employee__2[[#This Row],[Experience]]&gt;1</f>
        <v>0</v>
      </c>
      <c r="N3555" s="1" t="str">
        <f>IF(Employee__2[[#This Row],[City]]="Pune","Yes","No")</f>
        <v>No</v>
      </c>
      <c r="O3555" s="1" t="str">
        <f>IF(AND(Employee__2[[#This Row],[Education]]="Bachelors",Employee__2[[#This Row],[City]]="Pune"),"Yes","No")</f>
        <v>No</v>
      </c>
      <c r="P3555" s="1" t="str">
        <f>IF(OR(Employee__2[[#This Row],[Age]]&gt;=30,Employee__2[[#This Row],[Gender]]="Male"),"Mached","Not mached")</f>
        <v>Mached</v>
      </c>
    </row>
    <row r="3556" spans="4:16" x14ac:dyDescent="0.25">
      <c r="D3556" s="6" t="s">
        <v>34</v>
      </c>
      <c r="E3556">
        <v>2015</v>
      </c>
      <c r="F3556" s="6" t="s">
        <v>40</v>
      </c>
      <c r="G3556">
        <v>3</v>
      </c>
      <c r="H3556">
        <v>33</v>
      </c>
      <c r="I3556" s="6" t="s">
        <v>36</v>
      </c>
      <c r="J3556" s="6" t="s">
        <v>37</v>
      </c>
      <c r="K3556">
        <v>1</v>
      </c>
      <c r="M3556" s="1" t="b">
        <f>Employee__2[[#This Row],[Experience]]&gt;1</f>
        <v>0</v>
      </c>
      <c r="N3556" s="1" t="str">
        <f>IF(Employee__2[[#This Row],[City]]="Pune","Yes","No")</f>
        <v>No</v>
      </c>
      <c r="O3556" s="1" t="str">
        <f>IF(AND(Employee__2[[#This Row],[Education]]="Bachelors",Employee__2[[#This Row],[City]]="Pune"),"Yes","No")</f>
        <v>No</v>
      </c>
      <c r="P3556" s="1" t="str">
        <f>IF(OR(Employee__2[[#This Row],[Age]]&gt;=30,Employee__2[[#This Row],[Gender]]="Male"),"Mached","Not mached")</f>
        <v>Mached</v>
      </c>
    </row>
    <row r="3557" spans="4:16" x14ac:dyDescent="0.25">
      <c r="D3557" s="6" t="s">
        <v>34</v>
      </c>
      <c r="E3557">
        <v>2014</v>
      </c>
      <c r="F3557" s="6" t="s">
        <v>35</v>
      </c>
      <c r="G3557">
        <v>3</v>
      </c>
      <c r="H3557">
        <v>38</v>
      </c>
      <c r="I3557" s="6" t="s">
        <v>39</v>
      </c>
      <c r="J3557" s="6" t="s">
        <v>37</v>
      </c>
      <c r="K3557">
        <v>4</v>
      </c>
      <c r="M3557" s="1" t="b">
        <f>Employee__2[[#This Row],[Experience]]&gt;1</f>
        <v>1</v>
      </c>
      <c r="N3557" s="1" t="str">
        <f>IF(Employee__2[[#This Row],[City]]="Pune","Yes","No")</f>
        <v>No</v>
      </c>
      <c r="O3557" s="1" t="str">
        <f>IF(AND(Employee__2[[#This Row],[Education]]="Bachelors",Employee__2[[#This Row],[City]]="Pune"),"Yes","No")</f>
        <v>No</v>
      </c>
      <c r="P3557" s="1" t="str">
        <f>IF(OR(Employee__2[[#This Row],[Age]]&gt;=30,Employee__2[[#This Row],[Gender]]="Male"),"Mached","Not mached")</f>
        <v>Mached</v>
      </c>
    </row>
    <row r="3558" spans="4:16" x14ac:dyDescent="0.25">
      <c r="D3558" s="6" t="s">
        <v>34</v>
      </c>
      <c r="E3558">
        <v>2015</v>
      </c>
      <c r="F3558" s="6" t="s">
        <v>40</v>
      </c>
      <c r="G3558">
        <v>2</v>
      </c>
      <c r="H3558">
        <v>33</v>
      </c>
      <c r="I3558" s="6" t="s">
        <v>39</v>
      </c>
      <c r="J3558" s="6" t="s">
        <v>37</v>
      </c>
      <c r="K3558">
        <v>3</v>
      </c>
      <c r="M3558" s="1" t="b">
        <f>Employee__2[[#This Row],[Experience]]&gt;1</f>
        <v>1</v>
      </c>
      <c r="N3558" s="1" t="str">
        <f>IF(Employee__2[[#This Row],[City]]="Pune","Yes","No")</f>
        <v>No</v>
      </c>
      <c r="O3558" s="1" t="str">
        <f>IF(AND(Employee__2[[#This Row],[Education]]="Bachelors",Employee__2[[#This Row],[City]]="Pune"),"Yes","No")</f>
        <v>No</v>
      </c>
      <c r="P3558" s="1" t="str">
        <f>IF(OR(Employee__2[[#This Row],[Age]]&gt;=30,Employee__2[[#This Row],[Gender]]="Male"),"Mached","Not mached")</f>
        <v>Mached</v>
      </c>
    </row>
    <row r="3559" spans="4:16" x14ac:dyDescent="0.25">
      <c r="D3559" s="6" t="s">
        <v>41</v>
      </c>
      <c r="E3559">
        <v>2018</v>
      </c>
      <c r="F3559" s="6" t="s">
        <v>40</v>
      </c>
      <c r="G3559">
        <v>3</v>
      </c>
      <c r="H3559">
        <v>31</v>
      </c>
      <c r="I3559" s="6" t="s">
        <v>39</v>
      </c>
      <c r="J3559" s="6" t="s">
        <v>42</v>
      </c>
      <c r="K3559">
        <v>2</v>
      </c>
      <c r="M3559" s="1" t="b">
        <f>Employee__2[[#This Row],[Experience]]&gt;1</f>
        <v>1</v>
      </c>
      <c r="N3559" s="1" t="str">
        <f>IF(Employee__2[[#This Row],[City]]="Pune","Yes","No")</f>
        <v>No</v>
      </c>
      <c r="O3559" s="1" t="str">
        <f>IF(AND(Employee__2[[#This Row],[Education]]="Bachelors",Employee__2[[#This Row],[City]]="Pune"),"Yes","No")</f>
        <v>No</v>
      </c>
      <c r="P3559" s="1" t="str">
        <f>IF(OR(Employee__2[[#This Row],[Age]]&gt;=30,Employee__2[[#This Row],[Gender]]="Male"),"Mached","Not mached")</f>
        <v>Mached</v>
      </c>
    </row>
    <row r="3560" spans="4:16" x14ac:dyDescent="0.25">
      <c r="D3560" s="6" t="s">
        <v>43</v>
      </c>
      <c r="E3560">
        <v>2015</v>
      </c>
      <c r="F3560" s="6" t="s">
        <v>35</v>
      </c>
      <c r="G3560">
        <v>3</v>
      </c>
      <c r="H3560">
        <v>31</v>
      </c>
      <c r="I3560" s="6" t="s">
        <v>36</v>
      </c>
      <c r="J3560" s="6" t="s">
        <v>37</v>
      </c>
      <c r="K3560">
        <v>3</v>
      </c>
      <c r="M3560" s="1" t="b">
        <f>Employee__2[[#This Row],[Experience]]&gt;1</f>
        <v>1</v>
      </c>
      <c r="N3560" s="1" t="str">
        <f>IF(Employee__2[[#This Row],[City]]="Pune","Yes","No")</f>
        <v>No</v>
      </c>
      <c r="O3560" s="1" t="str">
        <f>IF(AND(Employee__2[[#This Row],[Education]]="Bachelors",Employee__2[[#This Row],[City]]="Pune"),"Yes","No")</f>
        <v>No</v>
      </c>
      <c r="P3560" s="1" t="str">
        <f>IF(OR(Employee__2[[#This Row],[Age]]&gt;=30,Employee__2[[#This Row],[Gender]]="Male"),"Mached","Not mached")</f>
        <v>Mached</v>
      </c>
    </row>
    <row r="3561" spans="4:16" x14ac:dyDescent="0.25">
      <c r="D3561" s="6" t="s">
        <v>34</v>
      </c>
      <c r="E3561">
        <v>2013</v>
      </c>
      <c r="F3561" s="6" t="s">
        <v>35</v>
      </c>
      <c r="G3561">
        <v>3</v>
      </c>
      <c r="H3561">
        <v>37</v>
      </c>
      <c r="I3561" s="6" t="s">
        <v>36</v>
      </c>
      <c r="J3561" s="6" t="s">
        <v>37</v>
      </c>
      <c r="K3561">
        <v>5</v>
      </c>
      <c r="M3561" s="1" t="b">
        <f>Employee__2[[#This Row],[Experience]]&gt;1</f>
        <v>1</v>
      </c>
      <c r="N3561" s="1" t="str">
        <f>IF(Employee__2[[#This Row],[City]]="Pune","Yes","No")</f>
        <v>No</v>
      </c>
      <c r="O3561" s="1" t="str">
        <f>IF(AND(Employee__2[[#This Row],[Education]]="Bachelors",Employee__2[[#This Row],[City]]="Pune"),"Yes","No")</f>
        <v>No</v>
      </c>
      <c r="P3561" s="1" t="str">
        <f>IF(OR(Employee__2[[#This Row],[Age]]&gt;=30,Employee__2[[#This Row],[Gender]]="Male"),"Mached","Not mached")</f>
        <v>Mached</v>
      </c>
    </row>
    <row r="3562" spans="4:16" x14ac:dyDescent="0.25">
      <c r="D3562" s="6" t="s">
        <v>34</v>
      </c>
      <c r="E3562">
        <v>2014</v>
      </c>
      <c r="F3562" s="6" t="s">
        <v>35</v>
      </c>
      <c r="G3562">
        <v>3</v>
      </c>
      <c r="H3562">
        <v>32</v>
      </c>
      <c r="I3562" s="6" t="s">
        <v>36</v>
      </c>
      <c r="J3562" s="6" t="s">
        <v>37</v>
      </c>
      <c r="K3562">
        <v>1</v>
      </c>
      <c r="M3562" s="1" t="b">
        <f>Employee__2[[#This Row],[Experience]]&gt;1</f>
        <v>0</v>
      </c>
      <c r="N3562" s="1" t="str">
        <f>IF(Employee__2[[#This Row],[City]]="Pune","Yes","No")</f>
        <v>No</v>
      </c>
      <c r="O3562" s="1" t="str">
        <f>IF(AND(Employee__2[[#This Row],[Education]]="Bachelors",Employee__2[[#This Row],[City]]="Pune"),"Yes","No")</f>
        <v>No</v>
      </c>
      <c r="P3562" s="1" t="str">
        <f>IF(OR(Employee__2[[#This Row],[Age]]&gt;=30,Employee__2[[#This Row],[Gender]]="Male"),"Mached","Not mached")</f>
        <v>Mached</v>
      </c>
    </row>
    <row r="3563" spans="4:16" x14ac:dyDescent="0.25">
      <c r="D3563" s="6" t="s">
        <v>34</v>
      </c>
      <c r="E3563">
        <v>2017</v>
      </c>
      <c r="F3563" s="6" t="s">
        <v>35</v>
      </c>
      <c r="G3563">
        <v>3</v>
      </c>
      <c r="H3563">
        <v>33</v>
      </c>
      <c r="I3563" s="6" t="s">
        <v>36</v>
      </c>
      <c r="J3563" s="6" t="s">
        <v>37</v>
      </c>
      <c r="K3563">
        <v>3</v>
      </c>
      <c r="M3563" s="1" t="b">
        <f>Employee__2[[#This Row],[Experience]]&gt;1</f>
        <v>1</v>
      </c>
      <c r="N3563" s="1" t="str">
        <f>IF(Employee__2[[#This Row],[City]]="Pune","Yes","No")</f>
        <v>No</v>
      </c>
      <c r="O3563" s="1" t="str">
        <f>IF(AND(Employee__2[[#This Row],[Education]]="Bachelors",Employee__2[[#This Row],[City]]="Pune"),"Yes","No")</f>
        <v>No</v>
      </c>
      <c r="P3563" s="1" t="str">
        <f>IF(OR(Employee__2[[#This Row],[Age]]&gt;=30,Employee__2[[#This Row],[Gender]]="Male"),"Mached","Not mached")</f>
        <v>Mached</v>
      </c>
    </row>
    <row r="3564" spans="4:16" x14ac:dyDescent="0.25">
      <c r="D3564" s="6" t="s">
        <v>34</v>
      </c>
      <c r="E3564">
        <v>2014</v>
      </c>
      <c r="F3564" s="6" t="s">
        <v>35</v>
      </c>
      <c r="G3564">
        <v>3</v>
      </c>
      <c r="H3564">
        <v>37</v>
      </c>
      <c r="I3564" s="6" t="s">
        <v>36</v>
      </c>
      <c r="J3564" s="6" t="s">
        <v>37</v>
      </c>
      <c r="K3564">
        <v>5</v>
      </c>
      <c r="M3564" s="1" t="b">
        <f>Employee__2[[#This Row],[Experience]]&gt;1</f>
        <v>1</v>
      </c>
      <c r="N3564" s="1" t="str">
        <f>IF(Employee__2[[#This Row],[City]]="Pune","Yes","No")</f>
        <v>No</v>
      </c>
      <c r="O3564" s="1" t="str">
        <f>IF(AND(Employee__2[[#This Row],[Education]]="Bachelors",Employee__2[[#This Row],[City]]="Pune"),"Yes","No")</f>
        <v>No</v>
      </c>
      <c r="P3564" s="1" t="str">
        <f>IF(OR(Employee__2[[#This Row],[Age]]&gt;=30,Employee__2[[#This Row],[Gender]]="Male"),"Mached","Not mached")</f>
        <v>Mached</v>
      </c>
    </row>
    <row r="3565" spans="4:16" x14ac:dyDescent="0.25">
      <c r="D3565" s="6" t="s">
        <v>34</v>
      </c>
      <c r="E3565">
        <v>2012</v>
      </c>
      <c r="F3565" s="6" t="s">
        <v>35</v>
      </c>
      <c r="G3565">
        <v>3</v>
      </c>
      <c r="H3565">
        <v>32</v>
      </c>
      <c r="I3565" s="6" t="s">
        <v>36</v>
      </c>
      <c r="J3565" s="6" t="s">
        <v>37</v>
      </c>
      <c r="K3565">
        <v>3</v>
      </c>
      <c r="M3565" s="1" t="b">
        <f>Employee__2[[#This Row],[Experience]]&gt;1</f>
        <v>1</v>
      </c>
      <c r="N3565" s="1" t="str">
        <f>IF(Employee__2[[#This Row],[City]]="Pune","Yes","No")</f>
        <v>No</v>
      </c>
      <c r="O3565" s="1" t="str">
        <f>IF(AND(Employee__2[[#This Row],[Education]]="Bachelors",Employee__2[[#This Row],[City]]="Pune"),"Yes","No")</f>
        <v>No</v>
      </c>
      <c r="P3565" s="1" t="str">
        <f>IF(OR(Employee__2[[#This Row],[Age]]&gt;=30,Employee__2[[#This Row],[Gender]]="Male"),"Mached","Not mached")</f>
        <v>Mached</v>
      </c>
    </row>
    <row r="3566" spans="4:16" x14ac:dyDescent="0.25">
      <c r="D3566" s="6" t="s">
        <v>34</v>
      </c>
      <c r="E3566">
        <v>2015</v>
      </c>
      <c r="F3566" s="6" t="s">
        <v>38</v>
      </c>
      <c r="G3566">
        <v>3</v>
      </c>
      <c r="H3566">
        <v>40</v>
      </c>
      <c r="I3566" s="6" t="s">
        <v>39</v>
      </c>
      <c r="J3566" s="6" t="s">
        <v>42</v>
      </c>
      <c r="K3566">
        <v>2</v>
      </c>
      <c r="M3566" s="1" t="b">
        <f>Employee__2[[#This Row],[Experience]]&gt;1</f>
        <v>1</v>
      </c>
      <c r="N3566" s="1" t="str">
        <f>IF(Employee__2[[#This Row],[City]]="Pune","Yes","No")</f>
        <v>Yes</v>
      </c>
      <c r="O3566" s="1" t="str">
        <f>IF(AND(Employee__2[[#This Row],[Education]]="Bachelors",Employee__2[[#This Row],[City]]="Pune"),"Yes","No")</f>
        <v>Yes</v>
      </c>
      <c r="P3566" s="1" t="str">
        <f>IF(OR(Employee__2[[#This Row],[Age]]&gt;=30,Employee__2[[#This Row],[Gender]]="Male"),"Mached","Not mached")</f>
        <v>Mached</v>
      </c>
    </row>
    <row r="3567" spans="4:16" x14ac:dyDescent="0.25">
      <c r="D3567" s="6" t="s">
        <v>34</v>
      </c>
      <c r="E3567">
        <v>2014</v>
      </c>
      <c r="F3567" s="6" t="s">
        <v>38</v>
      </c>
      <c r="G3567">
        <v>1</v>
      </c>
      <c r="H3567">
        <v>40</v>
      </c>
      <c r="I3567" s="6" t="s">
        <v>39</v>
      </c>
      <c r="J3567" s="6" t="s">
        <v>37</v>
      </c>
      <c r="K3567">
        <v>1</v>
      </c>
      <c r="M3567" s="1" t="b">
        <f>Employee__2[[#This Row],[Experience]]&gt;1</f>
        <v>0</v>
      </c>
      <c r="N3567" s="1" t="str">
        <f>IF(Employee__2[[#This Row],[City]]="Pune","Yes","No")</f>
        <v>Yes</v>
      </c>
      <c r="O3567" s="1" t="str">
        <f>IF(AND(Employee__2[[#This Row],[Education]]="Bachelors",Employee__2[[#This Row],[City]]="Pune"),"Yes","No")</f>
        <v>Yes</v>
      </c>
      <c r="P3567" s="1" t="str">
        <f>IF(OR(Employee__2[[#This Row],[Age]]&gt;=30,Employee__2[[#This Row],[Gender]]="Male"),"Mached","Not mached")</f>
        <v>Mached</v>
      </c>
    </row>
    <row r="3568" spans="4:16" x14ac:dyDescent="0.25">
      <c r="D3568" s="6" t="s">
        <v>41</v>
      </c>
      <c r="E3568">
        <v>2013</v>
      </c>
      <c r="F3568" s="6" t="s">
        <v>40</v>
      </c>
      <c r="G3568">
        <v>2</v>
      </c>
      <c r="H3568">
        <v>32</v>
      </c>
      <c r="I3568" s="6" t="s">
        <v>36</v>
      </c>
      <c r="J3568" s="6" t="s">
        <v>37</v>
      </c>
      <c r="K3568">
        <v>2</v>
      </c>
      <c r="M3568" s="1" t="b">
        <f>Employee__2[[#This Row],[Experience]]&gt;1</f>
        <v>1</v>
      </c>
      <c r="N3568" s="1" t="str">
        <f>IF(Employee__2[[#This Row],[City]]="Pune","Yes","No")</f>
        <v>No</v>
      </c>
      <c r="O3568" s="1" t="str">
        <f>IF(AND(Employee__2[[#This Row],[Education]]="Bachelors",Employee__2[[#This Row],[City]]="Pune"),"Yes","No")</f>
        <v>No</v>
      </c>
      <c r="P3568" s="1" t="str">
        <f>IF(OR(Employee__2[[#This Row],[Age]]&gt;=30,Employee__2[[#This Row],[Gender]]="Male"),"Mached","Not mached")</f>
        <v>Mached</v>
      </c>
    </row>
    <row r="3569" spans="4:16" x14ac:dyDescent="0.25">
      <c r="D3569" s="6" t="s">
        <v>41</v>
      </c>
      <c r="E3569">
        <v>2017</v>
      </c>
      <c r="F3569" s="6" t="s">
        <v>35</v>
      </c>
      <c r="G3569">
        <v>2</v>
      </c>
      <c r="H3569">
        <v>39</v>
      </c>
      <c r="I3569" s="6" t="s">
        <v>39</v>
      </c>
      <c r="J3569" s="6" t="s">
        <v>37</v>
      </c>
      <c r="K3569">
        <v>2</v>
      </c>
      <c r="M3569" s="1" t="b">
        <f>Employee__2[[#This Row],[Experience]]&gt;1</f>
        <v>1</v>
      </c>
      <c r="N3569" s="1" t="str">
        <f>IF(Employee__2[[#This Row],[City]]="Pune","Yes","No")</f>
        <v>No</v>
      </c>
      <c r="O3569" s="1" t="str">
        <f>IF(AND(Employee__2[[#This Row],[Education]]="Bachelors",Employee__2[[#This Row],[City]]="Pune"),"Yes","No")</f>
        <v>No</v>
      </c>
      <c r="P3569" s="1" t="str">
        <f>IF(OR(Employee__2[[#This Row],[Age]]&gt;=30,Employee__2[[#This Row],[Gender]]="Male"),"Mached","Not mached")</f>
        <v>Mached</v>
      </c>
    </row>
    <row r="3570" spans="4:16" x14ac:dyDescent="0.25">
      <c r="D3570" s="6" t="s">
        <v>43</v>
      </c>
      <c r="E3570">
        <v>2016</v>
      </c>
      <c r="F3570" s="6" t="s">
        <v>40</v>
      </c>
      <c r="G3570">
        <v>3</v>
      </c>
      <c r="H3570">
        <v>41</v>
      </c>
      <c r="I3570" s="6" t="s">
        <v>36</v>
      </c>
      <c r="J3570" s="6" t="s">
        <v>37</v>
      </c>
      <c r="K3570">
        <v>1</v>
      </c>
      <c r="M3570" s="1" t="b">
        <f>Employee__2[[#This Row],[Experience]]&gt;1</f>
        <v>0</v>
      </c>
      <c r="N3570" s="1" t="str">
        <f>IF(Employee__2[[#This Row],[City]]="Pune","Yes","No")</f>
        <v>No</v>
      </c>
      <c r="O3570" s="1" t="str">
        <f>IF(AND(Employee__2[[#This Row],[Education]]="Bachelors",Employee__2[[#This Row],[City]]="Pune"),"Yes","No")</f>
        <v>No</v>
      </c>
      <c r="P3570" s="1" t="str">
        <f>IF(OR(Employee__2[[#This Row],[Age]]&gt;=30,Employee__2[[#This Row],[Gender]]="Male"),"Mached","Not mached")</f>
        <v>Mached</v>
      </c>
    </row>
    <row r="3571" spans="4:16" x14ac:dyDescent="0.25">
      <c r="D3571" s="6" t="s">
        <v>43</v>
      </c>
      <c r="E3571">
        <v>2014</v>
      </c>
      <c r="F3571" s="6" t="s">
        <v>40</v>
      </c>
      <c r="G3571">
        <v>3</v>
      </c>
      <c r="H3571">
        <v>32</v>
      </c>
      <c r="I3571" s="6" t="s">
        <v>39</v>
      </c>
      <c r="J3571" s="6" t="s">
        <v>37</v>
      </c>
      <c r="K3571">
        <v>0</v>
      </c>
      <c r="M3571" s="1" t="b">
        <f>Employee__2[[#This Row],[Experience]]&gt;1</f>
        <v>0</v>
      </c>
      <c r="N3571" s="1" t="str">
        <f>IF(Employee__2[[#This Row],[City]]="Pune","Yes","No")</f>
        <v>No</v>
      </c>
      <c r="O3571" s="1" t="str">
        <f>IF(AND(Employee__2[[#This Row],[Education]]="Bachelors",Employee__2[[#This Row],[City]]="Pune"),"Yes","No")</f>
        <v>No</v>
      </c>
      <c r="P3571" s="1" t="str">
        <f>IF(OR(Employee__2[[#This Row],[Age]]&gt;=30,Employee__2[[#This Row],[Gender]]="Male"),"Mached","Not mached")</f>
        <v>Mached</v>
      </c>
    </row>
    <row r="3572" spans="4:16" x14ac:dyDescent="0.25">
      <c r="D3572" s="6" t="s">
        <v>34</v>
      </c>
      <c r="E3572">
        <v>2017</v>
      </c>
      <c r="F3572" s="6" t="s">
        <v>35</v>
      </c>
      <c r="G3572">
        <v>3</v>
      </c>
      <c r="H3572">
        <v>38</v>
      </c>
      <c r="I3572" s="6" t="s">
        <v>36</v>
      </c>
      <c r="J3572" s="6" t="s">
        <v>37</v>
      </c>
      <c r="K3572">
        <v>0</v>
      </c>
      <c r="M3572" s="1" t="b">
        <f>Employee__2[[#This Row],[Experience]]&gt;1</f>
        <v>0</v>
      </c>
      <c r="N3572" s="1" t="str">
        <f>IF(Employee__2[[#This Row],[City]]="Pune","Yes","No")</f>
        <v>No</v>
      </c>
      <c r="O3572" s="1" t="str">
        <f>IF(AND(Employee__2[[#This Row],[Education]]="Bachelors",Employee__2[[#This Row],[City]]="Pune"),"Yes","No")</f>
        <v>No</v>
      </c>
      <c r="P3572" s="1" t="str">
        <f>IF(OR(Employee__2[[#This Row],[Age]]&gt;=30,Employee__2[[#This Row],[Gender]]="Male"),"Mached","Not mached")</f>
        <v>Mached</v>
      </c>
    </row>
    <row r="3573" spans="4:16" x14ac:dyDescent="0.25">
      <c r="D3573" s="6" t="s">
        <v>41</v>
      </c>
      <c r="E3573">
        <v>2017</v>
      </c>
      <c r="F3573" s="6" t="s">
        <v>40</v>
      </c>
      <c r="G3573">
        <v>2</v>
      </c>
      <c r="H3573">
        <v>31</v>
      </c>
      <c r="I3573" s="6" t="s">
        <v>39</v>
      </c>
      <c r="J3573" s="6" t="s">
        <v>42</v>
      </c>
      <c r="K3573">
        <v>2</v>
      </c>
      <c r="M3573" s="1" t="b">
        <f>Employee__2[[#This Row],[Experience]]&gt;1</f>
        <v>1</v>
      </c>
      <c r="N3573" s="1" t="str">
        <f>IF(Employee__2[[#This Row],[City]]="Pune","Yes","No")</f>
        <v>No</v>
      </c>
      <c r="O3573" s="1" t="str">
        <f>IF(AND(Employee__2[[#This Row],[Education]]="Bachelors",Employee__2[[#This Row],[City]]="Pune"),"Yes","No")</f>
        <v>No</v>
      </c>
      <c r="P3573" s="1" t="str">
        <f>IF(OR(Employee__2[[#This Row],[Age]]&gt;=30,Employee__2[[#This Row],[Gender]]="Male"),"Mached","Not mached")</f>
        <v>Mached</v>
      </c>
    </row>
    <row r="3574" spans="4:16" x14ac:dyDescent="0.25">
      <c r="D3574" s="6" t="s">
        <v>34</v>
      </c>
      <c r="E3574">
        <v>2018</v>
      </c>
      <c r="F3574" s="6" t="s">
        <v>35</v>
      </c>
      <c r="G3574">
        <v>3</v>
      </c>
      <c r="H3574">
        <v>38</v>
      </c>
      <c r="I3574" s="6" t="s">
        <v>36</v>
      </c>
      <c r="J3574" s="6" t="s">
        <v>42</v>
      </c>
      <c r="K3574">
        <v>3</v>
      </c>
      <c r="M3574" s="1" t="b">
        <f>Employee__2[[#This Row],[Experience]]&gt;1</f>
        <v>1</v>
      </c>
      <c r="N3574" s="1" t="str">
        <f>IF(Employee__2[[#This Row],[City]]="Pune","Yes","No")</f>
        <v>No</v>
      </c>
      <c r="O3574" s="1" t="str">
        <f>IF(AND(Employee__2[[#This Row],[Education]]="Bachelors",Employee__2[[#This Row],[City]]="Pune"),"Yes","No")</f>
        <v>No</v>
      </c>
      <c r="P3574" s="1" t="str">
        <f>IF(OR(Employee__2[[#This Row],[Age]]&gt;=30,Employee__2[[#This Row],[Gender]]="Male"),"Mached","Not mached")</f>
        <v>Mached</v>
      </c>
    </row>
    <row r="3575" spans="4:16" x14ac:dyDescent="0.25">
      <c r="D3575" s="6" t="s">
        <v>34</v>
      </c>
      <c r="E3575">
        <v>2016</v>
      </c>
      <c r="F3575" s="6" t="s">
        <v>35</v>
      </c>
      <c r="G3575">
        <v>3</v>
      </c>
      <c r="H3575">
        <v>32</v>
      </c>
      <c r="I3575" s="6" t="s">
        <v>36</v>
      </c>
      <c r="J3575" s="6" t="s">
        <v>37</v>
      </c>
      <c r="K3575">
        <v>4</v>
      </c>
      <c r="M3575" s="1" t="b">
        <f>Employee__2[[#This Row],[Experience]]&gt;1</f>
        <v>1</v>
      </c>
      <c r="N3575" s="1" t="str">
        <f>IF(Employee__2[[#This Row],[City]]="Pune","Yes","No")</f>
        <v>No</v>
      </c>
      <c r="O3575" s="1" t="str">
        <f>IF(AND(Employee__2[[#This Row],[Education]]="Bachelors",Employee__2[[#This Row],[City]]="Pune"),"Yes","No")</f>
        <v>No</v>
      </c>
      <c r="P3575" s="1" t="str">
        <f>IF(OR(Employee__2[[#This Row],[Age]]&gt;=30,Employee__2[[#This Row],[Gender]]="Male"),"Mached","Not mached")</f>
        <v>Mached</v>
      </c>
    </row>
    <row r="3576" spans="4:16" x14ac:dyDescent="0.25">
      <c r="D3576" s="6" t="s">
        <v>34</v>
      </c>
      <c r="E3576">
        <v>2017</v>
      </c>
      <c r="F3576" s="6" t="s">
        <v>38</v>
      </c>
      <c r="G3576">
        <v>2</v>
      </c>
      <c r="H3576">
        <v>35</v>
      </c>
      <c r="I3576" s="6" t="s">
        <v>39</v>
      </c>
      <c r="J3576" s="6" t="s">
        <v>37</v>
      </c>
      <c r="K3576">
        <v>5</v>
      </c>
      <c r="M3576" s="1" t="b">
        <f>Employee__2[[#This Row],[Experience]]&gt;1</f>
        <v>1</v>
      </c>
      <c r="N3576" s="1" t="str">
        <f>IF(Employee__2[[#This Row],[City]]="Pune","Yes","No")</f>
        <v>Yes</v>
      </c>
      <c r="O3576" s="1" t="str">
        <f>IF(AND(Employee__2[[#This Row],[Education]]="Bachelors",Employee__2[[#This Row],[City]]="Pune"),"Yes","No")</f>
        <v>Yes</v>
      </c>
      <c r="P3576" s="1" t="str">
        <f>IF(OR(Employee__2[[#This Row],[Age]]&gt;=30,Employee__2[[#This Row],[Gender]]="Male"),"Mached","Not mached")</f>
        <v>Mached</v>
      </c>
    </row>
    <row r="3577" spans="4:16" x14ac:dyDescent="0.25">
      <c r="D3577" s="6" t="s">
        <v>34</v>
      </c>
      <c r="E3577">
        <v>2013</v>
      </c>
      <c r="F3577" s="6" t="s">
        <v>35</v>
      </c>
      <c r="G3577">
        <v>3</v>
      </c>
      <c r="H3577">
        <v>34</v>
      </c>
      <c r="I3577" s="6" t="s">
        <v>36</v>
      </c>
      <c r="J3577" s="6" t="s">
        <v>37</v>
      </c>
      <c r="K3577">
        <v>5</v>
      </c>
      <c r="M3577" s="1" t="b">
        <f>Employee__2[[#This Row],[Experience]]&gt;1</f>
        <v>1</v>
      </c>
      <c r="N3577" s="1" t="str">
        <f>IF(Employee__2[[#This Row],[City]]="Pune","Yes","No")</f>
        <v>No</v>
      </c>
      <c r="O3577" s="1" t="str">
        <f>IF(AND(Employee__2[[#This Row],[Education]]="Bachelors",Employee__2[[#This Row],[City]]="Pune"),"Yes","No")</f>
        <v>No</v>
      </c>
      <c r="P3577" s="1" t="str">
        <f>IF(OR(Employee__2[[#This Row],[Age]]&gt;=30,Employee__2[[#This Row],[Gender]]="Male"),"Mached","Not mached")</f>
        <v>Mached</v>
      </c>
    </row>
    <row r="3578" spans="4:16" x14ac:dyDescent="0.25">
      <c r="D3578" s="6" t="s">
        <v>34</v>
      </c>
      <c r="E3578">
        <v>2018</v>
      </c>
      <c r="F3578" s="6" t="s">
        <v>35</v>
      </c>
      <c r="G3578">
        <v>3</v>
      </c>
      <c r="H3578">
        <v>38</v>
      </c>
      <c r="I3578" s="6" t="s">
        <v>36</v>
      </c>
      <c r="J3578" s="6" t="s">
        <v>42</v>
      </c>
      <c r="K3578">
        <v>1</v>
      </c>
      <c r="M3578" s="1" t="b">
        <f>Employee__2[[#This Row],[Experience]]&gt;1</f>
        <v>0</v>
      </c>
      <c r="N3578" s="1" t="str">
        <f>IF(Employee__2[[#This Row],[City]]="Pune","Yes","No")</f>
        <v>No</v>
      </c>
      <c r="O3578" s="1" t="str">
        <f>IF(AND(Employee__2[[#This Row],[Education]]="Bachelors",Employee__2[[#This Row],[City]]="Pune"),"Yes","No")</f>
        <v>No</v>
      </c>
      <c r="P3578" s="1" t="str">
        <f>IF(OR(Employee__2[[#This Row],[Age]]&gt;=30,Employee__2[[#This Row],[Gender]]="Male"),"Mached","Not mached")</f>
        <v>Mached</v>
      </c>
    </row>
    <row r="3579" spans="4:16" x14ac:dyDescent="0.25">
      <c r="D3579" s="6" t="s">
        <v>34</v>
      </c>
      <c r="E3579">
        <v>2014</v>
      </c>
      <c r="F3579" s="6" t="s">
        <v>38</v>
      </c>
      <c r="G3579">
        <v>1</v>
      </c>
      <c r="H3579">
        <v>36</v>
      </c>
      <c r="I3579" s="6" t="s">
        <v>39</v>
      </c>
      <c r="J3579" s="6" t="s">
        <v>37</v>
      </c>
      <c r="K3579">
        <v>1</v>
      </c>
      <c r="M3579" s="1" t="b">
        <f>Employee__2[[#This Row],[Experience]]&gt;1</f>
        <v>0</v>
      </c>
      <c r="N3579" s="1" t="str">
        <f>IF(Employee__2[[#This Row],[City]]="Pune","Yes","No")</f>
        <v>Yes</v>
      </c>
      <c r="O3579" s="1" t="str">
        <f>IF(AND(Employee__2[[#This Row],[Education]]="Bachelors",Employee__2[[#This Row],[City]]="Pune"),"Yes","No")</f>
        <v>Yes</v>
      </c>
      <c r="P3579" s="1" t="str">
        <f>IF(OR(Employee__2[[#This Row],[Age]]&gt;=30,Employee__2[[#This Row],[Gender]]="Male"),"Mached","Not mached")</f>
        <v>Mached</v>
      </c>
    </row>
    <row r="3580" spans="4:16" x14ac:dyDescent="0.25">
      <c r="D3580" s="6" t="s">
        <v>34</v>
      </c>
      <c r="E3580">
        <v>2015</v>
      </c>
      <c r="F3580" s="6" t="s">
        <v>35</v>
      </c>
      <c r="G3580">
        <v>3</v>
      </c>
      <c r="H3580">
        <v>34</v>
      </c>
      <c r="I3580" s="6" t="s">
        <v>39</v>
      </c>
      <c r="J3580" s="6" t="s">
        <v>42</v>
      </c>
      <c r="K3580">
        <v>2</v>
      </c>
      <c r="M3580" s="1" t="b">
        <f>Employee__2[[#This Row],[Experience]]&gt;1</f>
        <v>1</v>
      </c>
      <c r="N3580" s="1" t="str">
        <f>IF(Employee__2[[#This Row],[City]]="Pune","Yes","No")</f>
        <v>No</v>
      </c>
      <c r="O3580" s="1" t="str">
        <f>IF(AND(Employee__2[[#This Row],[Education]]="Bachelors",Employee__2[[#This Row],[City]]="Pune"),"Yes","No")</f>
        <v>No</v>
      </c>
      <c r="P3580" s="1" t="str">
        <f>IF(OR(Employee__2[[#This Row],[Age]]&gt;=30,Employee__2[[#This Row],[Gender]]="Male"),"Mached","Not mached")</f>
        <v>Mached</v>
      </c>
    </row>
    <row r="3581" spans="4:16" x14ac:dyDescent="0.25">
      <c r="D3581" s="6" t="s">
        <v>41</v>
      </c>
      <c r="E3581">
        <v>2015</v>
      </c>
      <c r="F3581" s="6" t="s">
        <v>40</v>
      </c>
      <c r="G3581">
        <v>3</v>
      </c>
      <c r="H3581">
        <v>39</v>
      </c>
      <c r="I3581" s="6" t="s">
        <v>39</v>
      </c>
      <c r="J3581" s="6" t="s">
        <v>37</v>
      </c>
      <c r="K3581">
        <v>2</v>
      </c>
      <c r="M3581" s="1" t="b">
        <f>Employee__2[[#This Row],[Experience]]&gt;1</f>
        <v>1</v>
      </c>
      <c r="N3581" s="1" t="str">
        <f>IF(Employee__2[[#This Row],[City]]="Pune","Yes","No")</f>
        <v>No</v>
      </c>
      <c r="O3581" s="1" t="str">
        <f>IF(AND(Employee__2[[#This Row],[Education]]="Bachelors",Employee__2[[#This Row],[City]]="Pune"),"Yes","No")</f>
        <v>No</v>
      </c>
      <c r="P3581" s="1" t="str">
        <f>IF(OR(Employee__2[[#This Row],[Age]]&gt;=30,Employee__2[[#This Row],[Gender]]="Male"),"Mached","Not mached")</f>
        <v>Mached</v>
      </c>
    </row>
    <row r="3582" spans="4:16" x14ac:dyDescent="0.25">
      <c r="D3582" s="6" t="s">
        <v>41</v>
      </c>
      <c r="E3582">
        <v>2017</v>
      </c>
      <c r="F3582" s="6" t="s">
        <v>40</v>
      </c>
      <c r="G3582">
        <v>1</v>
      </c>
      <c r="H3582">
        <v>40</v>
      </c>
      <c r="I3582" s="6" t="s">
        <v>39</v>
      </c>
      <c r="J3582" s="6" t="s">
        <v>37</v>
      </c>
      <c r="K3582">
        <v>0</v>
      </c>
      <c r="M3582" s="1" t="b">
        <f>Employee__2[[#This Row],[Experience]]&gt;1</f>
        <v>0</v>
      </c>
      <c r="N3582" s="1" t="str">
        <f>IF(Employee__2[[#This Row],[City]]="Pune","Yes","No")</f>
        <v>No</v>
      </c>
      <c r="O3582" s="1" t="str">
        <f>IF(AND(Employee__2[[#This Row],[Education]]="Bachelors",Employee__2[[#This Row],[City]]="Pune"),"Yes","No")</f>
        <v>No</v>
      </c>
      <c r="P3582" s="1" t="str">
        <f>IF(OR(Employee__2[[#This Row],[Age]]&gt;=30,Employee__2[[#This Row],[Gender]]="Male"),"Mached","Not mached")</f>
        <v>Mached</v>
      </c>
    </row>
    <row r="3583" spans="4:16" x14ac:dyDescent="0.25">
      <c r="D3583" s="6" t="s">
        <v>34</v>
      </c>
      <c r="E3583">
        <v>2016</v>
      </c>
      <c r="F3583" s="6" t="s">
        <v>35</v>
      </c>
      <c r="G3583">
        <v>3</v>
      </c>
      <c r="H3583">
        <v>38</v>
      </c>
      <c r="I3583" s="6" t="s">
        <v>36</v>
      </c>
      <c r="J3583" s="6" t="s">
        <v>42</v>
      </c>
      <c r="K3583">
        <v>1</v>
      </c>
      <c r="M3583" s="1" t="b">
        <f>Employee__2[[#This Row],[Experience]]&gt;1</f>
        <v>0</v>
      </c>
      <c r="N3583" s="1" t="str">
        <f>IF(Employee__2[[#This Row],[City]]="Pune","Yes","No")</f>
        <v>No</v>
      </c>
      <c r="O3583" s="1" t="str">
        <f>IF(AND(Employee__2[[#This Row],[Education]]="Bachelors",Employee__2[[#This Row],[City]]="Pune"),"Yes","No")</f>
        <v>No</v>
      </c>
      <c r="P3583" s="1" t="str">
        <f>IF(OR(Employee__2[[#This Row],[Age]]&gt;=30,Employee__2[[#This Row],[Gender]]="Male"),"Mached","Not mached")</f>
        <v>Mached</v>
      </c>
    </row>
    <row r="3584" spans="4:16" x14ac:dyDescent="0.25">
      <c r="D3584" s="6" t="s">
        <v>34</v>
      </c>
      <c r="E3584">
        <v>2015</v>
      </c>
      <c r="F3584" s="6" t="s">
        <v>38</v>
      </c>
      <c r="G3584">
        <v>3</v>
      </c>
      <c r="H3584">
        <v>35</v>
      </c>
      <c r="I3584" s="6" t="s">
        <v>36</v>
      </c>
      <c r="J3584" s="6" t="s">
        <v>37</v>
      </c>
      <c r="K3584">
        <v>3</v>
      </c>
      <c r="M3584" s="1" t="b">
        <f>Employee__2[[#This Row],[Experience]]&gt;1</f>
        <v>1</v>
      </c>
      <c r="N3584" s="1" t="str">
        <f>IF(Employee__2[[#This Row],[City]]="Pune","Yes","No")</f>
        <v>Yes</v>
      </c>
      <c r="O3584" s="1" t="str">
        <f>IF(AND(Employee__2[[#This Row],[Education]]="Bachelors",Employee__2[[#This Row],[City]]="Pune"),"Yes","No")</f>
        <v>Yes</v>
      </c>
      <c r="P3584" s="1" t="str">
        <f>IF(OR(Employee__2[[#This Row],[Age]]&gt;=30,Employee__2[[#This Row],[Gender]]="Male"),"Mached","Not mached")</f>
        <v>Mached</v>
      </c>
    </row>
    <row r="3585" spans="4:16" x14ac:dyDescent="0.25">
      <c r="D3585" s="6" t="s">
        <v>34</v>
      </c>
      <c r="E3585">
        <v>2014</v>
      </c>
      <c r="F3585" s="6" t="s">
        <v>38</v>
      </c>
      <c r="G3585">
        <v>2</v>
      </c>
      <c r="H3585">
        <v>31</v>
      </c>
      <c r="I3585" s="6" t="s">
        <v>36</v>
      </c>
      <c r="J3585" s="6" t="s">
        <v>37</v>
      </c>
      <c r="K3585">
        <v>3</v>
      </c>
      <c r="M3585" s="1" t="b">
        <f>Employee__2[[#This Row],[Experience]]&gt;1</f>
        <v>1</v>
      </c>
      <c r="N3585" s="1" t="str">
        <f>IF(Employee__2[[#This Row],[City]]="Pune","Yes","No")</f>
        <v>Yes</v>
      </c>
      <c r="O3585" s="1" t="str">
        <f>IF(AND(Employee__2[[#This Row],[Education]]="Bachelors",Employee__2[[#This Row],[City]]="Pune"),"Yes","No")</f>
        <v>Yes</v>
      </c>
      <c r="P3585" s="1" t="str">
        <f>IF(OR(Employee__2[[#This Row],[Age]]&gt;=30,Employee__2[[#This Row],[Gender]]="Male"),"Mached","Not mached")</f>
        <v>Mached</v>
      </c>
    </row>
    <row r="3586" spans="4:16" x14ac:dyDescent="0.25">
      <c r="D3586" s="6" t="s">
        <v>34</v>
      </c>
      <c r="E3586">
        <v>2017</v>
      </c>
      <c r="F3586" s="6" t="s">
        <v>38</v>
      </c>
      <c r="G3586">
        <v>3</v>
      </c>
      <c r="H3586">
        <v>41</v>
      </c>
      <c r="I3586" s="6" t="s">
        <v>36</v>
      </c>
      <c r="J3586" s="6" t="s">
        <v>37</v>
      </c>
      <c r="K3586">
        <v>2</v>
      </c>
      <c r="M3586" s="1" t="b">
        <f>Employee__2[[#This Row],[Experience]]&gt;1</f>
        <v>1</v>
      </c>
      <c r="N3586" s="1" t="str">
        <f>IF(Employee__2[[#This Row],[City]]="Pune","Yes","No")</f>
        <v>Yes</v>
      </c>
      <c r="O3586" s="1" t="str">
        <f>IF(AND(Employee__2[[#This Row],[Education]]="Bachelors",Employee__2[[#This Row],[City]]="Pune"),"Yes","No")</f>
        <v>Yes</v>
      </c>
      <c r="P3586" s="1" t="str">
        <f>IF(OR(Employee__2[[#This Row],[Age]]&gt;=30,Employee__2[[#This Row],[Gender]]="Male"),"Mached","Not mached")</f>
        <v>Mached</v>
      </c>
    </row>
    <row r="3587" spans="4:16" x14ac:dyDescent="0.25">
      <c r="D3587" s="6" t="s">
        <v>34</v>
      </c>
      <c r="E3587">
        <v>2017</v>
      </c>
      <c r="F3587" s="6" t="s">
        <v>35</v>
      </c>
      <c r="G3587">
        <v>3</v>
      </c>
      <c r="H3587">
        <v>35</v>
      </c>
      <c r="I3587" s="6" t="s">
        <v>39</v>
      </c>
      <c r="J3587" s="6" t="s">
        <v>37</v>
      </c>
      <c r="K3587">
        <v>3</v>
      </c>
      <c r="M3587" s="1" t="b">
        <f>Employee__2[[#This Row],[Experience]]&gt;1</f>
        <v>1</v>
      </c>
      <c r="N3587" s="1" t="str">
        <f>IF(Employee__2[[#This Row],[City]]="Pune","Yes","No")</f>
        <v>No</v>
      </c>
      <c r="O3587" s="1" t="str">
        <f>IF(AND(Employee__2[[#This Row],[Education]]="Bachelors",Employee__2[[#This Row],[City]]="Pune"),"Yes","No")</f>
        <v>No</v>
      </c>
      <c r="P3587" s="1" t="str">
        <f>IF(OR(Employee__2[[#This Row],[Age]]&gt;=30,Employee__2[[#This Row],[Gender]]="Male"),"Mached","Not mached")</f>
        <v>Mached</v>
      </c>
    </row>
    <row r="3588" spans="4:16" x14ac:dyDescent="0.25">
      <c r="D3588" s="6" t="s">
        <v>34</v>
      </c>
      <c r="E3588">
        <v>2018</v>
      </c>
      <c r="F3588" s="6" t="s">
        <v>35</v>
      </c>
      <c r="G3588">
        <v>3</v>
      </c>
      <c r="H3588">
        <v>33</v>
      </c>
      <c r="I3588" s="6" t="s">
        <v>36</v>
      </c>
      <c r="J3588" s="6" t="s">
        <v>37</v>
      </c>
      <c r="K3588">
        <v>5</v>
      </c>
      <c r="M3588" s="1" t="b">
        <f>Employee__2[[#This Row],[Experience]]&gt;1</f>
        <v>1</v>
      </c>
      <c r="N3588" s="1" t="str">
        <f>IF(Employee__2[[#This Row],[City]]="Pune","Yes","No")</f>
        <v>No</v>
      </c>
      <c r="O3588" s="1" t="str">
        <f>IF(AND(Employee__2[[#This Row],[Education]]="Bachelors",Employee__2[[#This Row],[City]]="Pune"),"Yes","No")</f>
        <v>No</v>
      </c>
      <c r="P3588" s="1" t="str">
        <f>IF(OR(Employee__2[[#This Row],[Age]]&gt;=30,Employee__2[[#This Row],[Gender]]="Male"),"Mached","Not mached")</f>
        <v>Mached</v>
      </c>
    </row>
    <row r="3589" spans="4:16" x14ac:dyDescent="0.25">
      <c r="D3589" s="6" t="s">
        <v>34</v>
      </c>
      <c r="E3589">
        <v>2017</v>
      </c>
      <c r="F3589" s="6" t="s">
        <v>40</v>
      </c>
      <c r="G3589">
        <v>2</v>
      </c>
      <c r="H3589">
        <v>33</v>
      </c>
      <c r="I3589" s="6" t="s">
        <v>36</v>
      </c>
      <c r="J3589" s="6" t="s">
        <v>37</v>
      </c>
      <c r="K3589">
        <v>5</v>
      </c>
      <c r="M3589" s="1" t="b">
        <f>Employee__2[[#This Row],[Experience]]&gt;1</f>
        <v>1</v>
      </c>
      <c r="N3589" s="1" t="str">
        <f>IF(Employee__2[[#This Row],[City]]="Pune","Yes","No")</f>
        <v>No</v>
      </c>
      <c r="O3589" s="1" t="str">
        <f>IF(AND(Employee__2[[#This Row],[Education]]="Bachelors",Employee__2[[#This Row],[City]]="Pune"),"Yes","No")</f>
        <v>No</v>
      </c>
      <c r="P3589" s="1" t="str">
        <f>IF(OR(Employee__2[[#This Row],[Age]]&gt;=30,Employee__2[[#This Row],[Gender]]="Male"),"Mached","Not mached")</f>
        <v>Mached</v>
      </c>
    </row>
    <row r="3590" spans="4:16" x14ac:dyDescent="0.25">
      <c r="D3590" s="6" t="s">
        <v>34</v>
      </c>
      <c r="E3590">
        <v>2016</v>
      </c>
      <c r="F3590" s="6" t="s">
        <v>40</v>
      </c>
      <c r="G3590">
        <v>3</v>
      </c>
      <c r="H3590">
        <v>31</v>
      </c>
      <c r="I3590" s="6" t="s">
        <v>39</v>
      </c>
      <c r="J3590" s="6" t="s">
        <v>42</v>
      </c>
      <c r="K3590">
        <v>4</v>
      </c>
      <c r="M3590" s="1" t="b">
        <f>Employee__2[[#This Row],[Experience]]&gt;1</f>
        <v>1</v>
      </c>
      <c r="N3590" s="1" t="str">
        <f>IF(Employee__2[[#This Row],[City]]="Pune","Yes","No")</f>
        <v>No</v>
      </c>
      <c r="O3590" s="1" t="str">
        <f>IF(AND(Employee__2[[#This Row],[Education]]="Bachelors",Employee__2[[#This Row],[City]]="Pune"),"Yes","No")</f>
        <v>No</v>
      </c>
      <c r="P3590" s="1" t="str">
        <f>IF(OR(Employee__2[[#This Row],[Age]]&gt;=30,Employee__2[[#This Row],[Gender]]="Male"),"Mached","Not mached")</f>
        <v>Mached</v>
      </c>
    </row>
    <row r="3591" spans="4:16" x14ac:dyDescent="0.25">
      <c r="D3591" s="6" t="s">
        <v>41</v>
      </c>
      <c r="E3591">
        <v>2013</v>
      </c>
      <c r="F3591" s="6" t="s">
        <v>40</v>
      </c>
      <c r="G3591">
        <v>3</v>
      </c>
      <c r="H3591">
        <v>35</v>
      </c>
      <c r="I3591" s="6" t="s">
        <v>36</v>
      </c>
      <c r="J3591" s="6" t="s">
        <v>37</v>
      </c>
      <c r="K3591">
        <v>4</v>
      </c>
      <c r="M3591" s="1" t="b">
        <f>Employee__2[[#This Row],[Experience]]&gt;1</f>
        <v>1</v>
      </c>
      <c r="N3591" s="1" t="str">
        <f>IF(Employee__2[[#This Row],[City]]="Pune","Yes","No")</f>
        <v>No</v>
      </c>
      <c r="O3591" s="1" t="str">
        <f>IF(AND(Employee__2[[#This Row],[Education]]="Bachelors",Employee__2[[#This Row],[City]]="Pune"),"Yes","No")</f>
        <v>No</v>
      </c>
      <c r="P3591" s="1" t="str">
        <f>IF(OR(Employee__2[[#This Row],[Age]]&gt;=30,Employee__2[[#This Row],[Gender]]="Male"),"Mached","Not mached")</f>
        <v>Mached</v>
      </c>
    </row>
    <row r="3592" spans="4:16" x14ac:dyDescent="0.25">
      <c r="D3592" s="6" t="s">
        <v>34</v>
      </c>
      <c r="E3592">
        <v>2016</v>
      </c>
      <c r="F3592" s="6" t="s">
        <v>35</v>
      </c>
      <c r="G3592">
        <v>3</v>
      </c>
      <c r="H3592">
        <v>37</v>
      </c>
      <c r="I3592" s="6" t="s">
        <v>39</v>
      </c>
      <c r="J3592" s="6" t="s">
        <v>37</v>
      </c>
      <c r="K3592">
        <v>1</v>
      </c>
      <c r="M3592" s="1" t="b">
        <f>Employee__2[[#This Row],[Experience]]&gt;1</f>
        <v>0</v>
      </c>
      <c r="N3592" s="1" t="str">
        <f>IF(Employee__2[[#This Row],[City]]="Pune","Yes","No")</f>
        <v>No</v>
      </c>
      <c r="O3592" s="1" t="str">
        <f>IF(AND(Employee__2[[#This Row],[Education]]="Bachelors",Employee__2[[#This Row],[City]]="Pune"),"Yes","No")</f>
        <v>No</v>
      </c>
      <c r="P3592" s="1" t="str">
        <f>IF(OR(Employee__2[[#This Row],[Age]]&gt;=30,Employee__2[[#This Row],[Gender]]="Male"),"Mached","Not mached")</f>
        <v>Mached</v>
      </c>
    </row>
    <row r="3593" spans="4:16" x14ac:dyDescent="0.25">
      <c r="D3593" s="6" t="s">
        <v>34</v>
      </c>
      <c r="E3593">
        <v>2015</v>
      </c>
      <c r="F3593" s="6" t="s">
        <v>35</v>
      </c>
      <c r="G3593">
        <v>3</v>
      </c>
      <c r="H3593">
        <v>31</v>
      </c>
      <c r="I3593" s="6" t="s">
        <v>36</v>
      </c>
      <c r="J3593" s="6" t="s">
        <v>37</v>
      </c>
      <c r="K3593">
        <v>5</v>
      </c>
      <c r="M3593" s="1" t="b">
        <f>Employee__2[[#This Row],[Experience]]&gt;1</f>
        <v>1</v>
      </c>
      <c r="N3593" s="1" t="str">
        <f>IF(Employee__2[[#This Row],[City]]="Pune","Yes","No")</f>
        <v>No</v>
      </c>
      <c r="O3593" s="1" t="str">
        <f>IF(AND(Employee__2[[#This Row],[Education]]="Bachelors",Employee__2[[#This Row],[City]]="Pune"),"Yes","No")</f>
        <v>No</v>
      </c>
      <c r="P3593" s="1" t="str">
        <f>IF(OR(Employee__2[[#This Row],[Age]]&gt;=30,Employee__2[[#This Row],[Gender]]="Male"),"Mached","Not mached")</f>
        <v>Mached</v>
      </c>
    </row>
    <row r="3594" spans="4:16" x14ac:dyDescent="0.25">
      <c r="D3594" s="6" t="s">
        <v>34</v>
      </c>
      <c r="E3594">
        <v>2012</v>
      </c>
      <c r="F3594" s="6" t="s">
        <v>35</v>
      </c>
      <c r="G3594">
        <v>3</v>
      </c>
      <c r="H3594">
        <v>35</v>
      </c>
      <c r="I3594" s="6" t="s">
        <v>36</v>
      </c>
      <c r="J3594" s="6" t="s">
        <v>37</v>
      </c>
      <c r="K3594">
        <v>1</v>
      </c>
      <c r="M3594" s="1" t="b">
        <f>Employee__2[[#This Row],[Experience]]&gt;1</f>
        <v>0</v>
      </c>
      <c r="N3594" s="1" t="str">
        <f>IF(Employee__2[[#This Row],[City]]="Pune","Yes","No")</f>
        <v>No</v>
      </c>
      <c r="O3594" s="1" t="str">
        <f>IF(AND(Employee__2[[#This Row],[Education]]="Bachelors",Employee__2[[#This Row],[City]]="Pune"),"Yes","No")</f>
        <v>No</v>
      </c>
      <c r="P3594" s="1" t="str">
        <f>IF(OR(Employee__2[[#This Row],[Age]]&gt;=30,Employee__2[[#This Row],[Gender]]="Male"),"Mached","Not mached")</f>
        <v>Mached</v>
      </c>
    </row>
    <row r="3595" spans="4:16" x14ac:dyDescent="0.25">
      <c r="D3595" s="6" t="s">
        <v>34</v>
      </c>
      <c r="E3595">
        <v>2014</v>
      </c>
      <c r="F3595" s="6" t="s">
        <v>35</v>
      </c>
      <c r="G3595">
        <v>3</v>
      </c>
      <c r="H3595">
        <v>32</v>
      </c>
      <c r="I3595" s="6" t="s">
        <v>36</v>
      </c>
      <c r="J3595" s="6" t="s">
        <v>37</v>
      </c>
      <c r="K3595">
        <v>3</v>
      </c>
      <c r="M3595" s="1" t="b">
        <f>Employee__2[[#This Row],[Experience]]&gt;1</f>
        <v>1</v>
      </c>
      <c r="N3595" s="1" t="str">
        <f>IF(Employee__2[[#This Row],[City]]="Pune","Yes","No")</f>
        <v>No</v>
      </c>
      <c r="O3595" s="1" t="str">
        <f>IF(AND(Employee__2[[#This Row],[Education]]="Bachelors",Employee__2[[#This Row],[City]]="Pune"),"Yes","No")</f>
        <v>No</v>
      </c>
      <c r="P3595" s="1" t="str">
        <f>IF(OR(Employee__2[[#This Row],[Age]]&gt;=30,Employee__2[[#This Row],[Gender]]="Male"),"Mached","Not mached")</f>
        <v>Mached</v>
      </c>
    </row>
    <row r="3596" spans="4:16" x14ac:dyDescent="0.25">
      <c r="D3596" s="6" t="s">
        <v>34</v>
      </c>
      <c r="E3596">
        <v>2015</v>
      </c>
      <c r="F3596" s="6" t="s">
        <v>35</v>
      </c>
      <c r="G3596">
        <v>3</v>
      </c>
      <c r="H3596">
        <v>32</v>
      </c>
      <c r="I3596" s="6" t="s">
        <v>39</v>
      </c>
      <c r="J3596" s="6" t="s">
        <v>37</v>
      </c>
      <c r="K3596">
        <v>0</v>
      </c>
      <c r="M3596" s="1" t="b">
        <f>Employee__2[[#This Row],[Experience]]&gt;1</f>
        <v>0</v>
      </c>
      <c r="N3596" s="1" t="str">
        <f>IF(Employee__2[[#This Row],[City]]="Pune","Yes","No")</f>
        <v>No</v>
      </c>
      <c r="O3596" s="1" t="str">
        <f>IF(AND(Employee__2[[#This Row],[Education]]="Bachelors",Employee__2[[#This Row],[City]]="Pune"),"Yes","No")</f>
        <v>No</v>
      </c>
      <c r="P3596" s="1" t="str">
        <f>IF(OR(Employee__2[[#This Row],[Age]]&gt;=30,Employee__2[[#This Row],[Gender]]="Male"),"Mached","Not mached")</f>
        <v>Mached</v>
      </c>
    </row>
    <row r="3597" spans="4:16" x14ac:dyDescent="0.25">
      <c r="D3597" s="6" t="s">
        <v>34</v>
      </c>
      <c r="E3597">
        <v>2017</v>
      </c>
      <c r="F3597" s="6" t="s">
        <v>35</v>
      </c>
      <c r="G3597">
        <v>3</v>
      </c>
      <c r="H3597">
        <v>40</v>
      </c>
      <c r="I3597" s="6" t="s">
        <v>39</v>
      </c>
      <c r="J3597" s="6" t="s">
        <v>37</v>
      </c>
      <c r="K3597">
        <v>5</v>
      </c>
      <c r="M3597" s="1" t="b">
        <f>Employee__2[[#This Row],[Experience]]&gt;1</f>
        <v>1</v>
      </c>
      <c r="N3597" s="1" t="str">
        <f>IF(Employee__2[[#This Row],[City]]="Pune","Yes","No")</f>
        <v>No</v>
      </c>
      <c r="O3597" s="1" t="str">
        <f>IF(AND(Employee__2[[#This Row],[Education]]="Bachelors",Employee__2[[#This Row],[City]]="Pune"),"Yes","No")</f>
        <v>No</v>
      </c>
      <c r="P3597" s="1" t="str">
        <f>IF(OR(Employee__2[[#This Row],[Age]]&gt;=30,Employee__2[[#This Row],[Gender]]="Male"),"Mached","Not mached")</f>
        <v>Mached</v>
      </c>
    </row>
    <row r="3598" spans="4:16" x14ac:dyDescent="0.25">
      <c r="D3598" s="6" t="s">
        <v>34</v>
      </c>
      <c r="E3598">
        <v>2012</v>
      </c>
      <c r="F3598" s="6" t="s">
        <v>35</v>
      </c>
      <c r="G3598">
        <v>3</v>
      </c>
      <c r="H3598">
        <v>34</v>
      </c>
      <c r="I3598" s="6" t="s">
        <v>36</v>
      </c>
      <c r="J3598" s="6" t="s">
        <v>37</v>
      </c>
      <c r="K3598">
        <v>5</v>
      </c>
      <c r="M3598" s="1" t="b">
        <f>Employee__2[[#This Row],[Experience]]&gt;1</f>
        <v>1</v>
      </c>
      <c r="N3598" s="1" t="str">
        <f>IF(Employee__2[[#This Row],[City]]="Pune","Yes","No")</f>
        <v>No</v>
      </c>
      <c r="O3598" s="1" t="str">
        <f>IF(AND(Employee__2[[#This Row],[Education]]="Bachelors",Employee__2[[#This Row],[City]]="Pune"),"Yes","No")</f>
        <v>No</v>
      </c>
      <c r="P3598" s="1" t="str">
        <f>IF(OR(Employee__2[[#This Row],[Age]]&gt;=30,Employee__2[[#This Row],[Gender]]="Male"),"Mached","Not mached")</f>
        <v>Mached</v>
      </c>
    </row>
    <row r="3599" spans="4:16" x14ac:dyDescent="0.25">
      <c r="D3599" s="6" t="s">
        <v>34</v>
      </c>
      <c r="E3599">
        <v>2014</v>
      </c>
      <c r="F3599" s="6" t="s">
        <v>38</v>
      </c>
      <c r="G3599">
        <v>3</v>
      </c>
      <c r="H3599">
        <v>37</v>
      </c>
      <c r="I3599" s="6" t="s">
        <v>36</v>
      </c>
      <c r="J3599" s="6" t="s">
        <v>37</v>
      </c>
      <c r="K3599">
        <v>4</v>
      </c>
      <c r="M3599" s="1" t="b">
        <f>Employee__2[[#This Row],[Experience]]&gt;1</f>
        <v>1</v>
      </c>
      <c r="N3599" s="1" t="str">
        <f>IF(Employee__2[[#This Row],[City]]="Pune","Yes","No")</f>
        <v>Yes</v>
      </c>
      <c r="O3599" s="1" t="str">
        <f>IF(AND(Employee__2[[#This Row],[Education]]="Bachelors",Employee__2[[#This Row],[City]]="Pune"),"Yes","No")</f>
        <v>Yes</v>
      </c>
      <c r="P3599" s="1" t="str">
        <f>IF(OR(Employee__2[[#This Row],[Age]]&gt;=30,Employee__2[[#This Row],[Gender]]="Male"),"Mached","Not mached")</f>
        <v>Mached</v>
      </c>
    </row>
    <row r="3600" spans="4:16" x14ac:dyDescent="0.25">
      <c r="D3600" s="6" t="s">
        <v>43</v>
      </c>
      <c r="E3600">
        <v>2015</v>
      </c>
      <c r="F3600" s="6" t="s">
        <v>35</v>
      </c>
      <c r="G3600">
        <v>3</v>
      </c>
      <c r="H3600">
        <v>40</v>
      </c>
      <c r="I3600" s="6" t="s">
        <v>36</v>
      </c>
      <c r="J3600" s="6" t="s">
        <v>37</v>
      </c>
      <c r="K3600">
        <v>3</v>
      </c>
      <c r="M3600" s="1" t="b">
        <f>Employee__2[[#This Row],[Experience]]&gt;1</f>
        <v>1</v>
      </c>
      <c r="N3600" s="1" t="str">
        <f>IF(Employee__2[[#This Row],[City]]="Pune","Yes","No")</f>
        <v>No</v>
      </c>
      <c r="O3600" s="1" t="str">
        <f>IF(AND(Employee__2[[#This Row],[Education]]="Bachelors",Employee__2[[#This Row],[City]]="Pune"),"Yes","No")</f>
        <v>No</v>
      </c>
      <c r="P3600" s="1" t="str">
        <f>IF(OR(Employee__2[[#This Row],[Age]]&gt;=30,Employee__2[[#This Row],[Gender]]="Male"),"Mached","Not mached")</f>
        <v>Mached</v>
      </c>
    </row>
    <row r="3601" spans="4:16" x14ac:dyDescent="0.25">
      <c r="D3601" s="6" t="s">
        <v>41</v>
      </c>
      <c r="E3601">
        <v>2017</v>
      </c>
      <c r="F3601" s="6" t="s">
        <v>40</v>
      </c>
      <c r="G3601">
        <v>2</v>
      </c>
      <c r="H3601">
        <v>34</v>
      </c>
      <c r="I3601" s="6" t="s">
        <v>39</v>
      </c>
      <c r="J3601" s="6" t="s">
        <v>37</v>
      </c>
      <c r="K3601">
        <v>2</v>
      </c>
      <c r="M3601" s="1" t="b">
        <f>Employee__2[[#This Row],[Experience]]&gt;1</f>
        <v>1</v>
      </c>
      <c r="N3601" s="1" t="str">
        <f>IF(Employee__2[[#This Row],[City]]="Pune","Yes","No")</f>
        <v>No</v>
      </c>
      <c r="O3601" s="1" t="str">
        <f>IF(AND(Employee__2[[#This Row],[Education]]="Bachelors",Employee__2[[#This Row],[City]]="Pune"),"Yes","No")</f>
        <v>No</v>
      </c>
      <c r="P3601" s="1" t="str">
        <f>IF(OR(Employee__2[[#This Row],[Age]]&gt;=30,Employee__2[[#This Row],[Gender]]="Male"),"Mached","Not mached")</f>
        <v>Mached</v>
      </c>
    </row>
    <row r="3602" spans="4:16" x14ac:dyDescent="0.25">
      <c r="D3602" s="6" t="s">
        <v>34</v>
      </c>
      <c r="E3602">
        <v>2015</v>
      </c>
      <c r="F3602" s="6" t="s">
        <v>38</v>
      </c>
      <c r="G3602">
        <v>2</v>
      </c>
      <c r="H3602">
        <v>32</v>
      </c>
      <c r="I3602" s="6" t="s">
        <v>39</v>
      </c>
      <c r="J3602" s="6" t="s">
        <v>37</v>
      </c>
      <c r="K3602">
        <v>3</v>
      </c>
      <c r="M3602" s="1" t="b">
        <f>Employee__2[[#This Row],[Experience]]&gt;1</f>
        <v>1</v>
      </c>
      <c r="N3602" s="1" t="str">
        <f>IF(Employee__2[[#This Row],[City]]="Pune","Yes","No")</f>
        <v>Yes</v>
      </c>
      <c r="O3602" s="1" t="str">
        <f>IF(AND(Employee__2[[#This Row],[Education]]="Bachelors",Employee__2[[#This Row],[City]]="Pune"),"Yes","No")</f>
        <v>Yes</v>
      </c>
      <c r="P3602" s="1" t="str">
        <f>IF(OR(Employee__2[[#This Row],[Age]]&gt;=30,Employee__2[[#This Row],[Gender]]="Male"),"Mached","Not mached")</f>
        <v>Mached</v>
      </c>
    </row>
    <row r="3603" spans="4:16" x14ac:dyDescent="0.25">
      <c r="D3603" s="6" t="s">
        <v>34</v>
      </c>
      <c r="E3603">
        <v>2013</v>
      </c>
      <c r="F3603" s="6" t="s">
        <v>35</v>
      </c>
      <c r="G3603">
        <v>3</v>
      </c>
      <c r="H3603">
        <v>33</v>
      </c>
      <c r="I3603" s="6" t="s">
        <v>36</v>
      </c>
      <c r="J3603" s="6" t="s">
        <v>37</v>
      </c>
      <c r="K3603">
        <v>1</v>
      </c>
      <c r="M3603" s="1" t="b">
        <f>Employee__2[[#This Row],[Experience]]&gt;1</f>
        <v>0</v>
      </c>
      <c r="N3603" s="1" t="str">
        <f>IF(Employee__2[[#This Row],[City]]="Pune","Yes","No")</f>
        <v>No</v>
      </c>
      <c r="O3603" s="1" t="str">
        <f>IF(AND(Employee__2[[#This Row],[Education]]="Bachelors",Employee__2[[#This Row],[City]]="Pune"),"Yes","No")</f>
        <v>No</v>
      </c>
      <c r="P3603" s="1" t="str">
        <f>IF(OR(Employee__2[[#This Row],[Age]]&gt;=30,Employee__2[[#This Row],[Gender]]="Male"),"Mached","Not mached")</f>
        <v>Mached</v>
      </c>
    </row>
    <row r="3604" spans="4:16" x14ac:dyDescent="0.25">
      <c r="D3604" s="6" t="s">
        <v>34</v>
      </c>
      <c r="E3604">
        <v>2015</v>
      </c>
      <c r="F3604" s="6" t="s">
        <v>35</v>
      </c>
      <c r="G3604">
        <v>3</v>
      </c>
      <c r="H3604">
        <v>38</v>
      </c>
      <c r="I3604" s="6" t="s">
        <v>36</v>
      </c>
      <c r="J3604" s="6" t="s">
        <v>37</v>
      </c>
      <c r="K3604">
        <v>3</v>
      </c>
      <c r="M3604" s="1" t="b">
        <f>Employee__2[[#This Row],[Experience]]&gt;1</f>
        <v>1</v>
      </c>
      <c r="N3604" s="1" t="str">
        <f>IF(Employee__2[[#This Row],[City]]="Pune","Yes","No")</f>
        <v>No</v>
      </c>
      <c r="O3604" s="1" t="str">
        <f>IF(AND(Employee__2[[#This Row],[Education]]="Bachelors",Employee__2[[#This Row],[City]]="Pune"),"Yes","No")</f>
        <v>No</v>
      </c>
      <c r="P3604" s="1" t="str">
        <f>IF(OR(Employee__2[[#This Row],[Age]]&gt;=30,Employee__2[[#This Row],[Gender]]="Male"),"Mached","Not mached")</f>
        <v>Mached</v>
      </c>
    </row>
    <row r="3605" spans="4:16" x14ac:dyDescent="0.25">
      <c r="D3605" s="6" t="s">
        <v>41</v>
      </c>
      <c r="E3605">
        <v>2017</v>
      </c>
      <c r="F3605" s="6" t="s">
        <v>40</v>
      </c>
      <c r="G3605">
        <v>2</v>
      </c>
      <c r="H3605">
        <v>41</v>
      </c>
      <c r="I3605" s="6" t="s">
        <v>36</v>
      </c>
      <c r="J3605" s="6" t="s">
        <v>37</v>
      </c>
      <c r="K3605">
        <v>3</v>
      </c>
      <c r="M3605" s="1" t="b">
        <f>Employee__2[[#This Row],[Experience]]&gt;1</f>
        <v>1</v>
      </c>
      <c r="N3605" s="1" t="str">
        <f>IF(Employee__2[[#This Row],[City]]="Pune","Yes","No")</f>
        <v>No</v>
      </c>
      <c r="O3605" s="1" t="str">
        <f>IF(AND(Employee__2[[#This Row],[Education]]="Bachelors",Employee__2[[#This Row],[City]]="Pune"),"Yes","No")</f>
        <v>No</v>
      </c>
      <c r="P3605" s="1" t="str">
        <f>IF(OR(Employee__2[[#This Row],[Age]]&gt;=30,Employee__2[[#This Row],[Gender]]="Male"),"Mached","Not mached")</f>
        <v>Mached</v>
      </c>
    </row>
    <row r="3606" spans="4:16" x14ac:dyDescent="0.25">
      <c r="D3606" s="6" t="s">
        <v>41</v>
      </c>
      <c r="E3606">
        <v>2017</v>
      </c>
      <c r="F3606" s="6" t="s">
        <v>40</v>
      </c>
      <c r="G3606">
        <v>1</v>
      </c>
      <c r="H3606">
        <v>36</v>
      </c>
      <c r="I3606" s="6" t="s">
        <v>39</v>
      </c>
      <c r="J3606" s="6" t="s">
        <v>37</v>
      </c>
      <c r="K3606">
        <v>0</v>
      </c>
      <c r="M3606" s="1" t="b">
        <f>Employee__2[[#This Row],[Experience]]&gt;1</f>
        <v>0</v>
      </c>
      <c r="N3606" s="1" t="str">
        <f>IF(Employee__2[[#This Row],[City]]="Pune","Yes","No")</f>
        <v>No</v>
      </c>
      <c r="O3606" s="1" t="str">
        <f>IF(AND(Employee__2[[#This Row],[Education]]="Bachelors",Employee__2[[#This Row],[City]]="Pune"),"Yes","No")</f>
        <v>No</v>
      </c>
      <c r="P3606" s="1" t="str">
        <f>IF(OR(Employee__2[[#This Row],[Age]]&gt;=30,Employee__2[[#This Row],[Gender]]="Male"),"Mached","Not mached")</f>
        <v>Mached</v>
      </c>
    </row>
    <row r="3607" spans="4:16" x14ac:dyDescent="0.25">
      <c r="D3607" s="6" t="s">
        <v>34</v>
      </c>
      <c r="E3607">
        <v>2016</v>
      </c>
      <c r="F3607" s="6" t="s">
        <v>35</v>
      </c>
      <c r="G3607">
        <v>3</v>
      </c>
      <c r="H3607">
        <v>33</v>
      </c>
      <c r="I3607" s="6" t="s">
        <v>36</v>
      </c>
      <c r="J3607" s="6" t="s">
        <v>37</v>
      </c>
      <c r="K3607">
        <v>1</v>
      </c>
      <c r="M3607" s="1" t="b">
        <f>Employee__2[[#This Row],[Experience]]&gt;1</f>
        <v>0</v>
      </c>
      <c r="N3607" s="1" t="str">
        <f>IF(Employee__2[[#This Row],[City]]="Pune","Yes","No")</f>
        <v>No</v>
      </c>
      <c r="O3607" s="1" t="str">
        <f>IF(AND(Employee__2[[#This Row],[Education]]="Bachelors",Employee__2[[#This Row],[City]]="Pune"),"Yes","No")</f>
        <v>No</v>
      </c>
      <c r="P3607" s="1" t="str">
        <f>IF(OR(Employee__2[[#This Row],[Age]]&gt;=30,Employee__2[[#This Row],[Gender]]="Male"),"Mached","Not mached")</f>
        <v>Mached</v>
      </c>
    </row>
    <row r="3608" spans="4:16" x14ac:dyDescent="0.25">
      <c r="D3608" s="6" t="s">
        <v>34</v>
      </c>
      <c r="E3608">
        <v>2014</v>
      </c>
      <c r="F3608" s="6" t="s">
        <v>38</v>
      </c>
      <c r="G3608">
        <v>3</v>
      </c>
      <c r="H3608">
        <v>31</v>
      </c>
      <c r="I3608" s="6" t="s">
        <v>36</v>
      </c>
      <c r="J3608" s="6" t="s">
        <v>37</v>
      </c>
      <c r="K3608">
        <v>5</v>
      </c>
      <c r="M3608" s="1" t="b">
        <f>Employee__2[[#This Row],[Experience]]&gt;1</f>
        <v>1</v>
      </c>
      <c r="N3608" s="1" t="str">
        <f>IF(Employee__2[[#This Row],[City]]="Pune","Yes","No")</f>
        <v>Yes</v>
      </c>
      <c r="O3608" s="1" t="str">
        <f>IF(AND(Employee__2[[#This Row],[Education]]="Bachelors",Employee__2[[#This Row],[City]]="Pune"),"Yes","No")</f>
        <v>Yes</v>
      </c>
      <c r="P3608" s="1" t="str">
        <f>IF(OR(Employee__2[[#This Row],[Age]]&gt;=30,Employee__2[[#This Row],[Gender]]="Male"),"Mached","Not mached")</f>
        <v>Mached</v>
      </c>
    </row>
    <row r="3609" spans="4:16" x14ac:dyDescent="0.25">
      <c r="D3609" s="6" t="s">
        <v>34</v>
      </c>
      <c r="E3609">
        <v>2013</v>
      </c>
      <c r="F3609" s="6" t="s">
        <v>38</v>
      </c>
      <c r="G3609">
        <v>2</v>
      </c>
      <c r="H3609">
        <v>34</v>
      </c>
      <c r="I3609" s="6" t="s">
        <v>39</v>
      </c>
      <c r="J3609" s="6" t="s">
        <v>37</v>
      </c>
      <c r="K3609">
        <v>3</v>
      </c>
      <c r="M3609" s="1" t="b">
        <f>Employee__2[[#This Row],[Experience]]&gt;1</f>
        <v>1</v>
      </c>
      <c r="N3609" s="1" t="str">
        <f>IF(Employee__2[[#This Row],[City]]="Pune","Yes","No")</f>
        <v>Yes</v>
      </c>
      <c r="O3609" s="1" t="str">
        <f>IF(AND(Employee__2[[#This Row],[Education]]="Bachelors",Employee__2[[#This Row],[City]]="Pune"),"Yes","No")</f>
        <v>Yes</v>
      </c>
      <c r="P3609" s="1" t="str">
        <f>IF(OR(Employee__2[[#This Row],[Age]]&gt;=30,Employee__2[[#This Row],[Gender]]="Male"),"Mached","Not mached")</f>
        <v>Mached</v>
      </c>
    </row>
    <row r="3610" spans="4:16" x14ac:dyDescent="0.25">
      <c r="D3610" s="6" t="s">
        <v>34</v>
      </c>
      <c r="E3610">
        <v>2017</v>
      </c>
      <c r="F3610" s="6" t="s">
        <v>35</v>
      </c>
      <c r="G3610">
        <v>3</v>
      </c>
      <c r="H3610">
        <v>31</v>
      </c>
      <c r="I3610" s="6" t="s">
        <v>36</v>
      </c>
      <c r="J3610" s="6" t="s">
        <v>37</v>
      </c>
      <c r="K3610">
        <v>1</v>
      </c>
      <c r="M3610" s="1" t="b">
        <f>Employee__2[[#This Row],[Experience]]&gt;1</f>
        <v>0</v>
      </c>
      <c r="N3610" s="1" t="str">
        <f>IF(Employee__2[[#This Row],[City]]="Pune","Yes","No")</f>
        <v>No</v>
      </c>
      <c r="O3610" s="1" t="str">
        <f>IF(AND(Employee__2[[#This Row],[Education]]="Bachelors",Employee__2[[#This Row],[City]]="Pune"),"Yes","No")</f>
        <v>No</v>
      </c>
      <c r="P3610" s="1" t="str">
        <f>IF(OR(Employee__2[[#This Row],[Age]]&gt;=30,Employee__2[[#This Row],[Gender]]="Male"),"Mached","Not mached")</f>
        <v>Mached</v>
      </c>
    </row>
    <row r="3611" spans="4:16" x14ac:dyDescent="0.25">
      <c r="D3611" s="6" t="s">
        <v>34</v>
      </c>
      <c r="E3611">
        <v>2016</v>
      </c>
      <c r="F3611" s="6" t="s">
        <v>40</v>
      </c>
      <c r="G3611">
        <v>2</v>
      </c>
      <c r="H3611">
        <v>36</v>
      </c>
      <c r="I3611" s="6" t="s">
        <v>39</v>
      </c>
      <c r="J3611" s="6" t="s">
        <v>37</v>
      </c>
      <c r="K3611">
        <v>4</v>
      </c>
      <c r="M3611" s="1" t="b">
        <f>Employee__2[[#This Row],[Experience]]&gt;1</f>
        <v>1</v>
      </c>
      <c r="N3611" s="1" t="str">
        <f>IF(Employee__2[[#This Row],[City]]="Pune","Yes","No")</f>
        <v>No</v>
      </c>
      <c r="O3611" s="1" t="str">
        <f>IF(AND(Employee__2[[#This Row],[Education]]="Bachelors",Employee__2[[#This Row],[City]]="Pune"),"Yes","No")</f>
        <v>No</v>
      </c>
      <c r="P3611" s="1" t="str">
        <f>IF(OR(Employee__2[[#This Row],[Age]]&gt;=30,Employee__2[[#This Row],[Gender]]="Male"),"Mached","Not mached")</f>
        <v>Mached</v>
      </c>
    </row>
    <row r="3612" spans="4:16" x14ac:dyDescent="0.25">
      <c r="D3612" s="6" t="s">
        <v>34</v>
      </c>
      <c r="E3612">
        <v>2013</v>
      </c>
      <c r="F3612" s="6" t="s">
        <v>35</v>
      </c>
      <c r="G3612">
        <v>3</v>
      </c>
      <c r="H3612">
        <v>38</v>
      </c>
      <c r="I3612" s="6" t="s">
        <v>36</v>
      </c>
      <c r="J3612" s="6" t="s">
        <v>37</v>
      </c>
      <c r="K3612">
        <v>5</v>
      </c>
      <c r="M3612" s="1" t="b">
        <f>Employee__2[[#This Row],[Experience]]&gt;1</f>
        <v>1</v>
      </c>
      <c r="N3612" s="1" t="str">
        <f>IF(Employee__2[[#This Row],[City]]="Pune","Yes","No")</f>
        <v>No</v>
      </c>
      <c r="O3612" s="1" t="str">
        <f>IF(AND(Employee__2[[#This Row],[Education]]="Bachelors",Employee__2[[#This Row],[City]]="Pune"),"Yes","No")</f>
        <v>No</v>
      </c>
      <c r="P3612" s="1" t="str">
        <f>IF(OR(Employee__2[[#This Row],[Age]]&gt;=30,Employee__2[[#This Row],[Gender]]="Male"),"Mached","Not mached")</f>
        <v>Mached</v>
      </c>
    </row>
    <row r="3613" spans="4:16" x14ac:dyDescent="0.25">
      <c r="D3613" s="6" t="s">
        <v>34</v>
      </c>
      <c r="E3613">
        <v>2015</v>
      </c>
      <c r="F3613" s="6" t="s">
        <v>38</v>
      </c>
      <c r="G3613">
        <v>2</v>
      </c>
      <c r="H3613">
        <v>39</v>
      </c>
      <c r="I3613" s="6" t="s">
        <v>39</v>
      </c>
      <c r="J3613" s="6" t="s">
        <v>42</v>
      </c>
      <c r="K3613">
        <v>1</v>
      </c>
      <c r="M3613" s="1" t="b">
        <f>Employee__2[[#This Row],[Experience]]&gt;1</f>
        <v>0</v>
      </c>
      <c r="N3613" s="1" t="str">
        <f>IF(Employee__2[[#This Row],[City]]="Pune","Yes","No")</f>
        <v>Yes</v>
      </c>
      <c r="O3613" s="1" t="str">
        <f>IF(AND(Employee__2[[#This Row],[Education]]="Bachelors",Employee__2[[#This Row],[City]]="Pune"),"Yes","No")</f>
        <v>Yes</v>
      </c>
      <c r="P3613" s="1" t="str">
        <f>IF(OR(Employee__2[[#This Row],[Age]]&gt;=30,Employee__2[[#This Row],[Gender]]="Male"),"Mached","Not mached")</f>
        <v>Mached</v>
      </c>
    </row>
    <row r="3614" spans="4:16" x14ac:dyDescent="0.25">
      <c r="D3614" s="6" t="s">
        <v>34</v>
      </c>
      <c r="E3614">
        <v>2014</v>
      </c>
      <c r="F3614" s="6" t="s">
        <v>38</v>
      </c>
      <c r="G3614">
        <v>3</v>
      </c>
      <c r="H3614">
        <v>31</v>
      </c>
      <c r="I3614" s="6" t="s">
        <v>36</v>
      </c>
      <c r="J3614" s="6" t="s">
        <v>37</v>
      </c>
      <c r="K3614">
        <v>3</v>
      </c>
      <c r="M3614" s="1" t="b">
        <f>Employee__2[[#This Row],[Experience]]&gt;1</f>
        <v>1</v>
      </c>
      <c r="N3614" s="1" t="str">
        <f>IF(Employee__2[[#This Row],[City]]="Pune","Yes","No")</f>
        <v>Yes</v>
      </c>
      <c r="O3614" s="1" t="str">
        <f>IF(AND(Employee__2[[#This Row],[Education]]="Bachelors",Employee__2[[#This Row],[City]]="Pune"),"Yes","No")</f>
        <v>Yes</v>
      </c>
      <c r="P3614" s="1" t="str">
        <f>IF(OR(Employee__2[[#This Row],[Age]]&gt;=30,Employee__2[[#This Row],[Gender]]="Male"),"Mached","Not mached")</f>
        <v>Mached</v>
      </c>
    </row>
    <row r="3615" spans="4:16" x14ac:dyDescent="0.25">
      <c r="D3615" s="6" t="s">
        <v>34</v>
      </c>
      <c r="E3615">
        <v>2015</v>
      </c>
      <c r="F3615" s="6" t="s">
        <v>40</v>
      </c>
      <c r="G3615">
        <v>3</v>
      </c>
      <c r="H3615">
        <v>40</v>
      </c>
      <c r="I3615" s="6" t="s">
        <v>36</v>
      </c>
      <c r="J3615" s="6" t="s">
        <v>37</v>
      </c>
      <c r="K3615">
        <v>3</v>
      </c>
      <c r="M3615" s="1" t="b">
        <f>Employee__2[[#This Row],[Experience]]&gt;1</f>
        <v>1</v>
      </c>
      <c r="N3615" s="1" t="str">
        <f>IF(Employee__2[[#This Row],[City]]="Pune","Yes","No")</f>
        <v>No</v>
      </c>
      <c r="O3615" s="1" t="str">
        <f>IF(AND(Employee__2[[#This Row],[Education]]="Bachelors",Employee__2[[#This Row],[City]]="Pune"),"Yes","No")</f>
        <v>No</v>
      </c>
      <c r="P3615" s="1" t="str">
        <f>IF(OR(Employee__2[[#This Row],[Age]]&gt;=30,Employee__2[[#This Row],[Gender]]="Male"),"Mached","Not mached")</f>
        <v>Mached</v>
      </c>
    </row>
    <row r="3616" spans="4:16" x14ac:dyDescent="0.25">
      <c r="D3616" s="6" t="s">
        <v>34</v>
      </c>
      <c r="E3616">
        <v>2013</v>
      </c>
      <c r="F3616" s="6" t="s">
        <v>35</v>
      </c>
      <c r="G3616">
        <v>3</v>
      </c>
      <c r="H3616">
        <v>39</v>
      </c>
      <c r="I3616" s="6" t="s">
        <v>36</v>
      </c>
      <c r="J3616" s="6" t="s">
        <v>37</v>
      </c>
      <c r="K3616">
        <v>0</v>
      </c>
      <c r="M3616" s="1" t="b">
        <f>Employee__2[[#This Row],[Experience]]&gt;1</f>
        <v>0</v>
      </c>
      <c r="N3616" s="1" t="str">
        <f>IF(Employee__2[[#This Row],[City]]="Pune","Yes","No")</f>
        <v>No</v>
      </c>
      <c r="O3616" s="1" t="str">
        <f>IF(AND(Employee__2[[#This Row],[Education]]="Bachelors",Employee__2[[#This Row],[City]]="Pune"),"Yes","No")</f>
        <v>No</v>
      </c>
      <c r="P3616" s="1" t="str">
        <f>IF(OR(Employee__2[[#This Row],[Age]]&gt;=30,Employee__2[[#This Row],[Gender]]="Male"),"Mached","Not mached")</f>
        <v>Mached</v>
      </c>
    </row>
    <row r="3617" spans="4:16" x14ac:dyDescent="0.25">
      <c r="D3617" s="6" t="s">
        <v>34</v>
      </c>
      <c r="E3617">
        <v>2015</v>
      </c>
      <c r="F3617" s="6" t="s">
        <v>35</v>
      </c>
      <c r="G3617">
        <v>3</v>
      </c>
      <c r="H3617">
        <v>32</v>
      </c>
      <c r="I3617" s="6" t="s">
        <v>39</v>
      </c>
      <c r="J3617" s="6" t="s">
        <v>37</v>
      </c>
      <c r="K3617">
        <v>4</v>
      </c>
      <c r="M3617" s="1" t="b">
        <f>Employee__2[[#This Row],[Experience]]&gt;1</f>
        <v>1</v>
      </c>
      <c r="N3617" s="1" t="str">
        <f>IF(Employee__2[[#This Row],[City]]="Pune","Yes","No")</f>
        <v>No</v>
      </c>
      <c r="O3617" s="1" t="str">
        <f>IF(AND(Employee__2[[#This Row],[Education]]="Bachelors",Employee__2[[#This Row],[City]]="Pune"),"Yes","No")</f>
        <v>No</v>
      </c>
      <c r="P3617" s="1" t="str">
        <f>IF(OR(Employee__2[[#This Row],[Age]]&gt;=30,Employee__2[[#This Row],[Gender]]="Male"),"Mached","Not mached")</f>
        <v>Mached</v>
      </c>
    </row>
    <row r="3618" spans="4:16" x14ac:dyDescent="0.25">
      <c r="D3618" s="6" t="s">
        <v>34</v>
      </c>
      <c r="E3618">
        <v>2014</v>
      </c>
      <c r="F3618" s="6" t="s">
        <v>35</v>
      </c>
      <c r="G3618">
        <v>3</v>
      </c>
      <c r="H3618">
        <v>34</v>
      </c>
      <c r="I3618" s="6" t="s">
        <v>36</v>
      </c>
      <c r="J3618" s="6" t="s">
        <v>37</v>
      </c>
      <c r="K3618">
        <v>1</v>
      </c>
      <c r="M3618" s="1" t="b">
        <f>Employee__2[[#This Row],[Experience]]&gt;1</f>
        <v>0</v>
      </c>
      <c r="N3618" s="1" t="str">
        <f>IF(Employee__2[[#This Row],[City]]="Pune","Yes","No")</f>
        <v>No</v>
      </c>
      <c r="O3618" s="1" t="str">
        <f>IF(AND(Employee__2[[#This Row],[Education]]="Bachelors",Employee__2[[#This Row],[City]]="Pune"),"Yes","No")</f>
        <v>No</v>
      </c>
      <c r="P3618" s="1" t="str">
        <f>IF(OR(Employee__2[[#This Row],[Age]]&gt;=30,Employee__2[[#This Row],[Gender]]="Male"),"Mached","Not mached")</f>
        <v>Mached</v>
      </c>
    </row>
    <row r="3619" spans="4:16" x14ac:dyDescent="0.25">
      <c r="D3619" s="6" t="s">
        <v>41</v>
      </c>
      <c r="E3619">
        <v>2015</v>
      </c>
      <c r="F3619" s="6" t="s">
        <v>40</v>
      </c>
      <c r="G3619">
        <v>3</v>
      </c>
      <c r="H3619">
        <v>38</v>
      </c>
      <c r="I3619" s="6" t="s">
        <v>36</v>
      </c>
      <c r="J3619" s="6" t="s">
        <v>37</v>
      </c>
      <c r="K3619">
        <v>1</v>
      </c>
      <c r="M3619" s="1" t="b">
        <f>Employee__2[[#This Row],[Experience]]&gt;1</f>
        <v>0</v>
      </c>
      <c r="N3619" s="1" t="str">
        <f>IF(Employee__2[[#This Row],[City]]="Pune","Yes","No")</f>
        <v>No</v>
      </c>
      <c r="O3619" s="1" t="str">
        <f>IF(AND(Employee__2[[#This Row],[Education]]="Bachelors",Employee__2[[#This Row],[City]]="Pune"),"Yes","No")</f>
        <v>No</v>
      </c>
      <c r="P3619" s="1" t="str">
        <f>IF(OR(Employee__2[[#This Row],[Age]]&gt;=30,Employee__2[[#This Row],[Gender]]="Male"),"Mached","Not mached")</f>
        <v>Mached</v>
      </c>
    </row>
    <row r="3620" spans="4:16" x14ac:dyDescent="0.25">
      <c r="D3620" s="6" t="s">
        <v>34</v>
      </c>
      <c r="E3620">
        <v>2014</v>
      </c>
      <c r="F3620" s="6" t="s">
        <v>35</v>
      </c>
      <c r="G3620">
        <v>1</v>
      </c>
      <c r="H3620">
        <v>39</v>
      </c>
      <c r="I3620" s="6" t="s">
        <v>36</v>
      </c>
      <c r="J3620" s="6" t="s">
        <v>37</v>
      </c>
      <c r="K3620">
        <v>2</v>
      </c>
      <c r="M3620" s="1" t="b">
        <f>Employee__2[[#This Row],[Experience]]&gt;1</f>
        <v>1</v>
      </c>
      <c r="N3620" s="1" t="str">
        <f>IF(Employee__2[[#This Row],[City]]="Pune","Yes","No")</f>
        <v>No</v>
      </c>
      <c r="O3620" s="1" t="str">
        <f>IF(AND(Employee__2[[#This Row],[Education]]="Bachelors",Employee__2[[#This Row],[City]]="Pune"),"Yes","No")</f>
        <v>No</v>
      </c>
      <c r="P3620" s="1" t="str">
        <f>IF(OR(Employee__2[[#This Row],[Age]]&gt;=30,Employee__2[[#This Row],[Gender]]="Male"),"Mached","Not mached")</f>
        <v>Mached</v>
      </c>
    </row>
    <row r="3621" spans="4:16" x14ac:dyDescent="0.25">
      <c r="D3621" s="6" t="s">
        <v>34</v>
      </c>
      <c r="E3621">
        <v>2014</v>
      </c>
      <c r="F3621" s="6" t="s">
        <v>35</v>
      </c>
      <c r="G3621">
        <v>3</v>
      </c>
      <c r="H3621">
        <v>39</v>
      </c>
      <c r="I3621" s="6" t="s">
        <v>36</v>
      </c>
      <c r="J3621" s="6" t="s">
        <v>37</v>
      </c>
      <c r="K3621">
        <v>5</v>
      </c>
      <c r="M3621" s="1" t="b">
        <f>Employee__2[[#This Row],[Experience]]&gt;1</f>
        <v>1</v>
      </c>
      <c r="N3621" s="1" t="str">
        <f>IF(Employee__2[[#This Row],[City]]="Pune","Yes","No")</f>
        <v>No</v>
      </c>
      <c r="O3621" s="1" t="str">
        <f>IF(AND(Employee__2[[#This Row],[Education]]="Bachelors",Employee__2[[#This Row],[City]]="Pune"),"Yes","No")</f>
        <v>No</v>
      </c>
      <c r="P3621" s="1" t="str">
        <f>IF(OR(Employee__2[[#This Row],[Age]]&gt;=30,Employee__2[[#This Row],[Gender]]="Male"),"Mached","Not mached")</f>
        <v>Mached</v>
      </c>
    </row>
    <row r="3622" spans="4:16" x14ac:dyDescent="0.25">
      <c r="D3622" s="6" t="s">
        <v>34</v>
      </c>
      <c r="E3622">
        <v>2016</v>
      </c>
      <c r="F3622" s="6" t="s">
        <v>35</v>
      </c>
      <c r="G3622">
        <v>3</v>
      </c>
      <c r="H3622">
        <v>33</v>
      </c>
      <c r="I3622" s="6" t="s">
        <v>36</v>
      </c>
      <c r="J3622" s="6" t="s">
        <v>37</v>
      </c>
      <c r="K3622">
        <v>1</v>
      </c>
      <c r="M3622" s="1" t="b">
        <f>Employee__2[[#This Row],[Experience]]&gt;1</f>
        <v>0</v>
      </c>
      <c r="N3622" s="1" t="str">
        <f>IF(Employee__2[[#This Row],[City]]="Pune","Yes","No")</f>
        <v>No</v>
      </c>
      <c r="O3622" s="1" t="str">
        <f>IF(AND(Employee__2[[#This Row],[Education]]="Bachelors",Employee__2[[#This Row],[City]]="Pune"),"Yes","No")</f>
        <v>No</v>
      </c>
      <c r="P3622" s="1" t="str">
        <f>IF(OR(Employee__2[[#This Row],[Age]]&gt;=30,Employee__2[[#This Row],[Gender]]="Male"),"Mached","Not mached")</f>
        <v>Mached</v>
      </c>
    </row>
    <row r="3623" spans="4:16" x14ac:dyDescent="0.25">
      <c r="D3623" s="6" t="s">
        <v>34</v>
      </c>
      <c r="E3623">
        <v>2018</v>
      </c>
      <c r="F3623" s="6" t="s">
        <v>38</v>
      </c>
      <c r="G3623">
        <v>2</v>
      </c>
      <c r="H3623">
        <v>34</v>
      </c>
      <c r="I3623" s="6" t="s">
        <v>39</v>
      </c>
      <c r="J3623" s="6" t="s">
        <v>37</v>
      </c>
      <c r="K3623">
        <v>4</v>
      </c>
      <c r="M3623" s="1" t="b">
        <f>Employee__2[[#This Row],[Experience]]&gt;1</f>
        <v>1</v>
      </c>
      <c r="N3623" s="1" t="str">
        <f>IF(Employee__2[[#This Row],[City]]="Pune","Yes","No")</f>
        <v>Yes</v>
      </c>
      <c r="O3623" s="1" t="str">
        <f>IF(AND(Employee__2[[#This Row],[Education]]="Bachelors",Employee__2[[#This Row],[City]]="Pune"),"Yes","No")</f>
        <v>Yes</v>
      </c>
      <c r="P3623" s="1" t="str">
        <f>IF(OR(Employee__2[[#This Row],[Age]]&gt;=30,Employee__2[[#This Row],[Gender]]="Male"),"Mached","Not mached")</f>
        <v>Mached</v>
      </c>
    </row>
    <row r="3624" spans="4:16" x14ac:dyDescent="0.25">
      <c r="D3624" s="6" t="s">
        <v>34</v>
      </c>
      <c r="E3624">
        <v>2017</v>
      </c>
      <c r="F3624" s="6" t="s">
        <v>38</v>
      </c>
      <c r="G3624">
        <v>3</v>
      </c>
      <c r="H3624">
        <v>38</v>
      </c>
      <c r="I3624" s="6" t="s">
        <v>36</v>
      </c>
      <c r="J3624" s="6" t="s">
        <v>42</v>
      </c>
      <c r="K3624">
        <v>1</v>
      </c>
      <c r="M3624" s="1" t="b">
        <f>Employee__2[[#This Row],[Experience]]&gt;1</f>
        <v>0</v>
      </c>
      <c r="N3624" s="1" t="str">
        <f>IF(Employee__2[[#This Row],[City]]="Pune","Yes","No")</f>
        <v>Yes</v>
      </c>
      <c r="O3624" s="1" t="str">
        <f>IF(AND(Employee__2[[#This Row],[Education]]="Bachelors",Employee__2[[#This Row],[City]]="Pune"),"Yes","No")</f>
        <v>Yes</v>
      </c>
      <c r="P3624" s="1" t="str">
        <f>IF(OR(Employee__2[[#This Row],[Age]]&gt;=30,Employee__2[[#This Row],[Gender]]="Male"),"Mached","Not mached")</f>
        <v>Mached</v>
      </c>
    </row>
    <row r="3625" spans="4:16" x14ac:dyDescent="0.25">
      <c r="D3625" s="6" t="s">
        <v>41</v>
      </c>
      <c r="E3625">
        <v>2017</v>
      </c>
      <c r="F3625" s="6" t="s">
        <v>40</v>
      </c>
      <c r="G3625">
        <v>2</v>
      </c>
      <c r="H3625">
        <v>33</v>
      </c>
      <c r="I3625" s="6" t="s">
        <v>36</v>
      </c>
      <c r="J3625" s="6" t="s">
        <v>37</v>
      </c>
      <c r="K3625">
        <v>2</v>
      </c>
      <c r="M3625" s="1" t="b">
        <f>Employee__2[[#This Row],[Experience]]&gt;1</f>
        <v>1</v>
      </c>
      <c r="N3625" s="1" t="str">
        <f>IF(Employee__2[[#This Row],[City]]="Pune","Yes","No")</f>
        <v>No</v>
      </c>
      <c r="O3625" s="1" t="str">
        <f>IF(AND(Employee__2[[#This Row],[Education]]="Bachelors",Employee__2[[#This Row],[City]]="Pune"),"Yes","No")</f>
        <v>No</v>
      </c>
      <c r="P3625" s="1" t="str">
        <f>IF(OR(Employee__2[[#This Row],[Age]]&gt;=30,Employee__2[[#This Row],[Gender]]="Male"),"Mached","Not mached")</f>
        <v>Mached</v>
      </c>
    </row>
    <row r="3626" spans="4:16" x14ac:dyDescent="0.25">
      <c r="D3626" s="6" t="s">
        <v>34</v>
      </c>
      <c r="E3626">
        <v>2014</v>
      </c>
      <c r="F3626" s="6" t="s">
        <v>35</v>
      </c>
      <c r="G3626">
        <v>3</v>
      </c>
      <c r="H3626">
        <v>41</v>
      </c>
      <c r="I3626" s="6" t="s">
        <v>36</v>
      </c>
      <c r="J3626" s="6" t="s">
        <v>37</v>
      </c>
      <c r="K3626">
        <v>5</v>
      </c>
      <c r="M3626" s="1" t="b">
        <f>Employee__2[[#This Row],[Experience]]&gt;1</f>
        <v>1</v>
      </c>
      <c r="N3626" s="1" t="str">
        <f>IF(Employee__2[[#This Row],[City]]="Pune","Yes","No")</f>
        <v>No</v>
      </c>
      <c r="O3626" s="1" t="str">
        <f>IF(AND(Employee__2[[#This Row],[Education]]="Bachelors",Employee__2[[#This Row],[City]]="Pune"),"Yes","No")</f>
        <v>No</v>
      </c>
      <c r="P3626" s="1" t="str">
        <f>IF(OR(Employee__2[[#This Row],[Age]]&gt;=30,Employee__2[[#This Row],[Gender]]="Male"),"Mached","Not mached")</f>
        <v>Mached</v>
      </c>
    </row>
    <row r="3627" spans="4:16" x14ac:dyDescent="0.25">
      <c r="D3627" s="6" t="s">
        <v>41</v>
      </c>
      <c r="E3627">
        <v>2017</v>
      </c>
      <c r="F3627" s="6" t="s">
        <v>38</v>
      </c>
      <c r="G3627">
        <v>1</v>
      </c>
      <c r="H3627">
        <v>39</v>
      </c>
      <c r="I3627" s="6" t="s">
        <v>36</v>
      </c>
      <c r="J3627" s="6" t="s">
        <v>37</v>
      </c>
      <c r="K3627">
        <v>0</v>
      </c>
      <c r="M3627" s="1" t="b">
        <f>Employee__2[[#This Row],[Experience]]&gt;1</f>
        <v>0</v>
      </c>
      <c r="N3627" s="1" t="str">
        <f>IF(Employee__2[[#This Row],[City]]="Pune","Yes","No")</f>
        <v>Yes</v>
      </c>
      <c r="O3627" s="1" t="str">
        <f>IF(AND(Employee__2[[#This Row],[Education]]="Bachelors",Employee__2[[#This Row],[City]]="Pune"),"Yes","No")</f>
        <v>No</v>
      </c>
      <c r="P3627" s="1" t="str">
        <f>IF(OR(Employee__2[[#This Row],[Age]]&gt;=30,Employee__2[[#This Row],[Gender]]="Male"),"Mached","Not mached")</f>
        <v>Mached</v>
      </c>
    </row>
    <row r="3628" spans="4:16" x14ac:dyDescent="0.25">
      <c r="D3628" s="6" t="s">
        <v>41</v>
      </c>
      <c r="E3628">
        <v>2013</v>
      </c>
      <c r="F3628" s="6" t="s">
        <v>38</v>
      </c>
      <c r="G3628">
        <v>3</v>
      </c>
      <c r="H3628">
        <v>39</v>
      </c>
      <c r="I3628" s="6" t="s">
        <v>36</v>
      </c>
      <c r="J3628" s="6" t="s">
        <v>37</v>
      </c>
      <c r="K3628">
        <v>2</v>
      </c>
      <c r="M3628" s="1" t="b">
        <f>Employee__2[[#This Row],[Experience]]&gt;1</f>
        <v>1</v>
      </c>
      <c r="N3628" s="1" t="str">
        <f>IF(Employee__2[[#This Row],[City]]="Pune","Yes","No")</f>
        <v>Yes</v>
      </c>
      <c r="O3628" s="1" t="str">
        <f>IF(AND(Employee__2[[#This Row],[Education]]="Bachelors",Employee__2[[#This Row],[City]]="Pune"),"Yes","No")</f>
        <v>No</v>
      </c>
      <c r="P3628" s="1" t="str">
        <f>IF(OR(Employee__2[[#This Row],[Age]]&gt;=30,Employee__2[[#This Row],[Gender]]="Male"),"Mached","Not mached")</f>
        <v>Mached</v>
      </c>
    </row>
    <row r="3629" spans="4:16" x14ac:dyDescent="0.25">
      <c r="D3629" s="6" t="s">
        <v>34</v>
      </c>
      <c r="E3629">
        <v>2014</v>
      </c>
      <c r="F3629" s="6" t="s">
        <v>35</v>
      </c>
      <c r="G3629">
        <v>3</v>
      </c>
      <c r="H3629">
        <v>41</v>
      </c>
      <c r="I3629" s="6" t="s">
        <v>36</v>
      </c>
      <c r="J3629" s="6" t="s">
        <v>37</v>
      </c>
      <c r="K3629">
        <v>5</v>
      </c>
      <c r="M3629" s="1" t="b">
        <f>Employee__2[[#This Row],[Experience]]&gt;1</f>
        <v>1</v>
      </c>
      <c r="N3629" s="1" t="str">
        <f>IF(Employee__2[[#This Row],[City]]="Pune","Yes","No")</f>
        <v>No</v>
      </c>
      <c r="O3629" s="1" t="str">
        <f>IF(AND(Employee__2[[#This Row],[Education]]="Bachelors",Employee__2[[#This Row],[City]]="Pune"),"Yes","No")</f>
        <v>No</v>
      </c>
      <c r="P3629" s="1" t="str">
        <f>IF(OR(Employee__2[[#This Row],[Age]]&gt;=30,Employee__2[[#This Row],[Gender]]="Male"),"Mached","Not mached")</f>
        <v>Mached</v>
      </c>
    </row>
    <row r="3630" spans="4:16" x14ac:dyDescent="0.25">
      <c r="D3630" s="6" t="s">
        <v>34</v>
      </c>
      <c r="E3630">
        <v>2012</v>
      </c>
      <c r="F3630" s="6" t="s">
        <v>35</v>
      </c>
      <c r="G3630">
        <v>3</v>
      </c>
      <c r="H3630">
        <v>40</v>
      </c>
      <c r="I3630" s="6" t="s">
        <v>36</v>
      </c>
      <c r="J3630" s="6" t="s">
        <v>37</v>
      </c>
      <c r="K3630">
        <v>4</v>
      </c>
      <c r="M3630" s="1" t="b">
        <f>Employee__2[[#This Row],[Experience]]&gt;1</f>
        <v>1</v>
      </c>
      <c r="N3630" s="1" t="str">
        <f>IF(Employee__2[[#This Row],[City]]="Pune","Yes","No")</f>
        <v>No</v>
      </c>
      <c r="O3630" s="1" t="str">
        <f>IF(AND(Employee__2[[#This Row],[Education]]="Bachelors",Employee__2[[#This Row],[City]]="Pune"),"Yes","No")</f>
        <v>No</v>
      </c>
      <c r="P3630" s="1" t="str">
        <f>IF(OR(Employee__2[[#This Row],[Age]]&gt;=30,Employee__2[[#This Row],[Gender]]="Male"),"Mached","Not mached")</f>
        <v>Mached</v>
      </c>
    </row>
    <row r="3631" spans="4:16" x14ac:dyDescent="0.25">
      <c r="D3631" s="6" t="s">
        <v>34</v>
      </c>
      <c r="E3631">
        <v>2014</v>
      </c>
      <c r="F3631" s="6" t="s">
        <v>35</v>
      </c>
      <c r="G3631">
        <v>3</v>
      </c>
      <c r="H3631">
        <v>36</v>
      </c>
      <c r="I3631" s="6" t="s">
        <v>36</v>
      </c>
      <c r="J3631" s="6" t="s">
        <v>37</v>
      </c>
      <c r="K3631">
        <v>0</v>
      </c>
      <c r="M3631" s="1" t="b">
        <f>Employee__2[[#This Row],[Experience]]&gt;1</f>
        <v>0</v>
      </c>
      <c r="N3631" s="1" t="str">
        <f>IF(Employee__2[[#This Row],[City]]="Pune","Yes","No")</f>
        <v>No</v>
      </c>
      <c r="O3631" s="1" t="str">
        <f>IF(AND(Employee__2[[#This Row],[Education]]="Bachelors",Employee__2[[#This Row],[City]]="Pune"),"Yes","No")</f>
        <v>No</v>
      </c>
      <c r="P3631" s="1" t="str">
        <f>IF(OR(Employee__2[[#This Row],[Age]]&gt;=30,Employee__2[[#This Row],[Gender]]="Male"),"Mached","Not mached")</f>
        <v>Mached</v>
      </c>
    </row>
    <row r="3632" spans="4:16" x14ac:dyDescent="0.25">
      <c r="D3632" s="6" t="s">
        <v>34</v>
      </c>
      <c r="E3632">
        <v>2015</v>
      </c>
      <c r="F3632" s="6" t="s">
        <v>35</v>
      </c>
      <c r="G3632">
        <v>3</v>
      </c>
      <c r="H3632">
        <v>34</v>
      </c>
      <c r="I3632" s="6" t="s">
        <v>36</v>
      </c>
      <c r="J3632" s="6" t="s">
        <v>37</v>
      </c>
      <c r="K3632">
        <v>0</v>
      </c>
      <c r="M3632" s="1" t="b">
        <f>Employee__2[[#This Row],[Experience]]&gt;1</f>
        <v>0</v>
      </c>
      <c r="N3632" s="1" t="str">
        <f>IF(Employee__2[[#This Row],[City]]="Pune","Yes","No")</f>
        <v>No</v>
      </c>
      <c r="O3632" s="1" t="str">
        <f>IF(AND(Employee__2[[#This Row],[Education]]="Bachelors",Employee__2[[#This Row],[City]]="Pune"),"Yes","No")</f>
        <v>No</v>
      </c>
      <c r="P3632" s="1" t="str">
        <f>IF(OR(Employee__2[[#This Row],[Age]]&gt;=30,Employee__2[[#This Row],[Gender]]="Male"),"Mached","Not mached")</f>
        <v>Mached</v>
      </c>
    </row>
    <row r="3633" spans="4:16" x14ac:dyDescent="0.25">
      <c r="D3633" s="6" t="s">
        <v>34</v>
      </c>
      <c r="E3633">
        <v>2013</v>
      </c>
      <c r="F3633" s="6" t="s">
        <v>35</v>
      </c>
      <c r="G3633">
        <v>3</v>
      </c>
      <c r="H3633">
        <v>32</v>
      </c>
      <c r="I3633" s="6" t="s">
        <v>36</v>
      </c>
      <c r="J3633" s="6" t="s">
        <v>37</v>
      </c>
      <c r="K3633">
        <v>5</v>
      </c>
      <c r="M3633" s="1" t="b">
        <f>Employee__2[[#This Row],[Experience]]&gt;1</f>
        <v>1</v>
      </c>
      <c r="N3633" s="1" t="str">
        <f>IF(Employee__2[[#This Row],[City]]="Pune","Yes","No")</f>
        <v>No</v>
      </c>
      <c r="O3633" s="1" t="str">
        <f>IF(AND(Employee__2[[#This Row],[Education]]="Bachelors",Employee__2[[#This Row],[City]]="Pune"),"Yes","No")</f>
        <v>No</v>
      </c>
      <c r="P3633" s="1" t="str">
        <f>IF(OR(Employee__2[[#This Row],[Age]]&gt;=30,Employee__2[[#This Row],[Gender]]="Male"),"Mached","Not mached")</f>
        <v>Mached</v>
      </c>
    </row>
    <row r="3634" spans="4:16" x14ac:dyDescent="0.25">
      <c r="D3634" s="6" t="s">
        <v>34</v>
      </c>
      <c r="E3634">
        <v>2015</v>
      </c>
      <c r="F3634" s="6" t="s">
        <v>35</v>
      </c>
      <c r="G3634">
        <v>3</v>
      </c>
      <c r="H3634">
        <v>31</v>
      </c>
      <c r="I3634" s="6" t="s">
        <v>36</v>
      </c>
      <c r="J3634" s="6" t="s">
        <v>37</v>
      </c>
      <c r="K3634">
        <v>4</v>
      </c>
      <c r="M3634" s="1" t="b">
        <f>Employee__2[[#This Row],[Experience]]&gt;1</f>
        <v>1</v>
      </c>
      <c r="N3634" s="1" t="str">
        <f>IF(Employee__2[[#This Row],[City]]="Pune","Yes","No")</f>
        <v>No</v>
      </c>
      <c r="O3634" s="1" t="str">
        <f>IF(AND(Employee__2[[#This Row],[Education]]="Bachelors",Employee__2[[#This Row],[City]]="Pune"),"Yes","No")</f>
        <v>No</v>
      </c>
      <c r="P3634" s="1" t="str">
        <f>IF(OR(Employee__2[[#This Row],[Age]]&gt;=30,Employee__2[[#This Row],[Gender]]="Male"),"Mached","Not mached")</f>
        <v>Mached</v>
      </c>
    </row>
    <row r="3635" spans="4:16" x14ac:dyDescent="0.25">
      <c r="D3635" s="6" t="s">
        <v>34</v>
      </c>
      <c r="E3635">
        <v>2012</v>
      </c>
      <c r="F3635" s="6" t="s">
        <v>35</v>
      </c>
      <c r="G3635">
        <v>3</v>
      </c>
      <c r="H3635">
        <v>36</v>
      </c>
      <c r="I3635" s="6" t="s">
        <v>36</v>
      </c>
      <c r="J3635" s="6" t="s">
        <v>42</v>
      </c>
      <c r="K3635">
        <v>0</v>
      </c>
      <c r="M3635" s="1" t="b">
        <f>Employee__2[[#This Row],[Experience]]&gt;1</f>
        <v>0</v>
      </c>
      <c r="N3635" s="1" t="str">
        <f>IF(Employee__2[[#This Row],[City]]="Pune","Yes","No")</f>
        <v>No</v>
      </c>
      <c r="O3635" s="1" t="str">
        <f>IF(AND(Employee__2[[#This Row],[Education]]="Bachelors",Employee__2[[#This Row],[City]]="Pune"),"Yes","No")</f>
        <v>No</v>
      </c>
      <c r="P3635" s="1" t="str">
        <f>IF(OR(Employee__2[[#This Row],[Age]]&gt;=30,Employee__2[[#This Row],[Gender]]="Male"),"Mached","Not mached")</f>
        <v>Mached</v>
      </c>
    </row>
    <row r="3636" spans="4:16" x14ac:dyDescent="0.25">
      <c r="D3636" s="6" t="s">
        <v>41</v>
      </c>
      <c r="E3636">
        <v>2017</v>
      </c>
      <c r="F3636" s="6" t="s">
        <v>38</v>
      </c>
      <c r="G3636">
        <v>2</v>
      </c>
      <c r="H3636">
        <v>35</v>
      </c>
      <c r="I3636" s="6" t="s">
        <v>36</v>
      </c>
      <c r="J3636" s="6" t="s">
        <v>37</v>
      </c>
      <c r="K3636">
        <v>1</v>
      </c>
      <c r="M3636" s="1" t="b">
        <f>Employee__2[[#This Row],[Experience]]&gt;1</f>
        <v>0</v>
      </c>
      <c r="N3636" s="1" t="str">
        <f>IF(Employee__2[[#This Row],[City]]="Pune","Yes","No")</f>
        <v>Yes</v>
      </c>
      <c r="O3636" s="1" t="str">
        <f>IF(AND(Employee__2[[#This Row],[Education]]="Bachelors",Employee__2[[#This Row],[City]]="Pune"),"Yes","No")</f>
        <v>No</v>
      </c>
      <c r="P3636" s="1" t="str">
        <f>IF(OR(Employee__2[[#This Row],[Age]]&gt;=30,Employee__2[[#This Row],[Gender]]="Male"),"Mached","Not mached")</f>
        <v>Mached</v>
      </c>
    </row>
    <row r="3637" spans="4:16" x14ac:dyDescent="0.25">
      <c r="D3637" s="6" t="s">
        <v>34</v>
      </c>
      <c r="E3637">
        <v>2017</v>
      </c>
      <c r="F3637" s="6" t="s">
        <v>35</v>
      </c>
      <c r="G3637">
        <v>3</v>
      </c>
      <c r="H3637">
        <v>32</v>
      </c>
      <c r="I3637" s="6" t="s">
        <v>36</v>
      </c>
      <c r="J3637" s="6" t="s">
        <v>37</v>
      </c>
      <c r="K3637">
        <v>2</v>
      </c>
      <c r="M3637" s="1" t="b">
        <f>Employee__2[[#This Row],[Experience]]&gt;1</f>
        <v>1</v>
      </c>
      <c r="N3637" s="1" t="str">
        <f>IF(Employee__2[[#This Row],[City]]="Pune","Yes","No")</f>
        <v>No</v>
      </c>
      <c r="O3637" s="1" t="str">
        <f>IF(AND(Employee__2[[#This Row],[Education]]="Bachelors",Employee__2[[#This Row],[City]]="Pune"),"Yes","No")</f>
        <v>No</v>
      </c>
      <c r="P3637" s="1" t="str">
        <f>IF(OR(Employee__2[[#This Row],[Age]]&gt;=30,Employee__2[[#This Row],[Gender]]="Male"),"Mached","Not mached")</f>
        <v>Mached</v>
      </c>
    </row>
    <row r="3638" spans="4:16" x14ac:dyDescent="0.25">
      <c r="D3638" s="6" t="s">
        <v>34</v>
      </c>
      <c r="E3638">
        <v>2017</v>
      </c>
      <c r="F3638" s="6" t="s">
        <v>38</v>
      </c>
      <c r="G3638">
        <v>3</v>
      </c>
      <c r="H3638">
        <v>33</v>
      </c>
      <c r="I3638" s="6" t="s">
        <v>36</v>
      </c>
      <c r="J3638" s="6" t="s">
        <v>42</v>
      </c>
      <c r="K3638">
        <v>5</v>
      </c>
      <c r="M3638" s="1" t="b">
        <f>Employee__2[[#This Row],[Experience]]&gt;1</f>
        <v>1</v>
      </c>
      <c r="N3638" s="1" t="str">
        <f>IF(Employee__2[[#This Row],[City]]="Pune","Yes","No")</f>
        <v>Yes</v>
      </c>
      <c r="O3638" s="1" t="str">
        <f>IF(AND(Employee__2[[#This Row],[Education]]="Bachelors",Employee__2[[#This Row],[City]]="Pune"),"Yes","No")</f>
        <v>Yes</v>
      </c>
      <c r="P3638" s="1" t="str">
        <f>IF(OR(Employee__2[[#This Row],[Age]]&gt;=30,Employee__2[[#This Row],[Gender]]="Male"),"Mached","Not mached")</f>
        <v>Mached</v>
      </c>
    </row>
    <row r="3639" spans="4:16" x14ac:dyDescent="0.25">
      <c r="D3639" s="6" t="s">
        <v>34</v>
      </c>
      <c r="E3639">
        <v>2016</v>
      </c>
      <c r="F3639" s="6" t="s">
        <v>35</v>
      </c>
      <c r="G3639">
        <v>3</v>
      </c>
      <c r="H3639">
        <v>34</v>
      </c>
      <c r="I3639" s="6" t="s">
        <v>36</v>
      </c>
      <c r="J3639" s="6" t="s">
        <v>37</v>
      </c>
      <c r="K3639">
        <v>2</v>
      </c>
      <c r="M3639" s="1" t="b">
        <f>Employee__2[[#This Row],[Experience]]&gt;1</f>
        <v>1</v>
      </c>
      <c r="N3639" s="1" t="str">
        <f>IF(Employee__2[[#This Row],[City]]="Pune","Yes","No")</f>
        <v>No</v>
      </c>
      <c r="O3639" s="1" t="str">
        <f>IF(AND(Employee__2[[#This Row],[Education]]="Bachelors",Employee__2[[#This Row],[City]]="Pune"),"Yes","No")</f>
        <v>No</v>
      </c>
      <c r="P3639" s="1" t="str">
        <f>IF(OR(Employee__2[[#This Row],[Age]]&gt;=30,Employee__2[[#This Row],[Gender]]="Male"),"Mached","Not mached")</f>
        <v>Mached</v>
      </c>
    </row>
    <row r="3640" spans="4:16" x14ac:dyDescent="0.25">
      <c r="D3640" s="6" t="s">
        <v>34</v>
      </c>
      <c r="E3640">
        <v>2017</v>
      </c>
      <c r="F3640" s="6" t="s">
        <v>35</v>
      </c>
      <c r="G3640">
        <v>3</v>
      </c>
      <c r="H3640">
        <v>39</v>
      </c>
      <c r="I3640" s="6" t="s">
        <v>36</v>
      </c>
      <c r="J3640" s="6" t="s">
        <v>37</v>
      </c>
      <c r="K3640">
        <v>3</v>
      </c>
      <c r="M3640" s="1" t="b">
        <f>Employee__2[[#This Row],[Experience]]&gt;1</f>
        <v>1</v>
      </c>
      <c r="N3640" s="1" t="str">
        <f>IF(Employee__2[[#This Row],[City]]="Pune","Yes","No")</f>
        <v>No</v>
      </c>
      <c r="O3640" s="1" t="str">
        <f>IF(AND(Employee__2[[#This Row],[Education]]="Bachelors",Employee__2[[#This Row],[City]]="Pune"),"Yes","No")</f>
        <v>No</v>
      </c>
      <c r="P3640" s="1" t="str">
        <f>IF(OR(Employee__2[[#This Row],[Age]]&gt;=30,Employee__2[[#This Row],[Gender]]="Male"),"Mached","Not mached")</f>
        <v>Mached</v>
      </c>
    </row>
    <row r="3641" spans="4:16" x14ac:dyDescent="0.25">
      <c r="D3641" s="6" t="s">
        <v>34</v>
      </c>
      <c r="E3641">
        <v>2018</v>
      </c>
      <c r="F3641" s="6" t="s">
        <v>35</v>
      </c>
      <c r="G3641">
        <v>3</v>
      </c>
      <c r="H3641">
        <v>38</v>
      </c>
      <c r="I3641" s="6" t="s">
        <v>36</v>
      </c>
      <c r="J3641" s="6" t="s">
        <v>37</v>
      </c>
      <c r="K3641">
        <v>0</v>
      </c>
      <c r="M3641" s="1" t="b">
        <f>Employee__2[[#This Row],[Experience]]&gt;1</f>
        <v>0</v>
      </c>
      <c r="N3641" s="1" t="str">
        <f>IF(Employee__2[[#This Row],[City]]="Pune","Yes","No")</f>
        <v>No</v>
      </c>
      <c r="O3641" s="1" t="str">
        <f>IF(AND(Employee__2[[#This Row],[Education]]="Bachelors",Employee__2[[#This Row],[City]]="Pune"),"Yes","No")</f>
        <v>No</v>
      </c>
      <c r="P3641" s="1" t="str">
        <f>IF(OR(Employee__2[[#This Row],[Age]]&gt;=30,Employee__2[[#This Row],[Gender]]="Male"),"Mached","Not mached")</f>
        <v>Mached</v>
      </c>
    </row>
    <row r="3642" spans="4:16" x14ac:dyDescent="0.25">
      <c r="D3642" s="6" t="s">
        <v>34</v>
      </c>
      <c r="E3642">
        <v>2012</v>
      </c>
      <c r="F3642" s="6" t="s">
        <v>38</v>
      </c>
      <c r="G3642">
        <v>2</v>
      </c>
      <c r="H3642">
        <v>35</v>
      </c>
      <c r="I3642" s="6" t="s">
        <v>39</v>
      </c>
      <c r="J3642" s="6" t="s">
        <v>37</v>
      </c>
      <c r="K3642">
        <v>1</v>
      </c>
      <c r="M3642" s="1" t="b">
        <f>Employee__2[[#This Row],[Experience]]&gt;1</f>
        <v>0</v>
      </c>
      <c r="N3642" s="1" t="str">
        <f>IF(Employee__2[[#This Row],[City]]="Pune","Yes","No")</f>
        <v>Yes</v>
      </c>
      <c r="O3642" s="1" t="str">
        <f>IF(AND(Employee__2[[#This Row],[Education]]="Bachelors",Employee__2[[#This Row],[City]]="Pune"),"Yes","No")</f>
        <v>Yes</v>
      </c>
      <c r="P3642" s="1" t="str">
        <f>IF(OR(Employee__2[[#This Row],[Age]]&gt;=30,Employee__2[[#This Row],[Gender]]="Male"),"Mached","Not mached")</f>
        <v>Mached</v>
      </c>
    </row>
    <row r="3643" spans="4:16" x14ac:dyDescent="0.25">
      <c r="D3643" s="6" t="s">
        <v>34</v>
      </c>
      <c r="E3643">
        <v>2015</v>
      </c>
      <c r="F3643" s="6" t="s">
        <v>38</v>
      </c>
      <c r="G3643">
        <v>2</v>
      </c>
      <c r="H3643">
        <v>40</v>
      </c>
      <c r="I3643" s="6" t="s">
        <v>39</v>
      </c>
      <c r="J3643" s="6" t="s">
        <v>42</v>
      </c>
      <c r="K3643">
        <v>5</v>
      </c>
      <c r="M3643" s="1" t="b">
        <f>Employee__2[[#This Row],[Experience]]&gt;1</f>
        <v>1</v>
      </c>
      <c r="N3643" s="1" t="str">
        <f>IF(Employee__2[[#This Row],[City]]="Pune","Yes","No")</f>
        <v>Yes</v>
      </c>
      <c r="O3643" s="1" t="str">
        <f>IF(AND(Employee__2[[#This Row],[Education]]="Bachelors",Employee__2[[#This Row],[City]]="Pune"),"Yes","No")</f>
        <v>Yes</v>
      </c>
      <c r="P3643" s="1" t="str">
        <f>IF(OR(Employee__2[[#This Row],[Age]]&gt;=30,Employee__2[[#This Row],[Gender]]="Male"),"Mached","Not mached")</f>
        <v>Mached</v>
      </c>
    </row>
    <row r="3644" spans="4:16" x14ac:dyDescent="0.25">
      <c r="D3644" s="6" t="s">
        <v>34</v>
      </c>
      <c r="E3644">
        <v>2017</v>
      </c>
      <c r="F3644" s="6" t="s">
        <v>38</v>
      </c>
      <c r="G3644">
        <v>3</v>
      </c>
      <c r="H3644">
        <v>41</v>
      </c>
      <c r="I3644" s="6" t="s">
        <v>36</v>
      </c>
      <c r="J3644" s="6" t="s">
        <v>37</v>
      </c>
      <c r="K3644">
        <v>3</v>
      </c>
      <c r="M3644" s="1" t="b">
        <f>Employee__2[[#This Row],[Experience]]&gt;1</f>
        <v>1</v>
      </c>
      <c r="N3644" s="1" t="str">
        <f>IF(Employee__2[[#This Row],[City]]="Pune","Yes","No")</f>
        <v>Yes</v>
      </c>
      <c r="O3644" s="1" t="str">
        <f>IF(AND(Employee__2[[#This Row],[Education]]="Bachelors",Employee__2[[#This Row],[City]]="Pune"),"Yes","No")</f>
        <v>Yes</v>
      </c>
      <c r="P3644" s="1" t="str">
        <f>IF(OR(Employee__2[[#This Row],[Age]]&gt;=30,Employee__2[[#This Row],[Gender]]="Male"),"Mached","Not mached")</f>
        <v>Mached</v>
      </c>
    </row>
    <row r="3645" spans="4:16" x14ac:dyDescent="0.25">
      <c r="D3645" s="6" t="s">
        <v>34</v>
      </c>
      <c r="E3645">
        <v>2016</v>
      </c>
      <c r="F3645" s="6" t="s">
        <v>35</v>
      </c>
      <c r="G3645">
        <v>1</v>
      </c>
      <c r="H3645">
        <v>33</v>
      </c>
      <c r="I3645" s="6" t="s">
        <v>39</v>
      </c>
      <c r="J3645" s="6" t="s">
        <v>42</v>
      </c>
      <c r="K3645">
        <v>3</v>
      </c>
      <c r="M3645" s="1" t="b">
        <f>Employee__2[[#This Row],[Experience]]&gt;1</f>
        <v>1</v>
      </c>
      <c r="N3645" s="1" t="str">
        <f>IF(Employee__2[[#This Row],[City]]="Pune","Yes","No")</f>
        <v>No</v>
      </c>
      <c r="O3645" s="1" t="str">
        <f>IF(AND(Employee__2[[#This Row],[Education]]="Bachelors",Employee__2[[#This Row],[City]]="Pune"),"Yes","No")</f>
        <v>No</v>
      </c>
      <c r="P3645" s="1" t="str">
        <f>IF(OR(Employee__2[[#This Row],[Age]]&gt;=30,Employee__2[[#This Row],[Gender]]="Male"),"Mached","Not mached")</f>
        <v>Mached</v>
      </c>
    </row>
    <row r="3646" spans="4:16" x14ac:dyDescent="0.25">
      <c r="D3646" s="6" t="s">
        <v>41</v>
      </c>
      <c r="E3646">
        <v>2017</v>
      </c>
      <c r="F3646" s="6" t="s">
        <v>40</v>
      </c>
      <c r="G3646">
        <v>1</v>
      </c>
      <c r="H3646">
        <v>40</v>
      </c>
      <c r="I3646" s="6" t="s">
        <v>36</v>
      </c>
      <c r="J3646" s="6" t="s">
        <v>37</v>
      </c>
      <c r="K3646">
        <v>0</v>
      </c>
      <c r="M3646" s="1" t="b">
        <f>Employee__2[[#This Row],[Experience]]&gt;1</f>
        <v>0</v>
      </c>
      <c r="N3646" s="1" t="str">
        <f>IF(Employee__2[[#This Row],[City]]="Pune","Yes","No")</f>
        <v>No</v>
      </c>
      <c r="O3646" s="1" t="str">
        <f>IF(AND(Employee__2[[#This Row],[Education]]="Bachelors",Employee__2[[#This Row],[City]]="Pune"),"Yes","No")</f>
        <v>No</v>
      </c>
      <c r="P3646" s="1" t="str">
        <f>IF(OR(Employee__2[[#This Row],[Age]]&gt;=30,Employee__2[[#This Row],[Gender]]="Male"),"Mached","Not mached")</f>
        <v>Mached</v>
      </c>
    </row>
    <row r="3647" spans="4:16" x14ac:dyDescent="0.25">
      <c r="D3647" s="6" t="s">
        <v>34</v>
      </c>
      <c r="E3647">
        <v>2018</v>
      </c>
      <c r="F3647" s="6" t="s">
        <v>35</v>
      </c>
      <c r="G3647">
        <v>3</v>
      </c>
      <c r="H3647">
        <v>33</v>
      </c>
      <c r="I3647" s="6" t="s">
        <v>39</v>
      </c>
      <c r="J3647" s="6" t="s">
        <v>37</v>
      </c>
      <c r="K3647">
        <v>3</v>
      </c>
      <c r="M3647" s="1" t="b">
        <f>Employee__2[[#This Row],[Experience]]&gt;1</f>
        <v>1</v>
      </c>
      <c r="N3647" s="1" t="str">
        <f>IF(Employee__2[[#This Row],[City]]="Pune","Yes","No")</f>
        <v>No</v>
      </c>
      <c r="O3647" s="1" t="str">
        <f>IF(AND(Employee__2[[#This Row],[Education]]="Bachelors",Employee__2[[#This Row],[City]]="Pune"),"Yes","No")</f>
        <v>No</v>
      </c>
      <c r="P3647" s="1" t="str">
        <f>IF(OR(Employee__2[[#This Row],[Age]]&gt;=30,Employee__2[[#This Row],[Gender]]="Male"),"Mached","Not mached")</f>
        <v>Mached</v>
      </c>
    </row>
    <row r="3648" spans="4:16" x14ac:dyDescent="0.25">
      <c r="D3648" s="6" t="s">
        <v>34</v>
      </c>
      <c r="E3648">
        <v>2015</v>
      </c>
      <c r="F3648" s="6" t="s">
        <v>35</v>
      </c>
      <c r="G3648">
        <v>3</v>
      </c>
      <c r="H3648">
        <v>38</v>
      </c>
      <c r="I3648" s="6" t="s">
        <v>36</v>
      </c>
      <c r="J3648" s="6" t="s">
        <v>37</v>
      </c>
      <c r="K3648">
        <v>1</v>
      </c>
      <c r="M3648" s="1" t="b">
        <f>Employee__2[[#This Row],[Experience]]&gt;1</f>
        <v>0</v>
      </c>
      <c r="N3648" s="1" t="str">
        <f>IF(Employee__2[[#This Row],[City]]="Pune","Yes","No")</f>
        <v>No</v>
      </c>
      <c r="O3648" s="1" t="str">
        <f>IF(AND(Employee__2[[#This Row],[Education]]="Bachelors",Employee__2[[#This Row],[City]]="Pune"),"Yes","No")</f>
        <v>No</v>
      </c>
      <c r="P3648" s="1" t="str">
        <f>IF(OR(Employee__2[[#This Row],[Age]]&gt;=30,Employee__2[[#This Row],[Gender]]="Male"),"Mached","Not mached")</f>
        <v>Mached</v>
      </c>
    </row>
    <row r="3649" spans="4:16" x14ac:dyDescent="0.25">
      <c r="D3649" s="6" t="s">
        <v>41</v>
      </c>
      <c r="E3649">
        <v>2017</v>
      </c>
      <c r="F3649" s="6" t="s">
        <v>35</v>
      </c>
      <c r="G3649">
        <v>2</v>
      </c>
      <c r="H3649">
        <v>32</v>
      </c>
      <c r="I3649" s="6" t="s">
        <v>36</v>
      </c>
      <c r="J3649" s="6" t="s">
        <v>37</v>
      </c>
      <c r="K3649">
        <v>2</v>
      </c>
      <c r="M3649" s="1" t="b">
        <f>Employee__2[[#This Row],[Experience]]&gt;1</f>
        <v>1</v>
      </c>
      <c r="N3649" s="1" t="str">
        <f>IF(Employee__2[[#This Row],[City]]="Pune","Yes","No")</f>
        <v>No</v>
      </c>
      <c r="O3649" s="1" t="str">
        <f>IF(AND(Employee__2[[#This Row],[Education]]="Bachelors",Employee__2[[#This Row],[City]]="Pune"),"Yes","No")</f>
        <v>No</v>
      </c>
      <c r="P3649" s="1" t="str">
        <f>IF(OR(Employee__2[[#This Row],[Age]]&gt;=30,Employee__2[[#This Row],[Gender]]="Male"),"Mached","Not mached")</f>
        <v>Mached</v>
      </c>
    </row>
    <row r="3650" spans="4:16" x14ac:dyDescent="0.25">
      <c r="D3650" s="6" t="s">
        <v>34</v>
      </c>
      <c r="E3650">
        <v>2014</v>
      </c>
      <c r="F3650" s="6" t="s">
        <v>38</v>
      </c>
      <c r="G3650">
        <v>3</v>
      </c>
      <c r="H3650">
        <v>32</v>
      </c>
      <c r="I3650" s="6" t="s">
        <v>36</v>
      </c>
      <c r="J3650" s="6" t="s">
        <v>42</v>
      </c>
      <c r="K3650">
        <v>2</v>
      </c>
      <c r="M3650" s="1" t="b">
        <f>Employee__2[[#This Row],[Experience]]&gt;1</f>
        <v>1</v>
      </c>
      <c r="N3650" s="1" t="str">
        <f>IF(Employee__2[[#This Row],[City]]="Pune","Yes","No")</f>
        <v>Yes</v>
      </c>
      <c r="O3650" s="1" t="str">
        <f>IF(AND(Employee__2[[#This Row],[Education]]="Bachelors",Employee__2[[#This Row],[City]]="Pune"),"Yes","No")</f>
        <v>Yes</v>
      </c>
      <c r="P3650" s="1" t="str">
        <f>IF(OR(Employee__2[[#This Row],[Age]]&gt;=30,Employee__2[[#This Row],[Gender]]="Male"),"Mached","Not mached")</f>
        <v>Mached</v>
      </c>
    </row>
    <row r="3651" spans="4:16" x14ac:dyDescent="0.25">
      <c r="D3651" s="6" t="s">
        <v>34</v>
      </c>
      <c r="E3651">
        <v>2015</v>
      </c>
      <c r="F3651" s="6" t="s">
        <v>40</v>
      </c>
      <c r="G3651">
        <v>3</v>
      </c>
      <c r="H3651">
        <v>32</v>
      </c>
      <c r="I3651" s="6" t="s">
        <v>39</v>
      </c>
      <c r="J3651" s="6" t="s">
        <v>37</v>
      </c>
      <c r="K3651">
        <v>2</v>
      </c>
      <c r="M3651" s="1" t="b">
        <f>Employee__2[[#This Row],[Experience]]&gt;1</f>
        <v>1</v>
      </c>
      <c r="N3651" s="1" t="str">
        <f>IF(Employee__2[[#This Row],[City]]="Pune","Yes","No")</f>
        <v>No</v>
      </c>
      <c r="O3651" s="1" t="str">
        <f>IF(AND(Employee__2[[#This Row],[Education]]="Bachelors",Employee__2[[#This Row],[City]]="Pune"),"Yes","No")</f>
        <v>No</v>
      </c>
      <c r="P3651" s="1" t="str">
        <f>IF(OR(Employee__2[[#This Row],[Age]]&gt;=30,Employee__2[[#This Row],[Gender]]="Male"),"Mached","Not mached")</f>
        <v>Mached</v>
      </c>
    </row>
    <row r="3652" spans="4:16" x14ac:dyDescent="0.25">
      <c r="D3652" s="6" t="s">
        <v>34</v>
      </c>
      <c r="E3652">
        <v>2016</v>
      </c>
      <c r="F3652" s="6" t="s">
        <v>38</v>
      </c>
      <c r="G3652">
        <v>2</v>
      </c>
      <c r="H3652">
        <v>37</v>
      </c>
      <c r="I3652" s="6" t="s">
        <v>39</v>
      </c>
      <c r="J3652" s="6" t="s">
        <v>37</v>
      </c>
      <c r="K3652">
        <v>2</v>
      </c>
      <c r="M3652" s="1" t="b">
        <f>Employee__2[[#This Row],[Experience]]&gt;1</f>
        <v>1</v>
      </c>
      <c r="N3652" s="1" t="str">
        <f>IF(Employee__2[[#This Row],[City]]="Pune","Yes","No")</f>
        <v>Yes</v>
      </c>
      <c r="O3652" s="1" t="str">
        <f>IF(AND(Employee__2[[#This Row],[Education]]="Bachelors",Employee__2[[#This Row],[City]]="Pune"),"Yes","No")</f>
        <v>Yes</v>
      </c>
      <c r="P3652" s="1" t="str">
        <f>IF(OR(Employee__2[[#This Row],[Age]]&gt;=30,Employee__2[[#This Row],[Gender]]="Male"),"Mached","Not mached")</f>
        <v>Mached</v>
      </c>
    </row>
    <row r="3653" spans="4:16" x14ac:dyDescent="0.25">
      <c r="D3653" s="6" t="s">
        <v>34</v>
      </c>
      <c r="E3653">
        <v>2015</v>
      </c>
      <c r="F3653" s="6" t="s">
        <v>35</v>
      </c>
      <c r="G3653">
        <v>3</v>
      </c>
      <c r="H3653">
        <v>40</v>
      </c>
      <c r="I3653" s="6" t="s">
        <v>36</v>
      </c>
      <c r="J3653" s="6" t="s">
        <v>37</v>
      </c>
      <c r="K3653">
        <v>5</v>
      </c>
      <c r="M3653" s="1" t="b">
        <f>Employee__2[[#This Row],[Experience]]&gt;1</f>
        <v>1</v>
      </c>
      <c r="N3653" s="1" t="str">
        <f>IF(Employee__2[[#This Row],[City]]="Pune","Yes","No")</f>
        <v>No</v>
      </c>
      <c r="O3653" s="1" t="str">
        <f>IF(AND(Employee__2[[#This Row],[Education]]="Bachelors",Employee__2[[#This Row],[City]]="Pune"),"Yes","No")</f>
        <v>No</v>
      </c>
      <c r="P3653" s="1" t="str">
        <f>IF(OR(Employee__2[[#This Row],[Age]]&gt;=30,Employee__2[[#This Row],[Gender]]="Male"),"Mached","Not mached")</f>
        <v>Mached</v>
      </c>
    </row>
    <row r="3654" spans="4:16" x14ac:dyDescent="0.25">
      <c r="D3654" s="6" t="s">
        <v>34</v>
      </c>
      <c r="E3654">
        <v>2016</v>
      </c>
      <c r="F3654" s="6" t="s">
        <v>35</v>
      </c>
      <c r="G3654">
        <v>3</v>
      </c>
      <c r="H3654">
        <v>38</v>
      </c>
      <c r="I3654" s="6" t="s">
        <v>36</v>
      </c>
      <c r="J3654" s="6" t="s">
        <v>37</v>
      </c>
      <c r="K3654">
        <v>1</v>
      </c>
      <c r="M3654" s="1" t="b">
        <f>Employee__2[[#This Row],[Experience]]&gt;1</f>
        <v>0</v>
      </c>
      <c r="N3654" s="1" t="str">
        <f>IF(Employee__2[[#This Row],[City]]="Pune","Yes","No")</f>
        <v>No</v>
      </c>
      <c r="O3654" s="1" t="str">
        <f>IF(AND(Employee__2[[#This Row],[Education]]="Bachelors",Employee__2[[#This Row],[City]]="Pune"),"Yes","No")</f>
        <v>No</v>
      </c>
      <c r="P3654" s="1" t="str">
        <f>IF(OR(Employee__2[[#This Row],[Age]]&gt;=30,Employee__2[[#This Row],[Gender]]="Male"),"Mached","Not mached")</f>
        <v>Mached</v>
      </c>
    </row>
    <row r="3655" spans="4:16" x14ac:dyDescent="0.25">
      <c r="D3655" s="6" t="s">
        <v>43</v>
      </c>
      <c r="E3655">
        <v>2018</v>
      </c>
      <c r="F3655" s="6" t="s">
        <v>40</v>
      </c>
      <c r="G3655">
        <v>3</v>
      </c>
      <c r="H3655">
        <v>33</v>
      </c>
      <c r="I3655" s="6" t="s">
        <v>39</v>
      </c>
      <c r="J3655" s="6" t="s">
        <v>37</v>
      </c>
      <c r="K3655">
        <v>4</v>
      </c>
      <c r="M3655" s="1" t="b">
        <f>Employee__2[[#This Row],[Experience]]&gt;1</f>
        <v>1</v>
      </c>
      <c r="N3655" s="1" t="str">
        <f>IF(Employee__2[[#This Row],[City]]="Pune","Yes","No")</f>
        <v>No</v>
      </c>
      <c r="O3655" s="1" t="str">
        <f>IF(AND(Employee__2[[#This Row],[Education]]="Bachelors",Employee__2[[#This Row],[City]]="Pune"),"Yes","No")</f>
        <v>No</v>
      </c>
      <c r="P3655" s="1" t="str">
        <f>IF(OR(Employee__2[[#This Row],[Age]]&gt;=30,Employee__2[[#This Row],[Gender]]="Male"),"Mached","Not mached")</f>
        <v>Mached</v>
      </c>
    </row>
    <row r="3656" spans="4:16" x14ac:dyDescent="0.25">
      <c r="D3656" s="6" t="s">
        <v>41</v>
      </c>
      <c r="E3656">
        <v>2017</v>
      </c>
      <c r="F3656" s="6" t="s">
        <v>40</v>
      </c>
      <c r="G3656">
        <v>2</v>
      </c>
      <c r="H3656">
        <v>40</v>
      </c>
      <c r="I3656" s="6" t="s">
        <v>36</v>
      </c>
      <c r="J3656" s="6" t="s">
        <v>37</v>
      </c>
      <c r="K3656">
        <v>4</v>
      </c>
      <c r="M3656" s="1" t="b">
        <f>Employee__2[[#This Row],[Experience]]&gt;1</f>
        <v>1</v>
      </c>
      <c r="N3656" s="1" t="str">
        <f>IF(Employee__2[[#This Row],[City]]="Pune","Yes","No")</f>
        <v>No</v>
      </c>
      <c r="O3656" s="1" t="str">
        <f>IF(AND(Employee__2[[#This Row],[Education]]="Bachelors",Employee__2[[#This Row],[City]]="Pune"),"Yes","No")</f>
        <v>No</v>
      </c>
      <c r="P3656" s="1" t="str">
        <f>IF(OR(Employee__2[[#This Row],[Age]]&gt;=30,Employee__2[[#This Row],[Gender]]="Male"),"Mached","Not mached")</f>
        <v>Mached</v>
      </c>
    </row>
    <row r="3657" spans="4:16" x14ac:dyDescent="0.25">
      <c r="D3657" s="6" t="s">
        <v>41</v>
      </c>
      <c r="E3657">
        <v>2017</v>
      </c>
      <c r="F3657" s="6" t="s">
        <v>40</v>
      </c>
      <c r="G3657">
        <v>2</v>
      </c>
      <c r="H3657">
        <v>35</v>
      </c>
      <c r="I3657" s="6" t="s">
        <v>36</v>
      </c>
      <c r="J3657" s="6" t="s">
        <v>37</v>
      </c>
      <c r="K3657">
        <v>2</v>
      </c>
      <c r="M3657" s="1" t="b">
        <f>Employee__2[[#This Row],[Experience]]&gt;1</f>
        <v>1</v>
      </c>
      <c r="N3657" s="1" t="str">
        <f>IF(Employee__2[[#This Row],[City]]="Pune","Yes","No")</f>
        <v>No</v>
      </c>
      <c r="O3657" s="1" t="str">
        <f>IF(AND(Employee__2[[#This Row],[Education]]="Bachelors",Employee__2[[#This Row],[City]]="Pune"),"Yes","No")</f>
        <v>No</v>
      </c>
      <c r="P3657" s="1" t="str">
        <f>IF(OR(Employee__2[[#This Row],[Age]]&gt;=30,Employee__2[[#This Row],[Gender]]="Male"),"Mached","Not mached")</f>
        <v>Mached</v>
      </c>
    </row>
    <row r="3658" spans="4:16" x14ac:dyDescent="0.25">
      <c r="D3658" s="6" t="s">
        <v>34</v>
      </c>
      <c r="E3658">
        <v>2016</v>
      </c>
      <c r="F3658" s="6" t="s">
        <v>35</v>
      </c>
      <c r="G3658">
        <v>3</v>
      </c>
      <c r="H3658">
        <v>33</v>
      </c>
      <c r="I3658" s="6" t="s">
        <v>36</v>
      </c>
      <c r="J3658" s="6" t="s">
        <v>37</v>
      </c>
      <c r="K3658">
        <v>3</v>
      </c>
      <c r="M3658" s="1" t="b">
        <f>Employee__2[[#This Row],[Experience]]&gt;1</f>
        <v>1</v>
      </c>
      <c r="N3658" s="1" t="str">
        <f>IF(Employee__2[[#This Row],[City]]="Pune","Yes","No")</f>
        <v>No</v>
      </c>
      <c r="O3658" s="1" t="str">
        <f>IF(AND(Employee__2[[#This Row],[Education]]="Bachelors",Employee__2[[#This Row],[City]]="Pune"),"Yes","No")</f>
        <v>No</v>
      </c>
      <c r="P3658" s="1" t="str">
        <f>IF(OR(Employee__2[[#This Row],[Age]]&gt;=30,Employee__2[[#This Row],[Gender]]="Male"),"Mached","Not mached")</f>
        <v>Mached</v>
      </c>
    </row>
    <row r="3659" spans="4:16" x14ac:dyDescent="0.25">
      <c r="D3659" s="6" t="s">
        <v>34</v>
      </c>
      <c r="E3659">
        <v>2017</v>
      </c>
      <c r="F3659" s="6" t="s">
        <v>35</v>
      </c>
      <c r="G3659">
        <v>3</v>
      </c>
      <c r="H3659">
        <v>37</v>
      </c>
      <c r="I3659" s="6" t="s">
        <v>36</v>
      </c>
      <c r="J3659" s="6" t="s">
        <v>37</v>
      </c>
      <c r="K3659">
        <v>4</v>
      </c>
      <c r="M3659" s="1" t="b">
        <f>Employee__2[[#This Row],[Experience]]&gt;1</f>
        <v>1</v>
      </c>
      <c r="N3659" s="1" t="str">
        <f>IF(Employee__2[[#This Row],[City]]="Pune","Yes","No")</f>
        <v>No</v>
      </c>
      <c r="O3659" s="1" t="str">
        <f>IF(AND(Employee__2[[#This Row],[Education]]="Bachelors",Employee__2[[#This Row],[City]]="Pune"),"Yes","No")</f>
        <v>No</v>
      </c>
      <c r="P3659" s="1" t="str">
        <f>IF(OR(Employee__2[[#This Row],[Age]]&gt;=30,Employee__2[[#This Row],[Gender]]="Male"),"Mached","Not mached")</f>
        <v>Mached</v>
      </c>
    </row>
    <row r="3660" spans="4:16" x14ac:dyDescent="0.25">
      <c r="D3660" s="6" t="s">
        <v>34</v>
      </c>
      <c r="E3660">
        <v>2013</v>
      </c>
      <c r="F3660" s="6" t="s">
        <v>35</v>
      </c>
      <c r="G3660">
        <v>3</v>
      </c>
      <c r="H3660">
        <v>38</v>
      </c>
      <c r="I3660" s="6" t="s">
        <v>36</v>
      </c>
      <c r="J3660" s="6" t="s">
        <v>37</v>
      </c>
      <c r="K3660">
        <v>0</v>
      </c>
      <c r="M3660" s="1" t="b">
        <f>Employee__2[[#This Row],[Experience]]&gt;1</f>
        <v>0</v>
      </c>
      <c r="N3660" s="1" t="str">
        <f>IF(Employee__2[[#This Row],[City]]="Pune","Yes","No")</f>
        <v>No</v>
      </c>
      <c r="O3660" s="1" t="str">
        <f>IF(AND(Employee__2[[#This Row],[Education]]="Bachelors",Employee__2[[#This Row],[City]]="Pune"),"Yes","No")</f>
        <v>No</v>
      </c>
      <c r="P3660" s="1" t="str">
        <f>IF(OR(Employee__2[[#This Row],[Age]]&gt;=30,Employee__2[[#This Row],[Gender]]="Male"),"Mached","Not mached")</f>
        <v>Mached</v>
      </c>
    </row>
    <row r="3661" spans="4:16" x14ac:dyDescent="0.25">
      <c r="D3661" s="6" t="s">
        <v>34</v>
      </c>
      <c r="E3661">
        <v>2018</v>
      </c>
      <c r="F3661" s="6" t="s">
        <v>35</v>
      </c>
      <c r="G3661">
        <v>3</v>
      </c>
      <c r="H3661">
        <v>32</v>
      </c>
      <c r="I3661" s="6" t="s">
        <v>36</v>
      </c>
      <c r="J3661" s="6" t="s">
        <v>37</v>
      </c>
      <c r="K3661">
        <v>2</v>
      </c>
      <c r="M3661" s="1" t="b">
        <f>Employee__2[[#This Row],[Experience]]&gt;1</f>
        <v>1</v>
      </c>
      <c r="N3661" s="1" t="str">
        <f>IF(Employee__2[[#This Row],[City]]="Pune","Yes","No")</f>
        <v>No</v>
      </c>
      <c r="O3661" s="1" t="str">
        <f>IF(AND(Employee__2[[#This Row],[Education]]="Bachelors",Employee__2[[#This Row],[City]]="Pune"),"Yes","No")</f>
        <v>No</v>
      </c>
      <c r="P3661" s="1" t="str">
        <f>IF(OR(Employee__2[[#This Row],[Age]]&gt;=30,Employee__2[[#This Row],[Gender]]="Male"),"Mached","Not mached")</f>
        <v>Mached</v>
      </c>
    </row>
    <row r="3662" spans="4:16" x14ac:dyDescent="0.25">
      <c r="D3662" s="6" t="s">
        <v>34</v>
      </c>
      <c r="E3662">
        <v>2017</v>
      </c>
      <c r="F3662" s="6" t="s">
        <v>35</v>
      </c>
      <c r="G3662">
        <v>3</v>
      </c>
      <c r="H3662">
        <v>40</v>
      </c>
      <c r="I3662" s="6" t="s">
        <v>39</v>
      </c>
      <c r="J3662" s="6" t="s">
        <v>37</v>
      </c>
      <c r="K3662">
        <v>2</v>
      </c>
      <c r="M3662" s="1" t="b">
        <f>Employee__2[[#This Row],[Experience]]&gt;1</f>
        <v>1</v>
      </c>
      <c r="N3662" s="1" t="str">
        <f>IF(Employee__2[[#This Row],[City]]="Pune","Yes","No")</f>
        <v>No</v>
      </c>
      <c r="O3662" s="1" t="str">
        <f>IF(AND(Employee__2[[#This Row],[Education]]="Bachelors",Employee__2[[#This Row],[City]]="Pune"),"Yes","No")</f>
        <v>No</v>
      </c>
      <c r="P3662" s="1" t="str">
        <f>IF(OR(Employee__2[[#This Row],[Age]]&gt;=30,Employee__2[[#This Row],[Gender]]="Male"),"Mached","Not mached")</f>
        <v>Mached</v>
      </c>
    </row>
    <row r="3663" spans="4:16" x14ac:dyDescent="0.25">
      <c r="D3663" s="6" t="s">
        <v>34</v>
      </c>
      <c r="E3663">
        <v>2015</v>
      </c>
      <c r="F3663" s="6" t="s">
        <v>40</v>
      </c>
      <c r="G3663">
        <v>3</v>
      </c>
      <c r="H3663">
        <v>33</v>
      </c>
      <c r="I3663" s="6" t="s">
        <v>39</v>
      </c>
      <c r="J3663" s="6" t="s">
        <v>37</v>
      </c>
      <c r="K3663">
        <v>2</v>
      </c>
      <c r="M3663" s="1" t="b">
        <f>Employee__2[[#This Row],[Experience]]&gt;1</f>
        <v>1</v>
      </c>
      <c r="N3663" s="1" t="str">
        <f>IF(Employee__2[[#This Row],[City]]="Pune","Yes","No")</f>
        <v>No</v>
      </c>
      <c r="O3663" s="1" t="str">
        <f>IF(AND(Employee__2[[#This Row],[Education]]="Bachelors",Employee__2[[#This Row],[City]]="Pune"),"Yes","No")</f>
        <v>No</v>
      </c>
      <c r="P3663" s="1" t="str">
        <f>IF(OR(Employee__2[[#This Row],[Age]]&gt;=30,Employee__2[[#This Row],[Gender]]="Male"),"Mached","Not mached")</f>
        <v>Mached</v>
      </c>
    </row>
    <row r="3664" spans="4:16" x14ac:dyDescent="0.25">
      <c r="D3664" s="6" t="s">
        <v>34</v>
      </c>
      <c r="E3664">
        <v>2016</v>
      </c>
      <c r="F3664" s="6" t="s">
        <v>35</v>
      </c>
      <c r="G3664">
        <v>3</v>
      </c>
      <c r="H3664">
        <v>38</v>
      </c>
      <c r="I3664" s="6" t="s">
        <v>36</v>
      </c>
      <c r="J3664" s="6" t="s">
        <v>37</v>
      </c>
      <c r="K3664">
        <v>2</v>
      </c>
      <c r="M3664" s="1" t="b">
        <f>Employee__2[[#This Row],[Experience]]&gt;1</f>
        <v>1</v>
      </c>
      <c r="N3664" s="1" t="str">
        <f>IF(Employee__2[[#This Row],[City]]="Pune","Yes","No")</f>
        <v>No</v>
      </c>
      <c r="O3664" s="1" t="str">
        <f>IF(AND(Employee__2[[#This Row],[Education]]="Bachelors",Employee__2[[#This Row],[City]]="Pune"),"Yes","No")</f>
        <v>No</v>
      </c>
      <c r="P3664" s="1" t="str">
        <f>IF(OR(Employee__2[[#This Row],[Age]]&gt;=30,Employee__2[[#This Row],[Gender]]="Male"),"Mached","Not mached")</f>
        <v>Mached</v>
      </c>
    </row>
    <row r="3665" spans="4:16" x14ac:dyDescent="0.25">
      <c r="D3665" s="6" t="s">
        <v>34</v>
      </c>
      <c r="E3665">
        <v>2013</v>
      </c>
      <c r="F3665" s="6" t="s">
        <v>35</v>
      </c>
      <c r="G3665">
        <v>3</v>
      </c>
      <c r="H3665">
        <v>34</v>
      </c>
      <c r="I3665" s="6" t="s">
        <v>36</v>
      </c>
      <c r="J3665" s="6" t="s">
        <v>37</v>
      </c>
      <c r="K3665">
        <v>5</v>
      </c>
      <c r="M3665" s="1" t="b">
        <f>Employee__2[[#This Row],[Experience]]&gt;1</f>
        <v>1</v>
      </c>
      <c r="N3665" s="1" t="str">
        <f>IF(Employee__2[[#This Row],[City]]="Pune","Yes","No")</f>
        <v>No</v>
      </c>
      <c r="O3665" s="1" t="str">
        <f>IF(AND(Employee__2[[#This Row],[Education]]="Bachelors",Employee__2[[#This Row],[City]]="Pune"),"Yes","No")</f>
        <v>No</v>
      </c>
      <c r="P3665" s="1" t="str">
        <f>IF(OR(Employee__2[[#This Row],[Age]]&gt;=30,Employee__2[[#This Row],[Gender]]="Male"),"Mached","Not mached")</f>
        <v>Mached</v>
      </c>
    </row>
    <row r="3666" spans="4:16" x14ac:dyDescent="0.25">
      <c r="D3666" s="6" t="s">
        <v>34</v>
      </c>
      <c r="E3666">
        <v>2017</v>
      </c>
      <c r="F3666" s="6" t="s">
        <v>40</v>
      </c>
      <c r="G3666">
        <v>3</v>
      </c>
      <c r="H3666">
        <v>38</v>
      </c>
      <c r="I3666" s="6" t="s">
        <v>39</v>
      </c>
      <c r="J3666" s="6" t="s">
        <v>37</v>
      </c>
      <c r="K3666">
        <v>4</v>
      </c>
      <c r="M3666" s="1" t="b">
        <f>Employee__2[[#This Row],[Experience]]&gt;1</f>
        <v>1</v>
      </c>
      <c r="N3666" s="1" t="str">
        <f>IF(Employee__2[[#This Row],[City]]="Pune","Yes","No")</f>
        <v>No</v>
      </c>
      <c r="O3666" s="1" t="str">
        <f>IF(AND(Employee__2[[#This Row],[Education]]="Bachelors",Employee__2[[#This Row],[City]]="Pune"),"Yes","No")</f>
        <v>No</v>
      </c>
      <c r="P3666" s="1" t="str">
        <f>IF(OR(Employee__2[[#This Row],[Age]]&gt;=30,Employee__2[[#This Row],[Gender]]="Male"),"Mached","Not mached")</f>
        <v>Mached</v>
      </c>
    </row>
    <row r="3667" spans="4:16" x14ac:dyDescent="0.25">
      <c r="D3667" s="6" t="s">
        <v>34</v>
      </c>
      <c r="E3667">
        <v>2018</v>
      </c>
      <c r="F3667" s="6" t="s">
        <v>38</v>
      </c>
      <c r="G3667">
        <v>2</v>
      </c>
      <c r="H3667">
        <v>31</v>
      </c>
      <c r="I3667" s="6" t="s">
        <v>39</v>
      </c>
      <c r="J3667" s="6" t="s">
        <v>37</v>
      </c>
      <c r="K3667">
        <v>3</v>
      </c>
      <c r="M3667" s="1" t="b">
        <f>Employee__2[[#This Row],[Experience]]&gt;1</f>
        <v>1</v>
      </c>
      <c r="N3667" s="1" t="str">
        <f>IF(Employee__2[[#This Row],[City]]="Pune","Yes","No")</f>
        <v>Yes</v>
      </c>
      <c r="O3667" s="1" t="str">
        <f>IF(AND(Employee__2[[#This Row],[Education]]="Bachelors",Employee__2[[#This Row],[City]]="Pune"),"Yes","No")</f>
        <v>Yes</v>
      </c>
      <c r="P3667" s="1" t="str">
        <f>IF(OR(Employee__2[[#This Row],[Age]]&gt;=30,Employee__2[[#This Row],[Gender]]="Male"),"Mached","Not mached")</f>
        <v>Mached</v>
      </c>
    </row>
    <row r="3668" spans="4:16" x14ac:dyDescent="0.25">
      <c r="D3668" s="6" t="s">
        <v>34</v>
      </c>
      <c r="E3668">
        <v>2014</v>
      </c>
      <c r="F3668" s="6" t="s">
        <v>38</v>
      </c>
      <c r="G3668">
        <v>3</v>
      </c>
      <c r="H3668">
        <v>32</v>
      </c>
      <c r="I3668" s="6" t="s">
        <v>39</v>
      </c>
      <c r="J3668" s="6" t="s">
        <v>37</v>
      </c>
      <c r="K3668">
        <v>4</v>
      </c>
      <c r="M3668" s="1" t="b">
        <f>Employee__2[[#This Row],[Experience]]&gt;1</f>
        <v>1</v>
      </c>
      <c r="N3668" s="1" t="str">
        <f>IF(Employee__2[[#This Row],[City]]="Pune","Yes","No")</f>
        <v>Yes</v>
      </c>
      <c r="O3668" s="1" t="str">
        <f>IF(AND(Employee__2[[#This Row],[Education]]="Bachelors",Employee__2[[#This Row],[City]]="Pune"),"Yes","No")</f>
        <v>Yes</v>
      </c>
      <c r="P3668" s="1" t="str">
        <f>IF(OR(Employee__2[[#This Row],[Age]]&gt;=30,Employee__2[[#This Row],[Gender]]="Male"),"Mached","Not mached")</f>
        <v>Mached</v>
      </c>
    </row>
    <row r="3669" spans="4:16" x14ac:dyDescent="0.25">
      <c r="D3669" s="6" t="s">
        <v>34</v>
      </c>
      <c r="E3669">
        <v>2013</v>
      </c>
      <c r="F3669" s="6" t="s">
        <v>35</v>
      </c>
      <c r="G3669">
        <v>3</v>
      </c>
      <c r="H3669">
        <v>35</v>
      </c>
      <c r="I3669" s="6" t="s">
        <v>36</v>
      </c>
      <c r="J3669" s="6" t="s">
        <v>42</v>
      </c>
      <c r="K3669">
        <v>1</v>
      </c>
      <c r="M3669" s="1" t="b">
        <f>Employee__2[[#This Row],[Experience]]&gt;1</f>
        <v>0</v>
      </c>
      <c r="N3669" s="1" t="str">
        <f>IF(Employee__2[[#This Row],[City]]="Pune","Yes","No")</f>
        <v>No</v>
      </c>
      <c r="O3669" s="1" t="str">
        <f>IF(AND(Employee__2[[#This Row],[Education]]="Bachelors",Employee__2[[#This Row],[City]]="Pune"),"Yes","No")</f>
        <v>No</v>
      </c>
      <c r="P3669" s="1" t="str">
        <f>IF(OR(Employee__2[[#This Row],[Age]]&gt;=30,Employee__2[[#This Row],[Gender]]="Male"),"Mached","Not mached")</f>
        <v>Mached</v>
      </c>
    </row>
    <row r="3670" spans="4:16" x14ac:dyDescent="0.25">
      <c r="D3670" s="6" t="s">
        <v>34</v>
      </c>
      <c r="E3670">
        <v>2014</v>
      </c>
      <c r="F3670" s="6" t="s">
        <v>35</v>
      </c>
      <c r="G3670">
        <v>3</v>
      </c>
      <c r="H3670">
        <v>35</v>
      </c>
      <c r="I3670" s="6" t="s">
        <v>36</v>
      </c>
      <c r="J3670" s="6" t="s">
        <v>37</v>
      </c>
      <c r="K3670">
        <v>0</v>
      </c>
      <c r="M3670" s="1" t="b">
        <f>Employee__2[[#This Row],[Experience]]&gt;1</f>
        <v>0</v>
      </c>
      <c r="N3670" s="1" t="str">
        <f>IF(Employee__2[[#This Row],[City]]="Pune","Yes","No")</f>
        <v>No</v>
      </c>
      <c r="O3670" s="1" t="str">
        <f>IF(AND(Employee__2[[#This Row],[Education]]="Bachelors",Employee__2[[#This Row],[City]]="Pune"),"Yes","No")</f>
        <v>No</v>
      </c>
      <c r="P3670" s="1" t="str">
        <f>IF(OR(Employee__2[[#This Row],[Age]]&gt;=30,Employee__2[[#This Row],[Gender]]="Male"),"Mached","Not mached")</f>
        <v>Mached</v>
      </c>
    </row>
    <row r="3671" spans="4:16" x14ac:dyDescent="0.25">
      <c r="D3671" s="6" t="s">
        <v>34</v>
      </c>
      <c r="E3671">
        <v>2012</v>
      </c>
      <c r="F3671" s="6" t="s">
        <v>35</v>
      </c>
      <c r="G3671">
        <v>3</v>
      </c>
      <c r="H3671">
        <v>33</v>
      </c>
      <c r="I3671" s="6" t="s">
        <v>39</v>
      </c>
      <c r="J3671" s="6" t="s">
        <v>37</v>
      </c>
      <c r="K3671">
        <v>4</v>
      </c>
      <c r="M3671" s="1" t="b">
        <f>Employee__2[[#This Row],[Experience]]&gt;1</f>
        <v>1</v>
      </c>
      <c r="N3671" s="1" t="str">
        <f>IF(Employee__2[[#This Row],[City]]="Pune","Yes","No")</f>
        <v>No</v>
      </c>
      <c r="O3671" s="1" t="str">
        <f>IF(AND(Employee__2[[#This Row],[Education]]="Bachelors",Employee__2[[#This Row],[City]]="Pune"),"Yes","No")</f>
        <v>No</v>
      </c>
      <c r="P3671" s="1" t="str">
        <f>IF(OR(Employee__2[[#This Row],[Age]]&gt;=30,Employee__2[[#This Row],[Gender]]="Male"),"Mached","Not mached")</f>
        <v>Mached</v>
      </c>
    </row>
    <row r="3672" spans="4:16" x14ac:dyDescent="0.25">
      <c r="D3672" s="6" t="s">
        <v>34</v>
      </c>
      <c r="E3672">
        <v>2012</v>
      </c>
      <c r="F3672" s="6" t="s">
        <v>40</v>
      </c>
      <c r="G3672">
        <v>3</v>
      </c>
      <c r="H3672">
        <v>41</v>
      </c>
      <c r="I3672" s="6" t="s">
        <v>39</v>
      </c>
      <c r="J3672" s="6" t="s">
        <v>37</v>
      </c>
      <c r="K3672">
        <v>0</v>
      </c>
      <c r="M3672" s="1" t="b">
        <f>Employee__2[[#This Row],[Experience]]&gt;1</f>
        <v>0</v>
      </c>
      <c r="N3672" s="1" t="str">
        <f>IF(Employee__2[[#This Row],[City]]="Pune","Yes","No")</f>
        <v>No</v>
      </c>
      <c r="O3672" s="1" t="str">
        <f>IF(AND(Employee__2[[#This Row],[Education]]="Bachelors",Employee__2[[#This Row],[City]]="Pune"),"Yes","No")</f>
        <v>No</v>
      </c>
      <c r="P3672" s="1" t="str">
        <f>IF(OR(Employee__2[[#This Row],[Age]]&gt;=30,Employee__2[[#This Row],[Gender]]="Male"),"Mached","Not mached")</f>
        <v>Mached</v>
      </c>
    </row>
    <row r="3673" spans="4:16" x14ac:dyDescent="0.25">
      <c r="D3673" s="6" t="s">
        <v>34</v>
      </c>
      <c r="E3673">
        <v>2015</v>
      </c>
      <c r="F3673" s="6" t="s">
        <v>38</v>
      </c>
      <c r="G3673">
        <v>1</v>
      </c>
      <c r="H3673">
        <v>31</v>
      </c>
      <c r="I3673" s="6" t="s">
        <v>39</v>
      </c>
      <c r="J3673" s="6" t="s">
        <v>37</v>
      </c>
      <c r="K3673">
        <v>3</v>
      </c>
      <c r="M3673" s="1" t="b">
        <f>Employee__2[[#This Row],[Experience]]&gt;1</f>
        <v>1</v>
      </c>
      <c r="N3673" s="1" t="str">
        <f>IF(Employee__2[[#This Row],[City]]="Pune","Yes","No")</f>
        <v>Yes</v>
      </c>
      <c r="O3673" s="1" t="str">
        <f>IF(AND(Employee__2[[#This Row],[Education]]="Bachelors",Employee__2[[#This Row],[City]]="Pune"),"Yes","No")</f>
        <v>Yes</v>
      </c>
      <c r="P3673" s="1" t="str">
        <f>IF(OR(Employee__2[[#This Row],[Age]]&gt;=30,Employee__2[[#This Row],[Gender]]="Male"),"Mached","Not mached")</f>
        <v>Mached</v>
      </c>
    </row>
    <row r="3674" spans="4:16" x14ac:dyDescent="0.25">
      <c r="D3674" s="6" t="s">
        <v>34</v>
      </c>
      <c r="E3674">
        <v>2016</v>
      </c>
      <c r="F3674" s="6" t="s">
        <v>35</v>
      </c>
      <c r="G3674">
        <v>3</v>
      </c>
      <c r="H3674">
        <v>34</v>
      </c>
      <c r="I3674" s="6" t="s">
        <v>36</v>
      </c>
      <c r="J3674" s="6" t="s">
        <v>37</v>
      </c>
      <c r="K3674">
        <v>3</v>
      </c>
      <c r="M3674" s="1" t="b">
        <f>Employee__2[[#This Row],[Experience]]&gt;1</f>
        <v>1</v>
      </c>
      <c r="N3674" s="1" t="str">
        <f>IF(Employee__2[[#This Row],[City]]="Pune","Yes","No")</f>
        <v>No</v>
      </c>
      <c r="O3674" s="1" t="str">
        <f>IF(AND(Employee__2[[#This Row],[Education]]="Bachelors",Employee__2[[#This Row],[City]]="Pune"),"Yes","No")</f>
        <v>No</v>
      </c>
      <c r="P3674" s="1" t="str">
        <f>IF(OR(Employee__2[[#This Row],[Age]]&gt;=30,Employee__2[[#This Row],[Gender]]="Male"),"Mached","Not mached")</f>
        <v>Mached</v>
      </c>
    </row>
    <row r="3675" spans="4:16" x14ac:dyDescent="0.25">
      <c r="D3675" s="6" t="s">
        <v>41</v>
      </c>
      <c r="E3675">
        <v>2017</v>
      </c>
      <c r="F3675" s="6" t="s">
        <v>40</v>
      </c>
      <c r="G3675">
        <v>2</v>
      </c>
      <c r="H3675">
        <v>40</v>
      </c>
      <c r="I3675" s="6" t="s">
        <v>39</v>
      </c>
      <c r="J3675" s="6" t="s">
        <v>37</v>
      </c>
      <c r="K3675">
        <v>2</v>
      </c>
      <c r="M3675" s="1" t="b">
        <f>Employee__2[[#This Row],[Experience]]&gt;1</f>
        <v>1</v>
      </c>
      <c r="N3675" s="1" t="str">
        <f>IF(Employee__2[[#This Row],[City]]="Pune","Yes","No")</f>
        <v>No</v>
      </c>
      <c r="O3675" s="1" t="str">
        <f>IF(AND(Employee__2[[#This Row],[Education]]="Bachelors",Employee__2[[#This Row],[City]]="Pune"),"Yes","No")</f>
        <v>No</v>
      </c>
      <c r="P3675" s="1" t="str">
        <f>IF(OR(Employee__2[[#This Row],[Age]]&gt;=30,Employee__2[[#This Row],[Gender]]="Male"),"Mached","Not mached")</f>
        <v>Mached</v>
      </c>
    </row>
    <row r="3676" spans="4:16" x14ac:dyDescent="0.25">
      <c r="D3676" s="6" t="s">
        <v>41</v>
      </c>
      <c r="E3676">
        <v>2016</v>
      </c>
      <c r="F3676" s="6" t="s">
        <v>35</v>
      </c>
      <c r="G3676">
        <v>3</v>
      </c>
      <c r="H3676">
        <v>32</v>
      </c>
      <c r="I3676" s="6" t="s">
        <v>36</v>
      </c>
      <c r="J3676" s="6" t="s">
        <v>37</v>
      </c>
      <c r="K3676">
        <v>1</v>
      </c>
      <c r="M3676" s="1" t="b">
        <f>Employee__2[[#This Row],[Experience]]&gt;1</f>
        <v>0</v>
      </c>
      <c r="N3676" s="1" t="str">
        <f>IF(Employee__2[[#This Row],[City]]="Pune","Yes","No")</f>
        <v>No</v>
      </c>
      <c r="O3676" s="1" t="str">
        <f>IF(AND(Employee__2[[#This Row],[Education]]="Bachelors",Employee__2[[#This Row],[City]]="Pune"),"Yes","No")</f>
        <v>No</v>
      </c>
      <c r="P3676" s="1" t="str">
        <f>IF(OR(Employee__2[[#This Row],[Age]]&gt;=30,Employee__2[[#This Row],[Gender]]="Male"),"Mached","Not mached")</f>
        <v>Mached</v>
      </c>
    </row>
    <row r="3677" spans="4:16" x14ac:dyDescent="0.25">
      <c r="D3677" s="6" t="s">
        <v>34</v>
      </c>
      <c r="E3677">
        <v>2012</v>
      </c>
      <c r="F3677" s="6" t="s">
        <v>35</v>
      </c>
      <c r="G3677">
        <v>3</v>
      </c>
      <c r="H3677">
        <v>36</v>
      </c>
      <c r="I3677" s="6" t="s">
        <v>36</v>
      </c>
      <c r="J3677" s="6" t="s">
        <v>37</v>
      </c>
      <c r="K3677">
        <v>5</v>
      </c>
      <c r="M3677" s="1" t="b">
        <f>Employee__2[[#This Row],[Experience]]&gt;1</f>
        <v>1</v>
      </c>
      <c r="N3677" s="1" t="str">
        <f>IF(Employee__2[[#This Row],[City]]="Pune","Yes","No")</f>
        <v>No</v>
      </c>
      <c r="O3677" s="1" t="str">
        <f>IF(AND(Employee__2[[#This Row],[Education]]="Bachelors",Employee__2[[#This Row],[City]]="Pune"),"Yes","No")</f>
        <v>No</v>
      </c>
      <c r="P3677" s="1" t="str">
        <f>IF(OR(Employee__2[[#This Row],[Age]]&gt;=30,Employee__2[[#This Row],[Gender]]="Male"),"Mached","Not mached")</f>
        <v>Mached</v>
      </c>
    </row>
    <row r="3678" spans="4:16" x14ac:dyDescent="0.25">
      <c r="D3678" s="6" t="s">
        <v>34</v>
      </c>
      <c r="E3678">
        <v>2014</v>
      </c>
      <c r="F3678" s="6" t="s">
        <v>38</v>
      </c>
      <c r="G3678">
        <v>2</v>
      </c>
      <c r="H3678">
        <v>40</v>
      </c>
      <c r="I3678" s="6" t="s">
        <v>39</v>
      </c>
      <c r="J3678" s="6" t="s">
        <v>37</v>
      </c>
      <c r="K3678">
        <v>3</v>
      </c>
      <c r="M3678" s="1" t="b">
        <f>Employee__2[[#This Row],[Experience]]&gt;1</f>
        <v>1</v>
      </c>
      <c r="N3678" s="1" t="str">
        <f>IF(Employee__2[[#This Row],[City]]="Pune","Yes","No")</f>
        <v>Yes</v>
      </c>
      <c r="O3678" s="1" t="str">
        <f>IF(AND(Employee__2[[#This Row],[Education]]="Bachelors",Employee__2[[#This Row],[City]]="Pune"),"Yes","No")</f>
        <v>Yes</v>
      </c>
      <c r="P3678" s="1" t="str">
        <f>IF(OR(Employee__2[[#This Row],[Age]]&gt;=30,Employee__2[[#This Row],[Gender]]="Male"),"Mached","Not mached")</f>
        <v>Mached</v>
      </c>
    </row>
    <row r="3679" spans="4:16" x14ac:dyDescent="0.25">
      <c r="D3679" s="6" t="s">
        <v>34</v>
      </c>
      <c r="E3679">
        <v>2012</v>
      </c>
      <c r="F3679" s="6" t="s">
        <v>38</v>
      </c>
      <c r="G3679">
        <v>3</v>
      </c>
      <c r="H3679">
        <v>31</v>
      </c>
      <c r="I3679" s="6" t="s">
        <v>36</v>
      </c>
      <c r="J3679" s="6" t="s">
        <v>37</v>
      </c>
      <c r="K3679">
        <v>3</v>
      </c>
      <c r="M3679" s="1" t="b">
        <f>Employee__2[[#This Row],[Experience]]&gt;1</f>
        <v>1</v>
      </c>
      <c r="N3679" s="1" t="str">
        <f>IF(Employee__2[[#This Row],[City]]="Pune","Yes","No")</f>
        <v>Yes</v>
      </c>
      <c r="O3679" s="1" t="str">
        <f>IF(AND(Employee__2[[#This Row],[Education]]="Bachelors",Employee__2[[#This Row],[City]]="Pune"),"Yes","No")</f>
        <v>Yes</v>
      </c>
      <c r="P3679" s="1" t="str">
        <f>IF(OR(Employee__2[[#This Row],[Age]]&gt;=30,Employee__2[[#This Row],[Gender]]="Male"),"Mached","Not mached")</f>
        <v>Mached</v>
      </c>
    </row>
    <row r="3680" spans="4:16" x14ac:dyDescent="0.25">
      <c r="D3680" s="6" t="s">
        <v>34</v>
      </c>
      <c r="E3680">
        <v>2014</v>
      </c>
      <c r="F3680" s="6" t="s">
        <v>35</v>
      </c>
      <c r="G3680">
        <v>1</v>
      </c>
      <c r="H3680">
        <v>34</v>
      </c>
      <c r="I3680" s="6" t="s">
        <v>39</v>
      </c>
      <c r="J3680" s="6" t="s">
        <v>37</v>
      </c>
      <c r="K3680">
        <v>5</v>
      </c>
      <c r="M3680" s="1" t="b">
        <f>Employee__2[[#This Row],[Experience]]&gt;1</f>
        <v>1</v>
      </c>
      <c r="N3680" s="1" t="str">
        <f>IF(Employee__2[[#This Row],[City]]="Pune","Yes","No")</f>
        <v>No</v>
      </c>
      <c r="O3680" s="1" t="str">
        <f>IF(AND(Employee__2[[#This Row],[Education]]="Bachelors",Employee__2[[#This Row],[City]]="Pune"),"Yes","No")</f>
        <v>No</v>
      </c>
      <c r="P3680" s="1" t="str">
        <f>IF(OR(Employee__2[[#This Row],[Age]]&gt;=30,Employee__2[[#This Row],[Gender]]="Male"),"Mached","Not mached")</f>
        <v>Mached</v>
      </c>
    </row>
    <row r="3681" spans="4:16" x14ac:dyDescent="0.25">
      <c r="D3681" s="6" t="s">
        <v>41</v>
      </c>
      <c r="E3681">
        <v>2013</v>
      </c>
      <c r="F3681" s="6" t="s">
        <v>40</v>
      </c>
      <c r="G3681">
        <v>3</v>
      </c>
      <c r="H3681">
        <v>41</v>
      </c>
      <c r="I3681" s="6" t="s">
        <v>39</v>
      </c>
      <c r="J3681" s="6" t="s">
        <v>42</v>
      </c>
      <c r="K3681">
        <v>2</v>
      </c>
      <c r="M3681" s="1" t="b">
        <f>Employee__2[[#This Row],[Experience]]&gt;1</f>
        <v>1</v>
      </c>
      <c r="N3681" s="1" t="str">
        <f>IF(Employee__2[[#This Row],[City]]="Pune","Yes","No")</f>
        <v>No</v>
      </c>
      <c r="O3681" s="1" t="str">
        <f>IF(AND(Employee__2[[#This Row],[Education]]="Bachelors",Employee__2[[#This Row],[City]]="Pune"),"Yes","No")</f>
        <v>No</v>
      </c>
      <c r="P3681" s="1" t="str">
        <f>IF(OR(Employee__2[[#This Row],[Age]]&gt;=30,Employee__2[[#This Row],[Gender]]="Male"),"Mached","Not mached")</f>
        <v>Mached</v>
      </c>
    </row>
    <row r="3682" spans="4:16" x14ac:dyDescent="0.25">
      <c r="D3682" s="6" t="s">
        <v>41</v>
      </c>
      <c r="E3682">
        <v>2017</v>
      </c>
      <c r="F3682" s="6" t="s">
        <v>40</v>
      </c>
      <c r="G3682">
        <v>2</v>
      </c>
      <c r="H3682">
        <v>32</v>
      </c>
      <c r="I3682" s="6" t="s">
        <v>36</v>
      </c>
      <c r="J3682" s="6" t="s">
        <v>37</v>
      </c>
      <c r="K3682">
        <v>2</v>
      </c>
      <c r="M3682" s="1" t="b">
        <f>Employee__2[[#This Row],[Experience]]&gt;1</f>
        <v>1</v>
      </c>
      <c r="N3682" s="1" t="str">
        <f>IF(Employee__2[[#This Row],[City]]="Pune","Yes","No")</f>
        <v>No</v>
      </c>
      <c r="O3682" s="1" t="str">
        <f>IF(AND(Employee__2[[#This Row],[Education]]="Bachelors",Employee__2[[#This Row],[City]]="Pune"),"Yes","No")</f>
        <v>No</v>
      </c>
      <c r="P3682" s="1" t="str">
        <f>IF(OR(Employee__2[[#This Row],[Age]]&gt;=30,Employee__2[[#This Row],[Gender]]="Male"),"Mached","Not mached")</f>
        <v>Mached</v>
      </c>
    </row>
    <row r="3683" spans="4:16" x14ac:dyDescent="0.25">
      <c r="D3683" s="6" t="s">
        <v>34</v>
      </c>
      <c r="E3683">
        <v>2016</v>
      </c>
      <c r="F3683" s="6" t="s">
        <v>35</v>
      </c>
      <c r="G3683">
        <v>3</v>
      </c>
      <c r="H3683">
        <v>41</v>
      </c>
      <c r="I3683" s="6" t="s">
        <v>36</v>
      </c>
      <c r="J3683" s="6" t="s">
        <v>37</v>
      </c>
      <c r="K3683">
        <v>2</v>
      </c>
      <c r="M3683" s="1" t="b">
        <f>Employee__2[[#This Row],[Experience]]&gt;1</f>
        <v>1</v>
      </c>
      <c r="N3683" s="1" t="str">
        <f>IF(Employee__2[[#This Row],[City]]="Pune","Yes","No")</f>
        <v>No</v>
      </c>
      <c r="O3683" s="1" t="str">
        <f>IF(AND(Employee__2[[#This Row],[Education]]="Bachelors",Employee__2[[#This Row],[City]]="Pune"),"Yes","No")</f>
        <v>No</v>
      </c>
      <c r="P3683" s="1" t="str">
        <f>IF(OR(Employee__2[[#This Row],[Age]]&gt;=30,Employee__2[[#This Row],[Gender]]="Male"),"Mached","Not mached")</f>
        <v>Mached</v>
      </c>
    </row>
    <row r="3684" spans="4:16" x14ac:dyDescent="0.25">
      <c r="D3684" s="6" t="s">
        <v>41</v>
      </c>
      <c r="E3684">
        <v>2014</v>
      </c>
      <c r="F3684" s="6" t="s">
        <v>40</v>
      </c>
      <c r="G3684">
        <v>3</v>
      </c>
      <c r="H3684">
        <v>33</v>
      </c>
      <c r="I3684" s="6" t="s">
        <v>36</v>
      </c>
      <c r="J3684" s="6" t="s">
        <v>37</v>
      </c>
      <c r="K3684">
        <v>3</v>
      </c>
      <c r="M3684" s="1" t="b">
        <f>Employee__2[[#This Row],[Experience]]&gt;1</f>
        <v>1</v>
      </c>
      <c r="N3684" s="1" t="str">
        <f>IF(Employee__2[[#This Row],[City]]="Pune","Yes","No")</f>
        <v>No</v>
      </c>
      <c r="O3684" s="1" t="str">
        <f>IF(AND(Employee__2[[#This Row],[Education]]="Bachelors",Employee__2[[#This Row],[City]]="Pune"),"Yes","No")</f>
        <v>No</v>
      </c>
      <c r="P3684" s="1" t="str">
        <f>IF(OR(Employee__2[[#This Row],[Age]]&gt;=30,Employee__2[[#This Row],[Gender]]="Male"),"Mached","Not mached")</f>
        <v>Mached</v>
      </c>
    </row>
    <row r="3685" spans="4:16" x14ac:dyDescent="0.25">
      <c r="D3685" s="6" t="s">
        <v>34</v>
      </c>
      <c r="E3685">
        <v>2013</v>
      </c>
      <c r="F3685" s="6" t="s">
        <v>35</v>
      </c>
      <c r="G3685">
        <v>3</v>
      </c>
      <c r="H3685">
        <v>33</v>
      </c>
      <c r="I3685" s="6" t="s">
        <v>39</v>
      </c>
      <c r="J3685" s="6" t="s">
        <v>37</v>
      </c>
      <c r="K3685">
        <v>0</v>
      </c>
      <c r="M3685" s="1" t="b">
        <f>Employee__2[[#This Row],[Experience]]&gt;1</f>
        <v>0</v>
      </c>
      <c r="N3685" s="1" t="str">
        <f>IF(Employee__2[[#This Row],[City]]="Pune","Yes","No")</f>
        <v>No</v>
      </c>
      <c r="O3685" s="1" t="str">
        <f>IF(AND(Employee__2[[#This Row],[Education]]="Bachelors",Employee__2[[#This Row],[City]]="Pune"),"Yes","No")</f>
        <v>No</v>
      </c>
      <c r="P3685" s="1" t="str">
        <f>IF(OR(Employee__2[[#This Row],[Age]]&gt;=30,Employee__2[[#This Row],[Gender]]="Male"),"Mached","Not mached")</f>
        <v>Mached</v>
      </c>
    </row>
    <row r="3686" spans="4:16" x14ac:dyDescent="0.25">
      <c r="D3686" s="6" t="s">
        <v>34</v>
      </c>
      <c r="E3686">
        <v>2013</v>
      </c>
      <c r="F3686" s="6" t="s">
        <v>38</v>
      </c>
      <c r="G3686">
        <v>3</v>
      </c>
      <c r="H3686">
        <v>39</v>
      </c>
      <c r="I3686" s="6" t="s">
        <v>39</v>
      </c>
      <c r="J3686" s="6" t="s">
        <v>37</v>
      </c>
      <c r="K3686">
        <v>2</v>
      </c>
      <c r="M3686" s="1" t="b">
        <f>Employee__2[[#This Row],[Experience]]&gt;1</f>
        <v>1</v>
      </c>
      <c r="N3686" s="1" t="str">
        <f>IF(Employee__2[[#This Row],[City]]="Pune","Yes","No")</f>
        <v>Yes</v>
      </c>
      <c r="O3686" s="1" t="str">
        <f>IF(AND(Employee__2[[#This Row],[Education]]="Bachelors",Employee__2[[#This Row],[City]]="Pune"),"Yes","No")</f>
        <v>Yes</v>
      </c>
      <c r="P3686" s="1" t="str">
        <f>IF(OR(Employee__2[[#This Row],[Age]]&gt;=30,Employee__2[[#This Row],[Gender]]="Male"),"Mached","Not mached")</f>
        <v>Mached</v>
      </c>
    </row>
    <row r="3687" spans="4:16" x14ac:dyDescent="0.25">
      <c r="D3687" s="6" t="s">
        <v>41</v>
      </c>
      <c r="E3687">
        <v>2018</v>
      </c>
      <c r="F3687" s="6" t="s">
        <v>38</v>
      </c>
      <c r="G3687">
        <v>3</v>
      </c>
      <c r="H3687">
        <v>40</v>
      </c>
      <c r="I3687" s="6" t="s">
        <v>36</v>
      </c>
      <c r="J3687" s="6" t="s">
        <v>37</v>
      </c>
      <c r="K3687">
        <v>2</v>
      </c>
      <c r="M3687" s="1" t="b">
        <f>Employee__2[[#This Row],[Experience]]&gt;1</f>
        <v>1</v>
      </c>
      <c r="N3687" s="1" t="str">
        <f>IF(Employee__2[[#This Row],[City]]="Pune","Yes","No")</f>
        <v>Yes</v>
      </c>
      <c r="O3687" s="1" t="str">
        <f>IF(AND(Employee__2[[#This Row],[Education]]="Bachelors",Employee__2[[#This Row],[City]]="Pune"),"Yes","No")</f>
        <v>No</v>
      </c>
      <c r="P3687" s="1" t="str">
        <f>IF(OR(Employee__2[[#This Row],[Age]]&gt;=30,Employee__2[[#This Row],[Gender]]="Male"),"Mached","Not mached")</f>
        <v>Mached</v>
      </c>
    </row>
    <row r="3688" spans="4:16" x14ac:dyDescent="0.25">
      <c r="D3688" s="6" t="s">
        <v>34</v>
      </c>
      <c r="E3688">
        <v>2017</v>
      </c>
      <c r="F3688" s="6" t="s">
        <v>40</v>
      </c>
      <c r="G3688">
        <v>3</v>
      </c>
      <c r="H3688">
        <v>34</v>
      </c>
      <c r="I3688" s="6" t="s">
        <v>36</v>
      </c>
      <c r="J3688" s="6" t="s">
        <v>37</v>
      </c>
      <c r="K3688">
        <v>3</v>
      </c>
      <c r="M3688" s="1" t="b">
        <f>Employee__2[[#This Row],[Experience]]&gt;1</f>
        <v>1</v>
      </c>
      <c r="N3688" s="1" t="str">
        <f>IF(Employee__2[[#This Row],[City]]="Pune","Yes","No")</f>
        <v>No</v>
      </c>
      <c r="O3688" s="1" t="str">
        <f>IF(AND(Employee__2[[#This Row],[Education]]="Bachelors",Employee__2[[#This Row],[City]]="Pune"),"Yes","No")</f>
        <v>No</v>
      </c>
      <c r="P3688" s="1" t="str">
        <f>IF(OR(Employee__2[[#This Row],[Age]]&gt;=30,Employee__2[[#This Row],[Gender]]="Male"),"Mached","Not mached")</f>
        <v>Mached</v>
      </c>
    </row>
    <row r="3689" spans="4:16" x14ac:dyDescent="0.25">
      <c r="D3689" s="6" t="s">
        <v>34</v>
      </c>
      <c r="E3689">
        <v>2016</v>
      </c>
      <c r="F3689" s="6" t="s">
        <v>38</v>
      </c>
      <c r="G3689">
        <v>3</v>
      </c>
      <c r="H3689">
        <v>41</v>
      </c>
      <c r="I3689" s="6" t="s">
        <v>36</v>
      </c>
      <c r="J3689" s="6" t="s">
        <v>42</v>
      </c>
      <c r="K3689">
        <v>5</v>
      </c>
      <c r="M3689" s="1" t="b">
        <f>Employee__2[[#This Row],[Experience]]&gt;1</f>
        <v>1</v>
      </c>
      <c r="N3689" s="1" t="str">
        <f>IF(Employee__2[[#This Row],[City]]="Pune","Yes","No")</f>
        <v>Yes</v>
      </c>
      <c r="O3689" s="1" t="str">
        <f>IF(AND(Employee__2[[#This Row],[Education]]="Bachelors",Employee__2[[#This Row],[City]]="Pune"),"Yes","No")</f>
        <v>Yes</v>
      </c>
      <c r="P3689" s="1" t="str">
        <f>IF(OR(Employee__2[[#This Row],[Age]]&gt;=30,Employee__2[[#This Row],[Gender]]="Male"),"Mached","Not mached")</f>
        <v>Mached</v>
      </c>
    </row>
    <row r="3690" spans="4:16" x14ac:dyDescent="0.25">
      <c r="D3690" s="6" t="s">
        <v>34</v>
      </c>
      <c r="E3690">
        <v>2015</v>
      </c>
      <c r="F3690" s="6" t="s">
        <v>38</v>
      </c>
      <c r="G3690">
        <v>3</v>
      </c>
      <c r="H3690">
        <v>37</v>
      </c>
      <c r="I3690" s="6" t="s">
        <v>36</v>
      </c>
      <c r="J3690" s="6" t="s">
        <v>37</v>
      </c>
      <c r="K3690">
        <v>5</v>
      </c>
      <c r="M3690" s="1" t="b">
        <f>Employee__2[[#This Row],[Experience]]&gt;1</f>
        <v>1</v>
      </c>
      <c r="N3690" s="1" t="str">
        <f>IF(Employee__2[[#This Row],[City]]="Pune","Yes","No")</f>
        <v>Yes</v>
      </c>
      <c r="O3690" s="1" t="str">
        <f>IF(AND(Employee__2[[#This Row],[Education]]="Bachelors",Employee__2[[#This Row],[City]]="Pune"),"Yes","No")</f>
        <v>Yes</v>
      </c>
      <c r="P3690" s="1" t="str">
        <f>IF(OR(Employee__2[[#This Row],[Age]]&gt;=30,Employee__2[[#This Row],[Gender]]="Male"),"Mached","Not mached")</f>
        <v>Mached</v>
      </c>
    </row>
    <row r="3691" spans="4:16" x14ac:dyDescent="0.25">
      <c r="D3691" s="6" t="s">
        <v>41</v>
      </c>
      <c r="E3691">
        <v>2017</v>
      </c>
      <c r="F3691" s="6" t="s">
        <v>35</v>
      </c>
      <c r="G3691">
        <v>3</v>
      </c>
      <c r="H3691">
        <v>32</v>
      </c>
      <c r="I3691" s="6" t="s">
        <v>39</v>
      </c>
      <c r="J3691" s="6" t="s">
        <v>37</v>
      </c>
      <c r="K3691">
        <v>4</v>
      </c>
      <c r="M3691" s="1" t="b">
        <f>Employee__2[[#This Row],[Experience]]&gt;1</f>
        <v>1</v>
      </c>
      <c r="N3691" s="1" t="str">
        <f>IF(Employee__2[[#This Row],[City]]="Pune","Yes","No")</f>
        <v>No</v>
      </c>
      <c r="O3691" s="1" t="str">
        <f>IF(AND(Employee__2[[#This Row],[Education]]="Bachelors",Employee__2[[#This Row],[City]]="Pune"),"Yes","No")</f>
        <v>No</v>
      </c>
      <c r="P3691" s="1" t="str">
        <f>IF(OR(Employee__2[[#This Row],[Age]]&gt;=30,Employee__2[[#This Row],[Gender]]="Male"),"Mached","Not mached")</f>
        <v>Mached</v>
      </c>
    </row>
    <row r="3692" spans="4:16" x14ac:dyDescent="0.25">
      <c r="D3692" s="6" t="s">
        <v>34</v>
      </c>
      <c r="E3692">
        <v>2017</v>
      </c>
      <c r="F3692" s="6" t="s">
        <v>35</v>
      </c>
      <c r="G3692">
        <v>3</v>
      </c>
      <c r="H3692">
        <v>41</v>
      </c>
      <c r="I3692" s="6" t="s">
        <v>36</v>
      </c>
      <c r="J3692" s="6" t="s">
        <v>37</v>
      </c>
      <c r="K3692">
        <v>3</v>
      </c>
      <c r="M3692" s="1" t="b">
        <f>Employee__2[[#This Row],[Experience]]&gt;1</f>
        <v>1</v>
      </c>
      <c r="N3692" s="1" t="str">
        <f>IF(Employee__2[[#This Row],[City]]="Pune","Yes","No")</f>
        <v>No</v>
      </c>
      <c r="O3692" s="1" t="str">
        <f>IF(AND(Employee__2[[#This Row],[Education]]="Bachelors",Employee__2[[#This Row],[City]]="Pune"),"Yes","No")</f>
        <v>No</v>
      </c>
      <c r="P3692" s="1" t="str">
        <f>IF(OR(Employee__2[[#This Row],[Age]]&gt;=30,Employee__2[[#This Row],[Gender]]="Male"),"Mached","Not mached")</f>
        <v>Mached</v>
      </c>
    </row>
    <row r="3693" spans="4:16" x14ac:dyDescent="0.25">
      <c r="D3693" s="6" t="s">
        <v>34</v>
      </c>
      <c r="E3693">
        <v>2018</v>
      </c>
      <c r="F3693" s="6" t="s">
        <v>35</v>
      </c>
      <c r="G3693">
        <v>3</v>
      </c>
      <c r="H3693">
        <v>34</v>
      </c>
      <c r="I3693" s="6" t="s">
        <v>39</v>
      </c>
      <c r="J3693" s="6" t="s">
        <v>42</v>
      </c>
      <c r="K3693">
        <v>2</v>
      </c>
      <c r="M3693" s="1" t="b">
        <f>Employee__2[[#This Row],[Experience]]&gt;1</f>
        <v>1</v>
      </c>
      <c r="N3693" s="1" t="str">
        <f>IF(Employee__2[[#This Row],[City]]="Pune","Yes","No")</f>
        <v>No</v>
      </c>
      <c r="O3693" s="1" t="str">
        <f>IF(AND(Employee__2[[#This Row],[Education]]="Bachelors",Employee__2[[#This Row],[City]]="Pune"),"Yes","No")</f>
        <v>No</v>
      </c>
      <c r="P3693" s="1" t="str">
        <f>IF(OR(Employee__2[[#This Row],[Age]]&gt;=30,Employee__2[[#This Row],[Gender]]="Male"),"Mached","Not mached")</f>
        <v>Mached</v>
      </c>
    </row>
    <row r="3694" spans="4:16" x14ac:dyDescent="0.25">
      <c r="D3694" s="6" t="s">
        <v>41</v>
      </c>
      <c r="E3694">
        <v>2017</v>
      </c>
      <c r="F3694" s="6" t="s">
        <v>35</v>
      </c>
      <c r="G3694">
        <v>3</v>
      </c>
      <c r="H3694">
        <v>38</v>
      </c>
      <c r="I3694" s="6" t="s">
        <v>36</v>
      </c>
      <c r="J3694" s="6" t="s">
        <v>37</v>
      </c>
      <c r="K3694">
        <v>5</v>
      </c>
      <c r="M3694" s="1" t="b">
        <f>Employee__2[[#This Row],[Experience]]&gt;1</f>
        <v>1</v>
      </c>
      <c r="N3694" s="1" t="str">
        <f>IF(Employee__2[[#This Row],[City]]="Pune","Yes","No")</f>
        <v>No</v>
      </c>
      <c r="O3694" s="1" t="str">
        <f>IF(AND(Employee__2[[#This Row],[Education]]="Bachelors",Employee__2[[#This Row],[City]]="Pune"),"Yes","No")</f>
        <v>No</v>
      </c>
      <c r="P3694" s="1" t="str">
        <f>IF(OR(Employee__2[[#This Row],[Age]]&gt;=30,Employee__2[[#This Row],[Gender]]="Male"),"Mached","Not mached")</f>
        <v>Mached</v>
      </c>
    </row>
    <row r="3695" spans="4:16" x14ac:dyDescent="0.25">
      <c r="D3695" s="6" t="s">
        <v>34</v>
      </c>
      <c r="E3695">
        <v>2017</v>
      </c>
      <c r="F3695" s="6" t="s">
        <v>35</v>
      </c>
      <c r="G3695">
        <v>3</v>
      </c>
      <c r="H3695">
        <v>40</v>
      </c>
      <c r="I3695" s="6" t="s">
        <v>39</v>
      </c>
      <c r="J3695" s="6" t="s">
        <v>37</v>
      </c>
      <c r="K3695">
        <v>3</v>
      </c>
      <c r="M3695" s="1" t="b">
        <f>Employee__2[[#This Row],[Experience]]&gt;1</f>
        <v>1</v>
      </c>
      <c r="N3695" s="1" t="str">
        <f>IF(Employee__2[[#This Row],[City]]="Pune","Yes","No")</f>
        <v>No</v>
      </c>
      <c r="O3695" s="1" t="str">
        <f>IF(AND(Employee__2[[#This Row],[Education]]="Bachelors",Employee__2[[#This Row],[City]]="Pune"),"Yes","No")</f>
        <v>No</v>
      </c>
      <c r="P3695" s="1" t="str">
        <f>IF(OR(Employee__2[[#This Row],[Age]]&gt;=30,Employee__2[[#This Row],[Gender]]="Male"),"Mached","Not mached")</f>
        <v>Mached</v>
      </c>
    </row>
    <row r="3696" spans="4:16" x14ac:dyDescent="0.25">
      <c r="D3696" s="6" t="s">
        <v>41</v>
      </c>
      <c r="E3696">
        <v>2017</v>
      </c>
      <c r="F3696" s="6" t="s">
        <v>38</v>
      </c>
      <c r="G3696">
        <v>3</v>
      </c>
      <c r="H3696">
        <v>35</v>
      </c>
      <c r="I3696" s="6" t="s">
        <v>36</v>
      </c>
      <c r="J3696" s="6" t="s">
        <v>37</v>
      </c>
      <c r="K3696">
        <v>2</v>
      </c>
      <c r="M3696" s="1" t="b">
        <f>Employee__2[[#This Row],[Experience]]&gt;1</f>
        <v>1</v>
      </c>
      <c r="N3696" s="1" t="str">
        <f>IF(Employee__2[[#This Row],[City]]="Pune","Yes","No")</f>
        <v>Yes</v>
      </c>
      <c r="O3696" s="1" t="str">
        <f>IF(AND(Employee__2[[#This Row],[Education]]="Bachelors",Employee__2[[#This Row],[City]]="Pune"),"Yes","No")</f>
        <v>No</v>
      </c>
      <c r="P3696" s="1" t="str">
        <f>IF(OR(Employee__2[[#This Row],[Age]]&gt;=30,Employee__2[[#This Row],[Gender]]="Male"),"Mached","Not mached")</f>
        <v>Mached</v>
      </c>
    </row>
    <row r="3697" spans="4:16" x14ac:dyDescent="0.25">
      <c r="D3697" s="6" t="s">
        <v>34</v>
      </c>
      <c r="E3697">
        <v>2015</v>
      </c>
      <c r="F3697" s="6" t="s">
        <v>38</v>
      </c>
      <c r="G3697">
        <v>3</v>
      </c>
      <c r="H3697">
        <v>31</v>
      </c>
      <c r="I3697" s="6" t="s">
        <v>36</v>
      </c>
      <c r="J3697" s="6" t="s">
        <v>37</v>
      </c>
      <c r="K3697">
        <v>1</v>
      </c>
      <c r="M3697" s="1" t="b">
        <f>Employee__2[[#This Row],[Experience]]&gt;1</f>
        <v>0</v>
      </c>
      <c r="N3697" s="1" t="str">
        <f>IF(Employee__2[[#This Row],[City]]="Pune","Yes","No")</f>
        <v>Yes</v>
      </c>
      <c r="O3697" s="1" t="str">
        <f>IF(AND(Employee__2[[#This Row],[Education]]="Bachelors",Employee__2[[#This Row],[City]]="Pune"),"Yes","No")</f>
        <v>Yes</v>
      </c>
      <c r="P3697" s="1" t="str">
        <f>IF(OR(Employee__2[[#This Row],[Age]]&gt;=30,Employee__2[[#This Row],[Gender]]="Male"),"Mached","Not mached")</f>
        <v>Mached</v>
      </c>
    </row>
    <row r="3698" spans="4:16" x14ac:dyDescent="0.25">
      <c r="D3698" s="6" t="s">
        <v>34</v>
      </c>
      <c r="E3698">
        <v>2016</v>
      </c>
      <c r="F3698" s="6" t="s">
        <v>38</v>
      </c>
      <c r="G3698">
        <v>3</v>
      </c>
      <c r="H3698">
        <v>39</v>
      </c>
      <c r="I3698" s="6" t="s">
        <v>36</v>
      </c>
      <c r="J3698" s="6" t="s">
        <v>37</v>
      </c>
      <c r="K3698">
        <v>4</v>
      </c>
      <c r="M3698" s="1" t="b">
        <f>Employee__2[[#This Row],[Experience]]&gt;1</f>
        <v>1</v>
      </c>
      <c r="N3698" s="1" t="str">
        <f>IF(Employee__2[[#This Row],[City]]="Pune","Yes","No")</f>
        <v>Yes</v>
      </c>
      <c r="O3698" s="1" t="str">
        <f>IF(AND(Employee__2[[#This Row],[Education]]="Bachelors",Employee__2[[#This Row],[City]]="Pune"),"Yes","No")</f>
        <v>Yes</v>
      </c>
      <c r="P3698" s="1" t="str">
        <f>IF(OR(Employee__2[[#This Row],[Age]]&gt;=30,Employee__2[[#This Row],[Gender]]="Male"),"Mached","Not mached")</f>
        <v>Mached</v>
      </c>
    </row>
    <row r="3699" spans="4:16" x14ac:dyDescent="0.25">
      <c r="D3699" s="6" t="s">
        <v>34</v>
      </c>
      <c r="E3699">
        <v>2018</v>
      </c>
      <c r="F3699" s="6" t="s">
        <v>35</v>
      </c>
      <c r="G3699">
        <v>3</v>
      </c>
      <c r="H3699">
        <v>39</v>
      </c>
      <c r="I3699" s="6" t="s">
        <v>36</v>
      </c>
      <c r="J3699" s="6" t="s">
        <v>37</v>
      </c>
      <c r="K3699">
        <v>1</v>
      </c>
      <c r="M3699" s="1" t="b">
        <f>Employee__2[[#This Row],[Experience]]&gt;1</f>
        <v>0</v>
      </c>
      <c r="N3699" s="1" t="str">
        <f>IF(Employee__2[[#This Row],[City]]="Pune","Yes","No")</f>
        <v>No</v>
      </c>
      <c r="O3699" s="1" t="str">
        <f>IF(AND(Employee__2[[#This Row],[Education]]="Bachelors",Employee__2[[#This Row],[City]]="Pune"),"Yes","No")</f>
        <v>No</v>
      </c>
      <c r="P3699" s="1" t="str">
        <f>IF(OR(Employee__2[[#This Row],[Age]]&gt;=30,Employee__2[[#This Row],[Gender]]="Male"),"Mached","Not mached")</f>
        <v>Mached</v>
      </c>
    </row>
    <row r="3700" spans="4:16" x14ac:dyDescent="0.25">
      <c r="D3700" s="6" t="s">
        <v>34</v>
      </c>
      <c r="E3700">
        <v>2018</v>
      </c>
      <c r="F3700" s="6" t="s">
        <v>35</v>
      </c>
      <c r="G3700">
        <v>3</v>
      </c>
      <c r="H3700">
        <v>32</v>
      </c>
      <c r="I3700" s="6" t="s">
        <v>36</v>
      </c>
      <c r="J3700" s="6" t="s">
        <v>37</v>
      </c>
      <c r="K3700">
        <v>3</v>
      </c>
      <c r="M3700" s="1" t="b">
        <f>Employee__2[[#This Row],[Experience]]&gt;1</f>
        <v>1</v>
      </c>
      <c r="N3700" s="1" t="str">
        <f>IF(Employee__2[[#This Row],[City]]="Pune","Yes","No")</f>
        <v>No</v>
      </c>
      <c r="O3700" s="1" t="str">
        <f>IF(AND(Employee__2[[#This Row],[Education]]="Bachelors",Employee__2[[#This Row],[City]]="Pune"),"Yes","No")</f>
        <v>No</v>
      </c>
      <c r="P3700" s="1" t="str">
        <f>IF(OR(Employee__2[[#This Row],[Age]]&gt;=30,Employee__2[[#This Row],[Gender]]="Male"),"Mached","Not mached")</f>
        <v>Mached</v>
      </c>
    </row>
    <row r="3701" spans="4:16" x14ac:dyDescent="0.25">
      <c r="D3701" s="6" t="s">
        <v>34</v>
      </c>
      <c r="E3701">
        <v>2015</v>
      </c>
      <c r="F3701" s="6" t="s">
        <v>35</v>
      </c>
      <c r="G3701">
        <v>3</v>
      </c>
      <c r="H3701">
        <v>38</v>
      </c>
      <c r="I3701" s="6" t="s">
        <v>36</v>
      </c>
      <c r="J3701" s="6" t="s">
        <v>37</v>
      </c>
      <c r="K3701">
        <v>5</v>
      </c>
      <c r="M3701" s="1" t="b">
        <f>Employee__2[[#This Row],[Experience]]&gt;1</f>
        <v>1</v>
      </c>
      <c r="N3701" s="1" t="str">
        <f>IF(Employee__2[[#This Row],[City]]="Pune","Yes","No")</f>
        <v>No</v>
      </c>
      <c r="O3701" s="1" t="str">
        <f>IF(AND(Employee__2[[#This Row],[Education]]="Bachelors",Employee__2[[#This Row],[City]]="Pune"),"Yes","No")</f>
        <v>No</v>
      </c>
      <c r="P3701" s="1" t="str">
        <f>IF(OR(Employee__2[[#This Row],[Age]]&gt;=30,Employee__2[[#This Row],[Gender]]="Male"),"Mached","Not mached")</f>
        <v>Mached</v>
      </c>
    </row>
    <row r="3702" spans="4:16" x14ac:dyDescent="0.25">
      <c r="D3702" s="6" t="s">
        <v>34</v>
      </c>
      <c r="E3702">
        <v>2015</v>
      </c>
      <c r="F3702" s="6" t="s">
        <v>35</v>
      </c>
      <c r="G3702">
        <v>3</v>
      </c>
      <c r="H3702">
        <v>35</v>
      </c>
      <c r="I3702" s="6" t="s">
        <v>36</v>
      </c>
      <c r="J3702" s="6" t="s">
        <v>37</v>
      </c>
      <c r="K3702">
        <v>3</v>
      </c>
      <c r="M3702" s="1" t="b">
        <f>Employee__2[[#This Row],[Experience]]&gt;1</f>
        <v>1</v>
      </c>
      <c r="N3702" s="1" t="str">
        <f>IF(Employee__2[[#This Row],[City]]="Pune","Yes","No")</f>
        <v>No</v>
      </c>
      <c r="O3702" s="1" t="str">
        <f>IF(AND(Employee__2[[#This Row],[Education]]="Bachelors",Employee__2[[#This Row],[City]]="Pune"),"Yes","No")</f>
        <v>No</v>
      </c>
      <c r="P3702" s="1" t="str">
        <f>IF(OR(Employee__2[[#This Row],[Age]]&gt;=30,Employee__2[[#This Row],[Gender]]="Male"),"Mached","Not mached")</f>
        <v>Mached</v>
      </c>
    </row>
    <row r="3703" spans="4:16" x14ac:dyDescent="0.25">
      <c r="D3703" s="6" t="s">
        <v>34</v>
      </c>
      <c r="E3703">
        <v>2013</v>
      </c>
      <c r="F3703" s="6" t="s">
        <v>35</v>
      </c>
      <c r="G3703">
        <v>1</v>
      </c>
      <c r="H3703">
        <v>38</v>
      </c>
      <c r="I3703" s="6" t="s">
        <v>36</v>
      </c>
      <c r="J3703" s="6" t="s">
        <v>37</v>
      </c>
      <c r="K3703">
        <v>4</v>
      </c>
      <c r="M3703" s="1" t="b">
        <f>Employee__2[[#This Row],[Experience]]&gt;1</f>
        <v>1</v>
      </c>
      <c r="N3703" s="1" t="str">
        <f>IF(Employee__2[[#This Row],[City]]="Pune","Yes","No")</f>
        <v>No</v>
      </c>
      <c r="O3703" s="1" t="str">
        <f>IF(AND(Employee__2[[#This Row],[Education]]="Bachelors",Employee__2[[#This Row],[City]]="Pune"),"Yes","No")</f>
        <v>No</v>
      </c>
      <c r="P3703" s="1" t="str">
        <f>IF(OR(Employee__2[[#This Row],[Age]]&gt;=30,Employee__2[[#This Row],[Gender]]="Male"),"Mached","Not mached")</f>
        <v>Mached</v>
      </c>
    </row>
    <row r="3704" spans="4:16" x14ac:dyDescent="0.25">
      <c r="D3704" s="6" t="s">
        <v>34</v>
      </c>
      <c r="E3704">
        <v>2012</v>
      </c>
      <c r="F3704" s="6" t="s">
        <v>40</v>
      </c>
      <c r="G3704">
        <v>3</v>
      </c>
      <c r="H3704">
        <v>32</v>
      </c>
      <c r="I3704" s="6" t="s">
        <v>36</v>
      </c>
      <c r="J3704" s="6" t="s">
        <v>37</v>
      </c>
      <c r="K3704">
        <v>1</v>
      </c>
      <c r="M3704" s="1" t="b">
        <f>Employee__2[[#This Row],[Experience]]&gt;1</f>
        <v>0</v>
      </c>
      <c r="N3704" s="1" t="str">
        <f>IF(Employee__2[[#This Row],[City]]="Pune","Yes","No")</f>
        <v>No</v>
      </c>
      <c r="O3704" s="1" t="str">
        <f>IF(AND(Employee__2[[#This Row],[Education]]="Bachelors",Employee__2[[#This Row],[City]]="Pune"),"Yes","No")</f>
        <v>No</v>
      </c>
      <c r="P3704" s="1" t="str">
        <f>IF(OR(Employee__2[[#This Row],[Age]]&gt;=30,Employee__2[[#This Row],[Gender]]="Male"),"Mached","Not mached")</f>
        <v>Mached</v>
      </c>
    </row>
    <row r="3705" spans="4:16" x14ac:dyDescent="0.25">
      <c r="D3705" s="6" t="s">
        <v>34</v>
      </c>
      <c r="E3705">
        <v>2014</v>
      </c>
      <c r="F3705" s="6" t="s">
        <v>38</v>
      </c>
      <c r="G3705">
        <v>2</v>
      </c>
      <c r="H3705">
        <v>37</v>
      </c>
      <c r="I3705" s="6" t="s">
        <v>39</v>
      </c>
      <c r="J3705" s="6" t="s">
        <v>37</v>
      </c>
      <c r="K3705">
        <v>5</v>
      </c>
      <c r="M3705" s="1" t="b">
        <f>Employee__2[[#This Row],[Experience]]&gt;1</f>
        <v>1</v>
      </c>
      <c r="N3705" s="1" t="str">
        <f>IF(Employee__2[[#This Row],[City]]="Pune","Yes","No")</f>
        <v>Yes</v>
      </c>
      <c r="O3705" s="1" t="str">
        <f>IF(AND(Employee__2[[#This Row],[Education]]="Bachelors",Employee__2[[#This Row],[City]]="Pune"),"Yes","No")</f>
        <v>Yes</v>
      </c>
      <c r="P3705" s="1" t="str">
        <f>IF(OR(Employee__2[[#This Row],[Age]]&gt;=30,Employee__2[[#This Row],[Gender]]="Male"),"Mached","Not mached")</f>
        <v>Mached</v>
      </c>
    </row>
    <row r="3706" spans="4:16" x14ac:dyDescent="0.25">
      <c r="D3706" s="6" t="s">
        <v>34</v>
      </c>
      <c r="E3706">
        <v>2015</v>
      </c>
      <c r="F3706" s="6" t="s">
        <v>38</v>
      </c>
      <c r="G3706">
        <v>3</v>
      </c>
      <c r="H3706">
        <v>35</v>
      </c>
      <c r="I3706" s="6" t="s">
        <v>36</v>
      </c>
      <c r="J3706" s="6" t="s">
        <v>37</v>
      </c>
      <c r="K3706">
        <v>0</v>
      </c>
      <c r="M3706" s="1" t="b">
        <f>Employee__2[[#This Row],[Experience]]&gt;1</f>
        <v>0</v>
      </c>
      <c r="N3706" s="1" t="str">
        <f>IF(Employee__2[[#This Row],[City]]="Pune","Yes","No")</f>
        <v>Yes</v>
      </c>
      <c r="O3706" s="1" t="str">
        <f>IF(AND(Employee__2[[#This Row],[Education]]="Bachelors",Employee__2[[#This Row],[City]]="Pune"),"Yes","No")</f>
        <v>Yes</v>
      </c>
      <c r="P3706" s="1" t="str">
        <f>IF(OR(Employee__2[[#This Row],[Age]]&gt;=30,Employee__2[[#This Row],[Gender]]="Male"),"Mached","Not mached")</f>
        <v>Mached</v>
      </c>
    </row>
    <row r="3707" spans="4:16" x14ac:dyDescent="0.25">
      <c r="D3707" s="6" t="s">
        <v>34</v>
      </c>
      <c r="E3707">
        <v>2017</v>
      </c>
      <c r="F3707" s="6" t="s">
        <v>38</v>
      </c>
      <c r="G3707">
        <v>3</v>
      </c>
      <c r="H3707">
        <v>41</v>
      </c>
      <c r="I3707" s="6" t="s">
        <v>39</v>
      </c>
      <c r="J3707" s="6" t="s">
        <v>37</v>
      </c>
      <c r="K3707">
        <v>4</v>
      </c>
      <c r="M3707" s="1" t="b">
        <f>Employee__2[[#This Row],[Experience]]&gt;1</f>
        <v>1</v>
      </c>
      <c r="N3707" s="1" t="str">
        <f>IF(Employee__2[[#This Row],[City]]="Pune","Yes","No")</f>
        <v>Yes</v>
      </c>
      <c r="O3707" s="1" t="str">
        <f>IF(AND(Employee__2[[#This Row],[Education]]="Bachelors",Employee__2[[#This Row],[City]]="Pune"),"Yes","No")</f>
        <v>Yes</v>
      </c>
      <c r="P3707" s="1" t="str">
        <f>IF(OR(Employee__2[[#This Row],[Age]]&gt;=30,Employee__2[[#This Row],[Gender]]="Male"),"Mached","Not mached")</f>
        <v>Mached</v>
      </c>
    </row>
    <row r="3708" spans="4:16" x14ac:dyDescent="0.25">
      <c r="D3708" s="6" t="s">
        <v>41</v>
      </c>
      <c r="E3708">
        <v>2015</v>
      </c>
      <c r="F3708" s="6" t="s">
        <v>35</v>
      </c>
      <c r="G3708">
        <v>3</v>
      </c>
      <c r="H3708">
        <v>36</v>
      </c>
      <c r="I3708" s="6" t="s">
        <v>36</v>
      </c>
      <c r="J3708" s="6" t="s">
        <v>37</v>
      </c>
      <c r="K3708">
        <v>0</v>
      </c>
      <c r="M3708" s="1" t="b">
        <f>Employee__2[[#This Row],[Experience]]&gt;1</f>
        <v>0</v>
      </c>
      <c r="N3708" s="1" t="str">
        <f>IF(Employee__2[[#This Row],[City]]="Pune","Yes","No")</f>
        <v>No</v>
      </c>
      <c r="O3708" s="1" t="str">
        <f>IF(AND(Employee__2[[#This Row],[Education]]="Bachelors",Employee__2[[#This Row],[City]]="Pune"),"Yes","No")</f>
        <v>No</v>
      </c>
      <c r="P3708" s="1" t="str">
        <f>IF(OR(Employee__2[[#This Row],[Age]]&gt;=30,Employee__2[[#This Row],[Gender]]="Male"),"Mached","Not mached")</f>
        <v>Mached</v>
      </c>
    </row>
    <row r="3709" spans="4:16" x14ac:dyDescent="0.25">
      <c r="D3709" s="6" t="s">
        <v>34</v>
      </c>
      <c r="E3709">
        <v>2017</v>
      </c>
      <c r="F3709" s="6" t="s">
        <v>35</v>
      </c>
      <c r="G3709">
        <v>3</v>
      </c>
      <c r="H3709">
        <v>35</v>
      </c>
      <c r="I3709" s="6" t="s">
        <v>36</v>
      </c>
      <c r="J3709" s="6" t="s">
        <v>37</v>
      </c>
      <c r="K3709">
        <v>2</v>
      </c>
      <c r="M3709" s="1" t="b">
        <f>Employee__2[[#This Row],[Experience]]&gt;1</f>
        <v>1</v>
      </c>
      <c r="N3709" s="1" t="str">
        <f>IF(Employee__2[[#This Row],[City]]="Pune","Yes","No")</f>
        <v>No</v>
      </c>
      <c r="O3709" s="1" t="str">
        <f>IF(AND(Employee__2[[#This Row],[Education]]="Bachelors",Employee__2[[#This Row],[City]]="Pune"),"Yes","No")</f>
        <v>No</v>
      </c>
      <c r="P3709" s="1" t="str">
        <f>IF(OR(Employee__2[[#This Row],[Age]]&gt;=30,Employee__2[[#This Row],[Gender]]="Male"),"Mached","Not mached")</f>
        <v>Mached</v>
      </c>
    </row>
    <row r="3710" spans="4:16" x14ac:dyDescent="0.25">
      <c r="D3710" s="6" t="s">
        <v>41</v>
      </c>
      <c r="E3710">
        <v>2017</v>
      </c>
      <c r="F3710" s="6" t="s">
        <v>40</v>
      </c>
      <c r="G3710">
        <v>2</v>
      </c>
      <c r="H3710">
        <v>36</v>
      </c>
      <c r="I3710" s="6" t="s">
        <v>36</v>
      </c>
      <c r="J3710" s="6" t="s">
        <v>37</v>
      </c>
      <c r="K3710">
        <v>2</v>
      </c>
      <c r="M3710" s="1" t="b">
        <f>Employee__2[[#This Row],[Experience]]&gt;1</f>
        <v>1</v>
      </c>
      <c r="N3710" s="1" t="str">
        <f>IF(Employee__2[[#This Row],[City]]="Pune","Yes","No")</f>
        <v>No</v>
      </c>
      <c r="O3710" s="1" t="str">
        <f>IF(AND(Employee__2[[#This Row],[Education]]="Bachelors",Employee__2[[#This Row],[City]]="Pune"),"Yes","No")</f>
        <v>No</v>
      </c>
      <c r="P3710" s="1" t="str">
        <f>IF(OR(Employee__2[[#This Row],[Age]]&gt;=30,Employee__2[[#This Row],[Gender]]="Male"),"Mached","Not mached")</f>
        <v>Mached</v>
      </c>
    </row>
    <row r="3711" spans="4:16" x14ac:dyDescent="0.25">
      <c r="D3711" s="6" t="s">
        <v>41</v>
      </c>
      <c r="E3711">
        <v>2017</v>
      </c>
      <c r="F3711" s="6" t="s">
        <v>35</v>
      </c>
      <c r="G3711">
        <v>1</v>
      </c>
      <c r="H3711">
        <v>34</v>
      </c>
      <c r="I3711" s="6" t="s">
        <v>36</v>
      </c>
      <c r="J3711" s="6" t="s">
        <v>37</v>
      </c>
      <c r="K3711">
        <v>1</v>
      </c>
      <c r="M3711" s="1" t="b">
        <f>Employee__2[[#This Row],[Experience]]&gt;1</f>
        <v>0</v>
      </c>
      <c r="N3711" s="1" t="str">
        <f>IF(Employee__2[[#This Row],[City]]="Pune","Yes","No")</f>
        <v>No</v>
      </c>
      <c r="O3711" s="1" t="str">
        <f>IF(AND(Employee__2[[#This Row],[Education]]="Bachelors",Employee__2[[#This Row],[City]]="Pune"),"Yes","No")</f>
        <v>No</v>
      </c>
      <c r="P3711" s="1" t="str">
        <f>IF(OR(Employee__2[[#This Row],[Age]]&gt;=30,Employee__2[[#This Row],[Gender]]="Male"),"Mached","Not mached")</f>
        <v>Mached</v>
      </c>
    </row>
    <row r="3712" spans="4:16" x14ac:dyDescent="0.25">
      <c r="D3712" s="6" t="s">
        <v>34</v>
      </c>
      <c r="E3712">
        <v>2015</v>
      </c>
      <c r="F3712" s="6" t="s">
        <v>35</v>
      </c>
      <c r="G3712">
        <v>3</v>
      </c>
      <c r="H3712">
        <v>36</v>
      </c>
      <c r="I3712" s="6" t="s">
        <v>36</v>
      </c>
      <c r="J3712" s="6" t="s">
        <v>37</v>
      </c>
      <c r="K3712">
        <v>3</v>
      </c>
      <c r="M3712" s="1" t="b">
        <f>Employee__2[[#This Row],[Experience]]&gt;1</f>
        <v>1</v>
      </c>
      <c r="N3712" s="1" t="str">
        <f>IF(Employee__2[[#This Row],[City]]="Pune","Yes","No")</f>
        <v>No</v>
      </c>
      <c r="O3712" s="1" t="str">
        <f>IF(AND(Employee__2[[#This Row],[Education]]="Bachelors",Employee__2[[#This Row],[City]]="Pune"),"Yes","No")</f>
        <v>No</v>
      </c>
      <c r="P3712" s="1" t="str">
        <f>IF(OR(Employee__2[[#This Row],[Age]]&gt;=30,Employee__2[[#This Row],[Gender]]="Male"),"Mached","Not mached")</f>
        <v>Mached</v>
      </c>
    </row>
    <row r="3713" spans="4:16" x14ac:dyDescent="0.25">
      <c r="D3713" s="6" t="s">
        <v>34</v>
      </c>
      <c r="E3713">
        <v>2017</v>
      </c>
      <c r="F3713" s="6" t="s">
        <v>38</v>
      </c>
      <c r="G3713">
        <v>2</v>
      </c>
      <c r="H3713">
        <v>33</v>
      </c>
      <c r="I3713" s="6" t="s">
        <v>36</v>
      </c>
      <c r="J3713" s="6" t="s">
        <v>37</v>
      </c>
      <c r="K3713">
        <v>3</v>
      </c>
      <c r="M3713" s="1" t="b">
        <f>Employee__2[[#This Row],[Experience]]&gt;1</f>
        <v>1</v>
      </c>
      <c r="N3713" s="1" t="str">
        <f>IF(Employee__2[[#This Row],[City]]="Pune","Yes","No")</f>
        <v>Yes</v>
      </c>
      <c r="O3713" s="1" t="str">
        <f>IF(AND(Employee__2[[#This Row],[Education]]="Bachelors",Employee__2[[#This Row],[City]]="Pune"),"Yes","No")</f>
        <v>Yes</v>
      </c>
      <c r="P3713" s="1" t="str">
        <f>IF(OR(Employee__2[[#This Row],[Age]]&gt;=30,Employee__2[[#This Row],[Gender]]="Male"),"Mached","Not mached")</f>
        <v>Mached</v>
      </c>
    </row>
    <row r="3714" spans="4:16" x14ac:dyDescent="0.25">
      <c r="D3714" s="6" t="s">
        <v>41</v>
      </c>
      <c r="E3714">
        <v>2018</v>
      </c>
      <c r="F3714" s="6" t="s">
        <v>40</v>
      </c>
      <c r="G3714">
        <v>3</v>
      </c>
      <c r="H3714">
        <v>38</v>
      </c>
      <c r="I3714" s="6" t="s">
        <v>36</v>
      </c>
      <c r="J3714" s="6" t="s">
        <v>37</v>
      </c>
      <c r="K3714">
        <v>2</v>
      </c>
      <c r="M3714" s="1" t="b">
        <f>Employee__2[[#This Row],[Experience]]&gt;1</f>
        <v>1</v>
      </c>
      <c r="N3714" s="1" t="str">
        <f>IF(Employee__2[[#This Row],[City]]="Pune","Yes","No")</f>
        <v>No</v>
      </c>
      <c r="O3714" s="1" t="str">
        <f>IF(AND(Employee__2[[#This Row],[Education]]="Bachelors",Employee__2[[#This Row],[City]]="Pune"),"Yes","No")</f>
        <v>No</v>
      </c>
      <c r="P3714" s="1" t="str">
        <f>IF(OR(Employee__2[[#This Row],[Age]]&gt;=30,Employee__2[[#This Row],[Gender]]="Male"),"Mached","Not mached")</f>
        <v>Mached</v>
      </c>
    </row>
    <row r="3715" spans="4:16" x14ac:dyDescent="0.25">
      <c r="D3715" s="6" t="s">
        <v>43</v>
      </c>
      <c r="E3715">
        <v>2013</v>
      </c>
      <c r="F3715" s="6" t="s">
        <v>40</v>
      </c>
      <c r="G3715">
        <v>3</v>
      </c>
      <c r="H3715">
        <v>35</v>
      </c>
      <c r="I3715" s="6" t="s">
        <v>39</v>
      </c>
      <c r="J3715" s="6" t="s">
        <v>42</v>
      </c>
      <c r="K3715">
        <v>3</v>
      </c>
      <c r="M3715" s="1" t="b">
        <f>Employee__2[[#This Row],[Experience]]&gt;1</f>
        <v>1</v>
      </c>
      <c r="N3715" s="1" t="str">
        <f>IF(Employee__2[[#This Row],[City]]="Pune","Yes","No")</f>
        <v>No</v>
      </c>
      <c r="O3715" s="1" t="str">
        <f>IF(AND(Employee__2[[#This Row],[Education]]="Bachelors",Employee__2[[#This Row],[City]]="Pune"),"Yes","No")</f>
        <v>No</v>
      </c>
      <c r="P3715" s="1" t="str">
        <f>IF(OR(Employee__2[[#This Row],[Age]]&gt;=30,Employee__2[[#This Row],[Gender]]="Male"),"Mached","Not mached")</f>
        <v>Mached</v>
      </c>
    </row>
    <row r="3716" spans="4:16" x14ac:dyDescent="0.25">
      <c r="D3716" s="6" t="s">
        <v>34</v>
      </c>
      <c r="E3716">
        <v>2015</v>
      </c>
      <c r="F3716" s="6" t="s">
        <v>40</v>
      </c>
      <c r="G3716">
        <v>2</v>
      </c>
      <c r="H3716">
        <v>37</v>
      </c>
      <c r="I3716" s="6" t="s">
        <v>39</v>
      </c>
      <c r="J3716" s="6" t="s">
        <v>37</v>
      </c>
      <c r="K3716">
        <v>3</v>
      </c>
      <c r="M3716" s="1" t="b">
        <f>Employee__2[[#This Row],[Experience]]&gt;1</f>
        <v>1</v>
      </c>
      <c r="N3716" s="1" t="str">
        <f>IF(Employee__2[[#This Row],[City]]="Pune","Yes","No")</f>
        <v>No</v>
      </c>
      <c r="O3716" s="1" t="str">
        <f>IF(AND(Employee__2[[#This Row],[Education]]="Bachelors",Employee__2[[#This Row],[City]]="Pune"),"Yes","No")</f>
        <v>No</v>
      </c>
      <c r="P3716" s="1" t="str">
        <f>IF(OR(Employee__2[[#This Row],[Age]]&gt;=30,Employee__2[[#This Row],[Gender]]="Male"),"Mached","Not mached")</f>
        <v>Mached</v>
      </c>
    </row>
    <row r="3717" spans="4:16" x14ac:dyDescent="0.25">
      <c r="D3717" s="6" t="s">
        <v>34</v>
      </c>
      <c r="E3717">
        <v>2017</v>
      </c>
      <c r="F3717" s="6" t="s">
        <v>35</v>
      </c>
      <c r="G3717">
        <v>3</v>
      </c>
      <c r="H3717">
        <v>31</v>
      </c>
      <c r="I3717" s="6" t="s">
        <v>36</v>
      </c>
      <c r="J3717" s="6" t="s">
        <v>37</v>
      </c>
      <c r="K3717">
        <v>0</v>
      </c>
      <c r="M3717" s="1" t="b">
        <f>Employee__2[[#This Row],[Experience]]&gt;1</f>
        <v>0</v>
      </c>
      <c r="N3717" s="1" t="str">
        <f>IF(Employee__2[[#This Row],[City]]="Pune","Yes","No")</f>
        <v>No</v>
      </c>
      <c r="O3717" s="1" t="str">
        <f>IF(AND(Employee__2[[#This Row],[Education]]="Bachelors",Employee__2[[#This Row],[City]]="Pune"),"Yes","No")</f>
        <v>No</v>
      </c>
      <c r="P3717" s="1" t="str">
        <f>IF(OR(Employee__2[[#This Row],[Age]]&gt;=30,Employee__2[[#This Row],[Gender]]="Male"),"Mached","Not mached")</f>
        <v>Mached</v>
      </c>
    </row>
    <row r="3718" spans="4:16" x14ac:dyDescent="0.25">
      <c r="D3718" s="6" t="s">
        <v>34</v>
      </c>
      <c r="E3718">
        <v>2017</v>
      </c>
      <c r="F3718" s="6" t="s">
        <v>38</v>
      </c>
      <c r="G3718">
        <v>2</v>
      </c>
      <c r="H3718">
        <v>40</v>
      </c>
      <c r="I3718" s="6" t="s">
        <v>39</v>
      </c>
      <c r="J3718" s="6" t="s">
        <v>37</v>
      </c>
      <c r="K3718">
        <v>2</v>
      </c>
      <c r="M3718" s="1" t="b">
        <f>Employee__2[[#This Row],[Experience]]&gt;1</f>
        <v>1</v>
      </c>
      <c r="N3718" s="1" t="str">
        <f>IF(Employee__2[[#This Row],[City]]="Pune","Yes","No")</f>
        <v>Yes</v>
      </c>
      <c r="O3718" s="1" t="str">
        <f>IF(AND(Employee__2[[#This Row],[Education]]="Bachelors",Employee__2[[#This Row],[City]]="Pune"),"Yes","No")</f>
        <v>Yes</v>
      </c>
      <c r="P3718" s="1" t="str">
        <f>IF(OR(Employee__2[[#This Row],[Age]]&gt;=30,Employee__2[[#This Row],[Gender]]="Male"),"Mached","Not mached")</f>
        <v>Mached</v>
      </c>
    </row>
    <row r="3719" spans="4:16" x14ac:dyDescent="0.25">
      <c r="D3719" s="6" t="s">
        <v>34</v>
      </c>
      <c r="E3719">
        <v>2015</v>
      </c>
      <c r="F3719" s="6" t="s">
        <v>38</v>
      </c>
      <c r="G3719">
        <v>3</v>
      </c>
      <c r="H3719">
        <v>32</v>
      </c>
      <c r="I3719" s="6" t="s">
        <v>39</v>
      </c>
      <c r="J3719" s="6" t="s">
        <v>37</v>
      </c>
      <c r="K3719">
        <v>3</v>
      </c>
      <c r="M3719" s="1" t="b">
        <f>Employee__2[[#This Row],[Experience]]&gt;1</f>
        <v>1</v>
      </c>
      <c r="N3719" s="1" t="str">
        <f>IF(Employee__2[[#This Row],[City]]="Pune","Yes","No")</f>
        <v>Yes</v>
      </c>
      <c r="O3719" s="1" t="str">
        <f>IF(AND(Employee__2[[#This Row],[Education]]="Bachelors",Employee__2[[#This Row],[City]]="Pune"),"Yes","No")</f>
        <v>Yes</v>
      </c>
      <c r="P3719" s="1" t="str">
        <f>IF(OR(Employee__2[[#This Row],[Age]]&gt;=30,Employee__2[[#This Row],[Gender]]="Male"),"Mached","Not mached")</f>
        <v>Mached</v>
      </c>
    </row>
    <row r="3720" spans="4:16" x14ac:dyDescent="0.25">
      <c r="D3720" s="6" t="s">
        <v>34</v>
      </c>
      <c r="E3720">
        <v>2015</v>
      </c>
      <c r="F3720" s="6" t="s">
        <v>35</v>
      </c>
      <c r="G3720">
        <v>3</v>
      </c>
      <c r="H3720">
        <v>35</v>
      </c>
      <c r="I3720" s="6" t="s">
        <v>36</v>
      </c>
      <c r="J3720" s="6" t="s">
        <v>42</v>
      </c>
      <c r="K3720">
        <v>2</v>
      </c>
      <c r="M3720" s="1" t="b">
        <f>Employee__2[[#This Row],[Experience]]&gt;1</f>
        <v>1</v>
      </c>
      <c r="N3720" s="1" t="str">
        <f>IF(Employee__2[[#This Row],[City]]="Pune","Yes","No")</f>
        <v>No</v>
      </c>
      <c r="O3720" s="1" t="str">
        <f>IF(AND(Employee__2[[#This Row],[Education]]="Bachelors",Employee__2[[#This Row],[City]]="Pune"),"Yes","No")</f>
        <v>No</v>
      </c>
      <c r="P3720" s="1" t="str">
        <f>IF(OR(Employee__2[[#This Row],[Age]]&gt;=30,Employee__2[[#This Row],[Gender]]="Male"),"Mached","Not mached")</f>
        <v>Mached</v>
      </c>
    </row>
    <row r="3721" spans="4:16" x14ac:dyDescent="0.25">
      <c r="D3721" s="6" t="s">
        <v>34</v>
      </c>
      <c r="E3721">
        <v>2012</v>
      </c>
      <c r="F3721" s="6" t="s">
        <v>35</v>
      </c>
      <c r="G3721">
        <v>3</v>
      </c>
      <c r="H3721">
        <v>38</v>
      </c>
      <c r="I3721" s="6" t="s">
        <v>36</v>
      </c>
      <c r="J3721" s="6" t="s">
        <v>42</v>
      </c>
      <c r="K3721">
        <v>0</v>
      </c>
      <c r="M3721" s="1" t="b">
        <f>Employee__2[[#This Row],[Experience]]&gt;1</f>
        <v>0</v>
      </c>
      <c r="N3721" s="1" t="str">
        <f>IF(Employee__2[[#This Row],[City]]="Pune","Yes","No")</f>
        <v>No</v>
      </c>
      <c r="O3721" s="1" t="str">
        <f>IF(AND(Employee__2[[#This Row],[Education]]="Bachelors",Employee__2[[#This Row],[City]]="Pune"),"Yes","No")</f>
        <v>No</v>
      </c>
      <c r="P3721" s="1" t="str">
        <f>IF(OR(Employee__2[[#This Row],[Age]]&gt;=30,Employee__2[[#This Row],[Gender]]="Male"),"Mached","Not mached")</f>
        <v>Mached</v>
      </c>
    </row>
    <row r="3722" spans="4:16" x14ac:dyDescent="0.25">
      <c r="D3722" s="6" t="s">
        <v>34</v>
      </c>
      <c r="E3722">
        <v>2015</v>
      </c>
      <c r="F3722" s="6" t="s">
        <v>38</v>
      </c>
      <c r="G3722">
        <v>2</v>
      </c>
      <c r="H3722">
        <v>36</v>
      </c>
      <c r="I3722" s="6" t="s">
        <v>39</v>
      </c>
      <c r="J3722" s="6" t="s">
        <v>37</v>
      </c>
      <c r="K3722">
        <v>0</v>
      </c>
      <c r="M3722" s="1" t="b">
        <f>Employee__2[[#This Row],[Experience]]&gt;1</f>
        <v>0</v>
      </c>
      <c r="N3722" s="1" t="str">
        <f>IF(Employee__2[[#This Row],[City]]="Pune","Yes","No")</f>
        <v>Yes</v>
      </c>
      <c r="O3722" s="1" t="str">
        <f>IF(AND(Employee__2[[#This Row],[Education]]="Bachelors",Employee__2[[#This Row],[City]]="Pune"),"Yes","No")</f>
        <v>Yes</v>
      </c>
      <c r="P3722" s="1" t="str">
        <f>IF(OR(Employee__2[[#This Row],[Age]]&gt;=30,Employee__2[[#This Row],[Gender]]="Male"),"Mached","Not mached")</f>
        <v>Mached</v>
      </c>
    </row>
    <row r="3723" spans="4:16" x14ac:dyDescent="0.25">
      <c r="D3723" s="6" t="s">
        <v>41</v>
      </c>
      <c r="E3723">
        <v>2015</v>
      </c>
      <c r="F3723" s="6" t="s">
        <v>38</v>
      </c>
      <c r="G3723">
        <v>3</v>
      </c>
      <c r="H3723">
        <v>36</v>
      </c>
      <c r="I3723" s="6" t="s">
        <v>36</v>
      </c>
      <c r="J3723" s="6" t="s">
        <v>37</v>
      </c>
      <c r="K3723">
        <v>3</v>
      </c>
      <c r="M3723" s="1" t="b">
        <f>Employee__2[[#This Row],[Experience]]&gt;1</f>
        <v>1</v>
      </c>
      <c r="N3723" s="1" t="str">
        <f>IF(Employee__2[[#This Row],[City]]="Pune","Yes","No")</f>
        <v>Yes</v>
      </c>
      <c r="O3723" s="1" t="str">
        <f>IF(AND(Employee__2[[#This Row],[Education]]="Bachelors",Employee__2[[#This Row],[City]]="Pune"),"Yes","No")</f>
        <v>No</v>
      </c>
      <c r="P3723" s="1" t="str">
        <f>IF(OR(Employee__2[[#This Row],[Age]]&gt;=30,Employee__2[[#This Row],[Gender]]="Male"),"Mached","Not mached")</f>
        <v>Mached</v>
      </c>
    </row>
    <row r="3724" spans="4:16" x14ac:dyDescent="0.25">
      <c r="D3724" s="6" t="s">
        <v>41</v>
      </c>
      <c r="E3724">
        <v>2014</v>
      </c>
      <c r="F3724" s="6" t="s">
        <v>40</v>
      </c>
      <c r="G3724">
        <v>3</v>
      </c>
      <c r="H3724">
        <v>32</v>
      </c>
      <c r="I3724" s="6" t="s">
        <v>39</v>
      </c>
      <c r="J3724" s="6" t="s">
        <v>37</v>
      </c>
      <c r="K3724">
        <v>5</v>
      </c>
      <c r="M3724" s="1" t="b">
        <f>Employee__2[[#This Row],[Experience]]&gt;1</f>
        <v>1</v>
      </c>
      <c r="N3724" s="1" t="str">
        <f>IF(Employee__2[[#This Row],[City]]="Pune","Yes","No")</f>
        <v>No</v>
      </c>
      <c r="O3724" s="1" t="str">
        <f>IF(AND(Employee__2[[#This Row],[Education]]="Bachelors",Employee__2[[#This Row],[City]]="Pune"),"Yes","No")</f>
        <v>No</v>
      </c>
      <c r="P3724" s="1" t="str">
        <f>IF(OR(Employee__2[[#This Row],[Age]]&gt;=30,Employee__2[[#This Row],[Gender]]="Male"),"Mached","Not mached")</f>
        <v>Mached</v>
      </c>
    </row>
    <row r="3725" spans="4:16" x14ac:dyDescent="0.25">
      <c r="D3725" s="6" t="s">
        <v>34</v>
      </c>
      <c r="E3725">
        <v>2018</v>
      </c>
      <c r="F3725" s="6" t="s">
        <v>38</v>
      </c>
      <c r="G3725">
        <v>2</v>
      </c>
      <c r="H3725">
        <v>37</v>
      </c>
      <c r="I3725" s="6" t="s">
        <v>39</v>
      </c>
      <c r="J3725" s="6" t="s">
        <v>37</v>
      </c>
      <c r="K3725">
        <v>0</v>
      </c>
      <c r="M3725" s="1" t="b">
        <f>Employee__2[[#This Row],[Experience]]&gt;1</f>
        <v>0</v>
      </c>
      <c r="N3725" s="1" t="str">
        <f>IF(Employee__2[[#This Row],[City]]="Pune","Yes","No")</f>
        <v>Yes</v>
      </c>
      <c r="O3725" s="1" t="str">
        <f>IF(AND(Employee__2[[#This Row],[Education]]="Bachelors",Employee__2[[#This Row],[City]]="Pune"),"Yes","No")</f>
        <v>Yes</v>
      </c>
      <c r="P3725" s="1" t="str">
        <f>IF(OR(Employee__2[[#This Row],[Age]]&gt;=30,Employee__2[[#This Row],[Gender]]="Male"),"Mached","Not mached")</f>
        <v>Mached</v>
      </c>
    </row>
    <row r="3726" spans="4:16" x14ac:dyDescent="0.25">
      <c r="D3726" s="6" t="s">
        <v>34</v>
      </c>
      <c r="E3726">
        <v>2018</v>
      </c>
      <c r="F3726" s="6" t="s">
        <v>38</v>
      </c>
      <c r="G3726">
        <v>3</v>
      </c>
      <c r="H3726">
        <v>35</v>
      </c>
      <c r="I3726" s="6" t="s">
        <v>39</v>
      </c>
      <c r="J3726" s="6" t="s">
        <v>37</v>
      </c>
      <c r="K3726">
        <v>0</v>
      </c>
      <c r="M3726" s="1" t="b">
        <f>Employee__2[[#This Row],[Experience]]&gt;1</f>
        <v>0</v>
      </c>
      <c r="N3726" s="1" t="str">
        <f>IF(Employee__2[[#This Row],[City]]="Pune","Yes","No")</f>
        <v>Yes</v>
      </c>
      <c r="O3726" s="1" t="str">
        <f>IF(AND(Employee__2[[#This Row],[Education]]="Bachelors",Employee__2[[#This Row],[City]]="Pune"),"Yes","No")</f>
        <v>Yes</v>
      </c>
      <c r="P3726" s="1" t="str">
        <f>IF(OR(Employee__2[[#This Row],[Age]]&gt;=30,Employee__2[[#This Row],[Gender]]="Male"),"Mached","Not mached")</f>
        <v>Mached</v>
      </c>
    </row>
    <row r="3727" spans="4:16" x14ac:dyDescent="0.25">
      <c r="D3727" s="6" t="s">
        <v>34</v>
      </c>
      <c r="E3727">
        <v>2015</v>
      </c>
      <c r="F3727" s="6" t="s">
        <v>38</v>
      </c>
      <c r="G3727">
        <v>1</v>
      </c>
      <c r="H3727">
        <v>36</v>
      </c>
      <c r="I3727" s="6" t="s">
        <v>39</v>
      </c>
      <c r="J3727" s="6" t="s">
        <v>37</v>
      </c>
      <c r="K3727">
        <v>4</v>
      </c>
      <c r="M3727" s="1" t="b">
        <f>Employee__2[[#This Row],[Experience]]&gt;1</f>
        <v>1</v>
      </c>
      <c r="N3727" s="1" t="str">
        <f>IF(Employee__2[[#This Row],[City]]="Pune","Yes","No")</f>
        <v>Yes</v>
      </c>
      <c r="O3727" s="1" t="str">
        <f>IF(AND(Employee__2[[#This Row],[Education]]="Bachelors",Employee__2[[#This Row],[City]]="Pune"),"Yes","No")</f>
        <v>Yes</v>
      </c>
      <c r="P3727" s="1" t="str">
        <f>IF(OR(Employee__2[[#This Row],[Age]]&gt;=30,Employee__2[[#This Row],[Gender]]="Male"),"Mached","Not mached")</f>
        <v>Mached</v>
      </c>
    </row>
    <row r="3728" spans="4:16" x14ac:dyDescent="0.25">
      <c r="D3728" s="6" t="s">
        <v>34</v>
      </c>
      <c r="E3728">
        <v>2015</v>
      </c>
      <c r="F3728" s="6" t="s">
        <v>40</v>
      </c>
      <c r="G3728">
        <v>2</v>
      </c>
      <c r="H3728">
        <v>34</v>
      </c>
      <c r="I3728" s="6" t="s">
        <v>39</v>
      </c>
      <c r="J3728" s="6" t="s">
        <v>37</v>
      </c>
      <c r="K3728">
        <v>5</v>
      </c>
      <c r="M3728" s="1" t="b">
        <f>Employee__2[[#This Row],[Experience]]&gt;1</f>
        <v>1</v>
      </c>
      <c r="N3728" s="1" t="str">
        <f>IF(Employee__2[[#This Row],[City]]="Pune","Yes","No")</f>
        <v>No</v>
      </c>
      <c r="O3728" s="1" t="str">
        <f>IF(AND(Employee__2[[#This Row],[Education]]="Bachelors",Employee__2[[#This Row],[City]]="Pune"),"Yes","No")</f>
        <v>No</v>
      </c>
      <c r="P3728" s="1" t="str">
        <f>IF(OR(Employee__2[[#This Row],[Age]]&gt;=30,Employee__2[[#This Row],[Gender]]="Male"),"Mached","Not mached")</f>
        <v>Mached</v>
      </c>
    </row>
    <row r="3729" spans="4:16" x14ac:dyDescent="0.25">
      <c r="D3729" s="6" t="s">
        <v>41</v>
      </c>
      <c r="E3729">
        <v>2017</v>
      </c>
      <c r="F3729" s="6" t="s">
        <v>40</v>
      </c>
      <c r="G3729">
        <v>2</v>
      </c>
      <c r="H3729">
        <v>35</v>
      </c>
      <c r="I3729" s="6" t="s">
        <v>39</v>
      </c>
      <c r="J3729" s="6" t="s">
        <v>37</v>
      </c>
      <c r="K3729">
        <v>0</v>
      </c>
      <c r="M3729" s="1" t="b">
        <f>Employee__2[[#This Row],[Experience]]&gt;1</f>
        <v>0</v>
      </c>
      <c r="N3729" s="1" t="str">
        <f>IF(Employee__2[[#This Row],[City]]="Pune","Yes","No")</f>
        <v>No</v>
      </c>
      <c r="O3729" s="1" t="str">
        <f>IF(AND(Employee__2[[#This Row],[Education]]="Bachelors",Employee__2[[#This Row],[City]]="Pune"),"Yes","No")</f>
        <v>No</v>
      </c>
      <c r="P3729" s="1" t="str">
        <f>IF(OR(Employee__2[[#This Row],[Age]]&gt;=30,Employee__2[[#This Row],[Gender]]="Male"),"Mached","Not mached")</f>
        <v>Mached</v>
      </c>
    </row>
    <row r="3730" spans="4:16" x14ac:dyDescent="0.25">
      <c r="D3730" s="6" t="s">
        <v>41</v>
      </c>
      <c r="E3730">
        <v>2017</v>
      </c>
      <c r="F3730" s="6" t="s">
        <v>40</v>
      </c>
      <c r="G3730">
        <v>2</v>
      </c>
      <c r="H3730">
        <v>38</v>
      </c>
      <c r="I3730" s="6" t="s">
        <v>39</v>
      </c>
      <c r="J3730" s="6" t="s">
        <v>37</v>
      </c>
      <c r="K3730">
        <v>5</v>
      </c>
      <c r="M3730" s="1" t="b">
        <f>Employee__2[[#This Row],[Experience]]&gt;1</f>
        <v>1</v>
      </c>
      <c r="N3730" s="1" t="str">
        <f>IF(Employee__2[[#This Row],[City]]="Pune","Yes","No")</f>
        <v>No</v>
      </c>
      <c r="O3730" s="1" t="str">
        <f>IF(AND(Employee__2[[#This Row],[Education]]="Bachelors",Employee__2[[#This Row],[City]]="Pune"),"Yes","No")</f>
        <v>No</v>
      </c>
      <c r="P3730" s="1" t="str">
        <f>IF(OR(Employee__2[[#This Row],[Age]]&gt;=30,Employee__2[[#This Row],[Gender]]="Male"),"Mached","Not mached")</f>
        <v>Mached</v>
      </c>
    </row>
    <row r="3731" spans="4:16" x14ac:dyDescent="0.25">
      <c r="D3731" s="6" t="s">
        <v>34</v>
      </c>
      <c r="E3731">
        <v>2015</v>
      </c>
      <c r="F3731" s="6" t="s">
        <v>38</v>
      </c>
      <c r="G3731">
        <v>2</v>
      </c>
      <c r="H3731">
        <v>39</v>
      </c>
      <c r="I3731" s="6" t="s">
        <v>39</v>
      </c>
      <c r="J3731" s="6" t="s">
        <v>37</v>
      </c>
      <c r="K3731">
        <v>5</v>
      </c>
      <c r="M3731" s="1" t="b">
        <f>Employee__2[[#This Row],[Experience]]&gt;1</f>
        <v>1</v>
      </c>
      <c r="N3731" s="1" t="str">
        <f>IF(Employee__2[[#This Row],[City]]="Pune","Yes","No")</f>
        <v>Yes</v>
      </c>
      <c r="O3731" s="1" t="str">
        <f>IF(AND(Employee__2[[#This Row],[Education]]="Bachelors",Employee__2[[#This Row],[City]]="Pune"),"Yes","No")</f>
        <v>Yes</v>
      </c>
      <c r="P3731" s="1" t="str">
        <f>IF(OR(Employee__2[[#This Row],[Age]]&gt;=30,Employee__2[[#This Row],[Gender]]="Male"),"Mached","Not mached")</f>
        <v>Mached</v>
      </c>
    </row>
    <row r="3732" spans="4:16" x14ac:dyDescent="0.25">
      <c r="D3732" s="6" t="s">
        <v>34</v>
      </c>
      <c r="E3732">
        <v>2012</v>
      </c>
      <c r="F3732" s="6" t="s">
        <v>38</v>
      </c>
      <c r="G3732">
        <v>2</v>
      </c>
      <c r="H3732">
        <v>32</v>
      </c>
      <c r="I3732" s="6" t="s">
        <v>39</v>
      </c>
      <c r="J3732" s="6" t="s">
        <v>37</v>
      </c>
      <c r="K3732">
        <v>5</v>
      </c>
      <c r="M3732" s="1" t="b">
        <f>Employee__2[[#This Row],[Experience]]&gt;1</f>
        <v>1</v>
      </c>
      <c r="N3732" s="1" t="str">
        <f>IF(Employee__2[[#This Row],[City]]="Pune","Yes","No")</f>
        <v>Yes</v>
      </c>
      <c r="O3732" s="1" t="str">
        <f>IF(AND(Employee__2[[#This Row],[Education]]="Bachelors",Employee__2[[#This Row],[City]]="Pune"),"Yes","No")</f>
        <v>Yes</v>
      </c>
      <c r="P3732" s="1" t="str">
        <f>IF(OR(Employee__2[[#This Row],[Age]]&gt;=30,Employee__2[[#This Row],[Gender]]="Male"),"Mached","Not mached")</f>
        <v>Mached</v>
      </c>
    </row>
    <row r="3733" spans="4:16" x14ac:dyDescent="0.25">
      <c r="D3733" s="6" t="s">
        <v>34</v>
      </c>
      <c r="E3733">
        <v>2015</v>
      </c>
      <c r="F3733" s="6" t="s">
        <v>35</v>
      </c>
      <c r="G3733">
        <v>3</v>
      </c>
      <c r="H3733">
        <v>39</v>
      </c>
      <c r="I3733" s="6" t="s">
        <v>36</v>
      </c>
      <c r="J3733" s="6" t="s">
        <v>37</v>
      </c>
      <c r="K3733">
        <v>2</v>
      </c>
      <c r="M3733" s="1" t="b">
        <f>Employee__2[[#This Row],[Experience]]&gt;1</f>
        <v>1</v>
      </c>
      <c r="N3733" s="1" t="str">
        <f>IF(Employee__2[[#This Row],[City]]="Pune","Yes","No")</f>
        <v>No</v>
      </c>
      <c r="O3733" s="1" t="str">
        <f>IF(AND(Employee__2[[#This Row],[Education]]="Bachelors",Employee__2[[#This Row],[City]]="Pune"),"Yes","No")</f>
        <v>No</v>
      </c>
      <c r="P3733" s="1" t="str">
        <f>IF(OR(Employee__2[[#This Row],[Age]]&gt;=30,Employee__2[[#This Row],[Gender]]="Male"),"Mached","Not mached")</f>
        <v>Mached</v>
      </c>
    </row>
    <row r="3734" spans="4:16" x14ac:dyDescent="0.25">
      <c r="D3734" s="6" t="s">
        <v>34</v>
      </c>
      <c r="E3734">
        <v>2015</v>
      </c>
      <c r="F3734" s="6" t="s">
        <v>35</v>
      </c>
      <c r="G3734">
        <v>3</v>
      </c>
      <c r="H3734">
        <v>39</v>
      </c>
      <c r="I3734" s="6" t="s">
        <v>36</v>
      </c>
      <c r="J3734" s="6" t="s">
        <v>37</v>
      </c>
      <c r="K3734">
        <v>2</v>
      </c>
      <c r="M3734" s="1" t="b">
        <f>Employee__2[[#This Row],[Experience]]&gt;1</f>
        <v>1</v>
      </c>
      <c r="N3734" s="1" t="str">
        <f>IF(Employee__2[[#This Row],[City]]="Pune","Yes","No")</f>
        <v>No</v>
      </c>
      <c r="O3734" s="1" t="str">
        <f>IF(AND(Employee__2[[#This Row],[Education]]="Bachelors",Employee__2[[#This Row],[City]]="Pune"),"Yes","No")</f>
        <v>No</v>
      </c>
      <c r="P3734" s="1" t="str">
        <f>IF(OR(Employee__2[[#This Row],[Age]]&gt;=30,Employee__2[[#This Row],[Gender]]="Male"),"Mached","Not mached")</f>
        <v>Mached</v>
      </c>
    </row>
    <row r="3735" spans="4:16" x14ac:dyDescent="0.25">
      <c r="D3735" s="6" t="s">
        <v>41</v>
      </c>
      <c r="E3735">
        <v>2017</v>
      </c>
      <c r="F3735" s="6" t="s">
        <v>38</v>
      </c>
      <c r="G3735">
        <v>2</v>
      </c>
      <c r="H3735">
        <v>37</v>
      </c>
      <c r="I3735" s="6" t="s">
        <v>36</v>
      </c>
      <c r="J3735" s="6" t="s">
        <v>37</v>
      </c>
      <c r="K3735">
        <v>2</v>
      </c>
      <c r="M3735" s="1" t="b">
        <f>Employee__2[[#This Row],[Experience]]&gt;1</f>
        <v>1</v>
      </c>
      <c r="N3735" s="1" t="str">
        <f>IF(Employee__2[[#This Row],[City]]="Pune","Yes","No")</f>
        <v>Yes</v>
      </c>
      <c r="O3735" s="1" t="str">
        <f>IF(AND(Employee__2[[#This Row],[Education]]="Bachelors",Employee__2[[#This Row],[City]]="Pune"),"Yes","No")</f>
        <v>No</v>
      </c>
      <c r="P3735" s="1" t="str">
        <f>IF(OR(Employee__2[[#This Row],[Age]]&gt;=30,Employee__2[[#This Row],[Gender]]="Male"),"Mached","Not mached")</f>
        <v>Mached</v>
      </c>
    </row>
    <row r="3736" spans="4:16" x14ac:dyDescent="0.25">
      <c r="D3736" s="6" t="s">
        <v>34</v>
      </c>
      <c r="E3736">
        <v>2015</v>
      </c>
      <c r="F3736" s="6" t="s">
        <v>35</v>
      </c>
      <c r="G3736">
        <v>3</v>
      </c>
      <c r="H3736">
        <v>32</v>
      </c>
      <c r="I3736" s="6" t="s">
        <v>39</v>
      </c>
      <c r="J3736" s="6" t="s">
        <v>37</v>
      </c>
      <c r="K3736">
        <v>5</v>
      </c>
      <c r="M3736" s="1" t="b">
        <f>Employee__2[[#This Row],[Experience]]&gt;1</f>
        <v>1</v>
      </c>
      <c r="N3736" s="1" t="str">
        <f>IF(Employee__2[[#This Row],[City]]="Pune","Yes","No")</f>
        <v>No</v>
      </c>
      <c r="O3736" s="1" t="str">
        <f>IF(AND(Employee__2[[#This Row],[Education]]="Bachelors",Employee__2[[#This Row],[City]]="Pune"),"Yes","No")</f>
        <v>No</v>
      </c>
      <c r="P3736" s="1" t="str">
        <f>IF(OR(Employee__2[[#This Row],[Age]]&gt;=30,Employee__2[[#This Row],[Gender]]="Male"),"Mached","Not mached")</f>
        <v>Mached</v>
      </c>
    </row>
    <row r="3737" spans="4:16" x14ac:dyDescent="0.25">
      <c r="D3737" s="6" t="s">
        <v>34</v>
      </c>
      <c r="E3737">
        <v>2017</v>
      </c>
      <c r="F3737" s="6" t="s">
        <v>40</v>
      </c>
      <c r="G3737">
        <v>2</v>
      </c>
      <c r="H3737">
        <v>38</v>
      </c>
      <c r="I3737" s="6" t="s">
        <v>36</v>
      </c>
      <c r="J3737" s="6" t="s">
        <v>37</v>
      </c>
      <c r="K3737">
        <v>0</v>
      </c>
      <c r="M3737" s="1" t="b">
        <f>Employee__2[[#This Row],[Experience]]&gt;1</f>
        <v>0</v>
      </c>
      <c r="N3737" s="1" t="str">
        <f>IF(Employee__2[[#This Row],[City]]="Pune","Yes","No")</f>
        <v>No</v>
      </c>
      <c r="O3737" s="1" t="str">
        <f>IF(AND(Employee__2[[#This Row],[Education]]="Bachelors",Employee__2[[#This Row],[City]]="Pune"),"Yes","No")</f>
        <v>No</v>
      </c>
      <c r="P3737" s="1" t="str">
        <f>IF(OR(Employee__2[[#This Row],[Age]]&gt;=30,Employee__2[[#This Row],[Gender]]="Male"),"Mached","Not mached")</f>
        <v>Mached</v>
      </c>
    </row>
    <row r="3738" spans="4:16" x14ac:dyDescent="0.25">
      <c r="D3738" s="6" t="s">
        <v>34</v>
      </c>
      <c r="E3738">
        <v>2012</v>
      </c>
      <c r="F3738" s="6" t="s">
        <v>38</v>
      </c>
      <c r="G3738">
        <v>2</v>
      </c>
      <c r="H3738">
        <v>36</v>
      </c>
      <c r="I3738" s="6" t="s">
        <v>39</v>
      </c>
      <c r="J3738" s="6" t="s">
        <v>37</v>
      </c>
      <c r="K3738">
        <v>5</v>
      </c>
      <c r="M3738" s="1" t="b">
        <f>Employee__2[[#This Row],[Experience]]&gt;1</f>
        <v>1</v>
      </c>
      <c r="N3738" s="1" t="str">
        <f>IF(Employee__2[[#This Row],[City]]="Pune","Yes","No")</f>
        <v>Yes</v>
      </c>
      <c r="O3738" s="1" t="str">
        <f>IF(AND(Employee__2[[#This Row],[Education]]="Bachelors",Employee__2[[#This Row],[City]]="Pune"),"Yes","No")</f>
        <v>Yes</v>
      </c>
      <c r="P3738" s="1" t="str">
        <f>IF(OR(Employee__2[[#This Row],[Age]]&gt;=30,Employee__2[[#This Row],[Gender]]="Male"),"Mached","Not mached")</f>
        <v>Mached</v>
      </c>
    </row>
    <row r="3739" spans="4:16" x14ac:dyDescent="0.25">
      <c r="D3739" s="6" t="s">
        <v>41</v>
      </c>
      <c r="E3739">
        <v>2016</v>
      </c>
      <c r="F3739" s="6" t="s">
        <v>35</v>
      </c>
      <c r="G3739">
        <v>1</v>
      </c>
      <c r="H3739">
        <v>37</v>
      </c>
      <c r="I3739" s="6" t="s">
        <v>36</v>
      </c>
      <c r="J3739" s="6" t="s">
        <v>37</v>
      </c>
      <c r="K3739">
        <v>2</v>
      </c>
      <c r="M3739" s="1" t="b">
        <f>Employee__2[[#This Row],[Experience]]&gt;1</f>
        <v>1</v>
      </c>
      <c r="N3739" s="1" t="str">
        <f>IF(Employee__2[[#This Row],[City]]="Pune","Yes","No")</f>
        <v>No</v>
      </c>
      <c r="O3739" s="1" t="str">
        <f>IF(AND(Employee__2[[#This Row],[Education]]="Bachelors",Employee__2[[#This Row],[City]]="Pune"),"Yes","No")</f>
        <v>No</v>
      </c>
      <c r="P3739" s="1" t="str">
        <f>IF(OR(Employee__2[[#This Row],[Age]]&gt;=30,Employee__2[[#This Row],[Gender]]="Male"),"Mached","Not mached")</f>
        <v>Mached</v>
      </c>
    </row>
    <row r="3740" spans="4:16" x14ac:dyDescent="0.25">
      <c r="D3740" s="6" t="s">
        <v>34</v>
      </c>
      <c r="E3740">
        <v>2017</v>
      </c>
      <c r="F3740" s="6" t="s">
        <v>38</v>
      </c>
      <c r="G3740">
        <v>3</v>
      </c>
      <c r="H3740">
        <v>32</v>
      </c>
      <c r="I3740" s="6" t="s">
        <v>36</v>
      </c>
      <c r="J3740" s="6" t="s">
        <v>37</v>
      </c>
      <c r="K3740">
        <v>4</v>
      </c>
      <c r="M3740" s="1" t="b">
        <f>Employee__2[[#This Row],[Experience]]&gt;1</f>
        <v>1</v>
      </c>
      <c r="N3740" s="1" t="str">
        <f>IF(Employee__2[[#This Row],[City]]="Pune","Yes","No")</f>
        <v>Yes</v>
      </c>
      <c r="O3740" s="1" t="str">
        <f>IF(AND(Employee__2[[#This Row],[Education]]="Bachelors",Employee__2[[#This Row],[City]]="Pune"),"Yes","No")</f>
        <v>Yes</v>
      </c>
      <c r="P3740" s="1" t="str">
        <f>IF(OR(Employee__2[[#This Row],[Age]]&gt;=30,Employee__2[[#This Row],[Gender]]="Male"),"Mached","Not mached")</f>
        <v>Mached</v>
      </c>
    </row>
    <row r="3741" spans="4:16" x14ac:dyDescent="0.25">
      <c r="D3741" s="6" t="s">
        <v>41</v>
      </c>
      <c r="E3741">
        <v>2017</v>
      </c>
      <c r="F3741" s="6" t="s">
        <v>40</v>
      </c>
      <c r="G3741">
        <v>3</v>
      </c>
      <c r="H3741">
        <v>37</v>
      </c>
      <c r="I3741" s="6" t="s">
        <v>36</v>
      </c>
      <c r="J3741" s="6" t="s">
        <v>37</v>
      </c>
      <c r="K3741">
        <v>2</v>
      </c>
      <c r="M3741" s="1" t="b">
        <f>Employee__2[[#This Row],[Experience]]&gt;1</f>
        <v>1</v>
      </c>
      <c r="N3741" s="1" t="str">
        <f>IF(Employee__2[[#This Row],[City]]="Pune","Yes","No")</f>
        <v>No</v>
      </c>
      <c r="O3741" s="1" t="str">
        <f>IF(AND(Employee__2[[#This Row],[Education]]="Bachelors",Employee__2[[#This Row],[City]]="Pune"),"Yes","No")</f>
        <v>No</v>
      </c>
      <c r="P3741" s="1" t="str">
        <f>IF(OR(Employee__2[[#This Row],[Age]]&gt;=30,Employee__2[[#This Row],[Gender]]="Male"),"Mached","Not mached")</f>
        <v>Mached</v>
      </c>
    </row>
    <row r="3742" spans="4:16" x14ac:dyDescent="0.25">
      <c r="D3742" s="6" t="s">
        <v>34</v>
      </c>
      <c r="E3742">
        <v>2016</v>
      </c>
      <c r="F3742" s="6" t="s">
        <v>40</v>
      </c>
      <c r="G3742">
        <v>3</v>
      </c>
      <c r="H3742">
        <v>33</v>
      </c>
      <c r="I3742" s="6" t="s">
        <v>36</v>
      </c>
      <c r="J3742" s="6" t="s">
        <v>37</v>
      </c>
      <c r="K3742">
        <v>2</v>
      </c>
      <c r="M3742" s="1" t="b">
        <f>Employee__2[[#This Row],[Experience]]&gt;1</f>
        <v>1</v>
      </c>
      <c r="N3742" s="1" t="str">
        <f>IF(Employee__2[[#This Row],[City]]="Pune","Yes","No")</f>
        <v>No</v>
      </c>
      <c r="O3742" s="1" t="str">
        <f>IF(AND(Employee__2[[#This Row],[Education]]="Bachelors",Employee__2[[#This Row],[City]]="Pune"),"Yes","No")</f>
        <v>No</v>
      </c>
      <c r="P3742" s="1" t="str">
        <f>IF(OR(Employee__2[[#This Row],[Age]]&gt;=30,Employee__2[[#This Row],[Gender]]="Male"),"Mached","Not mached")</f>
        <v>Mached</v>
      </c>
    </row>
    <row r="3743" spans="4:16" x14ac:dyDescent="0.25">
      <c r="D3743" s="6" t="s">
        <v>34</v>
      </c>
      <c r="E3743">
        <v>2016</v>
      </c>
      <c r="F3743" s="6" t="s">
        <v>35</v>
      </c>
      <c r="G3743">
        <v>3</v>
      </c>
      <c r="H3743">
        <v>39</v>
      </c>
      <c r="I3743" s="6" t="s">
        <v>36</v>
      </c>
      <c r="J3743" s="6" t="s">
        <v>37</v>
      </c>
      <c r="K3743">
        <v>4</v>
      </c>
      <c r="M3743" s="1" t="b">
        <f>Employee__2[[#This Row],[Experience]]&gt;1</f>
        <v>1</v>
      </c>
      <c r="N3743" s="1" t="str">
        <f>IF(Employee__2[[#This Row],[City]]="Pune","Yes","No")</f>
        <v>No</v>
      </c>
      <c r="O3743" s="1" t="str">
        <f>IF(AND(Employee__2[[#This Row],[Education]]="Bachelors",Employee__2[[#This Row],[City]]="Pune"),"Yes","No")</f>
        <v>No</v>
      </c>
      <c r="P3743" s="1" t="str">
        <f>IF(OR(Employee__2[[#This Row],[Age]]&gt;=30,Employee__2[[#This Row],[Gender]]="Male"),"Mached","Not mached")</f>
        <v>Mached</v>
      </c>
    </row>
    <row r="3744" spans="4:16" x14ac:dyDescent="0.25">
      <c r="D3744" s="6" t="s">
        <v>34</v>
      </c>
      <c r="E3744">
        <v>2012</v>
      </c>
      <c r="F3744" s="6" t="s">
        <v>35</v>
      </c>
      <c r="G3744">
        <v>3</v>
      </c>
      <c r="H3744">
        <v>35</v>
      </c>
      <c r="I3744" s="6" t="s">
        <v>36</v>
      </c>
      <c r="J3744" s="6" t="s">
        <v>37</v>
      </c>
      <c r="K3744">
        <v>1</v>
      </c>
      <c r="M3744" s="1" t="b">
        <f>Employee__2[[#This Row],[Experience]]&gt;1</f>
        <v>0</v>
      </c>
      <c r="N3744" s="1" t="str">
        <f>IF(Employee__2[[#This Row],[City]]="Pune","Yes","No")</f>
        <v>No</v>
      </c>
      <c r="O3744" s="1" t="str">
        <f>IF(AND(Employee__2[[#This Row],[Education]]="Bachelors",Employee__2[[#This Row],[City]]="Pune"),"Yes","No")</f>
        <v>No</v>
      </c>
      <c r="P3744" s="1" t="str">
        <f>IF(OR(Employee__2[[#This Row],[Age]]&gt;=30,Employee__2[[#This Row],[Gender]]="Male"),"Mached","Not mached")</f>
        <v>Mached</v>
      </c>
    </row>
    <row r="3745" spans="4:16" x14ac:dyDescent="0.25">
      <c r="D3745" s="6" t="s">
        <v>41</v>
      </c>
      <c r="E3745">
        <v>2015</v>
      </c>
      <c r="F3745" s="6" t="s">
        <v>38</v>
      </c>
      <c r="G3745">
        <v>3</v>
      </c>
      <c r="H3745">
        <v>39</v>
      </c>
      <c r="I3745" s="6" t="s">
        <v>36</v>
      </c>
      <c r="J3745" s="6" t="s">
        <v>37</v>
      </c>
      <c r="K3745">
        <v>5</v>
      </c>
      <c r="M3745" s="1" t="b">
        <f>Employee__2[[#This Row],[Experience]]&gt;1</f>
        <v>1</v>
      </c>
      <c r="N3745" s="1" t="str">
        <f>IF(Employee__2[[#This Row],[City]]="Pune","Yes","No")</f>
        <v>Yes</v>
      </c>
      <c r="O3745" s="1" t="str">
        <f>IF(AND(Employee__2[[#This Row],[Education]]="Bachelors",Employee__2[[#This Row],[City]]="Pune"),"Yes","No")</f>
        <v>No</v>
      </c>
      <c r="P3745" s="1" t="str">
        <f>IF(OR(Employee__2[[#This Row],[Age]]&gt;=30,Employee__2[[#This Row],[Gender]]="Male"),"Mached","Not mached")</f>
        <v>Mached</v>
      </c>
    </row>
    <row r="3746" spans="4:16" x14ac:dyDescent="0.25">
      <c r="D3746" s="6" t="s">
        <v>34</v>
      </c>
      <c r="E3746">
        <v>2015</v>
      </c>
      <c r="F3746" s="6" t="s">
        <v>35</v>
      </c>
      <c r="G3746">
        <v>3</v>
      </c>
      <c r="H3746">
        <v>34</v>
      </c>
      <c r="I3746" s="6" t="s">
        <v>36</v>
      </c>
      <c r="J3746" s="6" t="s">
        <v>37</v>
      </c>
      <c r="K3746">
        <v>0</v>
      </c>
      <c r="M3746" s="1" t="b">
        <f>Employee__2[[#This Row],[Experience]]&gt;1</f>
        <v>0</v>
      </c>
      <c r="N3746" s="1" t="str">
        <f>IF(Employee__2[[#This Row],[City]]="Pune","Yes","No")</f>
        <v>No</v>
      </c>
      <c r="O3746" s="1" t="str">
        <f>IF(AND(Employee__2[[#This Row],[Education]]="Bachelors",Employee__2[[#This Row],[City]]="Pune"),"Yes","No")</f>
        <v>No</v>
      </c>
      <c r="P3746" s="1" t="str">
        <f>IF(OR(Employee__2[[#This Row],[Age]]&gt;=30,Employee__2[[#This Row],[Gender]]="Male"),"Mached","Not mached")</f>
        <v>Mached</v>
      </c>
    </row>
    <row r="3747" spans="4:16" x14ac:dyDescent="0.25">
      <c r="D3747" s="6" t="s">
        <v>41</v>
      </c>
      <c r="E3747">
        <v>2017</v>
      </c>
      <c r="F3747" s="6" t="s">
        <v>40</v>
      </c>
      <c r="G3747">
        <v>2</v>
      </c>
      <c r="H3747">
        <v>33</v>
      </c>
      <c r="I3747" s="6" t="s">
        <v>36</v>
      </c>
      <c r="J3747" s="6" t="s">
        <v>37</v>
      </c>
      <c r="K3747">
        <v>4</v>
      </c>
      <c r="M3747" s="1" t="b">
        <f>Employee__2[[#This Row],[Experience]]&gt;1</f>
        <v>1</v>
      </c>
      <c r="N3747" s="1" t="str">
        <f>IF(Employee__2[[#This Row],[City]]="Pune","Yes","No")</f>
        <v>No</v>
      </c>
      <c r="O3747" s="1" t="str">
        <f>IF(AND(Employee__2[[#This Row],[Education]]="Bachelors",Employee__2[[#This Row],[City]]="Pune"),"Yes","No")</f>
        <v>No</v>
      </c>
      <c r="P3747" s="1" t="str">
        <f>IF(OR(Employee__2[[#This Row],[Age]]&gt;=30,Employee__2[[#This Row],[Gender]]="Male"),"Mached","Not mached")</f>
        <v>Mached</v>
      </c>
    </row>
    <row r="3748" spans="4:16" x14ac:dyDescent="0.25">
      <c r="D3748" s="6" t="s">
        <v>34</v>
      </c>
      <c r="E3748">
        <v>2012</v>
      </c>
      <c r="F3748" s="6" t="s">
        <v>35</v>
      </c>
      <c r="G3748">
        <v>3</v>
      </c>
      <c r="H3748">
        <v>33</v>
      </c>
      <c r="I3748" s="6" t="s">
        <v>36</v>
      </c>
      <c r="J3748" s="6" t="s">
        <v>37</v>
      </c>
      <c r="K3748">
        <v>1</v>
      </c>
      <c r="M3748" s="1" t="b">
        <f>Employee__2[[#This Row],[Experience]]&gt;1</f>
        <v>0</v>
      </c>
      <c r="N3748" s="1" t="str">
        <f>IF(Employee__2[[#This Row],[City]]="Pune","Yes","No")</f>
        <v>No</v>
      </c>
      <c r="O3748" s="1" t="str">
        <f>IF(AND(Employee__2[[#This Row],[Education]]="Bachelors",Employee__2[[#This Row],[City]]="Pune"),"Yes","No")</f>
        <v>No</v>
      </c>
      <c r="P3748" s="1" t="str">
        <f>IF(OR(Employee__2[[#This Row],[Age]]&gt;=30,Employee__2[[#This Row],[Gender]]="Male"),"Mached","Not mached")</f>
        <v>Mached</v>
      </c>
    </row>
    <row r="3749" spans="4:16" x14ac:dyDescent="0.25">
      <c r="D3749" s="6" t="s">
        <v>34</v>
      </c>
      <c r="E3749">
        <v>2015</v>
      </c>
      <c r="F3749" s="6" t="s">
        <v>40</v>
      </c>
      <c r="G3749">
        <v>3</v>
      </c>
      <c r="H3749">
        <v>31</v>
      </c>
      <c r="I3749" s="6" t="s">
        <v>36</v>
      </c>
      <c r="J3749" s="6" t="s">
        <v>37</v>
      </c>
      <c r="K3749">
        <v>0</v>
      </c>
      <c r="M3749" s="1" t="b">
        <f>Employee__2[[#This Row],[Experience]]&gt;1</f>
        <v>0</v>
      </c>
      <c r="N3749" s="1" t="str">
        <f>IF(Employee__2[[#This Row],[City]]="Pune","Yes","No")</f>
        <v>No</v>
      </c>
      <c r="O3749" s="1" t="str">
        <f>IF(AND(Employee__2[[#This Row],[Education]]="Bachelors",Employee__2[[#This Row],[City]]="Pune"),"Yes","No")</f>
        <v>No</v>
      </c>
      <c r="P3749" s="1" t="str">
        <f>IF(OR(Employee__2[[#This Row],[Age]]&gt;=30,Employee__2[[#This Row],[Gender]]="Male"),"Mached","Not mached")</f>
        <v>Mached</v>
      </c>
    </row>
    <row r="3750" spans="4:16" x14ac:dyDescent="0.25">
      <c r="D3750" s="6" t="s">
        <v>43</v>
      </c>
      <c r="E3750">
        <v>2016</v>
      </c>
      <c r="F3750" s="6" t="s">
        <v>38</v>
      </c>
      <c r="G3750">
        <v>3</v>
      </c>
      <c r="H3750">
        <v>31</v>
      </c>
      <c r="I3750" s="6" t="s">
        <v>39</v>
      </c>
      <c r="J3750" s="6" t="s">
        <v>37</v>
      </c>
      <c r="K3750">
        <v>4</v>
      </c>
      <c r="M3750" s="1" t="b">
        <f>Employee__2[[#This Row],[Experience]]&gt;1</f>
        <v>1</v>
      </c>
      <c r="N3750" s="1" t="str">
        <f>IF(Employee__2[[#This Row],[City]]="Pune","Yes","No")</f>
        <v>Yes</v>
      </c>
      <c r="O3750" s="1" t="str">
        <f>IF(AND(Employee__2[[#This Row],[Education]]="Bachelors",Employee__2[[#This Row],[City]]="Pune"),"Yes","No")</f>
        <v>No</v>
      </c>
      <c r="P3750" s="1" t="str">
        <f>IF(OR(Employee__2[[#This Row],[Age]]&gt;=30,Employee__2[[#This Row],[Gender]]="Male"),"Mached","Not mached")</f>
        <v>Mached</v>
      </c>
    </row>
    <row r="3751" spans="4:16" x14ac:dyDescent="0.25">
      <c r="D3751" s="6" t="s">
        <v>34</v>
      </c>
      <c r="E3751">
        <v>2015</v>
      </c>
      <c r="F3751" s="6" t="s">
        <v>35</v>
      </c>
      <c r="G3751">
        <v>3</v>
      </c>
      <c r="H3751">
        <v>37</v>
      </c>
      <c r="I3751" s="6" t="s">
        <v>39</v>
      </c>
      <c r="J3751" s="6" t="s">
        <v>37</v>
      </c>
      <c r="K3751">
        <v>4</v>
      </c>
      <c r="M3751" s="1" t="b">
        <f>Employee__2[[#This Row],[Experience]]&gt;1</f>
        <v>1</v>
      </c>
      <c r="N3751" s="1" t="str">
        <f>IF(Employee__2[[#This Row],[City]]="Pune","Yes","No")</f>
        <v>No</v>
      </c>
      <c r="O3751" s="1" t="str">
        <f>IF(AND(Employee__2[[#This Row],[Education]]="Bachelors",Employee__2[[#This Row],[City]]="Pune"),"Yes","No")</f>
        <v>No</v>
      </c>
      <c r="P3751" s="1" t="str">
        <f>IF(OR(Employee__2[[#This Row],[Age]]&gt;=30,Employee__2[[#This Row],[Gender]]="Male"),"Mached","Not mached")</f>
        <v>Mached</v>
      </c>
    </row>
    <row r="3752" spans="4:16" x14ac:dyDescent="0.25">
      <c r="D3752" s="6" t="s">
        <v>34</v>
      </c>
      <c r="E3752">
        <v>2012</v>
      </c>
      <c r="F3752" s="6" t="s">
        <v>35</v>
      </c>
      <c r="G3752">
        <v>3</v>
      </c>
      <c r="H3752">
        <v>33</v>
      </c>
      <c r="I3752" s="6" t="s">
        <v>36</v>
      </c>
      <c r="J3752" s="6" t="s">
        <v>37</v>
      </c>
      <c r="K3752">
        <v>0</v>
      </c>
      <c r="M3752" s="1" t="b">
        <f>Employee__2[[#This Row],[Experience]]&gt;1</f>
        <v>0</v>
      </c>
      <c r="N3752" s="1" t="str">
        <f>IF(Employee__2[[#This Row],[City]]="Pune","Yes","No")</f>
        <v>No</v>
      </c>
      <c r="O3752" s="1" t="str">
        <f>IF(AND(Employee__2[[#This Row],[Education]]="Bachelors",Employee__2[[#This Row],[City]]="Pune"),"Yes","No")</f>
        <v>No</v>
      </c>
      <c r="P3752" s="1" t="str">
        <f>IF(OR(Employee__2[[#This Row],[Age]]&gt;=30,Employee__2[[#This Row],[Gender]]="Male"),"Mached","Not mached")</f>
        <v>Mached</v>
      </c>
    </row>
    <row r="3753" spans="4:16" x14ac:dyDescent="0.25">
      <c r="D3753" s="6" t="s">
        <v>34</v>
      </c>
      <c r="E3753">
        <v>2017</v>
      </c>
      <c r="F3753" s="6" t="s">
        <v>38</v>
      </c>
      <c r="G3753">
        <v>3</v>
      </c>
      <c r="H3753">
        <v>31</v>
      </c>
      <c r="I3753" s="6" t="s">
        <v>36</v>
      </c>
      <c r="J3753" s="6" t="s">
        <v>37</v>
      </c>
      <c r="K3753">
        <v>0</v>
      </c>
      <c r="M3753" s="1" t="b">
        <f>Employee__2[[#This Row],[Experience]]&gt;1</f>
        <v>0</v>
      </c>
      <c r="N3753" s="1" t="str">
        <f>IF(Employee__2[[#This Row],[City]]="Pune","Yes","No")</f>
        <v>Yes</v>
      </c>
      <c r="O3753" s="1" t="str">
        <f>IF(AND(Employee__2[[#This Row],[Education]]="Bachelors",Employee__2[[#This Row],[City]]="Pune"),"Yes","No")</f>
        <v>Yes</v>
      </c>
      <c r="P3753" s="1" t="str">
        <f>IF(OR(Employee__2[[#This Row],[Age]]&gt;=30,Employee__2[[#This Row],[Gender]]="Male"),"Mached","Not mached")</f>
        <v>Mached</v>
      </c>
    </row>
    <row r="3754" spans="4:16" x14ac:dyDescent="0.25">
      <c r="D3754" s="6" t="s">
        <v>34</v>
      </c>
      <c r="E3754">
        <v>2017</v>
      </c>
      <c r="F3754" s="6" t="s">
        <v>35</v>
      </c>
      <c r="G3754">
        <v>3</v>
      </c>
      <c r="H3754">
        <v>41</v>
      </c>
      <c r="I3754" s="6" t="s">
        <v>39</v>
      </c>
      <c r="J3754" s="6" t="s">
        <v>37</v>
      </c>
      <c r="K3754">
        <v>2</v>
      </c>
      <c r="M3754" s="1" t="b">
        <f>Employee__2[[#This Row],[Experience]]&gt;1</f>
        <v>1</v>
      </c>
      <c r="N3754" s="1" t="str">
        <f>IF(Employee__2[[#This Row],[City]]="Pune","Yes","No")</f>
        <v>No</v>
      </c>
      <c r="O3754" s="1" t="str">
        <f>IF(AND(Employee__2[[#This Row],[Education]]="Bachelors",Employee__2[[#This Row],[City]]="Pune"),"Yes","No")</f>
        <v>No</v>
      </c>
      <c r="P3754" s="1" t="str">
        <f>IF(OR(Employee__2[[#This Row],[Age]]&gt;=30,Employee__2[[#This Row],[Gender]]="Male"),"Mached","Not mached")</f>
        <v>Mached</v>
      </c>
    </row>
    <row r="3755" spans="4:16" x14ac:dyDescent="0.25">
      <c r="D3755" s="6" t="s">
        <v>41</v>
      </c>
      <c r="E3755">
        <v>2017</v>
      </c>
      <c r="F3755" s="6" t="s">
        <v>38</v>
      </c>
      <c r="G3755">
        <v>2</v>
      </c>
      <c r="H3755">
        <v>39</v>
      </c>
      <c r="I3755" s="6" t="s">
        <v>36</v>
      </c>
      <c r="J3755" s="6" t="s">
        <v>37</v>
      </c>
      <c r="K3755">
        <v>2</v>
      </c>
      <c r="M3755" s="1" t="b">
        <f>Employee__2[[#This Row],[Experience]]&gt;1</f>
        <v>1</v>
      </c>
      <c r="N3755" s="1" t="str">
        <f>IF(Employee__2[[#This Row],[City]]="Pune","Yes","No")</f>
        <v>Yes</v>
      </c>
      <c r="O3755" s="1" t="str">
        <f>IF(AND(Employee__2[[#This Row],[Education]]="Bachelors",Employee__2[[#This Row],[City]]="Pune"),"Yes","No")</f>
        <v>No</v>
      </c>
      <c r="P3755" s="1" t="str">
        <f>IF(OR(Employee__2[[#This Row],[Age]]&gt;=30,Employee__2[[#This Row],[Gender]]="Male"),"Mached","Not mached")</f>
        <v>Mached</v>
      </c>
    </row>
    <row r="3756" spans="4:16" x14ac:dyDescent="0.25">
      <c r="D3756" s="6" t="s">
        <v>41</v>
      </c>
      <c r="E3756">
        <v>2013</v>
      </c>
      <c r="F3756" s="6" t="s">
        <v>40</v>
      </c>
      <c r="G3756">
        <v>3</v>
      </c>
      <c r="H3756">
        <v>32</v>
      </c>
      <c r="I3756" s="6" t="s">
        <v>36</v>
      </c>
      <c r="J3756" s="6" t="s">
        <v>37</v>
      </c>
      <c r="K3756">
        <v>2</v>
      </c>
      <c r="M3756" s="1" t="b">
        <f>Employee__2[[#This Row],[Experience]]&gt;1</f>
        <v>1</v>
      </c>
      <c r="N3756" s="1" t="str">
        <f>IF(Employee__2[[#This Row],[City]]="Pune","Yes","No")</f>
        <v>No</v>
      </c>
      <c r="O3756" s="1" t="str">
        <f>IF(AND(Employee__2[[#This Row],[Education]]="Bachelors",Employee__2[[#This Row],[City]]="Pune"),"Yes","No")</f>
        <v>No</v>
      </c>
      <c r="P3756" s="1" t="str">
        <f>IF(OR(Employee__2[[#This Row],[Age]]&gt;=30,Employee__2[[#This Row],[Gender]]="Male"),"Mached","Not mached")</f>
        <v>Mached</v>
      </c>
    </row>
    <row r="3757" spans="4:16" x14ac:dyDescent="0.25">
      <c r="D3757" s="6" t="s">
        <v>34</v>
      </c>
      <c r="E3757">
        <v>2016</v>
      </c>
      <c r="F3757" s="6" t="s">
        <v>38</v>
      </c>
      <c r="G3757">
        <v>3</v>
      </c>
      <c r="H3757">
        <v>37</v>
      </c>
      <c r="I3757" s="6" t="s">
        <v>36</v>
      </c>
      <c r="J3757" s="6" t="s">
        <v>37</v>
      </c>
      <c r="K3757">
        <v>3</v>
      </c>
      <c r="M3757" s="1" t="b">
        <f>Employee__2[[#This Row],[Experience]]&gt;1</f>
        <v>1</v>
      </c>
      <c r="N3757" s="1" t="str">
        <f>IF(Employee__2[[#This Row],[City]]="Pune","Yes","No")</f>
        <v>Yes</v>
      </c>
      <c r="O3757" s="1" t="str">
        <f>IF(AND(Employee__2[[#This Row],[Education]]="Bachelors",Employee__2[[#This Row],[City]]="Pune"),"Yes","No")</f>
        <v>Yes</v>
      </c>
      <c r="P3757" s="1" t="str">
        <f>IF(OR(Employee__2[[#This Row],[Age]]&gt;=30,Employee__2[[#This Row],[Gender]]="Male"),"Mached","Not mached")</f>
        <v>Mached</v>
      </c>
    </row>
    <row r="3758" spans="4:16" x14ac:dyDescent="0.25">
      <c r="D3758" s="6" t="s">
        <v>34</v>
      </c>
      <c r="E3758">
        <v>2014</v>
      </c>
      <c r="F3758" s="6" t="s">
        <v>35</v>
      </c>
      <c r="G3758">
        <v>3</v>
      </c>
      <c r="H3758">
        <v>37</v>
      </c>
      <c r="I3758" s="6" t="s">
        <v>36</v>
      </c>
      <c r="J3758" s="6" t="s">
        <v>37</v>
      </c>
      <c r="K3758">
        <v>1</v>
      </c>
      <c r="M3758" s="1" t="b">
        <f>Employee__2[[#This Row],[Experience]]&gt;1</f>
        <v>0</v>
      </c>
      <c r="N3758" s="1" t="str">
        <f>IF(Employee__2[[#This Row],[City]]="Pune","Yes","No")</f>
        <v>No</v>
      </c>
      <c r="O3758" s="1" t="str">
        <f>IF(AND(Employee__2[[#This Row],[Education]]="Bachelors",Employee__2[[#This Row],[City]]="Pune"),"Yes","No")</f>
        <v>No</v>
      </c>
      <c r="P3758" s="1" t="str">
        <f>IF(OR(Employee__2[[#This Row],[Age]]&gt;=30,Employee__2[[#This Row],[Gender]]="Male"),"Mached","Not mached")</f>
        <v>Mached</v>
      </c>
    </row>
    <row r="3759" spans="4:16" x14ac:dyDescent="0.25">
      <c r="D3759" s="6" t="s">
        <v>34</v>
      </c>
      <c r="E3759">
        <v>2017</v>
      </c>
      <c r="F3759" s="6" t="s">
        <v>38</v>
      </c>
      <c r="G3759">
        <v>2</v>
      </c>
      <c r="H3759">
        <v>34</v>
      </c>
      <c r="I3759" s="6" t="s">
        <v>39</v>
      </c>
      <c r="J3759" s="6" t="s">
        <v>37</v>
      </c>
      <c r="K3759">
        <v>3</v>
      </c>
      <c r="M3759" s="1" t="b">
        <f>Employee__2[[#This Row],[Experience]]&gt;1</f>
        <v>1</v>
      </c>
      <c r="N3759" s="1" t="str">
        <f>IF(Employee__2[[#This Row],[City]]="Pune","Yes","No")</f>
        <v>Yes</v>
      </c>
      <c r="O3759" s="1" t="str">
        <f>IF(AND(Employee__2[[#This Row],[Education]]="Bachelors",Employee__2[[#This Row],[City]]="Pune"),"Yes","No")</f>
        <v>Yes</v>
      </c>
      <c r="P3759" s="1" t="str">
        <f>IF(OR(Employee__2[[#This Row],[Age]]&gt;=30,Employee__2[[#This Row],[Gender]]="Male"),"Mached","Not mached")</f>
        <v>Mached</v>
      </c>
    </row>
    <row r="3760" spans="4:16" x14ac:dyDescent="0.25">
      <c r="D3760" s="6" t="s">
        <v>34</v>
      </c>
      <c r="E3760">
        <v>2017</v>
      </c>
      <c r="F3760" s="6" t="s">
        <v>40</v>
      </c>
      <c r="G3760">
        <v>2</v>
      </c>
      <c r="H3760">
        <v>31</v>
      </c>
      <c r="I3760" s="6" t="s">
        <v>36</v>
      </c>
      <c r="J3760" s="6" t="s">
        <v>37</v>
      </c>
      <c r="K3760">
        <v>2</v>
      </c>
      <c r="M3760" s="1" t="b">
        <f>Employee__2[[#This Row],[Experience]]&gt;1</f>
        <v>1</v>
      </c>
      <c r="N3760" s="1" t="str">
        <f>IF(Employee__2[[#This Row],[City]]="Pune","Yes","No")</f>
        <v>No</v>
      </c>
      <c r="O3760" s="1" t="str">
        <f>IF(AND(Employee__2[[#This Row],[Education]]="Bachelors",Employee__2[[#This Row],[City]]="Pune"),"Yes","No")</f>
        <v>No</v>
      </c>
      <c r="P3760" s="1" t="str">
        <f>IF(OR(Employee__2[[#This Row],[Age]]&gt;=30,Employee__2[[#This Row],[Gender]]="Male"),"Mached","Not mached")</f>
        <v>Mached</v>
      </c>
    </row>
    <row r="3761" spans="4:16" x14ac:dyDescent="0.25">
      <c r="D3761" s="6" t="s">
        <v>34</v>
      </c>
      <c r="E3761">
        <v>2014</v>
      </c>
      <c r="F3761" s="6" t="s">
        <v>38</v>
      </c>
      <c r="G3761">
        <v>2</v>
      </c>
      <c r="H3761">
        <v>34</v>
      </c>
      <c r="I3761" s="6" t="s">
        <v>39</v>
      </c>
      <c r="J3761" s="6" t="s">
        <v>42</v>
      </c>
      <c r="K3761">
        <v>1</v>
      </c>
      <c r="M3761" s="1" t="b">
        <f>Employee__2[[#This Row],[Experience]]&gt;1</f>
        <v>0</v>
      </c>
      <c r="N3761" s="1" t="str">
        <f>IF(Employee__2[[#This Row],[City]]="Pune","Yes","No")</f>
        <v>Yes</v>
      </c>
      <c r="O3761" s="1" t="str">
        <f>IF(AND(Employee__2[[#This Row],[Education]]="Bachelors",Employee__2[[#This Row],[City]]="Pune"),"Yes","No")</f>
        <v>Yes</v>
      </c>
      <c r="P3761" s="1" t="str">
        <f>IF(OR(Employee__2[[#This Row],[Age]]&gt;=30,Employee__2[[#This Row],[Gender]]="Male"),"Mached","Not mached")</f>
        <v>Mached</v>
      </c>
    </row>
    <row r="3762" spans="4:16" x14ac:dyDescent="0.25">
      <c r="D3762" s="6" t="s">
        <v>34</v>
      </c>
      <c r="E3762">
        <v>2012</v>
      </c>
      <c r="F3762" s="6" t="s">
        <v>35</v>
      </c>
      <c r="G3762">
        <v>3</v>
      </c>
      <c r="H3762">
        <v>38</v>
      </c>
      <c r="I3762" s="6" t="s">
        <v>39</v>
      </c>
      <c r="J3762" s="6" t="s">
        <v>37</v>
      </c>
      <c r="K3762">
        <v>5</v>
      </c>
      <c r="M3762" s="1" t="b">
        <f>Employee__2[[#This Row],[Experience]]&gt;1</f>
        <v>1</v>
      </c>
      <c r="N3762" s="1" t="str">
        <f>IF(Employee__2[[#This Row],[City]]="Pune","Yes","No")</f>
        <v>No</v>
      </c>
      <c r="O3762" s="1" t="str">
        <f>IF(AND(Employee__2[[#This Row],[Education]]="Bachelors",Employee__2[[#This Row],[City]]="Pune"),"Yes","No")</f>
        <v>No</v>
      </c>
      <c r="P3762" s="1" t="str">
        <f>IF(OR(Employee__2[[#This Row],[Age]]&gt;=30,Employee__2[[#This Row],[Gender]]="Male"),"Mached","Not mached")</f>
        <v>Mached</v>
      </c>
    </row>
    <row r="3763" spans="4:16" x14ac:dyDescent="0.25">
      <c r="D3763" s="6" t="s">
        <v>34</v>
      </c>
      <c r="E3763">
        <v>2013</v>
      </c>
      <c r="F3763" s="6" t="s">
        <v>35</v>
      </c>
      <c r="G3763">
        <v>3</v>
      </c>
      <c r="H3763">
        <v>37</v>
      </c>
      <c r="I3763" s="6" t="s">
        <v>39</v>
      </c>
      <c r="J3763" s="6" t="s">
        <v>37</v>
      </c>
      <c r="K3763">
        <v>1</v>
      </c>
      <c r="M3763" s="1" t="b">
        <f>Employee__2[[#This Row],[Experience]]&gt;1</f>
        <v>0</v>
      </c>
      <c r="N3763" s="1" t="str">
        <f>IF(Employee__2[[#This Row],[City]]="Pune","Yes","No")</f>
        <v>No</v>
      </c>
      <c r="O3763" s="1" t="str">
        <f>IF(AND(Employee__2[[#This Row],[Education]]="Bachelors",Employee__2[[#This Row],[City]]="Pune"),"Yes","No")</f>
        <v>No</v>
      </c>
      <c r="P3763" s="1" t="str">
        <f>IF(OR(Employee__2[[#This Row],[Age]]&gt;=30,Employee__2[[#This Row],[Gender]]="Male"),"Mached","Not mached")</f>
        <v>Mached</v>
      </c>
    </row>
    <row r="3764" spans="4:16" x14ac:dyDescent="0.25">
      <c r="D3764" s="6" t="s">
        <v>34</v>
      </c>
      <c r="E3764">
        <v>2015</v>
      </c>
      <c r="F3764" s="6" t="s">
        <v>38</v>
      </c>
      <c r="G3764">
        <v>1</v>
      </c>
      <c r="H3764">
        <v>34</v>
      </c>
      <c r="I3764" s="6" t="s">
        <v>39</v>
      </c>
      <c r="J3764" s="6" t="s">
        <v>37</v>
      </c>
      <c r="K3764">
        <v>3</v>
      </c>
      <c r="M3764" s="1" t="b">
        <f>Employee__2[[#This Row],[Experience]]&gt;1</f>
        <v>1</v>
      </c>
      <c r="N3764" s="1" t="str">
        <f>IF(Employee__2[[#This Row],[City]]="Pune","Yes","No")</f>
        <v>Yes</v>
      </c>
      <c r="O3764" s="1" t="str">
        <f>IF(AND(Employee__2[[#This Row],[Education]]="Bachelors",Employee__2[[#This Row],[City]]="Pune"),"Yes","No")</f>
        <v>Yes</v>
      </c>
      <c r="P3764" s="1" t="str">
        <f>IF(OR(Employee__2[[#This Row],[Age]]&gt;=30,Employee__2[[#This Row],[Gender]]="Male"),"Mached","Not mached")</f>
        <v>Mached</v>
      </c>
    </row>
    <row r="3765" spans="4:16" x14ac:dyDescent="0.25">
      <c r="D3765" s="6" t="s">
        <v>34</v>
      </c>
      <c r="E3765">
        <v>2015</v>
      </c>
      <c r="F3765" s="6" t="s">
        <v>35</v>
      </c>
      <c r="G3765">
        <v>3</v>
      </c>
      <c r="H3765">
        <v>33</v>
      </c>
      <c r="I3765" s="6" t="s">
        <v>36</v>
      </c>
      <c r="J3765" s="6" t="s">
        <v>37</v>
      </c>
      <c r="K3765">
        <v>2</v>
      </c>
      <c r="M3765" s="1" t="b">
        <f>Employee__2[[#This Row],[Experience]]&gt;1</f>
        <v>1</v>
      </c>
      <c r="N3765" s="1" t="str">
        <f>IF(Employee__2[[#This Row],[City]]="Pune","Yes","No")</f>
        <v>No</v>
      </c>
      <c r="O3765" s="1" t="str">
        <f>IF(AND(Employee__2[[#This Row],[Education]]="Bachelors",Employee__2[[#This Row],[City]]="Pune"),"Yes","No")</f>
        <v>No</v>
      </c>
      <c r="P3765" s="1" t="str">
        <f>IF(OR(Employee__2[[#This Row],[Age]]&gt;=30,Employee__2[[#This Row],[Gender]]="Male"),"Mached","Not mached")</f>
        <v>Mached</v>
      </c>
    </row>
    <row r="3766" spans="4:16" x14ac:dyDescent="0.25">
      <c r="D3766" s="6" t="s">
        <v>34</v>
      </c>
      <c r="E3766">
        <v>2016</v>
      </c>
      <c r="F3766" s="6" t="s">
        <v>35</v>
      </c>
      <c r="G3766">
        <v>3</v>
      </c>
      <c r="H3766">
        <v>37</v>
      </c>
      <c r="I3766" s="6" t="s">
        <v>36</v>
      </c>
      <c r="J3766" s="6" t="s">
        <v>37</v>
      </c>
      <c r="K3766">
        <v>4</v>
      </c>
      <c r="M3766" s="1" t="b">
        <f>Employee__2[[#This Row],[Experience]]&gt;1</f>
        <v>1</v>
      </c>
      <c r="N3766" s="1" t="str">
        <f>IF(Employee__2[[#This Row],[City]]="Pune","Yes","No")</f>
        <v>No</v>
      </c>
      <c r="O3766" s="1" t="str">
        <f>IF(AND(Employee__2[[#This Row],[Education]]="Bachelors",Employee__2[[#This Row],[City]]="Pune"),"Yes","No")</f>
        <v>No</v>
      </c>
      <c r="P3766" s="1" t="str">
        <f>IF(OR(Employee__2[[#This Row],[Age]]&gt;=30,Employee__2[[#This Row],[Gender]]="Male"),"Mached","Not mached")</f>
        <v>Mached</v>
      </c>
    </row>
    <row r="3767" spans="4:16" x14ac:dyDescent="0.25">
      <c r="D3767" s="6" t="s">
        <v>34</v>
      </c>
      <c r="E3767">
        <v>2016</v>
      </c>
      <c r="F3767" s="6" t="s">
        <v>35</v>
      </c>
      <c r="G3767">
        <v>3</v>
      </c>
      <c r="H3767">
        <v>41</v>
      </c>
      <c r="I3767" s="6" t="s">
        <v>36</v>
      </c>
      <c r="J3767" s="6" t="s">
        <v>37</v>
      </c>
      <c r="K3767">
        <v>4</v>
      </c>
      <c r="M3767" s="1" t="b">
        <f>Employee__2[[#This Row],[Experience]]&gt;1</f>
        <v>1</v>
      </c>
      <c r="N3767" s="1" t="str">
        <f>IF(Employee__2[[#This Row],[City]]="Pune","Yes","No")</f>
        <v>No</v>
      </c>
      <c r="O3767" s="1" t="str">
        <f>IF(AND(Employee__2[[#This Row],[Education]]="Bachelors",Employee__2[[#This Row],[City]]="Pune"),"Yes","No")</f>
        <v>No</v>
      </c>
      <c r="P3767" s="1" t="str">
        <f>IF(OR(Employee__2[[#This Row],[Age]]&gt;=30,Employee__2[[#This Row],[Gender]]="Male"),"Mached","Not mached")</f>
        <v>Mached</v>
      </c>
    </row>
    <row r="3768" spans="4:16" x14ac:dyDescent="0.25">
      <c r="D3768" s="6" t="s">
        <v>34</v>
      </c>
      <c r="E3768">
        <v>2012</v>
      </c>
      <c r="F3768" s="6" t="s">
        <v>35</v>
      </c>
      <c r="G3768">
        <v>1</v>
      </c>
      <c r="H3768">
        <v>38</v>
      </c>
      <c r="I3768" s="6" t="s">
        <v>39</v>
      </c>
      <c r="J3768" s="6" t="s">
        <v>37</v>
      </c>
      <c r="K3768">
        <v>1</v>
      </c>
      <c r="M3768" s="1" t="b">
        <f>Employee__2[[#This Row],[Experience]]&gt;1</f>
        <v>0</v>
      </c>
      <c r="N3768" s="1" t="str">
        <f>IF(Employee__2[[#This Row],[City]]="Pune","Yes","No")</f>
        <v>No</v>
      </c>
      <c r="O3768" s="1" t="str">
        <f>IF(AND(Employee__2[[#This Row],[Education]]="Bachelors",Employee__2[[#This Row],[City]]="Pune"),"Yes","No")</f>
        <v>No</v>
      </c>
      <c r="P3768" s="1" t="str">
        <f>IF(OR(Employee__2[[#This Row],[Age]]&gt;=30,Employee__2[[#This Row],[Gender]]="Male"),"Mached","Not mached")</f>
        <v>Mached</v>
      </c>
    </row>
    <row r="3769" spans="4:16" x14ac:dyDescent="0.25">
      <c r="D3769" s="6" t="s">
        <v>34</v>
      </c>
      <c r="E3769">
        <v>2016</v>
      </c>
      <c r="F3769" s="6" t="s">
        <v>38</v>
      </c>
      <c r="G3769">
        <v>3</v>
      </c>
      <c r="H3769">
        <v>40</v>
      </c>
      <c r="I3769" s="6" t="s">
        <v>36</v>
      </c>
      <c r="J3769" s="6" t="s">
        <v>37</v>
      </c>
      <c r="K3769">
        <v>5</v>
      </c>
      <c r="M3769" s="1" t="b">
        <f>Employee__2[[#This Row],[Experience]]&gt;1</f>
        <v>1</v>
      </c>
      <c r="N3769" s="1" t="str">
        <f>IF(Employee__2[[#This Row],[City]]="Pune","Yes","No")</f>
        <v>Yes</v>
      </c>
      <c r="O3769" s="1" t="str">
        <f>IF(AND(Employee__2[[#This Row],[Education]]="Bachelors",Employee__2[[#This Row],[City]]="Pune"),"Yes","No")</f>
        <v>Yes</v>
      </c>
      <c r="P3769" s="1" t="str">
        <f>IF(OR(Employee__2[[#This Row],[Age]]&gt;=30,Employee__2[[#This Row],[Gender]]="Male"),"Mached","Not mached")</f>
        <v>Mached</v>
      </c>
    </row>
    <row r="3770" spans="4:16" x14ac:dyDescent="0.25">
      <c r="D3770" s="6" t="s">
        <v>34</v>
      </c>
      <c r="E3770">
        <v>2017</v>
      </c>
      <c r="F3770" s="6" t="s">
        <v>40</v>
      </c>
      <c r="G3770">
        <v>3</v>
      </c>
      <c r="H3770">
        <v>33</v>
      </c>
      <c r="I3770" s="6" t="s">
        <v>39</v>
      </c>
      <c r="J3770" s="6" t="s">
        <v>37</v>
      </c>
      <c r="K3770">
        <v>1</v>
      </c>
      <c r="M3770" s="1" t="b">
        <f>Employee__2[[#This Row],[Experience]]&gt;1</f>
        <v>0</v>
      </c>
      <c r="N3770" s="1" t="str">
        <f>IF(Employee__2[[#This Row],[City]]="Pune","Yes","No")</f>
        <v>No</v>
      </c>
      <c r="O3770" s="1" t="str">
        <f>IF(AND(Employee__2[[#This Row],[Education]]="Bachelors",Employee__2[[#This Row],[City]]="Pune"),"Yes","No")</f>
        <v>No</v>
      </c>
      <c r="P3770" s="1" t="str">
        <f>IF(OR(Employee__2[[#This Row],[Age]]&gt;=30,Employee__2[[#This Row],[Gender]]="Male"),"Mached","Not mached")</f>
        <v>Mached</v>
      </c>
    </row>
    <row r="3771" spans="4:16" x14ac:dyDescent="0.25">
      <c r="D3771" s="6" t="s">
        <v>34</v>
      </c>
      <c r="E3771">
        <v>2016</v>
      </c>
      <c r="F3771" s="6" t="s">
        <v>40</v>
      </c>
      <c r="G3771">
        <v>3</v>
      </c>
      <c r="H3771">
        <v>33</v>
      </c>
      <c r="I3771" s="6" t="s">
        <v>36</v>
      </c>
      <c r="J3771" s="6" t="s">
        <v>37</v>
      </c>
      <c r="K3771">
        <v>1</v>
      </c>
      <c r="M3771" s="1" t="b">
        <f>Employee__2[[#This Row],[Experience]]&gt;1</f>
        <v>0</v>
      </c>
      <c r="N3771" s="1" t="str">
        <f>IF(Employee__2[[#This Row],[City]]="Pune","Yes","No")</f>
        <v>No</v>
      </c>
      <c r="O3771" s="1" t="str">
        <f>IF(AND(Employee__2[[#This Row],[Education]]="Bachelors",Employee__2[[#This Row],[City]]="Pune"),"Yes","No")</f>
        <v>No</v>
      </c>
      <c r="P3771" s="1" t="str">
        <f>IF(OR(Employee__2[[#This Row],[Age]]&gt;=30,Employee__2[[#This Row],[Gender]]="Male"),"Mached","Not mached")</f>
        <v>Mached</v>
      </c>
    </row>
    <row r="3772" spans="4:16" x14ac:dyDescent="0.25">
      <c r="D3772" s="6" t="s">
        <v>41</v>
      </c>
      <c r="E3772">
        <v>2013</v>
      </c>
      <c r="F3772" s="6" t="s">
        <v>40</v>
      </c>
      <c r="G3772">
        <v>3</v>
      </c>
      <c r="H3772">
        <v>37</v>
      </c>
      <c r="I3772" s="6" t="s">
        <v>36</v>
      </c>
      <c r="J3772" s="6" t="s">
        <v>42</v>
      </c>
      <c r="K3772">
        <v>2</v>
      </c>
      <c r="M3772" s="1" t="b">
        <f>Employee__2[[#This Row],[Experience]]&gt;1</f>
        <v>1</v>
      </c>
      <c r="N3772" s="1" t="str">
        <f>IF(Employee__2[[#This Row],[City]]="Pune","Yes","No")</f>
        <v>No</v>
      </c>
      <c r="O3772" s="1" t="str">
        <f>IF(AND(Employee__2[[#This Row],[Education]]="Bachelors",Employee__2[[#This Row],[City]]="Pune"),"Yes","No")</f>
        <v>No</v>
      </c>
      <c r="P3772" s="1" t="str">
        <f>IF(OR(Employee__2[[#This Row],[Age]]&gt;=30,Employee__2[[#This Row],[Gender]]="Male"),"Mached","Not mached")</f>
        <v>Mached</v>
      </c>
    </row>
    <row r="3773" spans="4:16" x14ac:dyDescent="0.25">
      <c r="D3773" s="6" t="s">
        <v>34</v>
      </c>
      <c r="E3773">
        <v>2017</v>
      </c>
      <c r="F3773" s="6" t="s">
        <v>40</v>
      </c>
      <c r="G3773">
        <v>2</v>
      </c>
      <c r="H3773">
        <v>36</v>
      </c>
      <c r="I3773" s="6" t="s">
        <v>39</v>
      </c>
      <c r="J3773" s="6" t="s">
        <v>37</v>
      </c>
      <c r="K3773">
        <v>2</v>
      </c>
      <c r="M3773" s="1" t="b">
        <f>Employee__2[[#This Row],[Experience]]&gt;1</f>
        <v>1</v>
      </c>
      <c r="N3773" s="1" t="str">
        <f>IF(Employee__2[[#This Row],[City]]="Pune","Yes","No")</f>
        <v>No</v>
      </c>
      <c r="O3773" s="1" t="str">
        <f>IF(AND(Employee__2[[#This Row],[Education]]="Bachelors",Employee__2[[#This Row],[City]]="Pune"),"Yes","No")</f>
        <v>No</v>
      </c>
      <c r="P3773" s="1" t="str">
        <f>IF(OR(Employee__2[[#This Row],[Age]]&gt;=30,Employee__2[[#This Row],[Gender]]="Male"),"Mached","Not mached")</f>
        <v>Mached</v>
      </c>
    </row>
    <row r="3774" spans="4:16" x14ac:dyDescent="0.25">
      <c r="D3774" s="6" t="s">
        <v>34</v>
      </c>
      <c r="E3774">
        <v>2012</v>
      </c>
      <c r="F3774" s="6" t="s">
        <v>35</v>
      </c>
      <c r="G3774">
        <v>3</v>
      </c>
      <c r="H3774">
        <v>36</v>
      </c>
      <c r="I3774" s="6" t="s">
        <v>39</v>
      </c>
      <c r="J3774" s="6" t="s">
        <v>37</v>
      </c>
      <c r="K3774">
        <v>5</v>
      </c>
      <c r="M3774" s="1" t="b">
        <f>Employee__2[[#This Row],[Experience]]&gt;1</f>
        <v>1</v>
      </c>
      <c r="N3774" s="1" t="str">
        <f>IF(Employee__2[[#This Row],[City]]="Pune","Yes","No")</f>
        <v>No</v>
      </c>
      <c r="O3774" s="1" t="str">
        <f>IF(AND(Employee__2[[#This Row],[Education]]="Bachelors",Employee__2[[#This Row],[City]]="Pune"),"Yes","No")</f>
        <v>No</v>
      </c>
      <c r="P3774" s="1" t="str">
        <f>IF(OR(Employee__2[[#This Row],[Age]]&gt;=30,Employee__2[[#This Row],[Gender]]="Male"),"Mached","Not mached")</f>
        <v>Mached</v>
      </c>
    </row>
    <row r="3775" spans="4:16" x14ac:dyDescent="0.25">
      <c r="D3775" s="6" t="s">
        <v>34</v>
      </c>
      <c r="E3775">
        <v>2015</v>
      </c>
      <c r="F3775" s="6" t="s">
        <v>35</v>
      </c>
      <c r="G3775">
        <v>3</v>
      </c>
      <c r="H3775">
        <v>41</v>
      </c>
      <c r="I3775" s="6" t="s">
        <v>36</v>
      </c>
      <c r="J3775" s="6" t="s">
        <v>37</v>
      </c>
      <c r="K3775">
        <v>1</v>
      </c>
      <c r="M3775" s="1" t="b">
        <f>Employee__2[[#This Row],[Experience]]&gt;1</f>
        <v>0</v>
      </c>
      <c r="N3775" s="1" t="str">
        <f>IF(Employee__2[[#This Row],[City]]="Pune","Yes","No")</f>
        <v>No</v>
      </c>
      <c r="O3775" s="1" t="str">
        <f>IF(AND(Employee__2[[#This Row],[Education]]="Bachelors",Employee__2[[#This Row],[City]]="Pune"),"Yes","No")</f>
        <v>No</v>
      </c>
      <c r="P3775" s="1" t="str">
        <f>IF(OR(Employee__2[[#This Row],[Age]]&gt;=30,Employee__2[[#This Row],[Gender]]="Male"),"Mached","Not mached")</f>
        <v>Mached</v>
      </c>
    </row>
    <row r="3776" spans="4:16" x14ac:dyDescent="0.25">
      <c r="D3776" s="6" t="s">
        <v>41</v>
      </c>
      <c r="E3776">
        <v>2014</v>
      </c>
      <c r="F3776" s="6" t="s">
        <v>40</v>
      </c>
      <c r="G3776">
        <v>3</v>
      </c>
      <c r="H3776">
        <v>40</v>
      </c>
      <c r="I3776" s="6" t="s">
        <v>36</v>
      </c>
      <c r="J3776" s="6" t="s">
        <v>37</v>
      </c>
      <c r="K3776">
        <v>5</v>
      </c>
      <c r="M3776" s="1" t="b">
        <f>Employee__2[[#This Row],[Experience]]&gt;1</f>
        <v>1</v>
      </c>
      <c r="N3776" s="1" t="str">
        <f>IF(Employee__2[[#This Row],[City]]="Pune","Yes","No")</f>
        <v>No</v>
      </c>
      <c r="O3776" s="1" t="str">
        <f>IF(AND(Employee__2[[#This Row],[Education]]="Bachelors",Employee__2[[#This Row],[City]]="Pune"),"Yes","No")</f>
        <v>No</v>
      </c>
      <c r="P3776" s="1" t="str">
        <f>IF(OR(Employee__2[[#This Row],[Age]]&gt;=30,Employee__2[[#This Row],[Gender]]="Male"),"Mached","Not mached")</f>
        <v>Mached</v>
      </c>
    </row>
    <row r="3777" spans="4:16" x14ac:dyDescent="0.25">
      <c r="D3777" s="6" t="s">
        <v>34</v>
      </c>
      <c r="E3777">
        <v>2016</v>
      </c>
      <c r="F3777" s="6" t="s">
        <v>35</v>
      </c>
      <c r="G3777">
        <v>3</v>
      </c>
      <c r="H3777">
        <v>36</v>
      </c>
      <c r="I3777" s="6" t="s">
        <v>39</v>
      </c>
      <c r="J3777" s="6" t="s">
        <v>37</v>
      </c>
      <c r="K3777">
        <v>0</v>
      </c>
      <c r="M3777" s="1" t="b">
        <f>Employee__2[[#This Row],[Experience]]&gt;1</f>
        <v>0</v>
      </c>
      <c r="N3777" s="1" t="str">
        <f>IF(Employee__2[[#This Row],[City]]="Pune","Yes","No")</f>
        <v>No</v>
      </c>
      <c r="O3777" s="1" t="str">
        <f>IF(AND(Employee__2[[#This Row],[Education]]="Bachelors",Employee__2[[#This Row],[City]]="Pune"),"Yes","No")</f>
        <v>No</v>
      </c>
      <c r="P3777" s="1" t="str">
        <f>IF(OR(Employee__2[[#This Row],[Age]]&gt;=30,Employee__2[[#This Row],[Gender]]="Male"),"Mached","Not mached")</f>
        <v>Mached</v>
      </c>
    </row>
    <row r="3778" spans="4:16" x14ac:dyDescent="0.25">
      <c r="D3778" s="6" t="s">
        <v>41</v>
      </c>
      <c r="E3778">
        <v>2017</v>
      </c>
      <c r="F3778" s="6" t="s">
        <v>35</v>
      </c>
      <c r="G3778">
        <v>2</v>
      </c>
      <c r="H3778">
        <v>41</v>
      </c>
      <c r="I3778" s="6" t="s">
        <v>36</v>
      </c>
      <c r="J3778" s="6" t="s">
        <v>42</v>
      </c>
      <c r="K3778">
        <v>2</v>
      </c>
      <c r="M3778" s="1" t="b">
        <f>Employee__2[[#This Row],[Experience]]&gt;1</f>
        <v>1</v>
      </c>
      <c r="N3778" s="1" t="str">
        <f>IF(Employee__2[[#This Row],[City]]="Pune","Yes","No")</f>
        <v>No</v>
      </c>
      <c r="O3778" s="1" t="str">
        <f>IF(AND(Employee__2[[#This Row],[Education]]="Bachelors",Employee__2[[#This Row],[City]]="Pune"),"Yes","No")</f>
        <v>No</v>
      </c>
      <c r="P3778" s="1" t="str">
        <f>IF(OR(Employee__2[[#This Row],[Age]]&gt;=30,Employee__2[[#This Row],[Gender]]="Male"),"Mached","Not mached")</f>
        <v>Mached</v>
      </c>
    </row>
    <row r="3779" spans="4:16" x14ac:dyDescent="0.25">
      <c r="D3779" s="6" t="s">
        <v>34</v>
      </c>
      <c r="E3779">
        <v>2015</v>
      </c>
      <c r="F3779" s="6" t="s">
        <v>38</v>
      </c>
      <c r="G3779">
        <v>3</v>
      </c>
      <c r="H3779">
        <v>33</v>
      </c>
      <c r="I3779" s="6" t="s">
        <v>36</v>
      </c>
      <c r="J3779" s="6" t="s">
        <v>37</v>
      </c>
      <c r="K3779">
        <v>5</v>
      </c>
      <c r="M3779" s="1" t="b">
        <f>Employee__2[[#This Row],[Experience]]&gt;1</f>
        <v>1</v>
      </c>
      <c r="N3779" s="1" t="str">
        <f>IF(Employee__2[[#This Row],[City]]="Pune","Yes","No")</f>
        <v>Yes</v>
      </c>
      <c r="O3779" s="1" t="str">
        <f>IF(AND(Employee__2[[#This Row],[Education]]="Bachelors",Employee__2[[#This Row],[City]]="Pune"),"Yes","No")</f>
        <v>Yes</v>
      </c>
      <c r="P3779" s="1" t="str">
        <f>IF(OR(Employee__2[[#This Row],[Age]]&gt;=30,Employee__2[[#This Row],[Gender]]="Male"),"Mached","Not mached")</f>
        <v>Mached</v>
      </c>
    </row>
    <row r="3780" spans="4:16" x14ac:dyDescent="0.25">
      <c r="D3780" s="6" t="s">
        <v>41</v>
      </c>
      <c r="E3780">
        <v>2017</v>
      </c>
      <c r="F3780" s="6" t="s">
        <v>40</v>
      </c>
      <c r="G3780">
        <v>2</v>
      </c>
      <c r="H3780">
        <v>37</v>
      </c>
      <c r="I3780" s="6" t="s">
        <v>39</v>
      </c>
      <c r="J3780" s="6" t="s">
        <v>37</v>
      </c>
      <c r="K3780">
        <v>2</v>
      </c>
      <c r="M3780" s="1" t="b">
        <f>Employee__2[[#This Row],[Experience]]&gt;1</f>
        <v>1</v>
      </c>
      <c r="N3780" s="1" t="str">
        <f>IF(Employee__2[[#This Row],[City]]="Pune","Yes","No")</f>
        <v>No</v>
      </c>
      <c r="O3780" s="1" t="str">
        <f>IF(AND(Employee__2[[#This Row],[Education]]="Bachelors",Employee__2[[#This Row],[City]]="Pune"),"Yes","No")</f>
        <v>No</v>
      </c>
      <c r="P3780" s="1" t="str">
        <f>IF(OR(Employee__2[[#This Row],[Age]]&gt;=30,Employee__2[[#This Row],[Gender]]="Male"),"Mached","Not mached")</f>
        <v>Mached</v>
      </c>
    </row>
    <row r="3781" spans="4:16" x14ac:dyDescent="0.25">
      <c r="D3781" s="6" t="s">
        <v>34</v>
      </c>
      <c r="E3781">
        <v>2017</v>
      </c>
      <c r="F3781" s="6" t="s">
        <v>40</v>
      </c>
      <c r="G3781">
        <v>2</v>
      </c>
      <c r="H3781">
        <v>33</v>
      </c>
      <c r="I3781" s="6" t="s">
        <v>36</v>
      </c>
      <c r="J3781" s="6" t="s">
        <v>37</v>
      </c>
      <c r="K3781">
        <v>0</v>
      </c>
      <c r="M3781" s="1" t="b">
        <f>Employee__2[[#This Row],[Experience]]&gt;1</f>
        <v>0</v>
      </c>
      <c r="N3781" s="1" t="str">
        <f>IF(Employee__2[[#This Row],[City]]="Pune","Yes","No")</f>
        <v>No</v>
      </c>
      <c r="O3781" s="1" t="str">
        <f>IF(AND(Employee__2[[#This Row],[Education]]="Bachelors",Employee__2[[#This Row],[City]]="Pune"),"Yes","No")</f>
        <v>No</v>
      </c>
      <c r="P3781" s="1" t="str">
        <f>IF(OR(Employee__2[[#This Row],[Age]]&gt;=30,Employee__2[[#This Row],[Gender]]="Male"),"Mached","Not mached")</f>
        <v>Mached</v>
      </c>
    </row>
    <row r="3782" spans="4:16" x14ac:dyDescent="0.25">
      <c r="D3782" s="6" t="s">
        <v>34</v>
      </c>
      <c r="E3782">
        <v>2014</v>
      </c>
      <c r="F3782" s="6" t="s">
        <v>35</v>
      </c>
      <c r="G3782">
        <v>3</v>
      </c>
      <c r="H3782">
        <v>40</v>
      </c>
      <c r="I3782" s="6" t="s">
        <v>39</v>
      </c>
      <c r="J3782" s="6" t="s">
        <v>37</v>
      </c>
      <c r="K3782">
        <v>4</v>
      </c>
      <c r="M3782" s="1" t="b">
        <f>Employee__2[[#This Row],[Experience]]&gt;1</f>
        <v>1</v>
      </c>
      <c r="N3782" s="1" t="str">
        <f>IF(Employee__2[[#This Row],[City]]="Pune","Yes","No")</f>
        <v>No</v>
      </c>
      <c r="O3782" s="1" t="str">
        <f>IF(AND(Employee__2[[#This Row],[Education]]="Bachelors",Employee__2[[#This Row],[City]]="Pune"),"Yes","No")</f>
        <v>No</v>
      </c>
      <c r="P3782" s="1" t="str">
        <f>IF(OR(Employee__2[[#This Row],[Age]]&gt;=30,Employee__2[[#This Row],[Gender]]="Male"),"Mached","Not mached")</f>
        <v>Mached</v>
      </c>
    </row>
    <row r="3783" spans="4:16" x14ac:dyDescent="0.25">
      <c r="D3783" s="6" t="s">
        <v>41</v>
      </c>
      <c r="E3783">
        <v>2018</v>
      </c>
      <c r="F3783" s="6" t="s">
        <v>40</v>
      </c>
      <c r="G3783">
        <v>3</v>
      </c>
      <c r="H3783">
        <v>36</v>
      </c>
      <c r="I3783" s="6" t="s">
        <v>36</v>
      </c>
      <c r="J3783" s="6" t="s">
        <v>37</v>
      </c>
      <c r="K3783">
        <v>2</v>
      </c>
      <c r="M3783" s="1" t="b">
        <f>Employee__2[[#This Row],[Experience]]&gt;1</f>
        <v>1</v>
      </c>
      <c r="N3783" s="1" t="str">
        <f>IF(Employee__2[[#This Row],[City]]="Pune","Yes","No")</f>
        <v>No</v>
      </c>
      <c r="O3783" s="1" t="str">
        <f>IF(AND(Employee__2[[#This Row],[Education]]="Bachelors",Employee__2[[#This Row],[City]]="Pune"),"Yes","No")</f>
        <v>No</v>
      </c>
      <c r="P3783" s="1" t="str">
        <f>IF(OR(Employee__2[[#This Row],[Age]]&gt;=30,Employee__2[[#This Row],[Gender]]="Male"),"Mached","Not mached")</f>
        <v>Mached</v>
      </c>
    </row>
    <row r="3784" spans="4:16" x14ac:dyDescent="0.25">
      <c r="D3784" s="6" t="s">
        <v>34</v>
      </c>
      <c r="E3784">
        <v>2018</v>
      </c>
      <c r="F3784" s="6" t="s">
        <v>35</v>
      </c>
      <c r="G3784">
        <v>3</v>
      </c>
      <c r="H3784">
        <v>40</v>
      </c>
      <c r="I3784" s="6" t="s">
        <v>36</v>
      </c>
      <c r="J3784" s="6" t="s">
        <v>42</v>
      </c>
      <c r="K3784">
        <v>3</v>
      </c>
      <c r="M3784" s="1" t="b">
        <f>Employee__2[[#This Row],[Experience]]&gt;1</f>
        <v>1</v>
      </c>
      <c r="N3784" s="1" t="str">
        <f>IF(Employee__2[[#This Row],[City]]="Pune","Yes","No")</f>
        <v>No</v>
      </c>
      <c r="O3784" s="1" t="str">
        <f>IF(AND(Employee__2[[#This Row],[Education]]="Bachelors",Employee__2[[#This Row],[City]]="Pune"),"Yes","No")</f>
        <v>No</v>
      </c>
      <c r="P3784" s="1" t="str">
        <f>IF(OR(Employee__2[[#This Row],[Age]]&gt;=30,Employee__2[[#This Row],[Gender]]="Male"),"Mached","Not mached")</f>
        <v>Mached</v>
      </c>
    </row>
    <row r="3785" spans="4:16" x14ac:dyDescent="0.25">
      <c r="D3785" s="6" t="s">
        <v>41</v>
      </c>
      <c r="E3785">
        <v>2018</v>
      </c>
      <c r="F3785" s="6" t="s">
        <v>35</v>
      </c>
      <c r="G3785">
        <v>3</v>
      </c>
      <c r="H3785">
        <v>40</v>
      </c>
      <c r="I3785" s="6" t="s">
        <v>36</v>
      </c>
      <c r="J3785" s="6" t="s">
        <v>37</v>
      </c>
      <c r="K3785">
        <v>2</v>
      </c>
      <c r="M3785" s="1" t="b">
        <f>Employee__2[[#This Row],[Experience]]&gt;1</f>
        <v>1</v>
      </c>
      <c r="N3785" s="1" t="str">
        <f>IF(Employee__2[[#This Row],[City]]="Pune","Yes","No")</f>
        <v>No</v>
      </c>
      <c r="O3785" s="1" t="str">
        <f>IF(AND(Employee__2[[#This Row],[Education]]="Bachelors",Employee__2[[#This Row],[City]]="Pune"),"Yes","No")</f>
        <v>No</v>
      </c>
      <c r="P3785" s="1" t="str">
        <f>IF(OR(Employee__2[[#This Row],[Age]]&gt;=30,Employee__2[[#This Row],[Gender]]="Male"),"Mached","Not mached")</f>
        <v>Mached</v>
      </c>
    </row>
    <row r="3786" spans="4:16" x14ac:dyDescent="0.25">
      <c r="D3786" s="6" t="s">
        <v>34</v>
      </c>
      <c r="E3786">
        <v>2014</v>
      </c>
      <c r="F3786" s="6" t="s">
        <v>35</v>
      </c>
      <c r="G3786">
        <v>3</v>
      </c>
      <c r="H3786">
        <v>34</v>
      </c>
      <c r="I3786" s="6" t="s">
        <v>36</v>
      </c>
      <c r="J3786" s="6" t="s">
        <v>37</v>
      </c>
      <c r="K3786">
        <v>3</v>
      </c>
      <c r="M3786" s="1" t="b">
        <f>Employee__2[[#This Row],[Experience]]&gt;1</f>
        <v>1</v>
      </c>
      <c r="N3786" s="1" t="str">
        <f>IF(Employee__2[[#This Row],[City]]="Pune","Yes","No")</f>
        <v>No</v>
      </c>
      <c r="O3786" s="1" t="str">
        <f>IF(AND(Employee__2[[#This Row],[Education]]="Bachelors",Employee__2[[#This Row],[City]]="Pune"),"Yes","No")</f>
        <v>No</v>
      </c>
      <c r="P3786" s="1" t="str">
        <f>IF(OR(Employee__2[[#This Row],[Age]]&gt;=30,Employee__2[[#This Row],[Gender]]="Male"),"Mached","Not mached")</f>
        <v>Mached</v>
      </c>
    </row>
    <row r="3787" spans="4:16" x14ac:dyDescent="0.25">
      <c r="D3787" s="6" t="s">
        <v>34</v>
      </c>
      <c r="E3787">
        <v>2012</v>
      </c>
      <c r="F3787" s="6" t="s">
        <v>38</v>
      </c>
      <c r="G3787">
        <v>3</v>
      </c>
      <c r="H3787">
        <v>39</v>
      </c>
      <c r="I3787" s="6" t="s">
        <v>36</v>
      </c>
      <c r="J3787" s="6" t="s">
        <v>37</v>
      </c>
      <c r="K3787">
        <v>5</v>
      </c>
      <c r="M3787" s="1" t="b">
        <f>Employee__2[[#This Row],[Experience]]&gt;1</f>
        <v>1</v>
      </c>
      <c r="N3787" s="1" t="str">
        <f>IF(Employee__2[[#This Row],[City]]="Pune","Yes","No")</f>
        <v>Yes</v>
      </c>
      <c r="O3787" s="1" t="str">
        <f>IF(AND(Employee__2[[#This Row],[Education]]="Bachelors",Employee__2[[#This Row],[City]]="Pune"),"Yes","No")</f>
        <v>Yes</v>
      </c>
      <c r="P3787" s="1" t="str">
        <f>IF(OR(Employee__2[[#This Row],[Age]]&gt;=30,Employee__2[[#This Row],[Gender]]="Male"),"Mached","Not mached")</f>
        <v>Mached</v>
      </c>
    </row>
    <row r="3788" spans="4:16" x14ac:dyDescent="0.25">
      <c r="D3788" s="6" t="s">
        <v>34</v>
      </c>
      <c r="E3788">
        <v>2017</v>
      </c>
      <c r="F3788" s="6" t="s">
        <v>38</v>
      </c>
      <c r="G3788">
        <v>2</v>
      </c>
      <c r="H3788">
        <v>33</v>
      </c>
      <c r="I3788" s="6" t="s">
        <v>36</v>
      </c>
      <c r="J3788" s="6" t="s">
        <v>37</v>
      </c>
      <c r="K3788">
        <v>1</v>
      </c>
      <c r="M3788" s="1" t="b">
        <f>Employee__2[[#This Row],[Experience]]&gt;1</f>
        <v>0</v>
      </c>
      <c r="N3788" s="1" t="str">
        <f>IF(Employee__2[[#This Row],[City]]="Pune","Yes","No")</f>
        <v>Yes</v>
      </c>
      <c r="O3788" s="1" t="str">
        <f>IF(AND(Employee__2[[#This Row],[Education]]="Bachelors",Employee__2[[#This Row],[City]]="Pune"),"Yes","No")</f>
        <v>Yes</v>
      </c>
      <c r="P3788" s="1" t="str">
        <f>IF(OR(Employee__2[[#This Row],[Age]]&gt;=30,Employee__2[[#This Row],[Gender]]="Male"),"Mached","Not mached")</f>
        <v>Mached</v>
      </c>
    </row>
    <row r="3789" spans="4:16" x14ac:dyDescent="0.25">
      <c r="D3789" s="6" t="s">
        <v>34</v>
      </c>
      <c r="E3789">
        <v>2016</v>
      </c>
      <c r="F3789" s="6" t="s">
        <v>35</v>
      </c>
      <c r="G3789">
        <v>3</v>
      </c>
      <c r="H3789">
        <v>37</v>
      </c>
      <c r="I3789" s="6" t="s">
        <v>36</v>
      </c>
      <c r="J3789" s="6" t="s">
        <v>37</v>
      </c>
      <c r="K3789">
        <v>2</v>
      </c>
      <c r="M3789" s="1" t="b">
        <f>Employee__2[[#This Row],[Experience]]&gt;1</f>
        <v>1</v>
      </c>
      <c r="N3789" s="1" t="str">
        <f>IF(Employee__2[[#This Row],[City]]="Pune","Yes","No")</f>
        <v>No</v>
      </c>
      <c r="O3789" s="1" t="str">
        <f>IF(AND(Employee__2[[#This Row],[Education]]="Bachelors",Employee__2[[#This Row],[City]]="Pune"),"Yes","No")</f>
        <v>No</v>
      </c>
      <c r="P3789" s="1" t="str">
        <f>IF(OR(Employee__2[[#This Row],[Age]]&gt;=30,Employee__2[[#This Row],[Gender]]="Male"),"Mached","Not mached")</f>
        <v>Mached</v>
      </c>
    </row>
    <row r="3790" spans="4:16" x14ac:dyDescent="0.25">
      <c r="D3790" s="6" t="s">
        <v>34</v>
      </c>
      <c r="E3790">
        <v>2012</v>
      </c>
      <c r="F3790" s="6" t="s">
        <v>40</v>
      </c>
      <c r="G3790">
        <v>3</v>
      </c>
      <c r="H3790">
        <v>40</v>
      </c>
      <c r="I3790" s="6" t="s">
        <v>36</v>
      </c>
      <c r="J3790" s="6" t="s">
        <v>37</v>
      </c>
      <c r="K3790">
        <v>3</v>
      </c>
      <c r="M3790" s="1" t="b">
        <f>Employee__2[[#This Row],[Experience]]&gt;1</f>
        <v>1</v>
      </c>
      <c r="N3790" s="1" t="str">
        <f>IF(Employee__2[[#This Row],[City]]="Pune","Yes","No")</f>
        <v>No</v>
      </c>
      <c r="O3790" s="1" t="str">
        <f>IF(AND(Employee__2[[#This Row],[Education]]="Bachelors",Employee__2[[#This Row],[City]]="Pune"),"Yes","No")</f>
        <v>No</v>
      </c>
      <c r="P3790" s="1" t="str">
        <f>IF(OR(Employee__2[[#This Row],[Age]]&gt;=30,Employee__2[[#This Row],[Gender]]="Male"),"Mached","Not mached")</f>
        <v>Mached</v>
      </c>
    </row>
    <row r="3791" spans="4:16" x14ac:dyDescent="0.25">
      <c r="D3791" s="6" t="s">
        <v>34</v>
      </c>
      <c r="E3791">
        <v>2018</v>
      </c>
      <c r="F3791" s="6" t="s">
        <v>35</v>
      </c>
      <c r="G3791">
        <v>3</v>
      </c>
      <c r="H3791">
        <v>38</v>
      </c>
      <c r="I3791" s="6" t="s">
        <v>36</v>
      </c>
      <c r="J3791" s="6" t="s">
        <v>37</v>
      </c>
      <c r="K3791">
        <v>1</v>
      </c>
      <c r="M3791" s="1" t="b">
        <f>Employee__2[[#This Row],[Experience]]&gt;1</f>
        <v>0</v>
      </c>
      <c r="N3791" s="1" t="str">
        <f>IF(Employee__2[[#This Row],[City]]="Pune","Yes","No")</f>
        <v>No</v>
      </c>
      <c r="O3791" s="1" t="str">
        <f>IF(AND(Employee__2[[#This Row],[Education]]="Bachelors",Employee__2[[#This Row],[City]]="Pune"),"Yes","No")</f>
        <v>No</v>
      </c>
      <c r="P3791" s="1" t="str">
        <f>IF(OR(Employee__2[[#This Row],[Age]]&gt;=30,Employee__2[[#This Row],[Gender]]="Male"),"Mached","Not mached")</f>
        <v>Mached</v>
      </c>
    </row>
    <row r="3792" spans="4:16" x14ac:dyDescent="0.25">
      <c r="D3792" s="6" t="s">
        <v>34</v>
      </c>
      <c r="E3792">
        <v>2016</v>
      </c>
      <c r="F3792" s="6" t="s">
        <v>35</v>
      </c>
      <c r="G3792">
        <v>3</v>
      </c>
      <c r="H3792">
        <v>40</v>
      </c>
      <c r="I3792" s="6" t="s">
        <v>36</v>
      </c>
      <c r="J3792" s="6" t="s">
        <v>42</v>
      </c>
      <c r="K3792">
        <v>1</v>
      </c>
      <c r="M3792" s="1" t="b">
        <f>Employee__2[[#This Row],[Experience]]&gt;1</f>
        <v>0</v>
      </c>
      <c r="N3792" s="1" t="str">
        <f>IF(Employee__2[[#This Row],[City]]="Pune","Yes","No")</f>
        <v>No</v>
      </c>
      <c r="O3792" s="1" t="str">
        <f>IF(AND(Employee__2[[#This Row],[Education]]="Bachelors",Employee__2[[#This Row],[City]]="Pune"),"Yes","No")</f>
        <v>No</v>
      </c>
      <c r="P3792" s="1" t="str">
        <f>IF(OR(Employee__2[[#This Row],[Age]]&gt;=30,Employee__2[[#This Row],[Gender]]="Male"),"Mached","Not mached")</f>
        <v>Mached</v>
      </c>
    </row>
    <row r="3793" spans="4:16" x14ac:dyDescent="0.25">
      <c r="D3793" s="6" t="s">
        <v>34</v>
      </c>
      <c r="E3793">
        <v>2014</v>
      </c>
      <c r="F3793" s="6" t="s">
        <v>40</v>
      </c>
      <c r="G3793">
        <v>3</v>
      </c>
      <c r="H3793">
        <v>38</v>
      </c>
      <c r="I3793" s="6" t="s">
        <v>39</v>
      </c>
      <c r="J3793" s="6" t="s">
        <v>37</v>
      </c>
      <c r="K3793">
        <v>0</v>
      </c>
      <c r="M3793" s="1" t="b">
        <f>Employee__2[[#This Row],[Experience]]&gt;1</f>
        <v>0</v>
      </c>
      <c r="N3793" s="1" t="str">
        <f>IF(Employee__2[[#This Row],[City]]="Pune","Yes","No")</f>
        <v>No</v>
      </c>
      <c r="O3793" s="1" t="str">
        <f>IF(AND(Employee__2[[#This Row],[Education]]="Bachelors",Employee__2[[#This Row],[City]]="Pune"),"Yes","No")</f>
        <v>No</v>
      </c>
      <c r="P3793" s="1" t="str">
        <f>IF(OR(Employee__2[[#This Row],[Age]]&gt;=30,Employee__2[[#This Row],[Gender]]="Male"),"Mached","Not mached")</f>
        <v>Mached</v>
      </c>
    </row>
    <row r="3794" spans="4:16" x14ac:dyDescent="0.25">
      <c r="D3794" s="6" t="s">
        <v>34</v>
      </c>
      <c r="E3794">
        <v>2016</v>
      </c>
      <c r="F3794" s="6" t="s">
        <v>35</v>
      </c>
      <c r="G3794">
        <v>3</v>
      </c>
      <c r="H3794">
        <v>34</v>
      </c>
      <c r="I3794" s="6" t="s">
        <v>36</v>
      </c>
      <c r="J3794" s="6" t="s">
        <v>42</v>
      </c>
      <c r="K3794">
        <v>1</v>
      </c>
      <c r="M3794" s="1" t="b">
        <f>Employee__2[[#This Row],[Experience]]&gt;1</f>
        <v>0</v>
      </c>
      <c r="N3794" s="1" t="str">
        <f>IF(Employee__2[[#This Row],[City]]="Pune","Yes","No")</f>
        <v>No</v>
      </c>
      <c r="O3794" s="1" t="str">
        <f>IF(AND(Employee__2[[#This Row],[Education]]="Bachelors",Employee__2[[#This Row],[City]]="Pune"),"Yes","No")</f>
        <v>No</v>
      </c>
      <c r="P3794" s="1" t="str">
        <f>IF(OR(Employee__2[[#This Row],[Age]]&gt;=30,Employee__2[[#This Row],[Gender]]="Male"),"Mached","Not mached")</f>
        <v>Mached</v>
      </c>
    </row>
    <row r="3795" spans="4:16" x14ac:dyDescent="0.25">
      <c r="D3795" s="6" t="s">
        <v>41</v>
      </c>
      <c r="E3795">
        <v>2016</v>
      </c>
      <c r="F3795" s="6" t="s">
        <v>40</v>
      </c>
      <c r="G3795">
        <v>3</v>
      </c>
      <c r="H3795">
        <v>37</v>
      </c>
      <c r="I3795" s="6" t="s">
        <v>39</v>
      </c>
      <c r="J3795" s="6" t="s">
        <v>37</v>
      </c>
      <c r="K3795">
        <v>3</v>
      </c>
      <c r="M3795" s="1" t="b">
        <f>Employee__2[[#This Row],[Experience]]&gt;1</f>
        <v>1</v>
      </c>
      <c r="N3795" s="1" t="str">
        <f>IF(Employee__2[[#This Row],[City]]="Pune","Yes","No")</f>
        <v>No</v>
      </c>
      <c r="O3795" s="1" t="str">
        <f>IF(AND(Employee__2[[#This Row],[Education]]="Bachelors",Employee__2[[#This Row],[City]]="Pune"),"Yes","No")</f>
        <v>No</v>
      </c>
      <c r="P3795" s="1" t="str">
        <f>IF(OR(Employee__2[[#This Row],[Age]]&gt;=30,Employee__2[[#This Row],[Gender]]="Male"),"Mached","Not mached")</f>
        <v>Mached</v>
      </c>
    </row>
    <row r="3796" spans="4:16" x14ac:dyDescent="0.25">
      <c r="D3796" s="6" t="s">
        <v>34</v>
      </c>
      <c r="E3796">
        <v>2015</v>
      </c>
      <c r="F3796" s="6" t="s">
        <v>35</v>
      </c>
      <c r="G3796">
        <v>3</v>
      </c>
      <c r="H3796">
        <v>40</v>
      </c>
      <c r="I3796" s="6" t="s">
        <v>36</v>
      </c>
      <c r="J3796" s="6" t="s">
        <v>37</v>
      </c>
      <c r="K3796">
        <v>5</v>
      </c>
      <c r="M3796" s="1" t="b">
        <f>Employee__2[[#This Row],[Experience]]&gt;1</f>
        <v>1</v>
      </c>
      <c r="N3796" s="1" t="str">
        <f>IF(Employee__2[[#This Row],[City]]="Pune","Yes","No")</f>
        <v>No</v>
      </c>
      <c r="O3796" s="1" t="str">
        <f>IF(AND(Employee__2[[#This Row],[Education]]="Bachelors",Employee__2[[#This Row],[City]]="Pune"),"Yes","No")</f>
        <v>No</v>
      </c>
      <c r="P3796" s="1" t="str">
        <f>IF(OR(Employee__2[[#This Row],[Age]]&gt;=30,Employee__2[[#This Row],[Gender]]="Male"),"Mached","Not mached")</f>
        <v>Mached</v>
      </c>
    </row>
    <row r="3797" spans="4:16" x14ac:dyDescent="0.25">
      <c r="D3797" s="6" t="s">
        <v>34</v>
      </c>
      <c r="E3797">
        <v>2015</v>
      </c>
      <c r="F3797" s="6" t="s">
        <v>40</v>
      </c>
      <c r="G3797">
        <v>3</v>
      </c>
      <c r="H3797">
        <v>40</v>
      </c>
      <c r="I3797" s="6" t="s">
        <v>39</v>
      </c>
      <c r="J3797" s="6" t="s">
        <v>37</v>
      </c>
      <c r="K3797">
        <v>1</v>
      </c>
      <c r="M3797" s="1" t="b">
        <f>Employee__2[[#This Row],[Experience]]&gt;1</f>
        <v>0</v>
      </c>
      <c r="N3797" s="1" t="str">
        <f>IF(Employee__2[[#This Row],[City]]="Pune","Yes","No")</f>
        <v>No</v>
      </c>
      <c r="O3797" s="1" t="str">
        <f>IF(AND(Employee__2[[#This Row],[Education]]="Bachelors",Employee__2[[#This Row],[City]]="Pune"),"Yes","No")</f>
        <v>No</v>
      </c>
      <c r="P3797" s="1" t="str">
        <f>IF(OR(Employee__2[[#This Row],[Age]]&gt;=30,Employee__2[[#This Row],[Gender]]="Male"),"Mached","Not mached")</f>
        <v>Mached</v>
      </c>
    </row>
    <row r="3798" spans="4:16" x14ac:dyDescent="0.25">
      <c r="D3798" s="6" t="s">
        <v>41</v>
      </c>
      <c r="E3798">
        <v>2016</v>
      </c>
      <c r="F3798" s="6" t="s">
        <v>35</v>
      </c>
      <c r="G3798">
        <v>3</v>
      </c>
      <c r="H3798">
        <v>37</v>
      </c>
      <c r="I3798" s="6" t="s">
        <v>36</v>
      </c>
      <c r="J3798" s="6" t="s">
        <v>37</v>
      </c>
      <c r="K3798">
        <v>2</v>
      </c>
      <c r="M3798" s="1" t="b">
        <f>Employee__2[[#This Row],[Experience]]&gt;1</f>
        <v>1</v>
      </c>
      <c r="N3798" s="1" t="str">
        <f>IF(Employee__2[[#This Row],[City]]="Pune","Yes","No")</f>
        <v>No</v>
      </c>
      <c r="O3798" s="1" t="str">
        <f>IF(AND(Employee__2[[#This Row],[Education]]="Bachelors",Employee__2[[#This Row],[City]]="Pune"),"Yes","No")</f>
        <v>No</v>
      </c>
      <c r="P3798" s="1" t="str">
        <f>IF(OR(Employee__2[[#This Row],[Age]]&gt;=30,Employee__2[[#This Row],[Gender]]="Male"),"Mached","Not mached")</f>
        <v>Mached</v>
      </c>
    </row>
    <row r="3799" spans="4:16" x14ac:dyDescent="0.25">
      <c r="D3799" s="6" t="s">
        <v>34</v>
      </c>
      <c r="E3799">
        <v>2016</v>
      </c>
      <c r="F3799" s="6" t="s">
        <v>38</v>
      </c>
      <c r="G3799">
        <v>2</v>
      </c>
      <c r="H3799">
        <v>37</v>
      </c>
      <c r="I3799" s="6" t="s">
        <v>39</v>
      </c>
      <c r="J3799" s="6" t="s">
        <v>37</v>
      </c>
      <c r="K3799">
        <v>3</v>
      </c>
      <c r="M3799" s="1" t="b">
        <f>Employee__2[[#This Row],[Experience]]&gt;1</f>
        <v>1</v>
      </c>
      <c r="N3799" s="1" t="str">
        <f>IF(Employee__2[[#This Row],[City]]="Pune","Yes","No")</f>
        <v>Yes</v>
      </c>
      <c r="O3799" s="1" t="str">
        <f>IF(AND(Employee__2[[#This Row],[Education]]="Bachelors",Employee__2[[#This Row],[City]]="Pune"),"Yes","No")</f>
        <v>Yes</v>
      </c>
      <c r="P3799" s="1" t="str">
        <f>IF(OR(Employee__2[[#This Row],[Age]]&gt;=30,Employee__2[[#This Row],[Gender]]="Male"),"Mached","Not mached")</f>
        <v>Mached</v>
      </c>
    </row>
    <row r="3800" spans="4:16" x14ac:dyDescent="0.25">
      <c r="D3800" s="6" t="s">
        <v>34</v>
      </c>
      <c r="E3800">
        <v>2013</v>
      </c>
      <c r="F3800" s="6" t="s">
        <v>38</v>
      </c>
      <c r="G3800">
        <v>3</v>
      </c>
      <c r="H3800">
        <v>32</v>
      </c>
      <c r="I3800" s="6" t="s">
        <v>36</v>
      </c>
      <c r="J3800" s="6" t="s">
        <v>37</v>
      </c>
      <c r="K3800">
        <v>1</v>
      </c>
      <c r="M3800" s="1" t="b">
        <f>Employee__2[[#This Row],[Experience]]&gt;1</f>
        <v>0</v>
      </c>
      <c r="N3800" s="1" t="str">
        <f>IF(Employee__2[[#This Row],[City]]="Pune","Yes","No")</f>
        <v>Yes</v>
      </c>
      <c r="O3800" s="1" t="str">
        <f>IF(AND(Employee__2[[#This Row],[Education]]="Bachelors",Employee__2[[#This Row],[City]]="Pune"),"Yes","No")</f>
        <v>Yes</v>
      </c>
      <c r="P3800" s="1" t="str">
        <f>IF(OR(Employee__2[[#This Row],[Age]]&gt;=30,Employee__2[[#This Row],[Gender]]="Male"),"Mached","Not mached")</f>
        <v>Mached</v>
      </c>
    </row>
    <row r="3801" spans="4:16" x14ac:dyDescent="0.25">
      <c r="D3801" s="6" t="s">
        <v>41</v>
      </c>
      <c r="E3801">
        <v>2017</v>
      </c>
      <c r="F3801" s="6" t="s">
        <v>40</v>
      </c>
      <c r="G3801">
        <v>1</v>
      </c>
      <c r="H3801">
        <v>35</v>
      </c>
      <c r="I3801" s="6" t="s">
        <v>36</v>
      </c>
      <c r="J3801" s="6" t="s">
        <v>37</v>
      </c>
      <c r="K3801">
        <v>5</v>
      </c>
      <c r="M3801" s="1" t="b">
        <f>Employee__2[[#This Row],[Experience]]&gt;1</f>
        <v>1</v>
      </c>
      <c r="N3801" s="1" t="str">
        <f>IF(Employee__2[[#This Row],[City]]="Pune","Yes","No")</f>
        <v>No</v>
      </c>
      <c r="O3801" s="1" t="str">
        <f>IF(AND(Employee__2[[#This Row],[Education]]="Bachelors",Employee__2[[#This Row],[City]]="Pune"),"Yes","No")</f>
        <v>No</v>
      </c>
      <c r="P3801" s="1" t="str">
        <f>IF(OR(Employee__2[[#This Row],[Age]]&gt;=30,Employee__2[[#This Row],[Gender]]="Male"),"Mached","Not mached")</f>
        <v>Mached</v>
      </c>
    </row>
    <row r="3802" spans="4:16" x14ac:dyDescent="0.25">
      <c r="D3802" s="6" t="s">
        <v>34</v>
      </c>
      <c r="E3802">
        <v>2016</v>
      </c>
      <c r="F3802" s="6" t="s">
        <v>35</v>
      </c>
      <c r="G3802">
        <v>1</v>
      </c>
      <c r="H3802">
        <v>38</v>
      </c>
      <c r="I3802" s="6" t="s">
        <v>36</v>
      </c>
      <c r="J3802" s="6" t="s">
        <v>37</v>
      </c>
      <c r="K3802">
        <v>3</v>
      </c>
      <c r="M3802" s="1" t="b">
        <f>Employee__2[[#This Row],[Experience]]&gt;1</f>
        <v>1</v>
      </c>
      <c r="N3802" s="1" t="str">
        <f>IF(Employee__2[[#This Row],[City]]="Pune","Yes","No")</f>
        <v>No</v>
      </c>
      <c r="O3802" s="1" t="str">
        <f>IF(AND(Employee__2[[#This Row],[Education]]="Bachelors",Employee__2[[#This Row],[City]]="Pune"),"Yes","No")</f>
        <v>No</v>
      </c>
      <c r="P3802" s="1" t="str">
        <f>IF(OR(Employee__2[[#This Row],[Age]]&gt;=30,Employee__2[[#This Row],[Gender]]="Male"),"Mached","Not mached")</f>
        <v>Mached</v>
      </c>
    </row>
    <row r="3803" spans="4:16" x14ac:dyDescent="0.25">
      <c r="D3803" s="6" t="s">
        <v>34</v>
      </c>
      <c r="E3803">
        <v>2017</v>
      </c>
      <c r="F3803" s="6" t="s">
        <v>38</v>
      </c>
      <c r="G3803">
        <v>3</v>
      </c>
      <c r="H3803">
        <v>34</v>
      </c>
      <c r="I3803" s="6" t="s">
        <v>39</v>
      </c>
      <c r="J3803" s="6" t="s">
        <v>37</v>
      </c>
      <c r="K3803">
        <v>1</v>
      </c>
      <c r="M3803" s="1" t="b">
        <f>Employee__2[[#This Row],[Experience]]&gt;1</f>
        <v>0</v>
      </c>
      <c r="N3803" s="1" t="str">
        <f>IF(Employee__2[[#This Row],[City]]="Pune","Yes","No")</f>
        <v>Yes</v>
      </c>
      <c r="O3803" s="1" t="str">
        <f>IF(AND(Employee__2[[#This Row],[Education]]="Bachelors",Employee__2[[#This Row],[City]]="Pune"),"Yes","No")</f>
        <v>Yes</v>
      </c>
      <c r="P3803" s="1" t="str">
        <f>IF(OR(Employee__2[[#This Row],[Age]]&gt;=30,Employee__2[[#This Row],[Gender]]="Male"),"Mached","Not mached")</f>
        <v>Mached</v>
      </c>
    </row>
    <row r="3804" spans="4:16" x14ac:dyDescent="0.25">
      <c r="D3804" s="6" t="s">
        <v>34</v>
      </c>
      <c r="E3804">
        <v>2014</v>
      </c>
      <c r="F3804" s="6" t="s">
        <v>35</v>
      </c>
      <c r="G3804">
        <v>3</v>
      </c>
      <c r="H3804">
        <v>32</v>
      </c>
      <c r="I3804" s="6" t="s">
        <v>36</v>
      </c>
      <c r="J3804" s="6" t="s">
        <v>37</v>
      </c>
      <c r="K3804">
        <v>2</v>
      </c>
      <c r="M3804" s="1" t="b">
        <f>Employee__2[[#This Row],[Experience]]&gt;1</f>
        <v>1</v>
      </c>
      <c r="N3804" s="1" t="str">
        <f>IF(Employee__2[[#This Row],[City]]="Pune","Yes","No")</f>
        <v>No</v>
      </c>
      <c r="O3804" s="1" t="str">
        <f>IF(AND(Employee__2[[#This Row],[Education]]="Bachelors",Employee__2[[#This Row],[City]]="Pune"),"Yes","No")</f>
        <v>No</v>
      </c>
      <c r="P3804" s="1" t="str">
        <f>IF(OR(Employee__2[[#This Row],[Age]]&gt;=30,Employee__2[[#This Row],[Gender]]="Male"),"Mached","Not mached")</f>
        <v>Mached</v>
      </c>
    </row>
    <row r="3805" spans="4:16" x14ac:dyDescent="0.25">
      <c r="D3805" s="6" t="s">
        <v>34</v>
      </c>
      <c r="E3805">
        <v>2013</v>
      </c>
      <c r="F3805" s="6" t="s">
        <v>35</v>
      </c>
      <c r="G3805">
        <v>3</v>
      </c>
      <c r="H3805">
        <v>37</v>
      </c>
      <c r="I3805" s="6" t="s">
        <v>36</v>
      </c>
      <c r="J3805" s="6" t="s">
        <v>37</v>
      </c>
      <c r="K3805">
        <v>5</v>
      </c>
      <c r="M3805" s="1" t="b">
        <f>Employee__2[[#This Row],[Experience]]&gt;1</f>
        <v>1</v>
      </c>
      <c r="N3805" s="1" t="str">
        <f>IF(Employee__2[[#This Row],[City]]="Pune","Yes","No")</f>
        <v>No</v>
      </c>
      <c r="O3805" s="1" t="str">
        <f>IF(AND(Employee__2[[#This Row],[Education]]="Bachelors",Employee__2[[#This Row],[City]]="Pune"),"Yes","No")</f>
        <v>No</v>
      </c>
      <c r="P3805" s="1" t="str">
        <f>IF(OR(Employee__2[[#This Row],[Age]]&gt;=30,Employee__2[[#This Row],[Gender]]="Male"),"Mached","Not mached")</f>
        <v>Mached</v>
      </c>
    </row>
    <row r="3806" spans="4:16" x14ac:dyDescent="0.25">
      <c r="D3806" s="6" t="s">
        <v>34</v>
      </c>
      <c r="E3806">
        <v>2017</v>
      </c>
      <c r="F3806" s="6" t="s">
        <v>40</v>
      </c>
      <c r="G3806">
        <v>2</v>
      </c>
      <c r="H3806">
        <v>37</v>
      </c>
      <c r="I3806" s="6" t="s">
        <v>36</v>
      </c>
      <c r="J3806" s="6" t="s">
        <v>37</v>
      </c>
      <c r="K3806">
        <v>4</v>
      </c>
      <c r="M3806" s="1" t="b">
        <f>Employee__2[[#This Row],[Experience]]&gt;1</f>
        <v>1</v>
      </c>
      <c r="N3806" s="1" t="str">
        <f>IF(Employee__2[[#This Row],[City]]="Pune","Yes","No")</f>
        <v>No</v>
      </c>
      <c r="O3806" s="1" t="str">
        <f>IF(AND(Employee__2[[#This Row],[Education]]="Bachelors",Employee__2[[#This Row],[City]]="Pune"),"Yes","No")</f>
        <v>No</v>
      </c>
      <c r="P3806" s="1" t="str">
        <f>IF(OR(Employee__2[[#This Row],[Age]]&gt;=30,Employee__2[[#This Row],[Gender]]="Male"),"Mached","Not mached")</f>
        <v>Mached</v>
      </c>
    </row>
    <row r="3807" spans="4:16" x14ac:dyDescent="0.25">
      <c r="D3807" s="6" t="s">
        <v>34</v>
      </c>
      <c r="E3807">
        <v>2014</v>
      </c>
      <c r="F3807" s="6" t="s">
        <v>35</v>
      </c>
      <c r="G3807">
        <v>3</v>
      </c>
      <c r="H3807">
        <v>35</v>
      </c>
      <c r="I3807" s="6" t="s">
        <v>36</v>
      </c>
      <c r="J3807" s="6" t="s">
        <v>37</v>
      </c>
      <c r="K3807">
        <v>2</v>
      </c>
      <c r="M3807" s="1" t="b">
        <f>Employee__2[[#This Row],[Experience]]&gt;1</f>
        <v>1</v>
      </c>
      <c r="N3807" s="1" t="str">
        <f>IF(Employee__2[[#This Row],[City]]="Pune","Yes","No")</f>
        <v>No</v>
      </c>
      <c r="O3807" s="1" t="str">
        <f>IF(AND(Employee__2[[#This Row],[Education]]="Bachelors",Employee__2[[#This Row],[City]]="Pune"),"Yes","No")</f>
        <v>No</v>
      </c>
      <c r="P3807" s="1" t="str">
        <f>IF(OR(Employee__2[[#This Row],[Age]]&gt;=30,Employee__2[[#This Row],[Gender]]="Male"),"Mached","Not mached")</f>
        <v>Mached</v>
      </c>
    </row>
    <row r="3808" spans="4:16" x14ac:dyDescent="0.25">
      <c r="D3808" s="6" t="s">
        <v>34</v>
      </c>
      <c r="E3808">
        <v>2016</v>
      </c>
      <c r="F3808" s="6" t="s">
        <v>35</v>
      </c>
      <c r="G3808">
        <v>3</v>
      </c>
      <c r="H3808">
        <v>40</v>
      </c>
      <c r="I3808" s="6" t="s">
        <v>36</v>
      </c>
      <c r="J3808" s="6" t="s">
        <v>37</v>
      </c>
      <c r="K3808">
        <v>0</v>
      </c>
      <c r="M3808" s="1" t="b">
        <f>Employee__2[[#This Row],[Experience]]&gt;1</f>
        <v>0</v>
      </c>
      <c r="N3808" s="1" t="str">
        <f>IF(Employee__2[[#This Row],[City]]="Pune","Yes","No")</f>
        <v>No</v>
      </c>
      <c r="O3808" s="1" t="str">
        <f>IF(AND(Employee__2[[#This Row],[Education]]="Bachelors",Employee__2[[#This Row],[City]]="Pune"),"Yes","No")</f>
        <v>No</v>
      </c>
      <c r="P3808" s="1" t="str">
        <f>IF(OR(Employee__2[[#This Row],[Age]]&gt;=30,Employee__2[[#This Row],[Gender]]="Male"),"Mached","Not mached")</f>
        <v>Mached</v>
      </c>
    </row>
    <row r="3809" spans="4:16" x14ac:dyDescent="0.25">
      <c r="D3809" s="6" t="s">
        <v>34</v>
      </c>
      <c r="E3809">
        <v>2012</v>
      </c>
      <c r="F3809" s="6" t="s">
        <v>35</v>
      </c>
      <c r="G3809">
        <v>3</v>
      </c>
      <c r="H3809">
        <v>40</v>
      </c>
      <c r="I3809" s="6" t="s">
        <v>36</v>
      </c>
      <c r="J3809" s="6" t="s">
        <v>42</v>
      </c>
      <c r="K3809">
        <v>2</v>
      </c>
      <c r="M3809" s="1" t="b">
        <f>Employee__2[[#This Row],[Experience]]&gt;1</f>
        <v>1</v>
      </c>
      <c r="N3809" s="1" t="str">
        <f>IF(Employee__2[[#This Row],[City]]="Pune","Yes","No")</f>
        <v>No</v>
      </c>
      <c r="O3809" s="1" t="str">
        <f>IF(AND(Employee__2[[#This Row],[Education]]="Bachelors",Employee__2[[#This Row],[City]]="Pune"),"Yes","No")</f>
        <v>No</v>
      </c>
      <c r="P3809" s="1" t="str">
        <f>IF(OR(Employee__2[[#This Row],[Age]]&gt;=30,Employee__2[[#This Row],[Gender]]="Male"),"Mached","Not mached")</f>
        <v>Mached</v>
      </c>
    </row>
    <row r="3810" spans="4:16" x14ac:dyDescent="0.25">
      <c r="D3810" s="6" t="s">
        <v>34</v>
      </c>
      <c r="E3810">
        <v>2015</v>
      </c>
      <c r="F3810" s="6" t="s">
        <v>35</v>
      </c>
      <c r="G3810">
        <v>3</v>
      </c>
      <c r="H3810">
        <v>39</v>
      </c>
      <c r="I3810" s="6" t="s">
        <v>39</v>
      </c>
      <c r="J3810" s="6" t="s">
        <v>37</v>
      </c>
      <c r="K3810">
        <v>3</v>
      </c>
      <c r="M3810" s="1" t="b">
        <f>Employee__2[[#This Row],[Experience]]&gt;1</f>
        <v>1</v>
      </c>
      <c r="N3810" s="1" t="str">
        <f>IF(Employee__2[[#This Row],[City]]="Pune","Yes","No")</f>
        <v>No</v>
      </c>
      <c r="O3810" s="1" t="str">
        <f>IF(AND(Employee__2[[#This Row],[Education]]="Bachelors",Employee__2[[#This Row],[City]]="Pune"),"Yes","No")</f>
        <v>No</v>
      </c>
      <c r="P3810" s="1" t="str">
        <f>IF(OR(Employee__2[[#This Row],[Age]]&gt;=30,Employee__2[[#This Row],[Gender]]="Male"),"Mached","Not mached")</f>
        <v>Mached</v>
      </c>
    </row>
    <row r="3811" spans="4:16" x14ac:dyDescent="0.25">
      <c r="D3811" s="6" t="s">
        <v>41</v>
      </c>
      <c r="E3811">
        <v>2013</v>
      </c>
      <c r="F3811" s="6" t="s">
        <v>40</v>
      </c>
      <c r="G3811">
        <v>3</v>
      </c>
      <c r="H3811">
        <v>41</v>
      </c>
      <c r="I3811" s="6" t="s">
        <v>39</v>
      </c>
      <c r="J3811" s="6" t="s">
        <v>37</v>
      </c>
      <c r="K3811">
        <v>2</v>
      </c>
      <c r="M3811" s="1" t="b">
        <f>Employee__2[[#This Row],[Experience]]&gt;1</f>
        <v>1</v>
      </c>
      <c r="N3811" s="1" t="str">
        <f>IF(Employee__2[[#This Row],[City]]="Pune","Yes","No")</f>
        <v>No</v>
      </c>
      <c r="O3811" s="1" t="str">
        <f>IF(AND(Employee__2[[#This Row],[Education]]="Bachelors",Employee__2[[#This Row],[City]]="Pune"),"Yes","No")</f>
        <v>No</v>
      </c>
      <c r="P3811" s="1" t="str">
        <f>IF(OR(Employee__2[[#This Row],[Age]]&gt;=30,Employee__2[[#This Row],[Gender]]="Male"),"Mached","Not mached")</f>
        <v>Mached</v>
      </c>
    </row>
    <row r="3812" spans="4:16" x14ac:dyDescent="0.25">
      <c r="D3812" s="6" t="s">
        <v>34</v>
      </c>
      <c r="E3812">
        <v>2015</v>
      </c>
      <c r="F3812" s="6" t="s">
        <v>35</v>
      </c>
      <c r="G3812">
        <v>3</v>
      </c>
      <c r="H3812">
        <v>34</v>
      </c>
      <c r="I3812" s="6" t="s">
        <v>39</v>
      </c>
      <c r="J3812" s="6" t="s">
        <v>37</v>
      </c>
      <c r="K3812">
        <v>4</v>
      </c>
      <c r="M3812" s="1" t="b">
        <f>Employee__2[[#This Row],[Experience]]&gt;1</f>
        <v>1</v>
      </c>
      <c r="N3812" s="1" t="str">
        <f>IF(Employee__2[[#This Row],[City]]="Pune","Yes","No")</f>
        <v>No</v>
      </c>
      <c r="O3812" s="1" t="str">
        <f>IF(AND(Employee__2[[#This Row],[Education]]="Bachelors",Employee__2[[#This Row],[City]]="Pune"),"Yes","No")</f>
        <v>No</v>
      </c>
      <c r="P3812" s="1" t="str">
        <f>IF(OR(Employee__2[[#This Row],[Age]]&gt;=30,Employee__2[[#This Row],[Gender]]="Male"),"Mached","Not mached")</f>
        <v>Mached</v>
      </c>
    </row>
    <row r="3813" spans="4:16" x14ac:dyDescent="0.25">
      <c r="D3813" s="6" t="s">
        <v>34</v>
      </c>
      <c r="E3813">
        <v>2012</v>
      </c>
      <c r="F3813" s="6" t="s">
        <v>40</v>
      </c>
      <c r="G3813">
        <v>3</v>
      </c>
      <c r="H3813">
        <v>34</v>
      </c>
      <c r="I3813" s="6" t="s">
        <v>39</v>
      </c>
      <c r="J3813" s="6" t="s">
        <v>37</v>
      </c>
      <c r="K3813">
        <v>4</v>
      </c>
      <c r="M3813" s="1" t="b">
        <f>Employee__2[[#This Row],[Experience]]&gt;1</f>
        <v>1</v>
      </c>
      <c r="N3813" s="1" t="str">
        <f>IF(Employee__2[[#This Row],[City]]="Pune","Yes","No")</f>
        <v>No</v>
      </c>
      <c r="O3813" s="1" t="str">
        <f>IF(AND(Employee__2[[#This Row],[Education]]="Bachelors",Employee__2[[#This Row],[City]]="Pune"),"Yes","No")</f>
        <v>No</v>
      </c>
      <c r="P3813" s="1" t="str">
        <f>IF(OR(Employee__2[[#This Row],[Age]]&gt;=30,Employee__2[[#This Row],[Gender]]="Male"),"Mached","Not mached")</f>
        <v>Mached</v>
      </c>
    </row>
    <row r="3814" spans="4:16" x14ac:dyDescent="0.25">
      <c r="D3814" s="6" t="s">
        <v>34</v>
      </c>
      <c r="E3814">
        <v>2013</v>
      </c>
      <c r="F3814" s="6" t="s">
        <v>38</v>
      </c>
      <c r="G3814">
        <v>2</v>
      </c>
      <c r="H3814">
        <v>36</v>
      </c>
      <c r="I3814" s="6" t="s">
        <v>36</v>
      </c>
      <c r="J3814" s="6" t="s">
        <v>37</v>
      </c>
      <c r="K3814">
        <v>2</v>
      </c>
      <c r="M3814" s="1" t="b">
        <f>Employee__2[[#This Row],[Experience]]&gt;1</f>
        <v>1</v>
      </c>
      <c r="N3814" s="1" t="str">
        <f>IF(Employee__2[[#This Row],[City]]="Pune","Yes","No")</f>
        <v>Yes</v>
      </c>
      <c r="O3814" s="1" t="str">
        <f>IF(AND(Employee__2[[#This Row],[Education]]="Bachelors",Employee__2[[#This Row],[City]]="Pune"),"Yes","No")</f>
        <v>Yes</v>
      </c>
      <c r="P3814" s="1" t="str">
        <f>IF(OR(Employee__2[[#This Row],[Age]]&gt;=30,Employee__2[[#This Row],[Gender]]="Male"),"Mached","Not mached")</f>
        <v>Mached</v>
      </c>
    </row>
    <row r="3815" spans="4:16" x14ac:dyDescent="0.25">
      <c r="D3815" s="6" t="s">
        <v>41</v>
      </c>
      <c r="E3815">
        <v>2016</v>
      </c>
      <c r="F3815" s="6" t="s">
        <v>40</v>
      </c>
      <c r="G3815">
        <v>3</v>
      </c>
      <c r="H3815">
        <v>39</v>
      </c>
      <c r="I3815" s="6" t="s">
        <v>39</v>
      </c>
      <c r="J3815" s="6" t="s">
        <v>37</v>
      </c>
      <c r="K3815">
        <v>1</v>
      </c>
      <c r="M3815" s="1" t="b">
        <f>Employee__2[[#This Row],[Experience]]&gt;1</f>
        <v>0</v>
      </c>
      <c r="N3815" s="1" t="str">
        <f>IF(Employee__2[[#This Row],[City]]="Pune","Yes","No")</f>
        <v>No</v>
      </c>
      <c r="O3815" s="1" t="str">
        <f>IF(AND(Employee__2[[#This Row],[Education]]="Bachelors",Employee__2[[#This Row],[City]]="Pune"),"Yes","No")</f>
        <v>No</v>
      </c>
      <c r="P3815" s="1" t="str">
        <f>IF(OR(Employee__2[[#This Row],[Age]]&gt;=30,Employee__2[[#This Row],[Gender]]="Male"),"Mached","Not mached")</f>
        <v>Mached</v>
      </c>
    </row>
    <row r="3816" spans="4:16" x14ac:dyDescent="0.25">
      <c r="D3816" s="6" t="s">
        <v>34</v>
      </c>
      <c r="E3816">
        <v>2014</v>
      </c>
      <c r="F3816" s="6" t="s">
        <v>40</v>
      </c>
      <c r="G3816">
        <v>3</v>
      </c>
      <c r="H3816">
        <v>41</v>
      </c>
      <c r="I3816" s="6" t="s">
        <v>36</v>
      </c>
      <c r="J3816" s="6" t="s">
        <v>37</v>
      </c>
      <c r="K3816">
        <v>5</v>
      </c>
      <c r="M3816" s="1" t="b">
        <f>Employee__2[[#This Row],[Experience]]&gt;1</f>
        <v>1</v>
      </c>
      <c r="N3816" s="1" t="str">
        <f>IF(Employee__2[[#This Row],[City]]="Pune","Yes","No")</f>
        <v>No</v>
      </c>
      <c r="O3816" s="1" t="str">
        <f>IF(AND(Employee__2[[#This Row],[Education]]="Bachelors",Employee__2[[#This Row],[City]]="Pune"),"Yes","No")</f>
        <v>No</v>
      </c>
      <c r="P3816" s="1" t="str">
        <f>IF(OR(Employee__2[[#This Row],[Age]]&gt;=30,Employee__2[[#This Row],[Gender]]="Male"),"Mached","Not mached")</f>
        <v>Mached</v>
      </c>
    </row>
    <row r="3817" spans="4:16" x14ac:dyDescent="0.25">
      <c r="D3817" s="6" t="s">
        <v>34</v>
      </c>
      <c r="E3817">
        <v>2015</v>
      </c>
      <c r="F3817" s="6" t="s">
        <v>35</v>
      </c>
      <c r="G3817">
        <v>3</v>
      </c>
      <c r="H3817">
        <v>40</v>
      </c>
      <c r="I3817" s="6" t="s">
        <v>36</v>
      </c>
      <c r="J3817" s="6" t="s">
        <v>37</v>
      </c>
      <c r="K3817">
        <v>0</v>
      </c>
      <c r="M3817" s="1" t="b">
        <f>Employee__2[[#This Row],[Experience]]&gt;1</f>
        <v>0</v>
      </c>
      <c r="N3817" s="1" t="str">
        <f>IF(Employee__2[[#This Row],[City]]="Pune","Yes","No")</f>
        <v>No</v>
      </c>
      <c r="O3817" s="1" t="str">
        <f>IF(AND(Employee__2[[#This Row],[Education]]="Bachelors",Employee__2[[#This Row],[City]]="Pune"),"Yes","No")</f>
        <v>No</v>
      </c>
      <c r="P3817" s="1" t="str">
        <f>IF(OR(Employee__2[[#This Row],[Age]]&gt;=30,Employee__2[[#This Row],[Gender]]="Male"),"Mached","Not mached")</f>
        <v>Mached</v>
      </c>
    </row>
    <row r="3818" spans="4:16" x14ac:dyDescent="0.25">
      <c r="D3818" s="6" t="s">
        <v>34</v>
      </c>
      <c r="E3818">
        <v>2017</v>
      </c>
      <c r="F3818" s="6" t="s">
        <v>35</v>
      </c>
      <c r="G3818">
        <v>3</v>
      </c>
      <c r="H3818">
        <v>34</v>
      </c>
      <c r="I3818" s="6" t="s">
        <v>39</v>
      </c>
      <c r="J3818" s="6" t="s">
        <v>37</v>
      </c>
      <c r="K3818">
        <v>5</v>
      </c>
      <c r="M3818" s="1" t="b">
        <f>Employee__2[[#This Row],[Experience]]&gt;1</f>
        <v>1</v>
      </c>
      <c r="N3818" s="1" t="str">
        <f>IF(Employee__2[[#This Row],[City]]="Pune","Yes","No")</f>
        <v>No</v>
      </c>
      <c r="O3818" s="1" t="str">
        <f>IF(AND(Employee__2[[#This Row],[Education]]="Bachelors",Employee__2[[#This Row],[City]]="Pune"),"Yes","No")</f>
        <v>No</v>
      </c>
      <c r="P3818" s="1" t="str">
        <f>IF(OR(Employee__2[[#This Row],[Age]]&gt;=30,Employee__2[[#This Row],[Gender]]="Male"),"Mached","Not mached")</f>
        <v>Mached</v>
      </c>
    </row>
    <row r="3819" spans="4:16" x14ac:dyDescent="0.25">
      <c r="D3819" s="6" t="s">
        <v>34</v>
      </c>
      <c r="E3819">
        <v>2013</v>
      </c>
      <c r="F3819" s="6" t="s">
        <v>35</v>
      </c>
      <c r="G3819">
        <v>3</v>
      </c>
      <c r="H3819">
        <v>31</v>
      </c>
      <c r="I3819" s="6" t="s">
        <v>36</v>
      </c>
      <c r="J3819" s="6" t="s">
        <v>37</v>
      </c>
      <c r="K3819">
        <v>2</v>
      </c>
      <c r="M3819" s="1" t="b">
        <f>Employee__2[[#This Row],[Experience]]&gt;1</f>
        <v>1</v>
      </c>
      <c r="N3819" s="1" t="str">
        <f>IF(Employee__2[[#This Row],[City]]="Pune","Yes","No")</f>
        <v>No</v>
      </c>
      <c r="O3819" s="1" t="str">
        <f>IF(AND(Employee__2[[#This Row],[Education]]="Bachelors",Employee__2[[#This Row],[City]]="Pune"),"Yes","No")</f>
        <v>No</v>
      </c>
      <c r="P3819" s="1" t="str">
        <f>IF(OR(Employee__2[[#This Row],[Age]]&gt;=30,Employee__2[[#This Row],[Gender]]="Male"),"Mached","Not mached")</f>
        <v>Mached</v>
      </c>
    </row>
    <row r="3820" spans="4:16" x14ac:dyDescent="0.25">
      <c r="D3820" s="6" t="s">
        <v>34</v>
      </c>
      <c r="E3820">
        <v>2012</v>
      </c>
      <c r="F3820" s="6" t="s">
        <v>38</v>
      </c>
      <c r="G3820">
        <v>3</v>
      </c>
      <c r="H3820">
        <v>40</v>
      </c>
      <c r="I3820" s="6" t="s">
        <v>36</v>
      </c>
      <c r="J3820" s="6" t="s">
        <v>37</v>
      </c>
      <c r="K3820">
        <v>3</v>
      </c>
      <c r="M3820" s="1" t="b">
        <f>Employee__2[[#This Row],[Experience]]&gt;1</f>
        <v>1</v>
      </c>
      <c r="N3820" s="1" t="str">
        <f>IF(Employee__2[[#This Row],[City]]="Pune","Yes","No")</f>
        <v>Yes</v>
      </c>
      <c r="O3820" s="1" t="str">
        <f>IF(AND(Employee__2[[#This Row],[Education]]="Bachelors",Employee__2[[#This Row],[City]]="Pune"),"Yes","No")</f>
        <v>Yes</v>
      </c>
      <c r="P3820" s="1" t="str">
        <f>IF(OR(Employee__2[[#This Row],[Age]]&gt;=30,Employee__2[[#This Row],[Gender]]="Male"),"Mached","Not mached")</f>
        <v>Mached</v>
      </c>
    </row>
    <row r="3821" spans="4:16" x14ac:dyDescent="0.25">
      <c r="D3821" s="6" t="s">
        <v>34</v>
      </c>
      <c r="E3821">
        <v>2013</v>
      </c>
      <c r="F3821" s="6" t="s">
        <v>38</v>
      </c>
      <c r="G3821">
        <v>3</v>
      </c>
      <c r="H3821">
        <v>32</v>
      </c>
      <c r="I3821" s="6" t="s">
        <v>36</v>
      </c>
      <c r="J3821" s="6" t="s">
        <v>37</v>
      </c>
      <c r="K3821">
        <v>5</v>
      </c>
      <c r="M3821" s="1" t="b">
        <f>Employee__2[[#This Row],[Experience]]&gt;1</f>
        <v>1</v>
      </c>
      <c r="N3821" s="1" t="str">
        <f>IF(Employee__2[[#This Row],[City]]="Pune","Yes","No")</f>
        <v>Yes</v>
      </c>
      <c r="O3821" s="1" t="str">
        <f>IF(AND(Employee__2[[#This Row],[Education]]="Bachelors",Employee__2[[#This Row],[City]]="Pune"),"Yes","No")</f>
        <v>Yes</v>
      </c>
      <c r="P3821" s="1" t="str">
        <f>IF(OR(Employee__2[[#This Row],[Age]]&gt;=30,Employee__2[[#This Row],[Gender]]="Male"),"Mached","Not mached")</f>
        <v>Mached</v>
      </c>
    </row>
    <row r="3822" spans="4:16" x14ac:dyDescent="0.25">
      <c r="D3822" s="6" t="s">
        <v>34</v>
      </c>
      <c r="E3822">
        <v>2018</v>
      </c>
      <c r="F3822" s="6" t="s">
        <v>38</v>
      </c>
      <c r="G3822">
        <v>3</v>
      </c>
      <c r="H3822">
        <v>38</v>
      </c>
      <c r="I3822" s="6" t="s">
        <v>36</v>
      </c>
      <c r="J3822" s="6" t="s">
        <v>37</v>
      </c>
      <c r="K3822">
        <v>3</v>
      </c>
      <c r="M3822" s="1" t="b">
        <f>Employee__2[[#This Row],[Experience]]&gt;1</f>
        <v>1</v>
      </c>
      <c r="N3822" s="1" t="str">
        <f>IF(Employee__2[[#This Row],[City]]="Pune","Yes","No")</f>
        <v>Yes</v>
      </c>
      <c r="O3822" s="1" t="str">
        <f>IF(AND(Employee__2[[#This Row],[Education]]="Bachelors",Employee__2[[#This Row],[City]]="Pune"),"Yes","No")</f>
        <v>Yes</v>
      </c>
      <c r="P3822" s="1" t="str">
        <f>IF(OR(Employee__2[[#This Row],[Age]]&gt;=30,Employee__2[[#This Row],[Gender]]="Male"),"Mached","Not mached")</f>
        <v>Mached</v>
      </c>
    </row>
    <row r="3823" spans="4:16" x14ac:dyDescent="0.25">
      <c r="D3823" s="6" t="s">
        <v>34</v>
      </c>
      <c r="E3823">
        <v>2016</v>
      </c>
      <c r="F3823" s="6" t="s">
        <v>35</v>
      </c>
      <c r="G3823">
        <v>3</v>
      </c>
      <c r="H3823">
        <v>40</v>
      </c>
      <c r="I3823" s="6" t="s">
        <v>36</v>
      </c>
      <c r="J3823" s="6" t="s">
        <v>37</v>
      </c>
      <c r="K3823">
        <v>3</v>
      </c>
      <c r="M3823" s="1" t="b">
        <f>Employee__2[[#This Row],[Experience]]&gt;1</f>
        <v>1</v>
      </c>
      <c r="N3823" s="1" t="str">
        <f>IF(Employee__2[[#This Row],[City]]="Pune","Yes","No")</f>
        <v>No</v>
      </c>
      <c r="O3823" s="1" t="str">
        <f>IF(AND(Employee__2[[#This Row],[Education]]="Bachelors",Employee__2[[#This Row],[City]]="Pune"),"Yes","No")</f>
        <v>No</v>
      </c>
      <c r="P3823" s="1" t="str">
        <f>IF(OR(Employee__2[[#This Row],[Age]]&gt;=30,Employee__2[[#This Row],[Gender]]="Male"),"Mached","Not mached")</f>
        <v>Mached</v>
      </c>
    </row>
    <row r="3824" spans="4:16" x14ac:dyDescent="0.25">
      <c r="D3824" s="6" t="s">
        <v>43</v>
      </c>
      <c r="E3824">
        <v>2013</v>
      </c>
      <c r="F3824" s="6" t="s">
        <v>35</v>
      </c>
      <c r="G3824">
        <v>3</v>
      </c>
      <c r="H3824">
        <v>41</v>
      </c>
      <c r="I3824" s="6" t="s">
        <v>36</v>
      </c>
      <c r="J3824" s="6" t="s">
        <v>37</v>
      </c>
      <c r="K3824">
        <v>4</v>
      </c>
      <c r="M3824" s="1" t="b">
        <f>Employee__2[[#This Row],[Experience]]&gt;1</f>
        <v>1</v>
      </c>
      <c r="N3824" s="1" t="str">
        <f>IF(Employee__2[[#This Row],[City]]="Pune","Yes","No")</f>
        <v>No</v>
      </c>
      <c r="O3824" s="1" t="str">
        <f>IF(AND(Employee__2[[#This Row],[Education]]="Bachelors",Employee__2[[#This Row],[City]]="Pune"),"Yes","No")</f>
        <v>No</v>
      </c>
      <c r="P3824" s="1" t="str">
        <f>IF(OR(Employee__2[[#This Row],[Age]]&gt;=30,Employee__2[[#This Row],[Gender]]="Male"),"Mached","Not mached")</f>
        <v>Mached</v>
      </c>
    </row>
    <row r="3825" spans="4:16" x14ac:dyDescent="0.25">
      <c r="D3825" s="6" t="s">
        <v>34</v>
      </c>
      <c r="E3825">
        <v>2014</v>
      </c>
      <c r="F3825" s="6" t="s">
        <v>35</v>
      </c>
      <c r="G3825">
        <v>3</v>
      </c>
      <c r="H3825">
        <v>36</v>
      </c>
      <c r="I3825" s="6" t="s">
        <v>39</v>
      </c>
      <c r="J3825" s="6" t="s">
        <v>37</v>
      </c>
      <c r="K3825">
        <v>0</v>
      </c>
      <c r="M3825" s="1" t="b">
        <f>Employee__2[[#This Row],[Experience]]&gt;1</f>
        <v>0</v>
      </c>
      <c r="N3825" s="1" t="str">
        <f>IF(Employee__2[[#This Row],[City]]="Pune","Yes","No")</f>
        <v>No</v>
      </c>
      <c r="O3825" s="1" t="str">
        <f>IF(AND(Employee__2[[#This Row],[Education]]="Bachelors",Employee__2[[#This Row],[City]]="Pune"),"Yes","No")</f>
        <v>No</v>
      </c>
      <c r="P3825" s="1" t="str">
        <f>IF(OR(Employee__2[[#This Row],[Age]]&gt;=30,Employee__2[[#This Row],[Gender]]="Male"),"Mached","Not mached")</f>
        <v>Mached</v>
      </c>
    </row>
    <row r="3826" spans="4:16" x14ac:dyDescent="0.25">
      <c r="D3826" s="6" t="s">
        <v>34</v>
      </c>
      <c r="E3826">
        <v>2015</v>
      </c>
      <c r="F3826" s="6" t="s">
        <v>38</v>
      </c>
      <c r="G3826">
        <v>2</v>
      </c>
      <c r="H3826">
        <v>33</v>
      </c>
      <c r="I3826" s="6" t="s">
        <v>39</v>
      </c>
      <c r="J3826" s="6" t="s">
        <v>42</v>
      </c>
      <c r="K3826">
        <v>3</v>
      </c>
      <c r="M3826" s="1" t="b">
        <f>Employee__2[[#This Row],[Experience]]&gt;1</f>
        <v>1</v>
      </c>
      <c r="N3826" s="1" t="str">
        <f>IF(Employee__2[[#This Row],[City]]="Pune","Yes","No")</f>
        <v>Yes</v>
      </c>
      <c r="O3826" s="1" t="str">
        <f>IF(AND(Employee__2[[#This Row],[Education]]="Bachelors",Employee__2[[#This Row],[City]]="Pune"),"Yes","No")</f>
        <v>Yes</v>
      </c>
      <c r="P3826" s="1" t="str">
        <f>IF(OR(Employee__2[[#This Row],[Age]]&gt;=30,Employee__2[[#This Row],[Gender]]="Male"),"Mached","Not mached")</f>
        <v>Mached</v>
      </c>
    </row>
    <row r="3827" spans="4:16" x14ac:dyDescent="0.25">
      <c r="D3827" s="6" t="s">
        <v>34</v>
      </c>
      <c r="E3827">
        <v>2016</v>
      </c>
      <c r="F3827" s="6" t="s">
        <v>40</v>
      </c>
      <c r="G3827">
        <v>3</v>
      </c>
      <c r="H3827">
        <v>37</v>
      </c>
      <c r="I3827" s="6" t="s">
        <v>36</v>
      </c>
      <c r="J3827" s="6" t="s">
        <v>37</v>
      </c>
      <c r="K3827">
        <v>3</v>
      </c>
      <c r="M3827" s="1" t="b">
        <f>Employee__2[[#This Row],[Experience]]&gt;1</f>
        <v>1</v>
      </c>
      <c r="N3827" s="1" t="str">
        <f>IF(Employee__2[[#This Row],[City]]="Pune","Yes","No")</f>
        <v>No</v>
      </c>
      <c r="O3827" s="1" t="str">
        <f>IF(AND(Employee__2[[#This Row],[Education]]="Bachelors",Employee__2[[#This Row],[City]]="Pune"),"Yes","No")</f>
        <v>No</v>
      </c>
      <c r="P3827" s="1" t="str">
        <f>IF(OR(Employee__2[[#This Row],[Age]]&gt;=30,Employee__2[[#This Row],[Gender]]="Male"),"Mached","Not mached")</f>
        <v>Mached</v>
      </c>
    </row>
    <row r="3828" spans="4:16" x14ac:dyDescent="0.25">
      <c r="D3828" s="6" t="s">
        <v>34</v>
      </c>
      <c r="E3828">
        <v>2015</v>
      </c>
      <c r="F3828" s="6" t="s">
        <v>38</v>
      </c>
      <c r="G3828">
        <v>3</v>
      </c>
      <c r="H3828">
        <v>38</v>
      </c>
      <c r="I3828" s="6" t="s">
        <v>36</v>
      </c>
      <c r="J3828" s="6" t="s">
        <v>37</v>
      </c>
      <c r="K3828">
        <v>4</v>
      </c>
      <c r="M3828" s="1" t="b">
        <f>Employee__2[[#This Row],[Experience]]&gt;1</f>
        <v>1</v>
      </c>
      <c r="N3828" s="1" t="str">
        <f>IF(Employee__2[[#This Row],[City]]="Pune","Yes","No")</f>
        <v>Yes</v>
      </c>
      <c r="O3828" s="1" t="str">
        <f>IF(AND(Employee__2[[#This Row],[Education]]="Bachelors",Employee__2[[#This Row],[City]]="Pune"),"Yes","No")</f>
        <v>Yes</v>
      </c>
      <c r="P3828" s="1" t="str">
        <f>IF(OR(Employee__2[[#This Row],[Age]]&gt;=30,Employee__2[[#This Row],[Gender]]="Male"),"Mached","Not mached")</f>
        <v>Mached</v>
      </c>
    </row>
    <row r="3829" spans="4:16" x14ac:dyDescent="0.25">
      <c r="D3829" s="6" t="s">
        <v>34</v>
      </c>
      <c r="E3829">
        <v>2017</v>
      </c>
      <c r="F3829" s="6" t="s">
        <v>35</v>
      </c>
      <c r="G3829">
        <v>3</v>
      </c>
      <c r="H3829">
        <v>32</v>
      </c>
      <c r="I3829" s="6" t="s">
        <v>36</v>
      </c>
      <c r="J3829" s="6" t="s">
        <v>37</v>
      </c>
      <c r="K3829">
        <v>4</v>
      </c>
      <c r="M3829" s="1" t="b">
        <f>Employee__2[[#This Row],[Experience]]&gt;1</f>
        <v>1</v>
      </c>
      <c r="N3829" s="1" t="str">
        <f>IF(Employee__2[[#This Row],[City]]="Pune","Yes","No")</f>
        <v>No</v>
      </c>
      <c r="O3829" s="1" t="str">
        <f>IF(AND(Employee__2[[#This Row],[Education]]="Bachelors",Employee__2[[#This Row],[City]]="Pune"),"Yes","No")</f>
        <v>No</v>
      </c>
      <c r="P3829" s="1" t="str">
        <f>IF(OR(Employee__2[[#This Row],[Age]]&gt;=30,Employee__2[[#This Row],[Gender]]="Male"),"Mached","Not mached")</f>
        <v>Mached</v>
      </c>
    </row>
    <row r="3830" spans="4:16" x14ac:dyDescent="0.25">
      <c r="D3830" s="6" t="s">
        <v>34</v>
      </c>
      <c r="E3830">
        <v>2017</v>
      </c>
      <c r="F3830" s="6" t="s">
        <v>38</v>
      </c>
      <c r="G3830">
        <v>3</v>
      </c>
      <c r="H3830">
        <v>33</v>
      </c>
      <c r="I3830" s="6" t="s">
        <v>36</v>
      </c>
      <c r="J3830" s="6" t="s">
        <v>37</v>
      </c>
      <c r="K3830">
        <v>1</v>
      </c>
      <c r="M3830" s="1" t="b">
        <f>Employee__2[[#This Row],[Experience]]&gt;1</f>
        <v>0</v>
      </c>
      <c r="N3830" s="1" t="str">
        <f>IF(Employee__2[[#This Row],[City]]="Pune","Yes","No")</f>
        <v>Yes</v>
      </c>
      <c r="O3830" s="1" t="str">
        <f>IF(AND(Employee__2[[#This Row],[Education]]="Bachelors",Employee__2[[#This Row],[City]]="Pune"),"Yes","No")</f>
        <v>Yes</v>
      </c>
      <c r="P3830" s="1" t="str">
        <f>IF(OR(Employee__2[[#This Row],[Age]]&gt;=30,Employee__2[[#This Row],[Gender]]="Male"),"Mached","Not mached")</f>
        <v>Mached</v>
      </c>
    </row>
    <row r="3831" spans="4:16" x14ac:dyDescent="0.25">
      <c r="D3831" s="6" t="s">
        <v>34</v>
      </c>
      <c r="E3831">
        <v>2015</v>
      </c>
      <c r="F3831" s="6" t="s">
        <v>35</v>
      </c>
      <c r="G3831">
        <v>3</v>
      </c>
      <c r="H3831">
        <v>38</v>
      </c>
      <c r="I3831" s="6" t="s">
        <v>36</v>
      </c>
      <c r="J3831" s="6" t="s">
        <v>37</v>
      </c>
      <c r="K3831">
        <v>5</v>
      </c>
      <c r="M3831" s="1" t="b">
        <f>Employee__2[[#This Row],[Experience]]&gt;1</f>
        <v>1</v>
      </c>
      <c r="N3831" s="1" t="str">
        <f>IF(Employee__2[[#This Row],[City]]="Pune","Yes","No")</f>
        <v>No</v>
      </c>
      <c r="O3831" s="1" t="str">
        <f>IF(AND(Employee__2[[#This Row],[Education]]="Bachelors",Employee__2[[#This Row],[City]]="Pune"),"Yes","No")</f>
        <v>No</v>
      </c>
      <c r="P3831" s="1" t="str">
        <f>IF(OR(Employee__2[[#This Row],[Age]]&gt;=30,Employee__2[[#This Row],[Gender]]="Male"),"Mached","Not mached")</f>
        <v>Mached</v>
      </c>
    </row>
    <row r="3832" spans="4:16" x14ac:dyDescent="0.25">
      <c r="D3832" s="6" t="s">
        <v>34</v>
      </c>
      <c r="E3832">
        <v>2015</v>
      </c>
      <c r="F3832" s="6" t="s">
        <v>38</v>
      </c>
      <c r="G3832">
        <v>3</v>
      </c>
      <c r="H3832">
        <v>40</v>
      </c>
      <c r="I3832" s="6" t="s">
        <v>39</v>
      </c>
      <c r="J3832" s="6" t="s">
        <v>37</v>
      </c>
      <c r="K3832">
        <v>5</v>
      </c>
      <c r="M3832" s="1" t="b">
        <f>Employee__2[[#This Row],[Experience]]&gt;1</f>
        <v>1</v>
      </c>
      <c r="N3832" s="1" t="str">
        <f>IF(Employee__2[[#This Row],[City]]="Pune","Yes","No")</f>
        <v>Yes</v>
      </c>
      <c r="O3832" s="1" t="str">
        <f>IF(AND(Employee__2[[#This Row],[Education]]="Bachelors",Employee__2[[#This Row],[City]]="Pune"),"Yes","No")</f>
        <v>Yes</v>
      </c>
      <c r="P3832" s="1" t="str">
        <f>IF(OR(Employee__2[[#This Row],[Age]]&gt;=30,Employee__2[[#This Row],[Gender]]="Male"),"Mached","Not mached")</f>
        <v>Mached</v>
      </c>
    </row>
    <row r="3833" spans="4:16" x14ac:dyDescent="0.25">
      <c r="D3833" s="6" t="s">
        <v>34</v>
      </c>
      <c r="E3833">
        <v>2014</v>
      </c>
      <c r="F3833" s="6" t="s">
        <v>35</v>
      </c>
      <c r="G3833">
        <v>3</v>
      </c>
      <c r="H3833">
        <v>35</v>
      </c>
      <c r="I3833" s="6" t="s">
        <v>36</v>
      </c>
      <c r="J3833" s="6" t="s">
        <v>42</v>
      </c>
      <c r="K3833">
        <v>0</v>
      </c>
      <c r="M3833" s="1" t="b">
        <f>Employee__2[[#This Row],[Experience]]&gt;1</f>
        <v>0</v>
      </c>
      <c r="N3833" s="1" t="str">
        <f>IF(Employee__2[[#This Row],[City]]="Pune","Yes","No")</f>
        <v>No</v>
      </c>
      <c r="O3833" s="1" t="str">
        <f>IF(AND(Employee__2[[#This Row],[Education]]="Bachelors",Employee__2[[#This Row],[City]]="Pune"),"Yes","No")</f>
        <v>No</v>
      </c>
      <c r="P3833" s="1" t="str">
        <f>IF(OR(Employee__2[[#This Row],[Age]]&gt;=30,Employee__2[[#This Row],[Gender]]="Male"),"Mached","Not mached")</f>
        <v>Mached</v>
      </c>
    </row>
    <row r="3834" spans="4:16" x14ac:dyDescent="0.25">
      <c r="D3834" s="6" t="s">
        <v>41</v>
      </c>
      <c r="E3834">
        <v>2016</v>
      </c>
      <c r="F3834" s="6" t="s">
        <v>40</v>
      </c>
      <c r="G3834">
        <v>3</v>
      </c>
      <c r="H3834">
        <v>37</v>
      </c>
      <c r="I3834" s="6" t="s">
        <v>39</v>
      </c>
      <c r="J3834" s="6" t="s">
        <v>37</v>
      </c>
      <c r="K3834">
        <v>5</v>
      </c>
      <c r="M3834" s="1" t="b">
        <f>Employee__2[[#This Row],[Experience]]&gt;1</f>
        <v>1</v>
      </c>
      <c r="N3834" s="1" t="str">
        <f>IF(Employee__2[[#This Row],[City]]="Pune","Yes","No")</f>
        <v>No</v>
      </c>
      <c r="O3834" s="1" t="str">
        <f>IF(AND(Employee__2[[#This Row],[Education]]="Bachelors",Employee__2[[#This Row],[City]]="Pune"),"Yes","No")</f>
        <v>No</v>
      </c>
      <c r="P3834" s="1" t="str">
        <f>IF(OR(Employee__2[[#This Row],[Age]]&gt;=30,Employee__2[[#This Row],[Gender]]="Male"),"Mached","Not mached")</f>
        <v>Mached</v>
      </c>
    </row>
    <row r="3835" spans="4:16" x14ac:dyDescent="0.25">
      <c r="D3835" s="6" t="s">
        <v>34</v>
      </c>
      <c r="E3835">
        <v>2016</v>
      </c>
      <c r="F3835" s="6" t="s">
        <v>35</v>
      </c>
      <c r="G3835">
        <v>3</v>
      </c>
      <c r="H3835">
        <v>37</v>
      </c>
      <c r="I3835" s="6" t="s">
        <v>36</v>
      </c>
      <c r="J3835" s="6" t="s">
        <v>42</v>
      </c>
      <c r="K3835">
        <v>2</v>
      </c>
      <c r="M3835" s="1" t="b">
        <f>Employee__2[[#This Row],[Experience]]&gt;1</f>
        <v>1</v>
      </c>
      <c r="N3835" s="1" t="str">
        <f>IF(Employee__2[[#This Row],[City]]="Pune","Yes","No")</f>
        <v>No</v>
      </c>
      <c r="O3835" s="1" t="str">
        <f>IF(AND(Employee__2[[#This Row],[Education]]="Bachelors",Employee__2[[#This Row],[City]]="Pune"),"Yes","No")</f>
        <v>No</v>
      </c>
      <c r="P3835" s="1" t="str">
        <f>IF(OR(Employee__2[[#This Row],[Age]]&gt;=30,Employee__2[[#This Row],[Gender]]="Male"),"Mached","Not mached")</f>
        <v>Mached</v>
      </c>
    </row>
    <row r="3836" spans="4:16" x14ac:dyDescent="0.25">
      <c r="D3836" s="6" t="s">
        <v>34</v>
      </c>
      <c r="E3836">
        <v>2015</v>
      </c>
      <c r="F3836" s="6" t="s">
        <v>35</v>
      </c>
      <c r="G3836">
        <v>3</v>
      </c>
      <c r="H3836">
        <v>36</v>
      </c>
      <c r="I3836" s="6" t="s">
        <v>36</v>
      </c>
      <c r="J3836" s="6" t="s">
        <v>37</v>
      </c>
      <c r="K3836">
        <v>2</v>
      </c>
      <c r="M3836" s="1" t="b">
        <f>Employee__2[[#This Row],[Experience]]&gt;1</f>
        <v>1</v>
      </c>
      <c r="N3836" s="1" t="str">
        <f>IF(Employee__2[[#This Row],[City]]="Pune","Yes","No")</f>
        <v>No</v>
      </c>
      <c r="O3836" s="1" t="str">
        <f>IF(AND(Employee__2[[#This Row],[Education]]="Bachelors",Employee__2[[#This Row],[City]]="Pune"),"Yes","No")</f>
        <v>No</v>
      </c>
      <c r="P3836" s="1" t="str">
        <f>IF(OR(Employee__2[[#This Row],[Age]]&gt;=30,Employee__2[[#This Row],[Gender]]="Male"),"Mached","Not mached")</f>
        <v>Mached</v>
      </c>
    </row>
    <row r="3837" spans="4:16" x14ac:dyDescent="0.25">
      <c r="D3837" s="6" t="s">
        <v>34</v>
      </c>
      <c r="E3837">
        <v>2017</v>
      </c>
      <c r="F3837" s="6" t="s">
        <v>35</v>
      </c>
      <c r="G3837">
        <v>3</v>
      </c>
      <c r="H3837">
        <v>33</v>
      </c>
      <c r="I3837" s="6" t="s">
        <v>39</v>
      </c>
      <c r="J3837" s="6" t="s">
        <v>37</v>
      </c>
      <c r="K3837">
        <v>4</v>
      </c>
      <c r="M3837" s="1" t="b">
        <f>Employee__2[[#This Row],[Experience]]&gt;1</f>
        <v>1</v>
      </c>
      <c r="N3837" s="1" t="str">
        <f>IF(Employee__2[[#This Row],[City]]="Pune","Yes","No")</f>
        <v>No</v>
      </c>
      <c r="O3837" s="1" t="str">
        <f>IF(AND(Employee__2[[#This Row],[Education]]="Bachelors",Employee__2[[#This Row],[City]]="Pune"),"Yes","No")</f>
        <v>No</v>
      </c>
      <c r="P3837" s="1" t="str">
        <f>IF(OR(Employee__2[[#This Row],[Age]]&gt;=30,Employee__2[[#This Row],[Gender]]="Male"),"Mached","Not mached")</f>
        <v>Mached</v>
      </c>
    </row>
    <row r="3838" spans="4:16" x14ac:dyDescent="0.25">
      <c r="D3838" s="6" t="s">
        <v>34</v>
      </c>
      <c r="E3838">
        <v>2014</v>
      </c>
      <c r="F3838" s="6" t="s">
        <v>38</v>
      </c>
      <c r="G3838">
        <v>2</v>
      </c>
      <c r="H3838">
        <v>36</v>
      </c>
      <c r="I3838" s="6" t="s">
        <v>39</v>
      </c>
      <c r="J3838" s="6" t="s">
        <v>37</v>
      </c>
      <c r="K3838">
        <v>3</v>
      </c>
      <c r="M3838" s="1" t="b">
        <f>Employee__2[[#This Row],[Experience]]&gt;1</f>
        <v>1</v>
      </c>
      <c r="N3838" s="1" t="str">
        <f>IF(Employee__2[[#This Row],[City]]="Pune","Yes","No")</f>
        <v>Yes</v>
      </c>
      <c r="O3838" s="1" t="str">
        <f>IF(AND(Employee__2[[#This Row],[Education]]="Bachelors",Employee__2[[#This Row],[City]]="Pune"),"Yes","No")</f>
        <v>Yes</v>
      </c>
      <c r="P3838" s="1" t="str">
        <f>IF(OR(Employee__2[[#This Row],[Age]]&gt;=30,Employee__2[[#This Row],[Gender]]="Male"),"Mached","Not mached")</f>
        <v>Mached</v>
      </c>
    </row>
    <row r="3839" spans="4:16" x14ac:dyDescent="0.25">
      <c r="D3839" s="6" t="s">
        <v>34</v>
      </c>
      <c r="E3839">
        <v>2016</v>
      </c>
      <c r="F3839" s="6" t="s">
        <v>38</v>
      </c>
      <c r="G3839">
        <v>3</v>
      </c>
      <c r="H3839">
        <v>32</v>
      </c>
      <c r="I3839" s="6" t="s">
        <v>36</v>
      </c>
      <c r="J3839" s="6" t="s">
        <v>37</v>
      </c>
      <c r="K3839">
        <v>3</v>
      </c>
      <c r="M3839" s="1" t="b">
        <f>Employee__2[[#This Row],[Experience]]&gt;1</f>
        <v>1</v>
      </c>
      <c r="N3839" s="1" t="str">
        <f>IF(Employee__2[[#This Row],[City]]="Pune","Yes","No")</f>
        <v>Yes</v>
      </c>
      <c r="O3839" s="1" t="str">
        <f>IF(AND(Employee__2[[#This Row],[Education]]="Bachelors",Employee__2[[#This Row],[City]]="Pune"),"Yes","No")</f>
        <v>Yes</v>
      </c>
      <c r="P3839" s="1" t="str">
        <f>IF(OR(Employee__2[[#This Row],[Age]]&gt;=30,Employee__2[[#This Row],[Gender]]="Male"),"Mached","Not mached")</f>
        <v>Mached</v>
      </c>
    </row>
    <row r="3840" spans="4:16" x14ac:dyDescent="0.25">
      <c r="D3840" s="6" t="s">
        <v>34</v>
      </c>
      <c r="E3840">
        <v>2017</v>
      </c>
      <c r="F3840" s="6" t="s">
        <v>35</v>
      </c>
      <c r="G3840">
        <v>3</v>
      </c>
      <c r="H3840">
        <v>35</v>
      </c>
      <c r="I3840" s="6" t="s">
        <v>39</v>
      </c>
      <c r="J3840" s="6" t="s">
        <v>37</v>
      </c>
      <c r="K3840">
        <v>1</v>
      </c>
      <c r="M3840" s="1" t="b">
        <f>Employee__2[[#This Row],[Experience]]&gt;1</f>
        <v>0</v>
      </c>
      <c r="N3840" s="1" t="str">
        <f>IF(Employee__2[[#This Row],[City]]="Pune","Yes","No")</f>
        <v>No</v>
      </c>
      <c r="O3840" s="1" t="str">
        <f>IF(AND(Employee__2[[#This Row],[Education]]="Bachelors",Employee__2[[#This Row],[City]]="Pune"),"Yes","No")</f>
        <v>No</v>
      </c>
      <c r="P3840" s="1" t="str">
        <f>IF(OR(Employee__2[[#This Row],[Age]]&gt;=30,Employee__2[[#This Row],[Gender]]="Male"),"Mached","Not mached")</f>
        <v>Mached</v>
      </c>
    </row>
    <row r="3841" spans="4:16" x14ac:dyDescent="0.25">
      <c r="D3841" s="6" t="s">
        <v>34</v>
      </c>
      <c r="E3841">
        <v>2014</v>
      </c>
      <c r="F3841" s="6" t="s">
        <v>38</v>
      </c>
      <c r="G3841">
        <v>2</v>
      </c>
      <c r="H3841">
        <v>34</v>
      </c>
      <c r="I3841" s="6" t="s">
        <v>39</v>
      </c>
      <c r="J3841" s="6" t="s">
        <v>37</v>
      </c>
      <c r="K3841">
        <v>2</v>
      </c>
      <c r="M3841" s="1" t="b">
        <f>Employee__2[[#This Row],[Experience]]&gt;1</f>
        <v>1</v>
      </c>
      <c r="N3841" s="1" t="str">
        <f>IF(Employee__2[[#This Row],[City]]="Pune","Yes","No")</f>
        <v>Yes</v>
      </c>
      <c r="O3841" s="1" t="str">
        <f>IF(AND(Employee__2[[#This Row],[Education]]="Bachelors",Employee__2[[#This Row],[City]]="Pune"),"Yes","No")</f>
        <v>Yes</v>
      </c>
      <c r="P3841" s="1" t="str">
        <f>IF(OR(Employee__2[[#This Row],[Age]]&gt;=30,Employee__2[[#This Row],[Gender]]="Male"),"Mached","Not mached")</f>
        <v>Mached</v>
      </c>
    </row>
    <row r="3842" spans="4:16" x14ac:dyDescent="0.25">
      <c r="D3842" s="6" t="s">
        <v>41</v>
      </c>
      <c r="E3842">
        <v>2017</v>
      </c>
      <c r="F3842" s="6" t="s">
        <v>38</v>
      </c>
      <c r="G3842">
        <v>2</v>
      </c>
      <c r="H3842">
        <v>40</v>
      </c>
      <c r="I3842" s="6" t="s">
        <v>36</v>
      </c>
      <c r="J3842" s="6" t="s">
        <v>37</v>
      </c>
      <c r="K3842">
        <v>5</v>
      </c>
      <c r="M3842" s="1" t="b">
        <f>Employee__2[[#This Row],[Experience]]&gt;1</f>
        <v>1</v>
      </c>
      <c r="N3842" s="1" t="str">
        <f>IF(Employee__2[[#This Row],[City]]="Pune","Yes","No")</f>
        <v>Yes</v>
      </c>
      <c r="O3842" s="1" t="str">
        <f>IF(AND(Employee__2[[#This Row],[Education]]="Bachelors",Employee__2[[#This Row],[City]]="Pune"),"Yes","No")</f>
        <v>No</v>
      </c>
      <c r="P3842" s="1" t="str">
        <f>IF(OR(Employee__2[[#This Row],[Age]]&gt;=30,Employee__2[[#This Row],[Gender]]="Male"),"Mached","Not mached")</f>
        <v>Mached</v>
      </c>
    </row>
    <row r="3843" spans="4:16" x14ac:dyDescent="0.25">
      <c r="D3843" s="6" t="s">
        <v>34</v>
      </c>
      <c r="E3843">
        <v>2016</v>
      </c>
      <c r="F3843" s="6" t="s">
        <v>35</v>
      </c>
      <c r="G3843">
        <v>3</v>
      </c>
      <c r="H3843">
        <v>37</v>
      </c>
      <c r="I3843" s="6" t="s">
        <v>39</v>
      </c>
      <c r="J3843" s="6" t="s">
        <v>37</v>
      </c>
      <c r="K3843">
        <v>4</v>
      </c>
      <c r="M3843" s="1" t="b">
        <f>Employee__2[[#This Row],[Experience]]&gt;1</f>
        <v>1</v>
      </c>
      <c r="N3843" s="1" t="str">
        <f>IF(Employee__2[[#This Row],[City]]="Pune","Yes","No")</f>
        <v>No</v>
      </c>
      <c r="O3843" s="1" t="str">
        <f>IF(AND(Employee__2[[#This Row],[Education]]="Bachelors",Employee__2[[#This Row],[City]]="Pune"),"Yes","No")</f>
        <v>No</v>
      </c>
      <c r="P3843" s="1" t="str">
        <f>IF(OR(Employee__2[[#This Row],[Age]]&gt;=30,Employee__2[[#This Row],[Gender]]="Male"),"Mached","Not mached")</f>
        <v>Mached</v>
      </c>
    </row>
    <row r="3844" spans="4:16" x14ac:dyDescent="0.25">
      <c r="D3844" s="6" t="s">
        <v>34</v>
      </c>
      <c r="E3844">
        <v>2015</v>
      </c>
      <c r="F3844" s="6" t="s">
        <v>35</v>
      </c>
      <c r="G3844">
        <v>1</v>
      </c>
      <c r="H3844">
        <v>36</v>
      </c>
      <c r="I3844" s="6" t="s">
        <v>36</v>
      </c>
      <c r="J3844" s="6" t="s">
        <v>37</v>
      </c>
      <c r="K3844">
        <v>1</v>
      </c>
      <c r="M3844" s="1" t="b">
        <f>Employee__2[[#This Row],[Experience]]&gt;1</f>
        <v>0</v>
      </c>
      <c r="N3844" s="1" t="str">
        <f>IF(Employee__2[[#This Row],[City]]="Pune","Yes","No")</f>
        <v>No</v>
      </c>
      <c r="O3844" s="1" t="str">
        <f>IF(AND(Employee__2[[#This Row],[Education]]="Bachelors",Employee__2[[#This Row],[City]]="Pune"),"Yes","No")</f>
        <v>No</v>
      </c>
      <c r="P3844" s="1" t="str">
        <f>IF(OR(Employee__2[[#This Row],[Age]]&gt;=30,Employee__2[[#This Row],[Gender]]="Male"),"Mached","Not mached")</f>
        <v>Mached</v>
      </c>
    </row>
    <row r="3845" spans="4:16" x14ac:dyDescent="0.25">
      <c r="D3845" s="6" t="s">
        <v>34</v>
      </c>
      <c r="E3845">
        <v>2012</v>
      </c>
      <c r="F3845" s="6" t="s">
        <v>38</v>
      </c>
      <c r="G3845">
        <v>3</v>
      </c>
      <c r="H3845">
        <v>41</v>
      </c>
      <c r="I3845" s="6" t="s">
        <v>39</v>
      </c>
      <c r="J3845" s="6" t="s">
        <v>37</v>
      </c>
      <c r="K3845">
        <v>1</v>
      </c>
      <c r="M3845" s="1" t="b">
        <f>Employee__2[[#This Row],[Experience]]&gt;1</f>
        <v>0</v>
      </c>
      <c r="N3845" s="1" t="str">
        <f>IF(Employee__2[[#This Row],[City]]="Pune","Yes","No")</f>
        <v>Yes</v>
      </c>
      <c r="O3845" s="1" t="str">
        <f>IF(AND(Employee__2[[#This Row],[Education]]="Bachelors",Employee__2[[#This Row],[City]]="Pune"),"Yes","No")</f>
        <v>Yes</v>
      </c>
      <c r="P3845" s="1" t="str">
        <f>IF(OR(Employee__2[[#This Row],[Age]]&gt;=30,Employee__2[[#This Row],[Gender]]="Male"),"Mached","Not mached")</f>
        <v>Mached</v>
      </c>
    </row>
    <row r="3846" spans="4:16" x14ac:dyDescent="0.25">
      <c r="D3846" s="6" t="s">
        <v>34</v>
      </c>
      <c r="E3846">
        <v>2016</v>
      </c>
      <c r="F3846" s="6" t="s">
        <v>38</v>
      </c>
      <c r="G3846">
        <v>3</v>
      </c>
      <c r="H3846">
        <v>36</v>
      </c>
      <c r="I3846" s="6" t="s">
        <v>36</v>
      </c>
      <c r="J3846" s="6" t="s">
        <v>37</v>
      </c>
      <c r="K3846">
        <v>0</v>
      </c>
      <c r="M3846" s="1" t="b">
        <f>Employee__2[[#This Row],[Experience]]&gt;1</f>
        <v>0</v>
      </c>
      <c r="N3846" s="1" t="str">
        <f>IF(Employee__2[[#This Row],[City]]="Pune","Yes","No")</f>
        <v>Yes</v>
      </c>
      <c r="O3846" s="1" t="str">
        <f>IF(AND(Employee__2[[#This Row],[Education]]="Bachelors",Employee__2[[#This Row],[City]]="Pune"),"Yes","No")</f>
        <v>Yes</v>
      </c>
      <c r="P3846" s="1" t="str">
        <f>IF(OR(Employee__2[[#This Row],[Age]]&gt;=30,Employee__2[[#This Row],[Gender]]="Male"),"Mached","Not mached")</f>
        <v>Mached</v>
      </c>
    </row>
    <row r="3847" spans="4:16" x14ac:dyDescent="0.25">
      <c r="D3847" s="6" t="s">
        <v>34</v>
      </c>
      <c r="E3847">
        <v>2017</v>
      </c>
      <c r="F3847" s="6" t="s">
        <v>35</v>
      </c>
      <c r="G3847">
        <v>3</v>
      </c>
      <c r="H3847">
        <v>31</v>
      </c>
      <c r="I3847" s="6" t="s">
        <v>39</v>
      </c>
      <c r="J3847" s="6" t="s">
        <v>37</v>
      </c>
      <c r="K3847">
        <v>2</v>
      </c>
      <c r="M3847" s="1" t="b">
        <f>Employee__2[[#This Row],[Experience]]&gt;1</f>
        <v>1</v>
      </c>
      <c r="N3847" s="1" t="str">
        <f>IF(Employee__2[[#This Row],[City]]="Pune","Yes","No")</f>
        <v>No</v>
      </c>
      <c r="O3847" s="1" t="str">
        <f>IF(AND(Employee__2[[#This Row],[Education]]="Bachelors",Employee__2[[#This Row],[City]]="Pune"),"Yes","No")</f>
        <v>No</v>
      </c>
      <c r="P3847" s="1" t="str">
        <f>IF(OR(Employee__2[[#This Row],[Age]]&gt;=30,Employee__2[[#This Row],[Gender]]="Male"),"Mached","Not mached")</f>
        <v>Mached</v>
      </c>
    </row>
    <row r="3848" spans="4:16" x14ac:dyDescent="0.25">
      <c r="D3848" s="6" t="s">
        <v>34</v>
      </c>
      <c r="E3848">
        <v>2017</v>
      </c>
      <c r="F3848" s="6" t="s">
        <v>38</v>
      </c>
      <c r="G3848">
        <v>3</v>
      </c>
      <c r="H3848">
        <v>31</v>
      </c>
      <c r="I3848" s="6" t="s">
        <v>36</v>
      </c>
      <c r="J3848" s="6" t="s">
        <v>37</v>
      </c>
      <c r="K3848">
        <v>3</v>
      </c>
      <c r="M3848" s="1" t="b">
        <f>Employee__2[[#This Row],[Experience]]&gt;1</f>
        <v>1</v>
      </c>
      <c r="N3848" s="1" t="str">
        <f>IF(Employee__2[[#This Row],[City]]="Pune","Yes","No")</f>
        <v>Yes</v>
      </c>
      <c r="O3848" s="1" t="str">
        <f>IF(AND(Employee__2[[#This Row],[Education]]="Bachelors",Employee__2[[#This Row],[City]]="Pune"),"Yes","No")</f>
        <v>Yes</v>
      </c>
      <c r="P3848" s="1" t="str">
        <f>IF(OR(Employee__2[[#This Row],[Age]]&gt;=30,Employee__2[[#This Row],[Gender]]="Male"),"Mached","Not mached")</f>
        <v>Mached</v>
      </c>
    </row>
    <row r="3849" spans="4:16" x14ac:dyDescent="0.25">
      <c r="D3849" s="6" t="s">
        <v>34</v>
      </c>
      <c r="E3849">
        <v>2014</v>
      </c>
      <c r="F3849" s="6" t="s">
        <v>38</v>
      </c>
      <c r="G3849">
        <v>3</v>
      </c>
      <c r="H3849">
        <v>33</v>
      </c>
      <c r="I3849" s="6" t="s">
        <v>36</v>
      </c>
      <c r="J3849" s="6" t="s">
        <v>37</v>
      </c>
      <c r="K3849">
        <v>2</v>
      </c>
      <c r="M3849" s="1" t="b">
        <f>Employee__2[[#This Row],[Experience]]&gt;1</f>
        <v>1</v>
      </c>
      <c r="N3849" s="1" t="str">
        <f>IF(Employee__2[[#This Row],[City]]="Pune","Yes","No")</f>
        <v>Yes</v>
      </c>
      <c r="O3849" s="1" t="str">
        <f>IF(AND(Employee__2[[#This Row],[Education]]="Bachelors",Employee__2[[#This Row],[City]]="Pune"),"Yes","No")</f>
        <v>Yes</v>
      </c>
      <c r="P3849" s="1" t="str">
        <f>IF(OR(Employee__2[[#This Row],[Age]]&gt;=30,Employee__2[[#This Row],[Gender]]="Male"),"Mached","Not mached")</f>
        <v>Mached</v>
      </c>
    </row>
    <row r="3850" spans="4:16" x14ac:dyDescent="0.25">
      <c r="D3850" s="6" t="s">
        <v>34</v>
      </c>
      <c r="E3850">
        <v>2017</v>
      </c>
      <c r="F3850" s="6" t="s">
        <v>35</v>
      </c>
      <c r="G3850">
        <v>3</v>
      </c>
      <c r="H3850">
        <v>35</v>
      </c>
      <c r="I3850" s="6" t="s">
        <v>36</v>
      </c>
      <c r="J3850" s="6" t="s">
        <v>42</v>
      </c>
      <c r="K3850">
        <v>0</v>
      </c>
      <c r="M3850" s="1" t="b">
        <f>Employee__2[[#This Row],[Experience]]&gt;1</f>
        <v>0</v>
      </c>
      <c r="N3850" s="1" t="str">
        <f>IF(Employee__2[[#This Row],[City]]="Pune","Yes","No")</f>
        <v>No</v>
      </c>
      <c r="O3850" s="1" t="str">
        <f>IF(AND(Employee__2[[#This Row],[Education]]="Bachelors",Employee__2[[#This Row],[City]]="Pune"),"Yes","No")</f>
        <v>No</v>
      </c>
      <c r="P3850" s="1" t="str">
        <f>IF(OR(Employee__2[[#This Row],[Age]]&gt;=30,Employee__2[[#This Row],[Gender]]="Male"),"Mached","Not mached")</f>
        <v>Mached</v>
      </c>
    </row>
    <row r="3851" spans="4:16" x14ac:dyDescent="0.25">
      <c r="D3851" s="6" t="s">
        <v>43</v>
      </c>
      <c r="E3851">
        <v>2016</v>
      </c>
      <c r="F3851" s="6" t="s">
        <v>40</v>
      </c>
      <c r="G3851">
        <v>3</v>
      </c>
      <c r="H3851">
        <v>34</v>
      </c>
      <c r="I3851" s="6" t="s">
        <v>36</v>
      </c>
      <c r="J3851" s="6" t="s">
        <v>37</v>
      </c>
      <c r="K3851">
        <v>1</v>
      </c>
      <c r="M3851" s="1" t="b">
        <f>Employee__2[[#This Row],[Experience]]&gt;1</f>
        <v>0</v>
      </c>
      <c r="N3851" s="1" t="str">
        <f>IF(Employee__2[[#This Row],[City]]="Pune","Yes","No")</f>
        <v>No</v>
      </c>
      <c r="O3851" s="1" t="str">
        <f>IF(AND(Employee__2[[#This Row],[Education]]="Bachelors",Employee__2[[#This Row],[City]]="Pune"),"Yes","No")</f>
        <v>No</v>
      </c>
      <c r="P3851" s="1" t="str">
        <f>IF(OR(Employee__2[[#This Row],[Age]]&gt;=30,Employee__2[[#This Row],[Gender]]="Male"),"Mached","Not mached")</f>
        <v>Mached</v>
      </c>
    </row>
    <row r="3852" spans="4:16" x14ac:dyDescent="0.25">
      <c r="D3852" s="6" t="s">
        <v>34</v>
      </c>
      <c r="E3852">
        <v>2014</v>
      </c>
      <c r="F3852" s="6" t="s">
        <v>35</v>
      </c>
      <c r="G3852">
        <v>3</v>
      </c>
      <c r="H3852">
        <v>39</v>
      </c>
      <c r="I3852" s="6" t="s">
        <v>39</v>
      </c>
      <c r="J3852" s="6" t="s">
        <v>37</v>
      </c>
      <c r="K3852">
        <v>4</v>
      </c>
      <c r="M3852" s="1" t="b">
        <f>Employee__2[[#This Row],[Experience]]&gt;1</f>
        <v>1</v>
      </c>
      <c r="N3852" s="1" t="str">
        <f>IF(Employee__2[[#This Row],[City]]="Pune","Yes","No")</f>
        <v>No</v>
      </c>
      <c r="O3852" s="1" t="str">
        <f>IF(AND(Employee__2[[#This Row],[Education]]="Bachelors",Employee__2[[#This Row],[City]]="Pune"),"Yes","No")</f>
        <v>No</v>
      </c>
      <c r="P3852" s="1" t="str">
        <f>IF(OR(Employee__2[[#This Row],[Age]]&gt;=30,Employee__2[[#This Row],[Gender]]="Male"),"Mached","Not mached")</f>
        <v>Mached</v>
      </c>
    </row>
    <row r="3853" spans="4:16" x14ac:dyDescent="0.25">
      <c r="D3853" s="6" t="s">
        <v>41</v>
      </c>
      <c r="E3853">
        <v>2015</v>
      </c>
      <c r="F3853" s="6" t="s">
        <v>35</v>
      </c>
      <c r="G3853">
        <v>3</v>
      </c>
      <c r="H3853">
        <v>31</v>
      </c>
      <c r="I3853" s="6" t="s">
        <v>36</v>
      </c>
      <c r="J3853" s="6" t="s">
        <v>37</v>
      </c>
      <c r="K3853">
        <v>1</v>
      </c>
      <c r="M3853" s="1" t="b">
        <f>Employee__2[[#This Row],[Experience]]&gt;1</f>
        <v>0</v>
      </c>
      <c r="N3853" s="1" t="str">
        <f>IF(Employee__2[[#This Row],[City]]="Pune","Yes","No")</f>
        <v>No</v>
      </c>
      <c r="O3853" s="1" t="str">
        <f>IF(AND(Employee__2[[#This Row],[Education]]="Bachelors",Employee__2[[#This Row],[City]]="Pune"),"Yes","No")</f>
        <v>No</v>
      </c>
      <c r="P3853" s="1" t="str">
        <f>IF(OR(Employee__2[[#This Row],[Age]]&gt;=30,Employee__2[[#This Row],[Gender]]="Male"),"Mached","Not mached")</f>
        <v>Mached</v>
      </c>
    </row>
    <row r="3854" spans="4:16" x14ac:dyDescent="0.25">
      <c r="D3854" s="6" t="s">
        <v>34</v>
      </c>
      <c r="E3854">
        <v>2015</v>
      </c>
      <c r="F3854" s="6" t="s">
        <v>38</v>
      </c>
      <c r="G3854">
        <v>3</v>
      </c>
      <c r="H3854">
        <v>32</v>
      </c>
      <c r="I3854" s="6" t="s">
        <v>39</v>
      </c>
      <c r="J3854" s="6" t="s">
        <v>37</v>
      </c>
      <c r="K3854">
        <v>0</v>
      </c>
      <c r="M3854" s="1" t="b">
        <f>Employee__2[[#This Row],[Experience]]&gt;1</f>
        <v>0</v>
      </c>
      <c r="N3854" s="1" t="str">
        <f>IF(Employee__2[[#This Row],[City]]="Pune","Yes","No")</f>
        <v>Yes</v>
      </c>
      <c r="O3854" s="1" t="str">
        <f>IF(AND(Employee__2[[#This Row],[Education]]="Bachelors",Employee__2[[#This Row],[City]]="Pune"),"Yes","No")</f>
        <v>Yes</v>
      </c>
      <c r="P3854" s="1" t="str">
        <f>IF(OR(Employee__2[[#This Row],[Age]]&gt;=30,Employee__2[[#This Row],[Gender]]="Male"),"Mached","Not mached")</f>
        <v>Mached</v>
      </c>
    </row>
    <row r="3855" spans="4:16" x14ac:dyDescent="0.25">
      <c r="D3855" s="6" t="s">
        <v>34</v>
      </c>
      <c r="E3855">
        <v>2017</v>
      </c>
      <c r="F3855" s="6" t="s">
        <v>35</v>
      </c>
      <c r="G3855">
        <v>3</v>
      </c>
      <c r="H3855">
        <v>33</v>
      </c>
      <c r="I3855" s="6" t="s">
        <v>36</v>
      </c>
      <c r="J3855" s="6" t="s">
        <v>37</v>
      </c>
      <c r="K3855">
        <v>0</v>
      </c>
      <c r="M3855" s="1" t="b">
        <f>Employee__2[[#This Row],[Experience]]&gt;1</f>
        <v>0</v>
      </c>
      <c r="N3855" s="1" t="str">
        <f>IF(Employee__2[[#This Row],[City]]="Pune","Yes","No")</f>
        <v>No</v>
      </c>
      <c r="O3855" s="1" t="str">
        <f>IF(AND(Employee__2[[#This Row],[Education]]="Bachelors",Employee__2[[#This Row],[City]]="Pune"),"Yes","No")</f>
        <v>No</v>
      </c>
      <c r="P3855" s="1" t="str">
        <f>IF(OR(Employee__2[[#This Row],[Age]]&gt;=30,Employee__2[[#This Row],[Gender]]="Male"),"Mached","Not mached")</f>
        <v>Mached</v>
      </c>
    </row>
    <row r="3856" spans="4:16" x14ac:dyDescent="0.25">
      <c r="D3856" s="6" t="s">
        <v>34</v>
      </c>
      <c r="E3856">
        <v>2014</v>
      </c>
      <c r="F3856" s="6" t="s">
        <v>35</v>
      </c>
      <c r="G3856">
        <v>3</v>
      </c>
      <c r="H3856">
        <v>34</v>
      </c>
      <c r="I3856" s="6" t="s">
        <v>36</v>
      </c>
      <c r="J3856" s="6" t="s">
        <v>42</v>
      </c>
      <c r="K3856">
        <v>1</v>
      </c>
      <c r="M3856" s="1" t="b">
        <f>Employee__2[[#This Row],[Experience]]&gt;1</f>
        <v>0</v>
      </c>
      <c r="N3856" s="1" t="str">
        <f>IF(Employee__2[[#This Row],[City]]="Pune","Yes","No")</f>
        <v>No</v>
      </c>
      <c r="O3856" s="1" t="str">
        <f>IF(AND(Employee__2[[#This Row],[Education]]="Bachelors",Employee__2[[#This Row],[City]]="Pune"),"Yes","No")</f>
        <v>No</v>
      </c>
      <c r="P3856" s="1" t="str">
        <f>IF(OR(Employee__2[[#This Row],[Age]]&gt;=30,Employee__2[[#This Row],[Gender]]="Male"),"Mached","Not mached")</f>
        <v>Mached</v>
      </c>
    </row>
    <row r="3857" spans="4:16" x14ac:dyDescent="0.25">
      <c r="D3857" s="6" t="s">
        <v>41</v>
      </c>
      <c r="E3857">
        <v>2014</v>
      </c>
      <c r="F3857" s="6" t="s">
        <v>38</v>
      </c>
      <c r="G3857">
        <v>3</v>
      </c>
      <c r="H3857">
        <v>39</v>
      </c>
      <c r="I3857" s="6" t="s">
        <v>36</v>
      </c>
      <c r="J3857" s="6" t="s">
        <v>37</v>
      </c>
      <c r="K3857">
        <v>2</v>
      </c>
      <c r="M3857" s="1" t="b">
        <f>Employee__2[[#This Row],[Experience]]&gt;1</f>
        <v>1</v>
      </c>
      <c r="N3857" s="1" t="str">
        <f>IF(Employee__2[[#This Row],[City]]="Pune","Yes","No")</f>
        <v>Yes</v>
      </c>
      <c r="O3857" s="1" t="str">
        <f>IF(AND(Employee__2[[#This Row],[Education]]="Bachelors",Employee__2[[#This Row],[City]]="Pune"),"Yes","No")</f>
        <v>No</v>
      </c>
      <c r="P3857" s="1" t="str">
        <f>IF(OR(Employee__2[[#This Row],[Age]]&gt;=30,Employee__2[[#This Row],[Gender]]="Male"),"Mached","Not mached")</f>
        <v>Mached</v>
      </c>
    </row>
    <row r="3858" spans="4:16" x14ac:dyDescent="0.25">
      <c r="D3858" s="6" t="s">
        <v>34</v>
      </c>
      <c r="E3858">
        <v>2017</v>
      </c>
      <c r="F3858" s="6" t="s">
        <v>40</v>
      </c>
      <c r="G3858">
        <v>2</v>
      </c>
      <c r="H3858">
        <v>41</v>
      </c>
      <c r="I3858" s="6" t="s">
        <v>39</v>
      </c>
      <c r="J3858" s="6" t="s">
        <v>37</v>
      </c>
      <c r="K3858">
        <v>2</v>
      </c>
      <c r="M3858" s="1" t="b">
        <f>Employee__2[[#This Row],[Experience]]&gt;1</f>
        <v>1</v>
      </c>
      <c r="N3858" s="1" t="str">
        <f>IF(Employee__2[[#This Row],[City]]="Pune","Yes","No")</f>
        <v>No</v>
      </c>
      <c r="O3858" s="1" t="str">
        <f>IF(AND(Employee__2[[#This Row],[Education]]="Bachelors",Employee__2[[#This Row],[City]]="Pune"),"Yes","No")</f>
        <v>No</v>
      </c>
      <c r="P3858" s="1" t="str">
        <f>IF(OR(Employee__2[[#This Row],[Age]]&gt;=30,Employee__2[[#This Row],[Gender]]="Male"),"Mached","Not mached")</f>
        <v>Mached</v>
      </c>
    </row>
    <row r="3859" spans="4:16" x14ac:dyDescent="0.25">
      <c r="D3859" s="6" t="s">
        <v>34</v>
      </c>
      <c r="E3859">
        <v>2017</v>
      </c>
      <c r="F3859" s="6" t="s">
        <v>40</v>
      </c>
      <c r="G3859">
        <v>2</v>
      </c>
      <c r="H3859">
        <v>34</v>
      </c>
      <c r="I3859" s="6" t="s">
        <v>36</v>
      </c>
      <c r="J3859" s="6" t="s">
        <v>37</v>
      </c>
      <c r="K3859">
        <v>2</v>
      </c>
      <c r="M3859" s="1" t="b">
        <f>Employee__2[[#This Row],[Experience]]&gt;1</f>
        <v>1</v>
      </c>
      <c r="N3859" s="1" t="str">
        <f>IF(Employee__2[[#This Row],[City]]="Pune","Yes","No")</f>
        <v>No</v>
      </c>
      <c r="O3859" s="1" t="str">
        <f>IF(AND(Employee__2[[#This Row],[Education]]="Bachelors",Employee__2[[#This Row],[City]]="Pune"),"Yes","No")</f>
        <v>No</v>
      </c>
      <c r="P3859" s="1" t="str">
        <f>IF(OR(Employee__2[[#This Row],[Age]]&gt;=30,Employee__2[[#This Row],[Gender]]="Male"),"Mached","Not mached")</f>
        <v>Mached</v>
      </c>
    </row>
    <row r="3860" spans="4:16" x14ac:dyDescent="0.25">
      <c r="D3860" s="6" t="s">
        <v>34</v>
      </c>
      <c r="E3860">
        <v>2013</v>
      </c>
      <c r="F3860" s="6" t="s">
        <v>35</v>
      </c>
      <c r="G3860">
        <v>3</v>
      </c>
      <c r="H3860">
        <v>36</v>
      </c>
      <c r="I3860" s="6" t="s">
        <v>39</v>
      </c>
      <c r="J3860" s="6" t="s">
        <v>37</v>
      </c>
      <c r="K3860">
        <v>5</v>
      </c>
      <c r="M3860" s="1" t="b">
        <f>Employee__2[[#This Row],[Experience]]&gt;1</f>
        <v>1</v>
      </c>
      <c r="N3860" s="1" t="str">
        <f>IF(Employee__2[[#This Row],[City]]="Pune","Yes","No")</f>
        <v>No</v>
      </c>
      <c r="O3860" s="1" t="str">
        <f>IF(AND(Employee__2[[#This Row],[Education]]="Bachelors",Employee__2[[#This Row],[City]]="Pune"),"Yes","No")</f>
        <v>No</v>
      </c>
      <c r="P3860" s="1" t="str">
        <f>IF(OR(Employee__2[[#This Row],[Age]]&gt;=30,Employee__2[[#This Row],[Gender]]="Male"),"Mached","Not mached")</f>
        <v>Mached</v>
      </c>
    </row>
    <row r="3861" spans="4:16" x14ac:dyDescent="0.25">
      <c r="D3861" s="6" t="s">
        <v>34</v>
      </c>
      <c r="E3861">
        <v>2015</v>
      </c>
      <c r="F3861" s="6" t="s">
        <v>38</v>
      </c>
      <c r="G3861">
        <v>2</v>
      </c>
      <c r="H3861">
        <v>39</v>
      </c>
      <c r="I3861" s="6" t="s">
        <v>39</v>
      </c>
      <c r="J3861" s="6" t="s">
        <v>37</v>
      </c>
      <c r="K3861">
        <v>5</v>
      </c>
      <c r="M3861" s="1" t="b">
        <f>Employee__2[[#This Row],[Experience]]&gt;1</f>
        <v>1</v>
      </c>
      <c r="N3861" s="1" t="str">
        <f>IF(Employee__2[[#This Row],[City]]="Pune","Yes","No")</f>
        <v>Yes</v>
      </c>
      <c r="O3861" s="1" t="str">
        <f>IF(AND(Employee__2[[#This Row],[Education]]="Bachelors",Employee__2[[#This Row],[City]]="Pune"),"Yes","No")</f>
        <v>Yes</v>
      </c>
      <c r="P3861" s="1" t="str">
        <f>IF(OR(Employee__2[[#This Row],[Age]]&gt;=30,Employee__2[[#This Row],[Gender]]="Male"),"Mached","Not mached")</f>
        <v>Mached</v>
      </c>
    </row>
    <row r="3862" spans="4:16" x14ac:dyDescent="0.25">
      <c r="D3862" s="6" t="s">
        <v>34</v>
      </c>
      <c r="E3862">
        <v>2012</v>
      </c>
      <c r="F3862" s="6" t="s">
        <v>38</v>
      </c>
      <c r="G3862">
        <v>3</v>
      </c>
      <c r="H3862">
        <v>37</v>
      </c>
      <c r="I3862" s="6" t="s">
        <v>36</v>
      </c>
      <c r="J3862" s="6" t="s">
        <v>37</v>
      </c>
      <c r="K3862">
        <v>5</v>
      </c>
      <c r="M3862" s="1" t="b">
        <f>Employee__2[[#This Row],[Experience]]&gt;1</f>
        <v>1</v>
      </c>
      <c r="N3862" s="1" t="str">
        <f>IF(Employee__2[[#This Row],[City]]="Pune","Yes","No")</f>
        <v>Yes</v>
      </c>
      <c r="O3862" s="1" t="str">
        <f>IF(AND(Employee__2[[#This Row],[Education]]="Bachelors",Employee__2[[#This Row],[City]]="Pune"),"Yes","No")</f>
        <v>Yes</v>
      </c>
      <c r="P3862" s="1" t="str">
        <f>IF(OR(Employee__2[[#This Row],[Age]]&gt;=30,Employee__2[[#This Row],[Gender]]="Male"),"Mached","Not mached")</f>
        <v>Mached</v>
      </c>
    </row>
    <row r="3863" spans="4:16" x14ac:dyDescent="0.25">
      <c r="D3863" s="6" t="s">
        <v>34</v>
      </c>
      <c r="E3863">
        <v>2016</v>
      </c>
      <c r="F3863" s="6" t="s">
        <v>35</v>
      </c>
      <c r="G3863">
        <v>3</v>
      </c>
      <c r="H3863">
        <v>36</v>
      </c>
      <c r="I3863" s="6" t="s">
        <v>36</v>
      </c>
      <c r="J3863" s="6" t="s">
        <v>37</v>
      </c>
      <c r="K3863">
        <v>4</v>
      </c>
      <c r="M3863" s="1" t="b">
        <f>Employee__2[[#This Row],[Experience]]&gt;1</f>
        <v>1</v>
      </c>
      <c r="N3863" s="1" t="str">
        <f>IF(Employee__2[[#This Row],[City]]="Pune","Yes","No")</f>
        <v>No</v>
      </c>
      <c r="O3863" s="1" t="str">
        <f>IF(AND(Employee__2[[#This Row],[Education]]="Bachelors",Employee__2[[#This Row],[City]]="Pune"),"Yes","No")</f>
        <v>No</v>
      </c>
      <c r="P3863" s="1" t="str">
        <f>IF(OR(Employee__2[[#This Row],[Age]]&gt;=30,Employee__2[[#This Row],[Gender]]="Male"),"Mached","Not mached")</f>
        <v>Mached</v>
      </c>
    </row>
    <row r="3864" spans="4:16" x14ac:dyDescent="0.25">
      <c r="D3864" s="6" t="s">
        <v>34</v>
      </c>
      <c r="E3864">
        <v>2014</v>
      </c>
      <c r="F3864" s="6" t="s">
        <v>40</v>
      </c>
      <c r="G3864">
        <v>3</v>
      </c>
      <c r="H3864">
        <v>38</v>
      </c>
      <c r="I3864" s="6" t="s">
        <v>39</v>
      </c>
      <c r="J3864" s="6" t="s">
        <v>37</v>
      </c>
      <c r="K3864">
        <v>1</v>
      </c>
      <c r="M3864" s="1" t="b">
        <f>Employee__2[[#This Row],[Experience]]&gt;1</f>
        <v>0</v>
      </c>
      <c r="N3864" s="1" t="str">
        <f>IF(Employee__2[[#This Row],[City]]="Pune","Yes","No")</f>
        <v>No</v>
      </c>
      <c r="O3864" s="1" t="str">
        <f>IF(AND(Employee__2[[#This Row],[Education]]="Bachelors",Employee__2[[#This Row],[City]]="Pune"),"Yes","No")</f>
        <v>No</v>
      </c>
      <c r="P3864" s="1" t="str">
        <f>IF(OR(Employee__2[[#This Row],[Age]]&gt;=30,Employee__2[[#This Row],[Gender]]="Male"),"Mached","Not mached")</f>
        <v>Mached</v>
      </c>
    </row>
    <row r="3865" spans="4:16" x14ac:dyDescent="0.25">
      <c r="D3865" s="6" t="s">
        <v>34</v>
      </c>
      <c r="E3865">
        <v>2017</v>
      </c>
      <c r="F3865" s="6" t="s">
        <v>35</v>
      </c>
      <c r="G3865">
        <v>3</v>
      </c>
      <c r="H3865">
        <v>38</v>
      </c>
      <c r="I3865" s="6" t="s">
        <v>39</v>
      </c>
      <c r="J3865" s="6" t="s">
        <v>37</v>
      </c>
      <c r="K3865">
        <v>3</v>
      </c>
      <c r="M3865" s="1" t="b">
        <f>Employee__2[[#This Row],[Experience]]&gt;1</f>
        <v>1</v>
      </c>
      <c r="N3865" s="1" t="str">
        <f>IF(Employee__2[[#This Row],[City]]="Pune","Yes","No")</f>
        <v>No</v>
      </c>
      <c r="O3865" s="1" t="str">
        <f>IF(AND(Employee__2[[#This Row],[Education]]="Bachelors",Employee__2[[#This Row],[City]]="Pune"),"Yes","No")</f>
        <v>No</v>
      </c>
      <c r="P3865" s="1" t="str">
        <f>IF(OR(Employee__2[[#This Row],[Age]]&gt;=30,Employee__2[[#This Row],[Gender]]="Male"),"Mached","Not mached")</f>
        <v>Mached</v>
      </c>
    </row>
    <row r="3866" spans="4:16" x14ac:dyDescent="0.25">
      <c r="D3866" s="6" t="s">
        <v>41</v>
      </c>
      <c r="E3866">
        <v>2016</v>
      </c>
      <c r="F3866" s="6" t="s">
        <v>40</v>
      </c>
      <c r="G3866">
        <v>3</v>
      </c>
      <c r="H3866">
        <v>37</v>
      </c>
      <c r="I3866" s="6" t="s">
        <v>39</v>
      </c>
      <c r="J3866" s="6" t="s">
        <v>37</v>
      </c>
      <c r="K3866">
        <v>2</v>
      </c>
      <c r="M3866" s="1" t="b">
        <f>Employee__2[[#This Row],[Experience]]&gt;1</f>
        <v>1</v>
      </c>
      <c r="N3866" s="1" t="str">
        <f>IF(Employee__2[[#This Row],[City]]="Pune","Yes","No")</f>
        <v>No</v>
      </c>
      <c r="O3866" s="1" t="str">
        <f>IF(AND(Employee__2[[#This Row],[Education]]="Bachelors",Employee__2[[#This Row],[City]]="Pune"),"Yes","No")</f>
        <v>No</v>
      </c>
      <c r="P3866" s="1" t="str">
        <f>IF(OR(Employee__2[[#This Row],[Age]]&gt;=30,Employee__2[[#This Row],[Gender]]="Male"),"Mached","Not mached")</f>
        <v>Mached</v>
      </c>
    </row>
    <row r="3867" spans="4:16" x14ac:dyDescent="0.25">
      <c r="D3867" s="6" t="s">
        <v>34</v>
      </c>
      <c r="E3867">
        <v>2012</v>
      </c>
      <c r="F3867" s="6" t="s">
        <v>35</v>
      </c>
      <c r="G3867">
        <v>3</v>
      </c>
      <c r="H3867">
        <v>34</v>
      </c>
      <c r="I3867" s="6" t="s">
        <v>36</v>
      </c>
      <c r="J3867" s="6" t="s">
        <v>37</v>
      </c>
      <c r="K3867">
        <v>2</v>
      </c>
      <c r="M3867" s="1" t="b">
        <f>Employee__2[[#This Row],[Experience]]&gt;1</f>
        <v>1</v>
      </c>
      <c r="N3867" s="1" t="str">
        <f>IF(Employee__2[[#This Row],[City]]="Pune","Yes","No")</f>
        <v>No</v>
      </c>
      <c r="O3867" s="1" t="str">
        <f>IF(AND(Employee__2[[#This Row],[Education]]="Bachelors",Employee__2[[#This Row],[City]]="Pune"),"Yes","No")</f>
        <v>No</v>
      </c>
      <c r="P3867" s="1" t="str">
        <f>IF(OR(Employee__2[[#This Row],[Age]]&gt;=30,Employee__2[[#This Row],[Gender]]="Male"),"Mached","Not mached")</f>
        <v>Mached</v>
      </c>
    </row>
    <row r="3868" spans="4:16" x14ac:dyDescent="0.25">
      <c r="D3868" s="6" t="s">
        <v>34</v>
      </c>
      <c r="E3868">
        <v>2015</v>
      </c>
      <c r="F3868" s="6" t="s">
        <v>35</v>
      </c>
      <c r="G3868">
        <v>3</v>
      </c>
      <c r="H3868">
        <v>31</v>
      </c>
      <c r="I3868" s="6" t="s">
        <v>36</v>
      </c>
      <c r="J3868" s="6" t="s">
        <v>37</v>
      </c>
      <c r="K3868">
        <v>2</v>
      </c>
      <c r="M3868" s="1" t="b">
        <f>Employee__2[[#This Row],[Experience]]&gt;1</f>
        <v>1</v>
      </c>
      <c r="N3868" s="1" t="str">
        <f>IF(Employee__2[[#This Row],[City]]="Pune","Yes","No")</f>
        <v>No</v>
      </c>
      <c r="O3868" s="1" t="str">
        <f>IF(AND(Employee__2[[#This Row],[Education]]="Bachelors",Employee__2[[#This Row],[City]]="Pune"),"Yes","No")</f>
        <v>No</v>
      </c>
      <c r="P3868" s="1" t="str">
        <f>IF(OR(Employee__2[[#This Row],[Age]]&gt;=30,Employee__2[[#This Row],[Gender]]="Male"),"Mached","Not mached")</f>
        <v>Mached</v>
      </c>
    </row>
    <row r="3869" spans="4:16" x14ac:dyDescent="0.25">
      <c r="D3869" s="6" t="s">
        <v>34</v>
      </c>
      <c r="E3869">
        <v>2015</v>
      </c>
      <c r="F3869" s="6" t="s">
        <v>38</v>
      </c>
      <c r="G3869">
        <v>2</v>
      </c>
      <c r="H3869">
        <v>32</v>
      </c>
      <c r="I3869" s="6" t="s">
        <v>39</v>
      </c>
      <c r="J3869" s="6" t="s">
        <v>37</v>
      </c>
      <c r="K3869">
        <v>2</v>
      </c>
      <c r="M3869" s="1" t="b">
        <f>Employee__2[[#This Row],[Experience]]&gt;1</f>
        <v>1</v>
      </c>
      <c r="N3869" s="1" t="str">
        <f>IF(Employee__2[[#This Row],[City]]="Pune","Yes","No")</f>
        <v>Yes</v>
      </c>
      <c r="O3869" s="1" t="str">
        <f>IF(AND(Employee__2[[#This Row],[Education]]="Bachelors",Employee__2[[#This Row],[City]]="Pune"),"Yes","No")</f>
        <v>Yes</v>
      </c>
      <c r="P3869" s="1" t="str">
        <f>IF(OR(Employee__2[[#This Row],[Age]]&gt;=30,Employee__2[[#This Row],[Gender]]="Male"),"Mached","Not mached")</f>
        <v>Mached</v>
      </c>
    </row>
    <row r="3870" spans="4:16" x14ac:dyDescent="0.25">
      <c r="D3870" s="6" t="s">
        <v>41</v>
      </c>
      <c r="E3870">
        <v>2018</v>
      </c>
      <c r="F3870" s="6" t="s">
        <v>40</v>
      </c>
      <c r="G3870">
        <v>3</v>
      </c>
      <c r="H3870">
        <v>35</v>
      </c>
      <c r="I3870" s="6" t="s">
        <v>36</v>
      </c>
      <c r="J3870" s="6" t="s">
        <v>37</v>
      </c>
      <c r="K3870">
        <v>2</v>
      </c>
      <c r="M3870" s="1" t="b">
        <f>Employee__2[[#This Row],[Experience]]&gt;1</f>
        <v>1</v>
      </c>
      <c r="N3870" s="1" t="str">
        <f>IF(Employee__2[[#This Row],[City]]="Pune","Yes","No")</f>
        <v>No</v>
      </c>
      <c r="O3870" s="1" t="str">
        <f>IF(AND(Employee__2[[#This Row],[Education]]="Bachelors",Employee__2[[#This Row],[City]]="Pune"),"Yes","No")</f>
        <v>No</v>
      </c>
      <c r="P3870" s="1" t="str">
        <f>IF(OR(Employee__2[[#This Row],[Age]]&gt;=30,Employee__2[[#This Row],[Gender]]="Male"),"Mached","Not mached")</f>
        <v>Mached</v>
      </c>
    </row>
    <row r="3871" spans="4:16" x14ac:dyDescent="0.25">
      <c r="D3871" s="6" t="s">
        <v>34</v>
      </c>
      <c r="E3871">
        <v>2017</v>
      </c>
      <c r="F3871" s="6" t="s">
        <v>35</v>
      </c>
      <c r="G3871">
        <v>3</v>
      </c>
      <c r="H3871">
        <v>31</v>
      </c>
      <c r="I3871" s="6" t="s">
        <v>36</v>
      </c>
      <c r="J3871" s="6" t="s">
        <v>42</v>
      </c>
      <c r="K3871">
        <v>2</v>
      </c>
      <c r="M3871" s="1" t="b">
        <f>Employee__2[[#This Row],[Experience]]&gt;1</f>
        <v>1</v>
      </c>
      <c r="N3871" s="1" t="str">
        <f>IF(Employee__2[[#This Row],[City]]="Pune","Yes","No")</f>
        <v>No</v>
      </c>
      <c r="O3871" s="1" t="str">
        <f>IF(AND(Employee__2[[#This Row],[Education]]="Bachelors",Employee__2[[#This Row],[City]]="Pune"),"Yes","No")</f>
        <v>No</v>
      </c>
      <c r="P3871" s="1" t="str">
        <f>IF(OR(Employee__2[[#This Row],[Age]]&gt;=30,Employee__2[[#This Row],[Gender]]="Male"),"Mached","Not mached")</f>
        <v>Mached</v>
      </c>
    </row>
    <row r="3872" spans="4:16" x14ac:dyDescent="0.25">
      <c r="D3872" s="6" t="s">
        <v>34</v>
      </c>
      <c r="E3872">
        <v>2015</v>
      </c>
      <c r="F3872" s="6" t="s">
        <v>35</v>
      </c>
      <c r="G3872">
        <v>1</v>
      </c>
      <c r="H3872">
        <v>32</v>
      </c>
      <c r="I3872" s="6" t="s">
        <v>36</v>
      </c>
      <c r="J3872" s="6" t="s">
        <v>42</v>
      </c>
      <c r="K3872">
        <v>0</v>
      </c>
      <c r="M3872" s="1" t="b">
        <f>Employee__2[[#This Row],[Experience]]&gt;1</f>
        <v>0</v>
      </c>
      <c r="N3872" s="1" t="str">
        <f>IF(Employee__2[[#This Row],[City]]="Pune","Yes","No")</f>
        <v>No</v>
      </c>
      <c r="O3872" s="1" t="str">
        <f>IF(AND(Employee__2[[#This Row],[Education]]="Bachelors",Employee__2[[#This Row],[City]]="Pune"),"Yes","No")</f>
        <v>No</v>
      </c>
      <c r="P3872" s="1" t="str">
        <f>IF(OR(Employee__2[[#This Row],[Age]]&gt;=30,Employee__2[[#This Row],[Gender]]="Male"),"Mached","Not mached")</f>
        <v>Mached</v>
      </c>
    </row>
    <row r="3873" spans="4:16" x14ac:dyDescent="0.25">
      <c r="D3873" s="6" t="s">
        <v>34</v>
      </c>
      <c r="E3873">
        <v>2015</v>
      </c>
      <c r="F3873" s="6" t="s">
        <v>35</v>
      </c>
      <c r="G3873">
        <v>3</v>
      </c>
      <c r="H3873">
        <v>31</v>
      </c>
      <c r="I3873" s="6" t="s">
        <v>39</v>
      </c>
      <c r="J3873" s="6" t="s">
        <v>37</v>
      </c>
      <c r="K3873">
        <v>5</v>
      </c>
      <c r="M3873" s="1" t="b">
        <f>Employee__2[[#This Row],[Experience]]&gt;1</f>
        <v>1</v>
      </c>
      <c r="N3873" s="1" t="str">
        <f>IF(Employee__2[[#This Row],[City]]="Pune","Yes","No")</f>
        <v>No</v>
      </c>
      <c r="O3873" s="1" t="str">
        <f>IF(AND(Employee__2[[#This Row],[Education]]="Bachelors",Employee__2[[#This Row],[City]]="Pune"),"Yes","No")</f>
        <v>No</v>
      </c>
      <c r="P3873" s="1" t="str">
        <f>IF(OR(Employee__2[[#This Row],[Age]]&gt;=30,Employee__2[[#This Row],[Gender]]="Male"),"Mached","Not mached")</f>
        <v>Mached</v>
      </c>
    </row>
    <row r="3874" spans="4:16" x14ac:dyDescent="0.25">
      <c r="D3874" s="6" t="s">
        <v>34</v>
      </c>
      <c r="E3874">
        <v>2018</v>
      </c>
      <c r="F3874" s="6" t="s">
        <v>35</v>
      </c>
      <c r="G3874">
        <v>3</v>
      </c>
      <c r="H3874">
        <v>37</v>
      </c>
      <c r="I3874" s="6" t="s">
        <v>36</v>
      </c>
      <c r="J3874" s="6" t="s">
        <v>37</v>
      </c>
      <c r="K3874">
        <v>5</v>
      </c>
      <c r="M3874" s="1" t="b">
        <f>Employee__2[[#This Row],[Experience]]&gt;1</f>
        <v>1</v>
      </c>
      <c r="N3874" s="1" t="str">
        <f>IF(Employee__2[[#This Row],[City]]="Pune","Yes","No")</f>
        <v>No</v>
      </c>
      <c r="O3874" s="1" t="str">
        <f>IF(AND(Employee__2[[#This Row],[Education]]="Bachelors",Employee__2[[#This Row],[City]]="Pune"),"Yes","No")</f>
        <v>No</v>
      </c>
      <c r="P3874" s="1" t="str">
        <f>IF(OR(Employee__2[[#This Row],[Age]]&gt;=30,Employee__2[[#This Row],[Gender]]="Male"),"Mached","Not mached")</f>
        <v>Mached</v>
      </c>
    </row>
    <row r="3875" spans="4:16" x14ac:dyDescent="0.25">
      <c r="D3875" s="6" t="s">
        <v>43</v>
      </c>
      <c r="E3875">
        <v>2018</v>
      </c>
      <c r="F3875" s="6" t="s">
        <v>40</v>
      </c>
      <c r="G3875">
        <v>3</v>
      </c>
      <c r="H3875">
        <v>40</v>
      </c>
      <c r="I3875" s="6" t="s">
        <v>36</v>
      </c>
      <c r="J3875" s="6" t="s">
        <v>37</v>
      </c>
      <c r="K3875">
        <v>3</v>
      </c>
      <c r="M3875" s="1" t="b">
        <f>Employee__2[[#This Row],[Experience]]&gt;1</f>
        <v>1</v>
      </c>
      <c r="N3875" s="1" t="str">
        <f>IF(Employee__2[[#This Row],[City]]="Pune","Yes","No")</f>
        <v>No</v>
      </c>
      <c r="O3875" s="1" t="str">
        <f>IF(AND(Employee__2[[#This Row],[Education]]="Bachelors",Employee__2[[#This Row],[City]]="Pune"),"Yes","No")</f>
        <v>No</v>
      </c>
      <c r="P3875" s="1" t="str">
        <f>IF(OR(Employee__2[[#This Row],[Age]]&gt;=30,Employee__2[[#This Row],[Gender]]="Male"),"Mached","Not mached")</f>
        <v>Mached</v>
      </c>
    </row>
    <row r="3876" spans="4:16" x14ac:dyDescent="0.25">
      <c r="D3876" s="6" t="s">
        <v>34</v>
      </c>
      <c r="E3876">
        <v>2015</v>
      </c>
      <c r="F3876" s="6" t="s">
        <v>35</v>
      </c>
      <c r="G3876">
        <v>1</v>
      </c>
      <c r="H3876">
        <v>41</v>
      </c>
      <c r="I3876" s="6" t="s">
        <v>36</v>
      </c>
      <c r="J3876" s="6" t="s">
        <v>37</v>
      </c>
      <c r="K3876">
        <v>1</v>
      </c>
      <c r="M3876" s="1" t="b">
        <f>Employee__2[[#This Row],[Experience]]&gt;1</f>
        <v>0</v>
      </c>
      <c r="N3876" s="1" t="str">
        <f>IF(Employee__2[[#This Row],[City]]="Pune","Yes","No")</f>
        <v>No</v>
      </c>
      <c r="O3876" s="1" t="str">
        <f>IF(AND(Employee__2[[#This Row],[Education]]="Bachelors",Employee__2[[#This Row],[City]]="Pune"),"Yes","No")</f>
        <v>No</v>
      </c>
      <c r="P3876" s="1" t="str">
        <f>IF(OR(Employee__2[[#This Row],[Age]]&gt;=30,Employee__2[[#This Row],[Gender]]="Male"),"Mached","Not mached")</f>
        <v>Mached</v>
      </c>
    </row>
    <row r="3877" spans="4:16" x14ac:dyDescent="0.25">
      <c r="D3877" s="6" t="s">
        <v>34</v>
      </c>
      <c r="E3877">
        <v>2017</v>
      </c>
      <c r="F3877" s="6" t="s">
        <v>38</v>
      </c>
      <c r="G3877">
        <v>3</v>
      </c>
      <c r="H3877">
        <v>34</v>
      </c>
      <c r="I3877" s="6" t="s">
        <v>36</v>
      </c>
      <c r="J3877" s="6" t="s">
        <v>37</v>
      </c>
      <c r="K3877">
        <v>5</v>
      </c>
      <c r="M3877" s="1" t="b">
        <f>Employee__2[[#This Row],[Experience]]&gt;1</f>
        <v>1</v>
      </c>
      <c r="N3877" s="1" t="str">
        <f>IF(Employee__2[[#This Row],[City]]="Pune","Yes","No")</f>
        <v>Yes</v>
      </c>
      <c r="O3877" s="1" t="str">
        <f>IF(AND(Employee__2[[#This Row],[Education]]="Bachelors",Employee__2[[#This Row],[City]]="Pune"),"Yes","No")</f>
        <v>Yes</v>
      </c>
      <c r="P3877" s="1" t="str">
        <f>IF(OR(Employee__2[[#This Row],[Age]]&gt;=30,Employee__2[[#This Row],[Gender]]="Male"),"Mached","Not mached")</f>
        <v>Mached</v>
      </c>
    </row>
    <row r="3878" spans="4:16" x14ac:dyDescent="0.25">
      <c r="D3878" s="6" t="s">
        <v>34</v>
      </c>
      <c r="E3878">
        <v>2014</v>
      </c>
      <c r="F3878" s="6" t="s">
        <v>35</v>
      </c>
      <c r="G3878">
        <v>3</v>
      </c>
      <c r="H3878">
        <v>36</v>
      </c>
      <c r="I3878" s="6" t="s">
        <v>36</v>
      </c>
      <c r="J3878" s="6" t="s">
        <v>42</v>
      </c>
      <c r="K3878">
        <v>3</v>
      </c>
      <c r="M3878" s="1" t="b">
        <f>Employee__2[[#This Row],[Experience]]&gt;1</f>
        <v>1</v>
      </c>
      <c r="N3878" s="1" t="str">
        <f>IF(Employee__2[[#This Row],[City]]="Pune","Yes","No")</f>
        <v>No</v>
      </c>
      <c r="O3878" s="1" t="str">
        <f>IF(AND(Employee__2[[#This Row],[Education]]="Bachelors",Employee__2[[#This Row],[City]]="Pune"),"Yes","No")</f>
        <v>No</v>
      </c>
      <c r="P3878" s="1" t="str">
        <f>IF(OR(Employee__2[[#This Row],[Age]]&gt;=30,Employee__2[[#This Row],[Gender]]="Male"),"Mached","Not mached")</f>
        <v>Mached</v>
      </c>
    </row>
    <row r="3879" spans="4:16" x14ac:dyDescent="0.25">
      <c r="D3879" s="6" t="s">
        <v>34</v>
      </c>
      <c r="E3879">
        <v>2013</v>
      </c>
      <c r="F3879" s="6" t="s">
        <v>38</v>
      </c>
      <c r="G3879">
        <v>3</v>
      </c>
      <c r="H3879">
        <v>35</v>
      </c>
      <c r="I3879" s="6" t="s">
        <v>36</v>
      </c>
      <c r="J3879" s="6" t="s">
        <v>37</v>
      </c>
      <c r="K3879">
        <v>1</v>
      </c>
      <c r="M3879" s="1" t="b">
        <f>Employee__2[[#This Row],[Experience]]&gt;1</f>
        <v>0</v>
      </c>
      <c r="N3879" s="1" t="str">
        <f>IF(Employee__2[[#This Row],[City]]="Pune","Yes","No")</f>
        <v>Yes</v>
      </c>
      <c r="O3879" s="1" t="str">
        <f>IF(AND(Employee__2[[#This Row],[Education]]="Bachelors",Employee__2[[#This Row],[City]]="Pune"),"Yes","No")</f>
        <v>Yes</v>
      </c>
      <c r="P3879" s="1" t="str">
        <f>IF(OR(Employee__2[[#This Row],[Age]]&gt;=30,Employee__2[[#This Row],[Gender]]="Male"),"Mached","Not mached")</f>
        <v>Mached</v>
      </c>
    </row>
    <row r="3880" spans="4:16" x14ac:dyDescent="0.25">
      <c r="D3880" s="6" t="s">
        <v>41</v>
      </c>
      <c r="E3880">
        <v>2017</v>
      </c>
      <c r="F3880" s="6" t="s">
        <v>40</v>
      </c>
      <c r="G3880">
        <v>3</v>
      </c>
      <c r="H3880">
        <v>38</v>
      </c>
      <c r="I3880" s="6" t="s">
        <v>39</v>
      </c>
      <c r="J3880" s="6" t="s">
        <v>37</v>
      </c>
      <c r="K3880">
        <v>3</v>
      </c>
      <c r="M3880" s="1" t="b">
        <f>Employee__2[[#This Row],[Experience]]&gt;1</f>
        <v>1</v>
      </c>
      <c r="N3880" s="1" t="str">
        <f>IF(Employee__2[[#This Row],[City]]="Pune","Yes","No")</f>
        <v>No</v>
      </c>
      <c r="O3880" s="1" t="str">
        <f>IF(AND(Employee__2[[#This Row],[Education]]="Bachelors",Employee__2[[#This Row],[City]]="Pune"),"Yes","No")</f>
        <v>No</v>
      </c>
      <c r="P3880" s="1" t="str">
        <f>IF(OR(Employee__2[[#This Row],[Age]]&gt;=30,Employee__2[[#This Row],[Gender]]="Male"),"Mached","Not mached")</f>
        <v>Mached</v>
      </c>
    </row>
    <row r="3881" spans="4:16" x14ac:dyDescent="0.25">
      <c r="D3881" s="6" t="s">
        <v>34</v>
      </c>
      <c r="E3881">
        <v>2017</v>
      </c>
      <c r="F3881" s="6" t="s">
        <v>35</v>
      </c>
      <c r="G3881">
        <v>3</v>
      </c>
      <c r="H3881">
        <v>33</v>
      </c>
      <c r="I3881" s="6" t="s">
        <v>36</v>
      </c>
      <c r="J3881" s="6" t="s">
        <v>37</v>
      </c>
      <c r="K3881">
        <v>1</v>
      </c>
      <c r="M3881" s="1" t="b">
        <f>Employee__2[[#This Row],[Experience]]&gt;1</f>
        <v>0</v>
      </c>
      <c r="N3881" s="1" t="str">
        <f>IF(Employee__2[[#This Row],[City]]="Pune","Yes","No")</f>
        <v>No</v>
      </c>
      <c r="O3881" s="1" t="str">
        <f>IF(AND(Employee__2[[#This Row],[Education]]="Bachelors",Employee__2[[#This Row],[City]]="Pune"),"Yes","No")</f>
        <v>No</v>
      </c>
      <c r="P3881" s="1" t="str">
        <f>IF(OR(Employee__2[[#This Row],[Age]]&gt;=30,Employee__2[[#This Row],[Gender]]="Male"),"Mached","Not mached")</f>
        <v>Mached</v>
      </c>
    </row>
    <row r="3882" spans="4:16" x14ac:dyDescent="0.25">
      <c r="D3882" s="6" t="s">
        <v>34</v>
      </c>
      <c r="E3882">
        <v>2014</v>
      </c>
      <c r="F3882" s="6" t="s">
        <v>35</v>
      </c>
      <c r="G3882">
        <v>3</v>
      </c>
      <c r="H3882">
        <v>38</v>
      </c>
      <c r="I3882" s="6" t="s">
        <v>39</v>
      </c>
      <c r="J3882" s="6" t="s">
        <v>37</v>
      </c>
      <c r="K3882">
        <v>2</v>
      </c>
      <c r="M3882" s="1" t="b">
        <f>Employee__2[[#This Row],[Experience]]&gt;1</f>
        <v>1</v>
      </c>
      <c r="N3882" s="1" t="str">
        <f>IF(Employee__2[[#This Row],[City]]="Pune","Yes","No")</f>
        <v>No</v>
      </c>
      <c r="O3882" s="1" t="str">
        <f>IF(AND(Employee__2[[#This Row],[Education]]="Bachelors",Employee__2[[#This Row],[City]]="Pune"),"Yes","No")</f>
        <v>No</v>
      </c>
      <c r="P3882" s="1" t="str">
        <f>IF(OR(Employee__2[[#This Row],[Age]]&gt;=30,Employee__2[[#This Row],[Gender]]="Male"),"Mached","Not mached")</f>
        <v>Mached</v>
      </c>
    </row>
    <row r="3883" spans="4:16" x14ac:dyDescent="0.25">
      <c r="D3883" s="6" t="s">
        <v>34</v>
      </c>
      <c r="E3883">
        <v>2018</v>
      </c>
      <c r="F3883" s="6" t="s">
        <v>35</v>
      </c>
      <c r="G3883">
        <v>3</v>
      </c>
      <c r="H3883">
        <v>38</v>
      </c>
      <c r="I3883" s="6" t="s">
        <v>36</v>
      </c>
      <c r="J3883" s="6" t="s">
        <v>37</v>
      </c>
      <c r="K3883">
        <v>1</v>
      </c>
      <c r="M3883" s="1" t="b">
        <f>Employee__2[[#This Row],[Experience]]&gt;1</f>
        <v>0</v>
      </c>
      <c r="N3883" s="1" t="str">
        <f>IF(Employee__2[[#This Row],[City]]="Pune","Yes","No")</f>
        <v>No</v>
      </c>
      <c r="O3883" s="1" t="str">
        <f>IF(AND(Employee__2[[#This Row],[Education]]="Bachelors",Employee__2[[#This Row],[City]]="Pune"),"Yes","No")</f>
        <v>No</v>
      </c>
      <c r="P3883" s="1" t="str">
        <f>IF(OR(Employee__2[[#This Row],[Age]]&gt;=30,Employee__2[[#This Row],[Gender]]="Male"),"Mached","Not mached")</f>
        <v>Mached</v>
      </c>
    </row>
    <row r="3884" spans="4:16" x14ac:dyDescent="0.25">
      <c r="D3884" s="6" t="s">
        <v>34</v>
      </c>
      <c r="E3884">
        <v>2017</v>
      </c>
      <c r="F3884" s="6" t="s">
        <v>38</v>
      </c>
      <c r="G3884">
        <v>2</v>
      </c>
      <c r="H3884">
        <v>40</v>
      </c>
      <c r="I3884" s="6" t="s">
        <v>36</v>
      </c>
      <c r="J3884" s="6" t="s">
        <v>37</v>
      </c>
      <c r="K3884">
        <v>4</v>
      </c>
      <c r="M3884" s="1" t="b">
        <f>Employee__2[[#This Row],[Experience]]&gt;1</f>
        <v>1</v>
      </c>
      <c r="N3884" s="1" t="str">
        <f>IF(Employee__2[[#This Row],[City]]="Pune","Yes","No")</f>
        <v>Yes</v>
      </c>
      <c r="O3884" s="1" t="str">
        <f>IF(AND(Employee__2[[#This Row],[Education]]="Bachelors",Employee__2[[#This Row],[City]]="Pune"),"Yes","No")</f>
        <v>Yes</v>
      </c>
      <c r="P3884" s="1" t="str">
        <f>IF(OR(Employee__2[[#This Row],[Age]]&gt;=30,Employee__2[[#This Row],[Gender]]="Male"),"Mached","Not mached")</f>
        <v>Mached</v>
      </c>
    </row>
    <row r="3885" spans="4:16" x14ac:dyDescent="0.25">
      <c r="D3885" s="6" t="s">
        <v>34</v>
      </c>
      <c r="E3885">
        <v>2013</v>
      </c>
      <c r="F3885" s="6" t="s">
        <v>40</v>
      </c>
      <c r="G3885">
        <v>3</v>
      </c>
      <c r="H3885">
        <v>39</v>
      </c>
      <c r="I3885" s="6" t="s">
        <v>36</v>
      </c>
      <c r="J3885" s="6" t="s">
        <v>37</v>
      </c>
      <c r="K3885">
        <v>5</v>
      </c>
      <c r="M3885" s="1" t="b">
        <f>Employee__2[[#This Row],[Experience]]&gt;1</f>
        <v>1</v>
      </c>
      <c r="N3885" s="1" t="str">
        <f>IF(Employee__2[[#This Row],[City]]="Pune","Yes","No")</f>
        <v>No</v>
      </c>
      <c r="O3885" s="1" t="str">
        <f>IF(AND(Employee__2[[#This Row],[Education]]="Bachelors",Employee__2[[#This Row],[City]]="Pune"),"Yes","No")</f>
        <v>No</v>
      </c>
      <c r="P3885" s="1" t="str">
        <f>IF(OR(Employee__2[[#This Row],[Age]]&gt;=30,Employee__2[[#This Row],[Gender]]="Male"),"Mached","Not mached")</f>
        <v>Mached</v>
      </c>
    </row>
    <row r="3886" spans="4:16" x14ac:dyDescent="0.25">
      <c r="D3886" s="6" t="s">
        <v>34</v>
      </c>
      <c r="E3886">
        <v>2014</v>
      </c>
      <c r="F3886" s="6" t="s">
        <v>40</v>
      </c>
      <c r="G3886">
        <v>3</v>
      </c>
      <c r="H3886">
        <v>33</v>
      </c>
      <c r="I3886" s="6" t="s">
        <v>39</v>
      </c>
      <c r="J3886" s="6" t="s">
        <v>37</v>
      </c>
      <c r="K3886">
        <v>4</v>
      </c>
      <c r="M3886" s="1" t="b">
        <f>Employee__2[[#This Row],[Experience]]&gt;1</f>
        <v>1</v>
      </c>
      <c r="N3886" s="1" t="str">
        <f>IF(Employee__2[[#This Row],[City]]="Pune","Yes","No")</f>
        <v>No</v>
      </c>
      <c r="O3886" s="1" t="str">
        <f>IF(AND(Employee__2[[#This Row],[Education]]="Bachelors",Employee__2[[#This Row],[City]]="Pune"),"Yes","No")</f>
        <v>No</v>
      </c>
      <c r="P3886" s="1" t="str">
        <f>IF(OR(Employee__2[[#This Row],[Age]]&gt;=30,Employee__2[[#This Row],[Gender]]="Male"),"Mached","Not mached")</f>
        <v>Mached</v>
      </c>
    </row>
    <row r="3887" spans="4:16" x14ac:dyDescent="0.25">
      <c r="D3887" s="6" t="s">
        <v>34</v>
      </c>
      <c r="E3887">
        <v>2015</v>
      </c>
      <c r="F3887" s="6" t="s">
        <v>38</v>
      </c>
      <c r="G3887">
        <v>3</v>
      </c>
      <c r="H3887">
        <v>32</v>
      </c>
      <c r="I3887" s="6" t="s">
        <v>39</v>
      </c>
      <c r="J3887" s="6" t="s">
        <v>37</v>
      </c>
      <c r="K3887">
        <v>3</v>
      </c>
      <c r="M3887" s="1" t="b">
        <f>Employee__2[[#This Row],[Experience]]&gt;1</f>
        <v>1</v>
      </c>
      <c r="N3887" s="1" t="str">
        <f>IF(Employee__2[[#This Row],[City]]="Pune","Yes","No")</f>
        <v>Yes</v>
      </c>
      <c r="O3887" s="1" t="str">
        <f>IF(AND(Employee__2[[#This Row],[Education]]="Bachelors",Employee__2[[#This Row],[City]]="Pune"),"Yes","No")</f>
        <v>Yes</v>
      </c>
      <c r="P3887" s="1" t="str">
        <f>IF(OR(Employee__2[[#This Row],[Age]]&gt;=30,Employee__2[[#This Row],[Gender]]="Male"),"Mached","Not mached")</f>
        <v>Mached</v>
      </c>
    </row>
    <row r="3888" spans="4:16" x14ac:dyDescent="0.25">
      <c r="D3888" s="6" t="s">
        <v>34</v>
      </c>
      <c r="E3888">
        <v>2013</v>
      </c>
      <c r="F3888" s="6" t="s">
        <v>35</v>
      </c>
      <c r="G3888">
        <v>3</v>
      </c>
      <c r="H3888">
        <v>39</v>
      </c>
      <c r="I3888" s="6" t="s">
        <v>36</v>
      </c>
      <c r="J3888" s="6" t="s">
        <v>37</v>
      </c>
      <c r="K3888">
        <v>2</v>
      </c>
      <c r="M3888" s="1" t="b">
        <f>Employee__2[[#This Row],[Experience]]&gt;1</f>
        <v>1</v>
      </c>
      <c r="N3888" s="1" t="str">
        <f>IF(Employee__2[[#This Row],[City]]="Pune","Yes","No")</f>
        <v>No</v>
      </c>
      <c r="O3888" s="1" t="str">
        <f>IF(AND(Employee__2[[#This Row],[Education]]="Bachelors",Employee__2[[#This Row],[City]]="Pune"),"Yes","No")</f>
        <v>No</v>
      </c>
      <c r="P3888" s="1" t="str">
        <f>IF(OR(Employee__2[[#This Row],[Age]]&gt;=30,Employee__2[[#This Row],[Gender]]="Male"),"Mached","Not mached")</f>
        <v>Mached</v>
      </c>
    </row>
    <row r="3889" spans="4:16" x14ac:dyDescent="0.25">
      <c r="D3889" s="6" t="s">
        <v>34</v>
      </c>
      <c r="E3889">
        <v>2015</v>
      </c>
      <c r="F3889" s="6" t="s">
        <v>35</v>
      </c>
      <c r="G3889">
        <v>3</v>
      </c>
      <c r="H3889">
        <v>38</v>
      </c>
      <c r="I3889" s="6" t="s">
        <v>39</v>
      </c>
      <c r="J3889" s="6" t="s">
        <v>37</v>
      </c>
      <c r="K3889">
        <v>4</v>
      </c>
      <c r="M3889" s="1" t="b">
        <f>Employee__2[[#This Row],[Experience]]&gt;1</f>
        <v>1</v>
      </c>
      <c r="N3889" s="1" t="str">
        <f>IF(Employee__2[[#This Row],[City]]="Pune","Yes","No")</f>
        <v>No</v>
      </c>
      <c r="O3889" s="1" t="str">
        <f>IF(AND(Employee__2[[#This Row],[Education]]="Bachelors",Employee__2[[#This Row],[City]]="Pune"),"Yes","No")</f>
        <v>No</v>
      </c>
      <c r="P3889" s="1" t="str">
        <f>IF(OR(Employee__2[[#This Row],[Age]]&gt;=30,Employee__2[[#This Row],[Gender]]="Male"),"Mached","Not mached")</f>
        <v>Mached</v>
      </c>
    </row>
    <row r="3890" spans="4:16" x14ac:dyDescent="0.25">
      <c r="D3890" s="6" t="s">
        <v>34</v>
      </c>
      <c r="E3890">
        <v>2013</v>
      </c>
      <c r="F3890" s="6" t="s">
        <v>35</v>
      </c>
      <c r="G3890">
        <v>3</v>
      </c>
      <c r="H3890">
        <v>38</v>
      </c>
      <c r="I3890" s="6" t="s">
        <v>36</v>
      </c>
      <c r="J3890" s="6" t="s">
        <v>37</v>
      </c>
      <c r="K3890">
        <v>2</v>
      </c>
      <c r="M3890" s="1" t="b">
        <f>Employee__2[[#This Row],[Experience]]&gt;1</f>
        <v>1</v>
      </c>
      <c r="N3890" s="1" t="str">
        <f>IF(Employee__2[[#This Row],[City]]="Pune","Yes","No")</f>
        <v>No</v>
      </c>
      <c r="O3890" s="1" t="str">
        <f>IF(AND(Employee__2[[#This Row],[Education]]="Bachelors",Employee__2[[#This Row],[City]]="Pune"),"Yes","No")</f>
        <v>No</v>
      </c>
      <c r="P3890" s="1" t="str">
        <f>IF(OR(Employee__2[[#This Row],[Age]]&gt;=30,Employee__2[[#This Row],[Gender]]="Male"),"Mached","Not mached")</f>
        <v>Mached</v>
      </c>
    </row>
    <row r="3891" spans="4:16" x14ac:dyDescent="0.25">
      <c r="D3891" s="6" t="s">
        <v>34</v>
      </c>
      <c r="E3891">
        <v>2017</v>
      </c>
      <c r="F3891" s="6" t="s">
        <v>35</v>
      </c>
      <c r="G3891">
        <v>3</v>
      </c>
      <c r="H3891">
        <v>35</v>
      </c>
      <c r="I3891" s="6" t="s">
        <v>36</v>
      </c>
      <c r="J3891" s="6" t="s">
        <v>37</v>
      </c>
      <c r="K3891">
        <v>0</v>
      </c>
      <c r="M3891" s="1" t="b">
        <f>Employee__2[[#This Row],[Experience]]&gt;1</f>
        <v>0</v>
      </c>
      <c r="N3891" s="1" t="str">
        <f>IF(Employee__2[[#This Row],[City]]="Pune","Yes","No")</f>
        <v>No</v>
      </c>
      <c r="O3891" s="1" t="str">
        <f>IF(AND(Employee__2[[#This Row],[Education]]="Bachelors",Employee__2[[#This Row],[City]]="Pune"),"Yes","No")</f>
        <v>No</v>
      </c>
      <c r="P3891" s="1" t="str">
        <f>IF(OR(Employee__2[[#This Row],[Age]]&gt;=30,Employee__2[[#This Row],[Gender]]="Male"),"Mached","Not mached")</f>
        <v>Mached</v>
      </c>
    </row>
    <row r="3892" spans="4:16" x14ac:dyDescent="0.25">
      <c r="D3892" s="6" t="s">
        <v>34</v>
      </c>
      <c r="E3892">
        <v>2017</v>
      </c>
      <c r="F3892" s="6" t="s">
        <v>38</v>
      </c>
      <c r="G3892">
        <v>3</v>
      </c>
      <c r="H3892">
        <v>31</v>
      </c>
      <c r="I3892" s="6" t="s">
        <v>39</v>
      </c>
      <c r="J3892" s="6" t="s">
        <v>37</v>
      </c>
      <c r="K3892">
        <v>0</v>
      </c>
      <c r="M3892" s="1" t="b">
        <f>Employee__2[[#This Row],[Experience]]&gt;1</f>
        <v>0</v>
      </c>
      <c r="N3892" s="1" t="str">
        <f>IF(Employee__2[[#This Row],[City]]="Pune","Yes","No")</f>
        <v>Yes</v>
      </c>
      <c r="O3892" s="1" t="str">
        <f>IF(AND(Employee__2[[#This Row],[Education]]="Bachelors",Employee__2[[#This Row],[City]]="Pune"),"Yes","No")</f>
        <v>Yes</v>
      </c>
      <c r="P3892" s="1" t="str">
        <f>IF(OR(Employee__2[[#This Row],[Age]]&gt;=30,Employee__2[[#This Row],[Gender]]="Male"),"Mached","Not mached")</f>
        <v>Mached</v>
      </c>
    </row>
    <row r="3893" spans="4:16" x14ac:dyDescent="0.25">
      <c r="D3893" s="6" t="s">
        <v>34</v>
      </c>
      <c r="E3893">
        <v>2017</v>
      </c>
      <c r="F3893" s="6" t="s">
        <v>35</v>
      </c>
      <c r="G3893">
        <v>3</v>
      </c>
      <c r="H3893">
        <v>41</v>
      </c>
      <c r="I3893" s="6" t="s">
        <v>36</v>
      </c>
      <c r="J3893" s="6" t="s">
        <v>37</v>
      </c>
      <c r="K3893">
        <v>5</v>
      </c>
      <c r="M3893" s="1" t="b">
        <f>Employee__2[[#This Row],[Experience]]&gt;1</f>
        <v>1</v>
      </c>
      <c r="N3893" s="1" t="str">
        <f>IF(Employee__2[[#This Row],[City]]="Pune","Yes","No")</f>
        <v>No</v>
      </c>
      <c r="O3893" s="1" t="str">
        <f>IF(AND(Employee__2[[#This Row],[Education]]="Bachelors",Employee__2[[#This Row],[City]]="Pune"),"Yes","No")</f>
        <v>No</v>
      </c>
      <c r="P3893" s="1" t="str">
        <f>IF(OR(Employee__2[[#This Row],[Age]]&gt;=30,Employee__2[[#This Row],[Gender]]="Male"),"Mached","Not mached")</f>
        <v>Mached</v>
      </c>
    </row>
    <row r="3894" spans="4:16" x14ac:dyDescent="0.25">
      <c r="D3894" s="6" t="s">
        <v>34</v>
      </c>
      <c r="E3894">
        <v>2013</v>
      </c>
      <c r="F3894" s="6" t="s">
        <v>40</v>
      </c>
      <c r="G3894">
        <v>3</v>
      </c>
      <c r="H3894">
        <v>38</v>
      </c>
      <c r="I3894" s="6" t="s">
        <v>39</v>
      </c>
      <c r="J3894" s="6" t="s">
        <v>37</v>
      </c>
      <c r="K3894">
        <v>4</v>
      </c>
      <c r="M3894" s="1" t="b">
        <f>Employee__2[[#This Row],[Experience]]&gt;1</f>
        <v>1</v>
      </c>
      <c r="N3894" s="1" t="str">
        <f>IF(Employee__2[[#This Row],[City]]="Pune","Yes","No")</f>
        <v>No</v>
      </c>
      <c r="O3894" s="1" t="str">
        <f>IF(AND(Employee__2[[#This Row],[Education]]="Bachelors",Employee__2[[#This Row],[City]]="Pune"),"Yes","No")</f>
        <v>No</v>
      </c>
      <c r="P3894" s="1" t="str">
        <f>IF(OR(Employee__2[[#This Row],[Age]]&gt;=30,Employee__2[[#This Row],[Gender]]="Male"),"Mached","Not mached")</f>
        <v>Mached</v>
      </c>
    </row>
    <row r="3895" spans="4:16" x14ac:dyDescent="0.25">
      <c r="D3895" s="6" t="s">
        <v>34</v>
      </c>
      <c r="E3895">
        <v>2016</v>
      </c>
      <c r="F3895" s="6" t="s">
        <v>35</v>
      </c>
      <c r="G3895">
        <v>3</v>
      </c>
      <c r="H3895">
        <v>40</v>
      </c>
      <c r="I3895" s="6" t="s">
        <v>36</v>
      </c>
      <c r="J3895" s="6" t="s">
        <v>42</v>
      </c>
      <c r="K3895">
        <v>1</v>
      </c>
      <c r="M3895" s="1" t="b">
        <f>Employee__2[[#This Row],[Experience]]&gt;1</f>
        <v>0</v>
      </c>
      <c r="N3895" s="1" t="str">
        <f>IF(Employee__2[[#This Row],[City]]="Pune","Yes","No")</f>
        <v>No</v>
      </c>
      <c r="O3895" s="1" t="str">
        <f>IF(AND(Employee__2[[#This Row],[Education]]="Bachelors",Employee__2[[#This Row],[City]]="Pune"),"Yes","No")</f>
        <v>No</v>
      </c>
      <c r="P3895" s="1" t="str">
        <f>IF(OR(Employee__2[[#This Row],[Age]]&gt;=30,Employee__2[[#This Row],[Gender]]="Male"),"Mached","Not mached")</f>
        <v>Mached</v>
      </c>
    </row>
    <row r="3896" spans="4:16" x14ac:dyDescent="0.25">
      <c r="D3896" s="6" t="s">
        <v>34</v>
      </c>
      <c r="E3896">
        <v>2018</v>
      </c>
      <c r="F3896" s="6" t="s">
        <v>35</v>
      </c>
      <c r="G3896">
        <v>3</v>
      </c>
      <c r="H3896">
        <v>36</v>
      </c>
      <c r="I3896" s="6" t="s">
        <v>39</v>
      </c>
      <c r="J3896" s="6" t="s">
        <v>37</v>
      </c>
      <c r="K3896">
        <v>2</v>
      </c>
      <c r="M3896" s="1" t="b">
        <f>Employee__2[[#This Row],[Experience]]&gt;1</f>
        <v>1</v>
      </c>
      <c r="N3896" s="1" t="str">
        <f>IF(Employee__2[[#This Row],[City]]="Pune","Yes","No")</f>
        <v>No</v>
      </c>
      <c r="O3896" s="1" t="str">
        <f>IF(AND(Employee__2[[#This Row],[Education]]="Bachelors",Employee__2[[#This Row],[City]]="Pune"),"Yes","No")</f>
        <v>No</v>
      </c>
      <c r="P3896" s="1" t="str">
        <f>IF(OR(Employee__2[[#This Row],[Age]]&gt;=30,Employee__2[[#This Row],[Gender]]="Male"),"Mached","Not mached")</f>
        <v>Mached</v>
      </c>
    </row>
    <row r="3897" spans="4:16" x14ac:dyDescent="0.25">
      <c r="D3897" s="6" t="s">
        <v>43</v>
      </c>
      <c r="E3897">
        <v>2013</v>
      </c>
      <c r="F3897" s="6" t="s">
        <v>40</v>
      </c>
      <c r="G3897">
        <v>3</v>
      </c>
      <c r="H3897">
        <v>36</v>
      </c>
      <c r="I3897" s="6" t="s">
        <v>36</v>
      </c>
      <c r="J3897" s="6" t="s">
        <v>37</v>
      </c>
      <c r="K3897">
        <v>3</v>
      </c>
      <c r="M3897" s="1" t="b">
        <f>Employee__2[[#This Row],[Experience]]&gt;1</f>
        <v>1</v>
      </c>
      <c r="N3897" s="1" t="str">
        <f>IF(Employee__2[[#This Row],[City]]="Pune","Yes","No")</f>
        <v>No</v>
      </c>
      <c r="O3897" s="1" t="str">
        <f>IF(AND(Employee__2[[#This Row],[Education]]="Bachelors",Employee__2[[#This Row],[City]]="Pune"),"Yes","No")</f>
        <v>No</v>
      </c>
      <c r="P3897" s="1" t="str">
        <f>IF(OR(Employee__2[[#This Row],[Age]]&gt;=30,Employee__2[[#This Row],[Gender]]="Male"),"Mached","Not mached")</f>
        <v>Mached</v>
      </c>
    </row>
    <row r="3898" spans="4:16" x14ac:dyDescent="0.25">
      <c r="D3898" s="6" t="s">
        <v>34</v>
      </c>
      <c r="E3898">
        <v>2014</v>
      </c>
      <c r="F3898" s="6" t="s">
        <v>38</v>
      </c>
      <c r="G3898">
        <v>3</v>
      </c>
      <c r="H3898">
        <v>41</v>
      </c>
      <c r="I3898" s="6" t="s">
        <v>36</v>
      </c>
      <c r="J3898" s="6" t="s">
        <v>37</v>
      </c>
      <c r="K3898">
        <v>4</v>
      </c>
      <c r="M3898" s="1" t="b">
        <f>Employee__2[[#This Row],[Experience]]&gt;1</f>
        <v>1</v>
      </c>
      <c r="N3898" s="1" t="str">
        <f>IF(Employee__2[[#This Row],[City]]="Pune","Yes","No")</f>
        <v>Yes</v>
      </c>
      <c r="O3898" s="1" t="str">
        <f>IF(AND(Employee__2[[#This Row],[Education]]="Bachelors",Employee__2[[#This Row],[City]]="Pune"),"Yes","No")</f>
        <v>Yes</v>
      </c>
      <c r="P3898" s="1" t="str">
        <f>IF(OR(Employee__2[[#This Row],[Age]]&gt;=30,Employee__2[[#This Row],[Gender]]="Male"),"Mached","Not mached")</f>
        <v>Mached</v>
      </c>
    </row>
    <row r="3899" spans="4:16" x14ac:dyDescent="0.25">
      <c r="D3899" s="6" t="s">
        <v>34</v>
      </c>
      <c r="E3899">
        <v>2014</v>
      </c>
      <c r="F3899" s="6" t="s">
        <v>35</v>
      </c>
      <c r="G3899">
        <v>3</v>
      </c>
      <c r="H3899">
        <v>35</v>
      </c>
      <c r="I3899" s="6" t="s">
        <v>36</v>
      </c>
      <c r="J3899" s="6" t="s">
        <v>42</v>
      </c>
      <c r="K3899">
        <v>1</v>
      </c>
      <c r="M3899" s="1" t="b">
        <f>Employee__2[[#This Row],[Experience]]&gt;1</f>
        <v>0</v>
      </c>
      <c r="N3899" s="1" t="str">
        <f>IF(Employee__2[[#This Row],[City]]="Pune","Yes","No")</f>
        <v>No</v>
      </c>
      <c r="O3899" s="1" t="str">
        <f>IF(AND(Employee__2[[#This Row],[Education]]="Bachelors",Employee__2[[#This Row],[City]]="Pune"),"Yes","No")</f>
        <v>No</v>
      </c>
      <c r="P3899" s="1" t="str">
        <f>IF(OR(Employee__2[[#This Row],[Age]]&gt;=30,Employee__2[[#This Row],[Gender]]="Male"),"Mached","Not mached")</f>
        <v>Mached</v>
      </c>
    </row>
    <row r="3900" spans="4:16" x14ac:dyDescent="0.25">
      <c r="D3900" s="6" t="s">
        <v>34</v>
      </c>
      <c r="E3900">
        <v>2017</v>
      </c>
      <c r="F3900" s="6" t="s">
        <v>35</v>
      </c>
      <c r="G3900">
        <v>3</v>
      </c>
      <c r="H3900">
        <v>38</v>
      </c>
      <c r="I3900" s="6" t="s">
        <v>36</v>
      </c>
      <c r="J3900" s="6" t="s">
        <v>37</v>
      </c>
      <c r="K3900">
        <v>5</v>
      </c>
      <c r="M3900" s="1" t="b">
        <f>Employee__2[[#This Row],[Experience]]&gt;1</f>
        <v>1</v>
      </c>
      <c r="N3900" s="1" t="str">
        <f>IF(Employee__2[[#This Row],[City]]="Pune","Yes","No")</f>
        <v>No</v>
      </c>
      <c r="O3900" s="1" t="str">
        <f>IF(AND(Employee__2[[#This Row],[Education]]="Bachelors",Employee__2[[#This Row],[City]]="Pune"),"Yes","No")</f>
        <v>No</v>
      </c>
      <c r="P3900" s="1" t="str">
        <f>IF(OR(Employee__2[[#This Row],[Age]]&gt;=30,Employee__2[[#This Row],[Gender]]="Male"),"Mached","Not mached")</f>
        <v>Mached</v>
      </c>
    </row>
    <row r="3901" spans="4:16" x14ac:dyDescent="0.25">
      <c r="D3901" s="6" t="s">
        <v>34</v>
      </c>
      <c r="E3901">
        <v>2017</v>
      </c>
      <c r="F3901" s="6" t="s">
        <v>40</v>
      </c>
      <c r="G3901">
        <v>2</v>
      </c>
      <c r="H3901">
        <v>41</v>
      </c>
      <c r="I3901" s="6" t="s">
        <v>39</v>
      </c>
      <c r="J3901" s="6" t="s">
        <v>37</v>
      </c>
      <c r="K3901">
        <v>0</v>
      </c>
      <c r="M3901" s="1" t="b">
        <f>Employee__2[[#This Row],[Experience]]&gt;1</f>
        <v>0</v>
      </c>
      <c r="N3901" s="1" t="str">
        <f>IF(Employee__2[[#This Row],[City]]="Pune","Yes","No")</f>
        <v>No</v>
      </c>
      <c r="O3901" s="1" t="str">
        <f>IF(AND(Employee__2[[#This Row],[Education]]="Bachelors",Employee__2[[#This Row],[City]]="Pune"),"Yes","No")</f>
        <v>No</v>
      </c>
      <c r="P3901" s="1" t="str">
        <f>IF(OR(Employee__2[[#This Row],[Age]]&gt;=30,Employee__2[[#This Row],[Gender]]="Male"),"Mached","Not mached")</f>
        <v>Mached</v>
      </c>
    </row>
    <row r="3902" spans="4:16" x14ac:dyDescent="0.25">
      <c r="D3902" s="6" t="s">
        <v>34</v>
      </c>
      <c r="E3902">
        <v>2012</v>
      </c>
      <c r="F3902" s="6" t="s">
        <v>35</v>
      </c>
      <c r="G3902">
        <v>1</v>
      </c>
      <c r="H3902">
        <v>34</v>
      </c>
      <c r="I3902" s="6" t="s">
        <v>36</v>
      </c>
      <c r="J3902" s="6" t="s">
        <v>37</v>
      </c>
      <c r="K3902">
        <v>0</v>
      </c>
      <c r="M3902" s="1" t="b">
        <f>Employee__2[[#This Row],[Experience]]&gt;1</f>
        <v>0</v>
      </c>
      <c r="N3902" s="1" t="str">
        <f>IF(Employee__2[[#This Row],[City]]="Pune","Yes","No")</f>
        <v>No</v>
      </c>
      <c r="O3902" s="1" t="str">
        <f>IF(AND(Employee__2[[#This Row],[Education]]="Bachelors",Employee__2[[#This Row],[City]]="Pune"),"Yes","No")</f>
        <v>No</v>
      </c>
      <c r="P3902" s="1" t="str">
        <f>IF(OR(Employee__2[[#This Row],[Age]]&gt;=30,Employee__2[[#This Row],[Gender]]="Male"),"Mached","Not mached")</f>
        <v>Mached</v>
      </c>
    </row>
    <row r="3903" spans="4:16" x14ac:dyDescent="0.25">
      <c r="D3903" s="6" t="s">
        <v>34</v>
      </c>
      <c r="E3903">
        <v>2016</v>
      </c>
      <c r="F3903" s="6" t="s">
        <v>35</v>
      </c>
      <c r="G3903">
        <v>3</v>
      </c>
      <c r="H3903">
        <v>39</v>
      </c>
      <c r="I3903" s="6" t="s">
        <v>39</v>
      </c>
      <c r="J3903" s="6" t="s">
        <v>37</v>
      </c>
      <c r="K3903">
        <v>3</v>
      </c>
      <c r="M3903" s="1" t="b">
        <f>Employee__2[[#This Row],[Experience]]&gt;1</f>
        <v>1</v>
      </c>
      <c r="N3903" s="1" t="str">
        <f>IF(Employee__2[[#This Row],[City]]="Pune","Yes","No")</f>
        <v>No</v>
      </c>
      <c r="O3903" s="1" t="str">
        <f>IF(AND(Employee__2[[#This Row],[Education]]="Bachelors",Employee__2[[#This Row],[City]]="Pune"),"Yes","No")</f>
        <v>No</v>
      </c>
      <c r="P3903" s="1" t="str">
        <f>IF(OR(Employee__2[[#This Row],[Age]]&gt;=30,Employee__2[[#This Row],[Gender]]="Male"),"Mached","Not mached")</f>
        <v>Mached</v>
      </c>
    </row>
    <row r="3904" spans="4:16" x14ac:dyDescent="0.25">
      <c r="D3904" s="6" t="s">
        <v>34</v>
      </c>
      <c r="E3904">
        <v>2014</v>
      </c>
      <c r="F3904" s="6" t="s">
        <v>35</v>
      </c>
      <c r="G3904">
        <v>3</v>
      </c>
      <c r="H3904">
        <v>37</v>
      </c>
      <c r="I3904" s="6" t="s">
        <v>36</v>
      </c>
      <c r="J3904" s="6" t="s">
        <v>37</v>
      </c>
      <c r="K3904">
        <v>5</v>
      </c>
      <c r="M3904" s="1" t="b">
        <f>Employee__2[[#This Row],[Experience]]&gt;1</f>
        <v>1</v>
      </c>
      <c r="N3904" s="1" t="str">
        <f>IF(Employee__2[[#This Row],[City]]="Pune","Yes","No")</f>
        <v>No</v>
      </c>
      <c r="O3904" s="1" t="str">
        <f>IF(AND(Employee__2[[#This Row],[Education]]="Bachelors",Employee__2[[#This Row],[City]]="Pune"),"Yes","No")</f>
        <v>No</v>
      </c>
      <c r="P3904" s="1" t="str">
        <f>IF(OR(Employee__2[[#This Row],[Age]]&gt;=30,Employee__2[[#This Row],[Gender]]="Male"),"Mached","Not mached")</f>
        <v>Mached</v>
      </c>
    </row>
    <row r="3905" spans="4:16" x14ac:dyDescent="0.25">
      <c r="D3905" s="6" t="s">
        <v>34</v>
      </c>
      <c r="E3905">
        <v>2015</v>
      </c>
      <c r="F3905" s="6" t="s">
        <v>38</v>
      </c>
      <c r="G3905">
        <v>2</v>
      </c>
      <c r="H3905">
        <v>39</v>
      </c>
      <c r="I3905" s="6" t="s">
        <v>39</v>
      </c>
      <c r="J3905" s="6" t="s">
        <v>42</v>
      </c>
      <c r="K3905">
        <v>0</v>
      </c>
      <c r="M3905" s="1" t="b">
        <f>Employee__2[[#This Row],[Experience]]&gt;1</f>
        <v>0</v>
      </c>
      <c r="N3905" s="1" t="str">
        <f>IF(Employee__2[[#This Row],[City]]="Pune","Yes","No")</f>
        <v>Yes</v>
      </c>
      <c r="O3905" s="1" t="str">
        <f>IF(AND(Employee__2[[#This Row],[Education]]="Bachelors",Employee__2[[#This Row],[City]]="Pune"),"Yes","No")</f>
        <v>Yes</v>
      </c>
      <c r="P3905" s="1" t="str">
        <f>IF(OR(Employee__2[[#This Row],[Age]]&gt;=30,Employee__2[[#This Row],[Gender]]="Male"),"Mached","Not mached")</f>
        <v>Mached</v>
      </c>
    </row>
    <row r="3906" spans="4:16" x14ac:dyDescent="0.25">
      <c r="D3906" s="6" t="s">
        <v>34</v>
      </c>
      <c r="E3906">
        <v>2013</v>
      </c>
      <c r="F3906" s="6" t="s">
        <v>35</v>
      </c>
      <c r="G3906">
        <v>3</v>
      </c>
      <c r="H3906">
        <v>31</v>
      </c>
      <c r="I3906" s="6" t="s">
        <v>36</v>
      </c>
      <c r="J3906" s="6" t="s">
        <v>37</v>
      </c>
      <c r="K3906">
        <v>2</v>
      </c>
      <c r="M3906" s="1" t="b">
        <f>Employee__2[[#This Row],[Experience]]&gt;1</f>
        <v>1</v>
      </c>
      <c r="N3906" s="1" t="str">
        <f>IF(Employee__2[[#This Row],[City]]="Pune","Yes","No")</f>
        <v>No</v>
      </c>
      <c r="O3906" s="1" t="str">
        <f>IF(AND(Employee__2[[#This Row],[Education]]="Bachelors",Employee__2[[#This Row],[City]]="Pune"),"Yes","No")</f>
        <v>No</v>
      </c>
      <c r="P3906" s="1" t="str">
        <f>IF(OR(Employee__2[[#This Row],[Age]]&gt;=30,Employee__2[[#This Row],[Gender]]="Male"),"Mached","Not mached")</f>
        <v>Mached</v>
      </c>
    </row>
    <row r="3907" spans="4:16" x14ac:dyDescent="0.25">
      <c r="D3907" s="6" t="s">
        <v>41</v>
      </c>
      <c r="E3907">
        <v>2012</v>
      </c>
      <c r="F3907" s="6" t="s">
        <v>40</v>
      </c>
      <c r="G3907">
        <v>3</v>
      </c>
      <c r="H3907">
        <v>34</v>
      </c>
      <c r="I3907" s="6" t="s">
        <v>39</v>
      </c>
      <c r="J3907" s="6" t="s">
        <v>37</v>
      </c>
      <c r="K3907">
        <v>3</v>
      </c>
      <c r="M3907" s="1" t="b">
        <f>Employee__2[[#This Row],[Experience]]&gt;1</f>
        <v>1</v>
      </c>
      <c r="N3907" s="1" t="str">
        <f>IF(Employee__2[[#This Row],[City]]="Pune","Yes","No")</f>
        <v>No</v>
      </c>
      <c r="O3907" s="1" t="str">
        <f>IF(AND(Employee__2[[#This Row],[Education]]="Bachelors",Employee__2[[#This Row],[City]]="Pune"),"Yes","No")</f>
        <v>No</v>
      </c>
      <c r="P3907" s="1" t="str">
        <f>IF(OR(Employee__2[[#This Row],[Age]]&gt;=30,Employee__2[[#This Row],[Gender]]="Male"),"Mached","Not mached")</f>
        <v>Mached</v>
      </c>
    </row>
    <row r="3908" spans="4:16" x14ac:dyDescent="0.25">
      <c r="D3908" s="6" t="s">
        <v>34</v>
      </c>
      <c r="E3908">
        <v>2015</v>
      </c>
      <c r="F3908" s="6" t="s">
        <v>35</v>
      </c>
      <c r="G3908">
        <v>3</v>
      </c>
      <c r="H3908">
        <v>39</v>
      </c>
      <c r="I3908" s="6" t="s">
        <v>36</v>
      </c>
      <c r="J3908" s="6" t="s">
        <v>37</v>
      </c>
      <c r="K3908">
        <v>1</v>
      </c>
      <c r="M3908" s="1" t="b">
        <f>Employee__2[[#This Row],[Experience]]&gt;1</f>
        <v>0</v>
      </c>
      <c r="N3908" s="1" t="str">
        <f>IF(Employee__2[[#This Row],[City]]="Pune","Yes","No")</f>
        <v>No</v>
      </c>
      <c r="O3908" s="1" t="str">
        <f>IF(AND(Employee__2[[#This Row],[Education]]="Bachelors",Employee__2[[#This Row],[City]]="Pune"),"Yes","No")</f>
        <v>No</v>
      </c>
      <c r="P3908" s="1" t="str">
        <f>IF(OR(Employee__2[[#This Row],[Age]]&gt;=30,Employee__2[[#This Row],[Gender]]="Male"),"Mached","Not mached")</f>
        <v>Mached</v>
      </c>
    </row>
    <row r="3909" spans="4:16" x14ac:dyDescent="0.25">
      <c r="D3909" s="6" t="s">
        <v>34</v>
      </c>
      <c r="E3909">
        <v>2014</v>
      </c>
      <c r="F3909" s="6" t="s">
        <v>38</v>
      </c>
      <c r="G3909">
        <v>2</v>
      </c>
      <c r="H3909">
        <v>38</v>
      </c>
      <c r="I3909" s="6" t="s">
        <v>39</v>
      </c>
      <c r="J3909" s="6" t="s">
        <v>37</v>
      </c>
      <c r="K3909">
        <v>3</v>
      </c>
      <c r="M3909" s="1" t="b">
        <f>Employee__2[[#This Row],[Experience]]&gt;1</f>
        <v>1</v>
      </c>
      <c r="N3909" s="1" t="str">
        <f>IF(Employee__2[[#This Row],[City]]="Pune","Yes","No")</f>
        <v>Yes</v>
      </c>
      <c r="O3909" s="1" t="str">
        <f>IF(AND(Employee__2[[#This Row],[Education]]="Bachelors",Employee__2[[#This Row],[City]]="Pune"),"Yes","No")</f>
        <v>Yes</v>
      </c>
      <c r="P3909" s="1" t="str">
        <f>IF(OR(Employee__2[[#This Row],[Age]]&gt;=30,Employee__2[[#This Row],[Gender]]="Male"),"Mached","Not mached")</f>
        <v>Mached</v>
      </c>
    </row>
    <row r="3910" spans="4:16" x14ac:dyDescent="0.25">
      <c r="D3910" s="6" t="s">
        <v>34</v>
      </c>
      <c r="E3910">
        <v>2012</v>
      </c>
      <c r="F3910" s="6" t="s">
        <v>35</v>
      </c>
      <c r="G3910">
        <v>3</v>
      </c>
      <c r="H3910">
        <v>34</v>
      </c>
      <c r="I3910" s="6" t="s">
        <v>36</v>
      </c>
      <c r="J3910" s="6" t="s">
        <v>37</v>
      </c>
      <c r="K3910">
        <v>1</v>
      </c>
      <c r="M3910" s="1" t="b">
        <f>Employee__2[[#This Row],[Experience]]&gt;1</f>
        <v>0</v>
      </c>
      <c r="N3910" s="1" t="str">
        <f>IF(Employee__2[[#This Row],[City]]="Pune","Yes","No")</f>
        <v>No</v>
      </c>
      <c r="O3910" s="1" t="str">
        <f>IF(AND(Employee__2[[#This Row],[Education]]="Bachelors",Employee__2[[#This Row],[City]]="Pune"),"Yes","No")</f>
        <v>No</v>
      </c>
      <c r="P3910" s="1" t="str">
        <f>IF(OR(Employee__2[[#This Row],[Age]]&gt;=30,Employee__2[[#This Row],[Gender]]="Male"),"Mached","Not mached")</f>
        <v>Mached</v>
      </c>
    </row>
    <row r="3911" spans="4:16" x14ac:dyDescent="0.25">
      <c r="D3911" s="6" t="s">
        <v>34</v>
      </c>
      <c r="E3911">
        <v>2016</v>
      </c>
      <c r="F3911" s="6" t="s">
        <v>35</v>
      </c>
      <c r="G3911">
        <v>3</v>
      </c>
      <c r="H3911">
        <v>31</v>
      </c>
      <c r="I3911" s="6" t="s">
        <v>39</v>
      </c>
      <c r="J3911" s="6" t="s">
        <v>37</v>
      </c>
      <c r="K3911">
        <v>2</v>
      </c>
      <c r="M3911" s="1" t="b">
        <f>Employee__2[[#This Row],[Experience]]&gt;1</f>
        <v>1</v>
      </c>
      <c r="N3911" s="1" t="str">
        <f>IF(Employee__2[[#This Row],[City]]="Pune","Yes","No")</f>
        <v>No</v>
      </c>
      <c r="O3911" s="1" t="str">
        <f>IF(AND(Employee__2[[#This Row],[Education]]="Bachelors",Employee__2[[#This Row],[City]]="Pune"),"Yes","No")</f>
        <v>No</v>
      </c>
      <c r="P3911" s="1" t="str">
        <f>IF(OR(Employee__2[[#This Row],[Age]]&gt;=30,Employee__2[[#This Row],[Gender]]="Male"),"Mached","Not mached")</f>
        <v>Mached</v>
      </c>
    </row>
    <row r="3912" spans="4:16" x14ac:dyDescent="0.25">
      <c r="D3912" s="6" t="s">
        <v>34</v>
      </c>
      <c r="E3912">
        <v>2016</v>
      </c>
      <c r="F3912" s="6" t="s">
        <v>35</v>
      </c>
      <c r="G3912">
        <v>3</v>
      </c>
      <c r="H3912">
        <v>39</v>
      </c>
      <c r="I3912" s="6" t="s">
        <v>39</v>
      </c>
      <c r="J3912" s="6" t="s">
        <v>37</v>
      </c>
      <c r="K3912">
        <v>0</v>
      </c>
      <c r="M3912" s="1" t="b">
        <f>Employee__2[[#This Row],[Experience]]&gt;1</f>
        <v>0</v>
      </c>
      <c r="N3912" s="1" t="str">
        <f>IF(Employee__2[[#This Row],[City]]="Pune","Yes","No")</f>
        <v>No</v>
      </c>
      <c r="O3912" s="1" t="str">
        <f>IF(AND(Employee__2[[#This Row],[Education]]="Bachelors",Employee__2[[#This Row],[City]]="Pune"),"Yes","No")</f>
        <v>No</v>
      </c>
      <c r="P3912" s="1" t="str">
        <f>IF(OR(Employee__2[[#This Row],[Age]]&gt;=30,Employee__2[[#This Row],[Gender]]="Male"),"Mached","Not mached")</f>
        <v>Mached</v>
      </c>
    </row>
    <row r="3913" spans="4:16" x14ac:dyDescent="0.25">
      <c r="D3913" s="6" t="s">
        <v>34</v>
      </c>
      <c r="E3913">
        <v>2013</v>
      </c>
      <c r="F3913" s="6" t="s">
        <v>35</v>
      </c>
      <c r="G3913">
        <v>3</v>
      </c>
      <c r="H3913">
        <v>31</v>
      </c>
      <c r="I3913" s="6" t="s">
        <v>39</v>
      </c>
      <c r="J3913" s="6" t="s">
        <v>37</v>
      </c>
      <c r="K3913">
        <v>1</v>
      </c>
      <c r="M3913" s="1" t="b">
        <f>Employee__2[[#This Row],[Experience]]&gt;1</f>
        <v>0</v>
      </c>
      <c r="N3913" s="1" t="str">
        <f>IF(Employee__2[[#This Row],[City]]="Pune","Yes","No")</f>
        <v>No</v>
      </c>
      <c r="O3913" s="1" t="str">
        <f>IF(AND(Employee__2[[#This Row],[Education]]="Bachelors",Employee__2[[#This Row],[City]]="Pune"),"Yes","No")</f>
        <v>No</v>
      </c>
      <c r="P3913" s="1" t="str">
        <f>IF(OR(Employee__2[[#This Row],[Age]]&gt;=30,Employee__2[[#This Row],[Gender]]="Male"),"Mached","Not mached")</f>
        <v>Mached</v>
      </c>
    </row>
    <row r="3914" spans="4:16" x14ac:dyDescent="0.25">
      <c r="D3914" s="6" t="s">
        <v>34</v>
      </c>
      <c r="E3914">
        <v>2012</v>
      </c>
      <c r="F3914" s="6" t="s">
        <v>35</v>
      </c>
      <c r="G3914">
        <v>3</v>
      </c>
      <c r="H3914">
        <v>36</v>
      </c>
      <c r="I3914" s="6" t="s">
        <v>36</v>
      </c>
      <c r="J3914" s="6" t="s">
        <v>37</v>
      </c>
      <c r="K3914">
        <v>1</v>
      </c>
      <c r="M3914" s="1" t="b">
        <f>Employee__2[[#This Row],[Experience]]&gt;1</f>
        <v>0</v>
      </c>
      <c r="N3914" s="1" t="str">
        <f>IF(Employee__2[[#This Row],[City]]="Pune","Yes","No")</f>
        <v>No</v>
      </c>
      <c r="O3914" s="1" t="str">
        <f>IF(AND(Employee__2[[#This Row],[Education]]="Bachelors",Employee__2[[#This Row],[City]]="Pune"),"Yes","No")</f>
        <v>No</v>
      </c>
      <c r="P3914" s="1" t="str">
        <f>IF(OR(Employee__2[[#This Row],[Age]]&gt;=30,Employee__2[[#This Row],[Gender]]="Male"),"Mached","Not mached")</f>
        <v>Mached</v>
      </c>
    </row>
    <row r="3915" spans="4:16" x14ac:dyDescent="0.25">
      <c r="D3915" s="6" t="s">
        <v>34</v>
      </c>
      <c r="E3915">
        <v>2017</v>
      </c>
      <c r="F3915" s="6" t="s">
        <v>40</v>
      </c>
      <c r="G3915">
        <v>3</v>
      </c>
      <c r="H3915">
        <v>37</v>
      </c>
      <c r="I3915" s="6" t="s">
        <v>36</v>
      </c>
      <c r="J3915" s="6" t="s">
        <v>37</v>
      </c>
      <c r="K3915">
        <v>0</v>
      </c>
      <c r="M3915" s="1" t="b">
        <f>Employee__2[[#This Row],[Experience]]&gt;1</f>
        <v>0</v>
      </c>
      <c r="N3915" s="1" t="str">
        <f>IF(Employee__2[[#This Row],[City]]="Pune","Yes","No")</f>
        <v>No</v>
      </c>
      <c r="O3915" s="1" t="str">
        <f>IF(AND(Employee__2[[#This Row],[Education]]="Bachelors",Employee__2[[#This Row],[City]]="Pune"),"Yes","No")</f>
        <v>No</v>
      </c>
      <c r="P3915" s="1" t="str">
        <f>IF(OR(Employee__2[[#This Row],[Age]]&gt;=30,Employee__2[[#This Row],[Gender]]="Male"),"Mached","Not mached")</f>
        <v>Mached</v>
      </c>
    </row>
    <row r="3916" spans="4:16" x14ac:dyDescent="0.25">
      <c r="D3916" s="6" t="s">
        <v>34</v>
      </c>
      <c r="E3916">
        <v>2015</v>
      </c>
      <c r="F3916" s="6" t="s">
        <v>38</v>
      </c>
      <c r="G3916">
        <v>1</v>
      </c>
      <c r="H3916">
        <v>38</v>
      </c>
      <c r="I3916" s="6" t="s">
        <v>39</v>
      </c>
      <c r="J3916" s="6" t="s">
        <v>37</v>
      </c>
      <c r="K3916">
        <v>1</v>
      </c>
      <c r="M3916" s="1" t="b">
        <f>Employee__2[[#This Row],[Experience]]&gt;1</f>
        <v>0</v>
      </c>
      <c r="N3916" s="1" t="str">
        <f>IF(Employee__2[[#This Row],[City]]="Pune","Yes","No")</f>
        <v>Yes</v>
      </c>
      <c r="O3916" s="1" t="str">
        <f>IF(AND(Employee__2[[#This Row],[Education]]="Bachelors",Employee__2[[#This Row],[City]]="Pune"),"Yes","No")</f>
        <v>Yes</v>
      </c>
      <c r="P3916" s="1" t="str">
        <f>IF(OR(Employee__2[[#This Row],[Age]]&gt;=30,Employee__2[[#This Row],[Gender]]="Male"),"Mached","Not mached")</f>
        <v>Mached</v>
      </c>
    </row>
    <row r="3917" spans="4:16" x14ac:dyDescent="0.25">
      <c r="D3917" s="6" t="s">
        <v>43</v>
      </c>
      <c r="E3917">
        <v>2017</v>
      </c>
      <c r="F3917" s="6" t="s">
        <v>38</v>
      </c>
      <c r="G3917">
        <v>3</v>
      </c>
      <c r="H3917">
        <v>41</v>
      </c>
      <c r="I3917" s="6" t="s">
        <v>36</v>
      </c>
      <c r="J3917" s="6" t="s">
        <v>37</v>
      </c>
      <c r="K3917">
        <v>2</v>
      </c>
      <c r="M3917" s="1" t="b">
        <f>Employee__2[[#This Row],[Experience]]&gt;1</f>
        <v>1</v>
      </c>
      <c r="N3917" s="1" t="str">
        <f>IF(Employee__2[[#This Row],[City]]="Pune","Yes","No")</f>
        <v>Yes</v>
      </c>
      <c r="O3917" s="1" t="str">
        <f>IF(AND(Employee__2[[#This Row],[Education]]="Bachelors",Employee__2[[#This Row],[City]]="Pune"),"Yes","No")</f>
        <v>No</v>
      </c>
      <c r="P3917" s="1" t="str">
        <f>IF(OR(Employee__2[[#This Row],[Age]]&gt;=30,Employee__2[[#This Row],[Gender]]="Male"),"Mached","Not mached")</f>
        <v>Mached</v>
      </c>
    </row>
    <row r="3918" spans="4:16" x14ac:dyDescent="0.25">
      <c r="D3918" s="6" t="s">
        <v>34</v>
      </c>
      <c r="E3918">
        <v>2018</v>
      </c>
      <c r="F3918" s="6" t="s">
        <v>35</v>
      </c>
      <c r="G3918">
        <v>3</v>
      </c>
      <c r="H3918">
        <v>32</v>
      </c>
      <c r="I3918" s="6" t="s">
        <v>36</v>
      </c>
      <c r="J3918" s="6" t="s">
        <v>37</v>
      </c>
      <c r="K3918">
        <v>4</v>
      </c>
      <c r="M3918" s="1" t="b">
        <f>Employee__2[[#This Row],[Experience]]&gt;1</f>
        <v>1</v>
      </c>
      <c r="N3918" s="1" t="str">
        <f>IF(Employee__2[[#This Row],[City]]="Pune","Yes","No")</f>
        <v>No</v>
      </c>
      <c r="O3918" s="1" t="str">
        <f>IF(AND(Employee__2[[#This Row],[Education]]="Bachelors",Employee__2[[#This Row],[City]]="Pune"),"Yes","No")</f>
        <v>No</v>
      </c>
      <c r="P3918" s="1" t="str">
        <f>IF(OR(Employee__2[[#This Row],[Age]]&gt;=30,Employee__2[[#This Row],[Gender]]="Male"),"Mached","Not mached")</f>
        <v>Mached</v>
      </c>
    </row>
    <row r="3919" spans="4:16" x14ac:dyDescent="0.25">
      <c r="D3919" s="6" t="s">
        <v>34</v>
      </c>
      <c r="E3919">
        <v>2018</v>
      </c>
      <c r="F3919" s="6" t="s">
        <v>38</v>
      </c>
      <c r="G3919">
        <v>3</v>
      </c>
      <c r="H3919">
        <v>35</v>
      </c>
      <c r="I3919" s="6" t="s">
        <v>36</v>
      </c>
      <c r="J3919" s="6" t="s">
        <v>37</v>
      </c>
      <c r="K3919">
        <v>0</v>
      </c>
      <c r="M3919" s="1" t="b">
        <f>Employee__2[[#This Row],[Experience]]&gt;1</f>
        <v>0</v>
      </c>
      <c r="N3919" s="1" t="str">
        <f>IF(Employee__2[[#This Row],[City]]="Pune","Yes","No")</f>
        <v>Yes</v>
      </c>
      <c r="O3919" s="1" t="str">
        <f>IF(AND(Employee__2[[#This Row],[Education]]="Bachelors",Employee__2[[#This Row],[City]]="Pune"),"Yes","No")</f>
        <v>Yes</v>
      </c>
      <c r="P3919" s="1" t="str">
        <f>IF(OR(Employee__2[[#This Row],[Age]]&gt;=30,Employee__2[[#This Row],[Gender]]="Male"),"Mached","Not mached")</f>
        <v>Mached</v>
      </c>
    </row>
    <row r="3920" spans="4:16" x14ac:dyDescent="0.25">
      <c r="D3920" s="6" t="s">
        <v>34</v>
      </c>
      <c r="E3920">
        <v>2017</v>
      </c>
      <c r="F3920" s="6" t="s">
        <v>35</v>
      </c>
      <c r="G3920">
        <v>3</v>
      </c>
      <c r="H3920">
        <v>35</v>
      </c>
      <c r="I3920" s="6" t="s">
        <v>36</v>
      </c>
      <c r="J3920" s="6" t="s">
        <v>37</v>
      </c>
      <c r="K3920">
        <v>1</v>
      </c>
      <c r="M3920" s="1" t="b">
        <f>Employee__2[[#This Row],[Experience]]&gt;1</f>
        <v>0</v>
      </c>
      <c r="N3920" s="1" t="str">
        <f>IF(Employee__2[[#This Row],[City]]="Pune","Yes","No")</f>
        <v>No</v>
      </c>
      <c r="O3920" s="1" t="str">
        <f>IF(AND(Employee__2[[#This Row],[Education]]="Bachelors",Employee__2[[#This Row],[City]]="Pune"),"Yes","No")</f>
        <v>No</v>
      </c>
      <c r="P3920" s="1" t="str">
        <f>IF(OR(Employee__2[[#This Row],[Age]]&gt;=30,Employee__2[[#This Row],[Gender]]="Male"),"Mached","Not mached")</f>
        <v>Mached</v>
      </c>
    </row>
    <row r="3921" spans="4:16" x14ac:dyDescent="0.25">
      <c r="D3921" s="6" t="s">
        <v>34</v>
      </c>
      <c r="E3921">
        <v>2013</v>
      </c>
      <c r="F3921" s="6" t="s">
        <v>35</v>
      </c>
      <c r="G3921">
        <v>3</v>
      </c>
      <c r="H3921">
        <v>32</v>
      </c>
      <c r="I3921" s="6" t="s">
        <v>36</v>
      </c>
      <c r="J3921" s="6" t="s">
        <v>37</v>
      </c>
      <c r="K3921">
        <v>1</v>
      </c>
      <c r="M3921" s="1" t="b">
        <f>Employee__2[[#This Row],[Experience]]&gt;1</f>
        <v>0</v>
      </c>
      <c r="N3921" s="1" t="str">
        <f>IF(Employee__2[[#This Row],[City]]="Pune","Yes","No")</f>
        <v>No</v>
      </c>
      <c r="O3921" s="1" t="str">
        <f>IF(AND(Employee__2[[#This Row],[Education]]="Bachelors",Employee__2[[#This Row],[City]]="Pune"),"Yes","No")</f>
        <v>No</v>
      </c>
      <c r="P3921" s="1" t="str">
        <f>IF(OR(Employee__2[[#This Row],[Age]]&gt;=30,Employee__2[[#This Row],[Gender]]="Male"),"Mached","Not mached")</f>
        <v>Mached</v>
      </c>
    </row>
    <row r="3922" spans="4:16" x14ac:dyDescent="0.25">
      <c r="D3922" s="6" t="s">
        <v>34</v>
      </c>
      <c r="E3922">
        <v>2015</v>
      </c>
      <c r="F3922" s="6" t="s">
        <v>35</v>
      </c>
      <c r="G3922">
        <v>3</v>
      </c>
      <c r="H3922">
        <v>31</v>
      </c>
      <c r="I3922" s="6" t="s">
        <v>36</v>
      </c>
      <c r="J3922" s="6" t="s">
        <v>37</v>
      </c>
      <c r="K3922">
        <v>1</v>
      </c>
      <c r="M3922" s="1" t="b">
        <f>Employee__2[[#This Row],[Experience]]&gt;1</f>
        <v>0</v>
      </c>
      <c r="N3922" s="1" t="str">
        <f>IF(Employee__2[[#This Row],[City]]="Pune","Yes","No")</f>
        <v>No</v>
      </c>
      <c r="O3922" s="1" t="str">
        <f>IF(AND(Employee__2[[#This Row],[Education]]="Bachelors",Employee__2[[#This Row],[City]]="Pune"),"Yes","No")</f>
        <v>No</v>
      </c>
      <c r="P3922" s="1" t="str">
        <f>IF(OR(Employee__2[[#This Row],[Age]]&gt;=30,Employee__2[[#This Row],[Gender]]="Male"),"Mached","Not mached")</f>
        <v>Mached</v>
      </c>
    </row>
    <row r="3923" spans="4:16" x14ac:dyDescent="0.25">
      <c r="D3923" s="6" t="s">
        <v>34</v>
      </c>
      <c r="E3923">
        <v>2015</v>
      </c>
      <c r="F3923" s="6" t="s">
        <v>35</v>
      </c>
      <c r="G3923">
        <v>3</v>
      </c>
      <c r="H3923">
        <v>41</v>
      </c>
      <c r="I3923" s="6" t="s">
        <v>36</v>
      </c>
      <c r="J3923" s="6" t="s">
        <v>37</v>
      </c>
      <c r="K3923">
        <v>4</v>
      </c>
      <c r="M3923" s="1" t="b">
        <f>Employee__2[[#This Row],[Experience]]&gt;1</f>
        <v>1</v>
      </c>
      <c r="N3923" s="1" t="str">
        <f>IF(Employee__2[[#This Row],[City]]="Pune","Yes","No")</f>
        <v>No</v>
      </c>
      <c r="O3923" s="1" t="str">
        <f>IF(AND(Employee__2[[#This Row],[Education]]="Bachelors",Employee__2[[#This Row],[City]]="Pune"),"Yes","No")</f>
        <v>No</v>
      </c>
      <c r="P3923" s="1" t="str">
        <f>IF(OR(Employee__2[[#This Row],[Age]]&gt;=30,Employee__2[[#This Row],[Gender]]="Male"),"Mached","Not mached")</f>
        <v>Mached</v>
      </c>
    </row>
    <row r="3924" spans="4:16" x14ac:dyDescent="0.25">
      <c r="D3924" s="6" t="s">
        <v>34</v>
      </c>
      <c r="E3924">
        <v>2012</v>
      </c>
      <c r="F3924" s="6" t="s">
        <v>35</v>
      </c>
      <c r="G3924">
        <v>3</v>
      </c>
      <c r="H3924">
        <v>33</v>
      </c>
      <c r="I3924" s="6" t="s">
        <v>36</v>
      </c>
      <c r="J3924" s="6" t="s">
        <v>42</v>
      </c>
      <c r="K3924">
        <v>0</v>
      </c>
      <c r="M3924" s="1" t="b">
        <f>Employee__2[[#This Row],[Experience]]&gt;1</f>
        <v>0</v>
      </c>
      <c r="N3924" s="1" t="str">
        <f>IF(Employee__2[[#This Row],[City]]="Pune","Yes","No")</f>
        <v>No</v>
      </c>
      <c r="O3924" s="1" t="str">
        <f>IF(AND(Employee__2[[#This Row],[Education]]="Bachelors",Employee__2[[#This Row],[City]]="Pune"),"Yes","No")</f>
        <v>No</v>
      </c>
      <c r="P3924" s="1" t="str">
        <f>IF(OR(Employee__2[[#This Row],[Age]]&gt;=30,Employee__2[[#This Row],[Gender]]="Male"),"Mached","Not mached")</f>
        <v>Mached</v>
      </c>
    </row>
    <row r="3925" spans="4:16" x14ac:dyDescent="0.25">
      <c r="D3925" s="6" t="s">
        <v>34</v>
      </c>
      <c r="E3925">
        <v>2012</v>
      </c>
      <c r="F3925" s="6" t="s">
        <v>40</v>
      </c>
      <c r="G3925">
        <v>2</v>
      </c>
      <c r="H3925">
        <v>38</v>
      </c>
      <c r="I3925" s="6" t="s">
        <v>39</v>
      </c>
      <c r="J3925" s="6" t="s">
        <v>37</v>
      </c>
      <c r="K3925">
        <v>1</v>
      </c>
      <c r="M3925" s="1" t="b">
        <f>Employee__2[[#This Row],[Experience]]&gt;1</f>
        <v>0</v>
      </c>
      <c r="N3925" s="1" t="str">
        <f>IF(Employee__2[[#This Row],[City]]="Pune","Yes","No")</f>
        <v>No</v>
      </c>
      <c r="O3925" s="1" t="str">
        <f>IF(AND(Employee__2[[#This Row],[Education]]="Bachelors",Employee__2[[#This Row],[City]]="Pune"),"Yes","No")</f>
        <v>No</v>
      </c>
      <c r="P3925" s="1" t="str">
        <f>IF(OR(Employee__2[[#This Row],[Age]]&gt;=30,Employee__2[[#This Row],[Gender]]="Male"),"Mached","Not mached")</f>
        <v>Mached</v>
      </c>
    </row>
    <row r="3926" spans="4:16" x14ac:dyDescent="0.25">
      <c r="D3926" s="6" t="s">
        <v>41</v>
      </c>
      <c r="E3926">
        <v>2012</v>
      </c>
      <c r="F3926" s="6" t="s">
        <v>35</v>
      </c>
      <c r="G3926">
        <v>3</v>
      </c>
      <c r="H3926">
        <v>39</v>
      </c>
      <c r="I3926" s="6" t="s">
        <v>39</v>
      </c>
      <c r="J3926" s="6" t="s">
        <v>37</v>
      </c>
      <c r="K3926">
        <v>3</v>
      </c>
      <c r="M3926" s="1" t="b">
        <f>Employee__2[[#This Row],[Experience]]&gt;1</f>
        <v>1</v>
      </c>
      <c r="N3926" s="1" t="str">
        <f>IF(Employee__2[[#This Row],[City]]="Pune","Yes","No")</f>
        <v>No</v>
      </c>
      <c r="O3926" s="1" t="str">
        <f>IF(AND(Employee__2[[#This Row],[Education]]="Bachelors",Employee__2[[#This Row],[City]]="Pune"),"Yes","No")</f>
        <v>No</v>
      </c>
      <c r="P3926" s="1" t="str">
        <f>IF(OR(Employee__2[[#This Row],[Age]]&gt;=30,Employee__2[[#This Row],[Gender]]="Male"),"Mached","Not mached")</f>
        <v>Mached</v>
      </c>
    </row>
    <row r="3927" spans="4:16" x14ac:dyDescent="0.25">
      <c r="D3927" s="6" t="s">
        <v>34</v>
      </c>
      <c r="E3927">
        <v>2015</v>
      </c>
      <c r="F3927" s="6" t="s">
        <v>35</v>
      </c>
      <c r="G3927">
        <v>1</v>
      </c>
      <c r="H3927">
        <v>36</v>
      </c>
      <c r="I3927" s="6" t="s">
        <v>39</v>
      </c>
      <c r="J3927" s="6" t="s">
        <v>37</v>
      </c>
      <c r="K3927">
        <v>2</v>
      </c>
      <c r="M3927" s="1" t="b">
        <f>Employee__2[[#This Row],[Experience]]&gt;1</f>
        <v>1</v>
      </c>
      <c r="N3927" s="1" t="str">
        <f>IF(Employee__2[[#This Row],[City]]="Pune","Yes","No")</f>
        <v>No</v>
      </c>
      <c r="O3927" s="1" t="str">
        <f>IF(AND(Employee__2[[#This Row],[Education]]="Bachelors",Employee__2[[#This Row],[City]]="Pune"),"Yes","No")</f>
        <v>No</v>
      </c>
      <c r="P3927" s="1" t="str">
        <f>IF(OR(Employee__2[[#This Row],[Age]]&gt;=30,Employee__2[[#This Row],[Gender]]="Male"),"Mached","Not mached")</f>
        <v>Mached</v>
      </c>
    </row>
    <row r="3928" spans="4:16" x14ac:dyDescent="0.25">
      <c r="D3928" s="6" t="s">
        <v>41</v>
      </c>
      <c r="E3928">
        <v>2017</v>
      </c>
      <c r="F3928" s="6" t="s">
        <v>35</v>
      </c>
      <c r="G3928">
        <v>2</v>
      </c>
      <c r="H3928">
        <v>31</v>
      </c>
      <c r="I3928" s="6" t="s">
        <v>36</v>
      </c>
      <c r="J3928" s="6" t="s">
        <v>37</v>
      </c>
      <c r="K3928">
        <v>5</v>
      </c>
      <c r="M3928" s="1" t="b">
        <f>Employee__2[[#This Row],[Experience]]&gt;1</f>
        <v>1</v>
      </c>
      <c r="N3928" s="1" t="str">
        <f>IF(Employee__2[[#This Row],[City]]="Pune","Yes","No")</f>
        <v>No</v>
      </c>
      <c r="O3928" s="1" t="str">
        <f>IF(AND(Employee__2[[#This Row],[Education]]="Bachelors",Employee__2[[#This Row],[City]]="Pune"),"Yes","No")</f>
        <v>No</v>
      </c>
      <c r="P3928" s="1" t="str">
        <f>IF(OR(Employee__2[[#This Row],[Age]]&gt;=30,Employee__2[[#This Row],[Gender]]="Male"),"Mached","Not mached")</f>
        <v>Mached</v>
      </c>
    </row>
    <row r="3929" spans="4:16" x14ac:dyDescent="0.25">
      <c r="D3929" s="6" t="s">
        <v>41</v>
      </c>
      <c r="E3929">
        <v>2017</v>
      </c>
      <c r="F3929" s="6" t="s">
        <v>40</v>
      </c>
      <c r="G3929">
        <v>2</v>
      </c>
      <c r="H3929">
        <v>39</v>
      </c>
      <c r="I3929" s="6" t="s">
        <v>39</v>
      </c>
      <c r="J3929" s="6" t="s">
        <v>37</v>
      </c>
      <c r="K3929">
        <v>2</v>
      </c>
      <c r="M3929" s="1" t="b">
        <f>Employee__2[[#This Row],[Experience]]&gt;1</f>
        <v>1</v>
      </c>
      <c r="N3929" s="1" t="str">
        <f>IF(Employee__2[[#This Row],[City]]="Pune","Yes","No")</f>
        <v>No</v>
      </c>
      <c r="O3929" s="1" t="str">
        <f>IF(AND(Employee__2[[#This Row],[Education]]="Bachelors",Employee__2[[#This Row],[City]]="Pune"),"Yes","No")</f>
        <v>No</v>
      </c>
      <c r="P3929" s="1" t="str">
        <f>IF(OR(Employee__2[[#This Row],[Age]]&gt;=30,Employee__2[[#This Row],[Gender]]="Male"),"Mached","Not mached")</f>
        <v>Mached</v>
      </c>
    </row>
    <row r="3930" spans="4:16" x14ac:dyDescent="0.25">
      <c r="D3930" s="6" t="s">
        <v>41</v>
      </c>
      <c r="E3930">
        <v>2017</v>
      </c>
      <c r="F3930" s="6" t="s">
        <v>40</v>
      </c>
      <c r="G3930">
        <v>3</v>
      </c>
      <c r="H3930">
        <v>41</v>
      </c>
      <c r="I3930" s="6" t="s">
        <v>36</v>
      </c>
      <c r="J3930" s="6" t="s">
        <v>37</v>
      </c>
      <c r="K3930">
        <v>3</v>
      </c>
      <c r="M3930" s="1" t="b">
        <f>Employee__2[[#This Row],[Experience]]&gt;1</f>
        <v>1</v>
      </c>
      <c r="N3930" s="1" t="str">
        <f>IF(Employee__2[[#This Row],[City]]="Pune","Yes","No")</f>
        <v>No</v>
      </c>
      <c r="O3930" s="1" t="str">
        <f>IF(AND(Employee__2[[#This Row],[Education]]="Bachelors",Employee__2[[#This Row],[City]]="Pune"),"Yes","No")</f>
        <v>No</v>
      </c>
      <c r="P3930" s="1" t="str">
        <f>IF(OR(Employee__2[[#This Row],[Age]]&gt;=30,Employee__2[[#This Row],[Gender]]="Male"),"Mached","Not mached")</f>
        <v>Mached</v>
      </c>
    </row>
    <row r="3931" spans="4:16" x14ac:dyDescent="0.25">
      <c r="D3931" s="6" t="s">
        <v>43</v>
      </c>
      <c r="E3931">
        <v>2018</v>
      </c>
      <c r="F3931" s="6" t="s">
        <v>40</v>
      </c>
      <c r="G3931">
        <v>3</v>
      </c>
      <c r="H3931">
        <v>33</v>
      </c>
      <c r="I3931" s="6" t="s">
        <v>39</v>
      </c>
      <c r="J3931" s="6" t="s">
        <v>37</v>
      </c>
      <c r="K3931">
        <v>0</v>
      </c>
      <c r="M3931" s="1" t="b">
        <f>Employee__2[[#This Row],[Experience]]&gt;1</f>
        <v>0</v>
      </c>
      <c r="N3931" s="1" t="str">
        <f>IF(Employee__2[[#This Row],[City]]="Pune","Yes","No")</f>
        <v>No</v>
      </c>
      <c r="O3931" s="1" t="str">
        <f>IF(AND(Employee__2[[#This Row],[Education]]="Bachelors",Employee__2[[#This Row],[City]]="Pune"),"Yes","No")</f>
        <v>No</v>
      </c>
      <c r="P3931" s="1" t="str">
        <f>IF(OR(Employee__2[[#This Row],[Age]]&gt;=30,Employee__2[[#This Row],[Gender]]="Male"),"Mached","Not mached")</f>
        <v>Mached</v>
      </c>
    </row>
    <row r="3932" spans="4:16" x14ac:dyDescent="0.25">
      <c r="D3932" s="6" t="s">
        <v>34</v>
      </c>
      <c r="E3932">
        <v>2015</v>
      </c>
      <c r="F3932" s="6" t="s">
        <v>35</v>
      </c>
      <c r="G3932">
        <v>3</v>
      </c>
      <c r="H3932">
        <v>38</v>
      </c>
      <c r="I3932" s="6" t="s">
        <v>36</v>
      </c>
      <c r="J3932" s="6" t="s">
        <v>37</v>
      </c>
      <c r="K3932">
        <v>1</v>
      </c>
      <c r="M3932" s="1" t="b">
        <f>Employee__2[[#This Row],[Experience]]&gt;1</f>
        <v>0</v>
      </c>
      <c r="N3932" s="1" t="str">
        <f>IF(Employee__2[[#This Row],[City]]="Pune","Yes","No")</f>
        <v>No</v>
      </c>
      <c r="O3932" s="1" t="str">
        <f>IF(AND(Employee__2[[#This Row],[Education]]="Bachelors",Employee__2[[#This Row],[City]]="Pune"),"Yes","No")</f>
        <v>No</v>
      </c>
      <c r="P3932" s="1" t="str">
        <f>IF(OR(Employee__2[[#This Row],[Age]]&gt;=30,Employee__2[[#This Row],[Gender]]="Male"),"Mached","Not mached")</f>
        <v>Mached</v>
      </c>
    </row>
    <row r="3933" spans="4:16" x14ac:dyDescent="0.25">
      <c r="D3933" s="6" t="s">
        <v>34</v>
      </c>
      <c r="E3933">
        <v>2017</v>
      </c>
      <c r="F3933" s="6" t="s">
        <v>38</v>
      </c>
      <c r="G3933">
        <v>2</v>
      </c>
      <c r="H3933">
        <v>31</v>
      </c>
      <c r="I3933" s="6" t="s">
        <v>36</v>
      </c>
      <c r="J3933" s="6" t="s">
        <v>37</v>
      </c>
      <c r="K3933">
        <v>0</v>
      </c>
      <c r="M3933" s="1" t="b">
        <f>Employee__2[[#This Row],[Experience]]&gt;1</f>
        <v>0</v>
      </c>
      <c r="N3933" s="1" t="str">
        <f>IF(Employee__2[[#This Row],[City]]="Pune","Yes","No")</f>
        <v>Yes</v>
      </c>
      <c r="O3933" s="1" t="str">
        <f>IF(AND(Employee__2[[#This Row],[Education]]="Bachelors",Employee__2[[#This Row],[City]]="Pune"),"Yes","No")</f>
        <v>Yes</v>
      </c>
      <c r="P3933" s="1" t="str">
        <f>IF(OR(Employee__2[[#This Row],[Age]]&gt;=30,Employee__2[[#This Row],[Gender]]="Male"),"Mached","Not mached")</f>
        <v>Mached</v>
      </c>
    </row>
    <row r="3934" spans="4:16" x14ac:dyDescent="0.25">
      <c r="D3934" s="6" t="s">
        <v>34</v>
      </c>
      <c r="E3934">
        <v>2014</v>
      </c>
      <c r="F3934" s="6" t="s">
        <v>35</v>
      </c>
      <c r="G3934">
        <v>3</v>
      </c>
      <c r="H3934">
        <v>34</v>
      </c>
      <c r="I3934" s="6" t="s">
        <v>36</v>
      </c>
      <c r="J3934" s="6" t="s">
        <v>37</v>
      </c>
      <c r="K3934">
        <v>4</v>
      </c>
      <c r="M3934" s="1" t="b">
        <f>Employee__2[[#This Row],[Experience]]&gt;1</f>
        <v>1</v>
      </c>
      <c r="N3934" s="1" t="str">
        <f>IF(Employee__2[[#This Row],[City]]="Pune","Yes","No")</f>
        <v>No</v>
      </c>
      <c r="O3934" s="1" t="str">
        <f>IF(AND(Employee__2[[#This Row],[Education]]="Bachelors",Employee__2[[#This Row],[City]]="Pune"),"Yes","No")</f>
        <v>No</v>
      </c>
      <c r="P3934" s="1" t="str">
        <f>IF(OR(Employee__2[[#This Row],[Age]]&gt;=30,Employee__2[[#This Row],[Gender]]="Male"),"Mached","Not mached")</f>
        <v>Mached</v>
      </c>
    </row>
    <row r="3935" spans="4:16" x14ac:dyDescent="0.25">
      <c r="D3935" s="6" t="s">
        <v>34</v>
      </c>
      <c r="E3935">
        <v>2017</v>
      </c>
      <c r="F3935" s="6" t="s">
        <v>35</v>
      </c>
      <c r="G3935">
        <v>3</v>
      </c>
      <c r="H3935">
        <v>40</v>
      </c>
      <c r="I3935" s="6" t="s">
        <v>36</v>
      </c>
      <c r="J3935" s="6" t="s">
        <v>37</v>
      </c>
      <c r="K3935">
        <v>2</v>
      </c>
      <c r="M3935" s="1" t="b">
        <f>Employee__2[[#This Row],[Experience]]&gt;1</f>
        <v>1</v>
      </c>
      <c r="N3935" s="1" t="str">
        <f>IF(Employee__2[[#This Row],[City]]="Pune","Yes","No")</f>
        <v>No</v>
      </c>
      <c r="O3935" s="1" t="str">
        <f>IF(AND(Employee__2[[#This Row],[Education]]="Bachelors",Employee__2[[#This Row],[City]]="Pune"),"Yes","No")</f>
        <v>No</v>
      </c>
      <c r="P3935" s="1" t="str">
        <f>IF(OR(Employee__2[[#This Row],[Age]]&gt;=30,Employee__2[[#This Row],[Gender]]="Male"),"Mached","Not mached")</f>
        <v>Mached</v>
      </c>
    </row>
    <row r="3936" spans="4:16" x14ac:dyDescent="0.25">
      <c r="D3936" s="6" t="s">
        <v>34</v>
      </c>
      <c r="E3936">
        <v>2012</v>
      </c>
      <c r="F3936" s="6" t="s">
        <v>35</v>
      </c>
      <c r="G3936">
        <v>3</v>
      </c>
      <c r="H3936">
        <v>36</v>
      </c>
      <c r="I3936" s="6" t="s">
        <v>36</v>
      </c>
      <c r="J3936" s="6" t="s">
        <v>37</v>
      </c>
      <c r="K3936">
        <v>1</v>
      </c>
      <c r="M3936" s="1" t="b">
        <f>Employee__2[[#This Row],[Experience]]&gt;1</f>
        <v>0</v>
      </c>
      <c r="N3936" s="1" t="str">
        <f>IF(Employee__2[[#This Row],[City]]="Pune","Yes","No")</f>
        <v>No</v>
      </c>
      <c r="O3936" s="1" t="str">
        <f>IF(AND(Employee__2[[#This Row],[Education]]="Bachelors",Employee__2[[#This Row],[City]]="Pune"),"Yes","No")</f>
        <v>No</v>
      </c>
      <c r="P3936" s="1" t="str">
        <f>IF(OR(Employee__2[[#This Row],[Age]]&gt;=30,Employee__2[[#This Row],[Gender]]="Male"),"Mached","Not mached")</f>
        <v>Mached</v>
      </c>
    </row>
    <row r="3937" spans="4:16" x14ac:dyDescent="0.25">
      <c r="D3937" s="6" t="s">
        <v>34</v>
      </c>
      <c r="E3937">
        <v>2015</v>
      </c>
      <c r="F3937" s="6" t="s">
        <v>35</v>
      </c>
      <c r="G3937">
        <v>3</v>
      </c>
      <c r="H3937">
        <v>36</v>
      </c>
      <c r="I3937" s="6" t="s">
        <v>39</v>
      </c>
      <c r="J3937" s="6" t="s">
        <v>37</v>
      </c>
      <c r="K3937">
        <v>2</v>
      </c>
      <c r="M3937" s="1" t="b">
        <f>Employee__2[[#This Row],[Experience]]&gt;1</f>
        <v>1</v>
      </c>
      <c r="N3937" s="1" t="str">
        <f>IF(Employee__2[[#This Row],[City]]="Pune","Yes","No")</f>
        <v>No</v>
      </c>
      <c r="O3937" s="1" t="str">
        <f>IF(AND(Employee__2[[#This Row],[Education]]="Bachelors",Employee__2[[#This Row],[City]]="Pune"),"Yes","No")</f>
        <v>No</v>
      </c>
      <c r="P3937" s="1" t="str">
        <f>IF(OR(Employee__2[[#This Row],[Age]]&gt;=30,Employee__2[[#This Row],[Gender]]="Male"),"Mached","Not mached")</f>
        <v>Mached</v>
      </c>
    </row>
    <row r="3938" spans="4:16" x14ac:dyDescent="0.25">
      <c r="D3938" s="6" t="s">
        <v>34</v>
      </c>
      <c r="E3938">
        <v>2017</v>
      </c>
      <c r="F3938" s="6" t="s">
        <v>40</v>
      </c>
      <c r="G3938">
        <v>2</v>
      </c>
      <c r="H3938">
        <v>41</v>
      </c>
      <c r="I3938" s="6" t="s">
        <v>39</v>
      </c>
      <c r="J3938" s="6" t="s">
        <v>37</v>
      </c>
      <c r="K3938">
        <v>4</v>
      </c>
      <c r="M3938" s="1" t="b">
        <f>Employee__2[[#This Row],[Experience]]&gt;1</f>
        <v>1</v>
      </c>
      <c r="N3938" s="1" t="str">
        <f>IF(Employee__2[[#This Row],[City]]="Pune","Yes","No")</f>
        <v>No</v>
      </c>
      <c r="O3938" s="1" t="str">
        <f>IF(AND(Employee__2[[#This Row],[Education]]="Bachelors",Employee__2[[#This Row],[City]]="Pune"),"Yes","No")</f>
        <v>No</v>
      </c>
      <c r="P3938" s="1" t="str">
        <f>IF(OR(Employee__2[[#This Row],[Age]]&gt;=30,Employee__2[[#This Row],[Gender]]="Male"),"Mached","Not mached")</f>
        <v>Mached</v>
      </c>
    </row>
    <row r="3939" spans="4:16" x14ac:dyDescent="0.25">
      <c r="D3939" s="6" t="s">
        <v>34</v>
      </c>
      <c r="E3939">
        <v>2017</v>
      </c>
      <c r="F3939" s="6" t="s">
        <v>35</v>
      </c>
      <c r="G3939">
        <v>3</v>
      </c>
      <c r="H3939">
        <v>37</v>
      </c>
      <c r="I3939" s="6" t="s">
        <v>36</v>
      </c>
      <c r="J3939" s="6" t="s">
        <v>37</v>
      </c>
      <c r="K3939">
        <v>3</v>
      </c>
      <c r="M3939" s="1" t="b">
        <f>Employee__2[[#This Row],[Experience]]&gt;1</f>
        <v>1</v>
      </c>
      <c r="N3939" s="1" t="str">
        <f>IF(Employee__2[[#This Row],[City]]="Pune","Yes","No")</f>
        <v>No</v>
      </c>
      <c r="O3939" s="1" t="str">
        <f>IF(AND(Employee__2[[#This Row],[Education]]="Bachelors",Employee__2[[#This Row],[City]]="Pune"),"Yes","No")</f>
        <v>No</v>
      </c>
      <c r="P3939" s="1" t="str">
        <f>IF(OR(Employee__2[[#This Row],[Age]]&gt;=30,Employee__2[[#This Row],[Gender]]="Male"),"Mached","Not mached")</f>
        <v>Mached</v>
      </c>
    </row>
    <row r="3940" spans="4:16" x14ac:dyDescent="0.25">
      <c r="D3940" s="6" t="s">
        <v>34</v>
      </c>
      <c r="E3940">
        <v>2017</v>
      </c>
      <c r="F3940" s="6" t="s">
        <v>40</v>
      </c>
      <c r="G3940">
        <v>3</v>
      </c>
      <c r="H3940">
        <v>33</v>
      </c>
      <c r="I3940" s="6" t="s">
        <v>36</v>
      </c>
      <c r="J3940" s="6" t="s">
        <v>37</v>
      </c>
      <c r="K3940">
        <v>5</v>
      </c>
      <c r="M3940" s="1" t="b">
        <f>Employee__2[[#This Row],[Experience]]&gt;1</f>
        <v>1</v>
      </c>
      <c r="N3940" s="1" t="str">
        <f>IF(Employee__2[[#This Row],[City]]="Pune","Yes","No")</f>
        <v>No</v>
      </c>
      <c r="O3940" s="1" t="str">
        <f>IF(AND(Employee__2[[#This Row],[Education]]="Bachelors",Employee__2[[#This Row],[City]]="Pune"),"Yes","No")</f>
        <v>No</v>
      </c>
      <c r="P3940" s="1" t="str">
        <f>IF(OR(Employee__2[[#This Row],[Age]]&gt;=30,Employee__2[[#This Row],[Gender]]="Male"),"Mached","Not mached")</f>
        <v>Mached</v>
      </c>
    </row>
    <row r="3941" spans="4:16" x14ac:dyDescent="0.25">
      <c r="D3941" s="6" t="s">
        <v>34</v>
      </c>
      <c r="E3941">
        <v>2017</v>
      </c>
      <c r="F3941" s="6" t="s">
        <v>40</v>
      </c>
      <c r="G3941">
        <v>3</v>
      </c>
      <c r="H3941">
        <v>41</v>
      </c>
      <c r="I3941" s="6" t="s">
        <v>39</v>
      </c>
      <c r="J3941" s="6" t="s">
        <v>37</v>
      </c>
      <c r="K3941">
        <v>4</v>
      </c>
      <c r="M3941" s="1" t="b">
        <f>Employee__2[[#This Row],[Experience]]&gt;1</f>
        <v>1</v>
      </c>
      <c r="N3941" s="1" t="str">
        <f>IF(Employee__2[[#This Row],[City]]="Pune","Yes","No")</f>
        <v>No</v>
      </c>
      <c r="O3941" s="1" t="str">
        <f>IF(AND(Employee__2[[#This Row],[Education]]="Bachelors",Employee__2[[#This Row],[City]]="Pune"),"Yes","No")</f>
        <v>No</v>
      </c>
      <c r="P3941" s="1" t="str">
        <f>IF(OR(Employee__2[[#This Row],[Age]]&gt;=30,Employee__2[[#This Row],[Gender]]="Male"),"Mached","Not mached")</f>
        <v>Mached</v>
      </c>
    </row>
    <row r="3942" spans="4:16" x14ac:dyDescent="0.25">
      <c r="D3942" s="6" t="s">
        <v>34</v>
      </c>
      <c r="E3942">
        <v>2017</v>
      </c>
      <c r="F3942" s="6" t="s">
        <v>35</v>
      </c>
      <c r="G3942">
        <v>3</v>
      </c>
      <c r="H3942">
        <v>37</v>
      </c>
      <c r="I3942" s="6" t="s">
        <v>39</v>
      </c>
      <c r="J3942" s="6" t="s">
        <v>37</v>
      </c>
      <c r="K3942">
        <v>2</v>
      </c>
      <c r="M3942" s="1" t="b">
        <f>Employee__2[[#This Row],[Experience]]&gt;1</f>
        <v>1</v>
      </c>
      <c r="N3942" s="1" t="str">
        <f>IF(Employee__2[[#This Row],[City]]="Pune","Yes","No")</f>
        <v>No</v>
      </c>
      <c r="O3942" s="1" t="str">
        <f>IF(AND(Employee__2[[#This Row],[Education]]="Bachelors",Employee__2[[#This Row],[City]]="Pune"),"Yes","No")</f>
        <v>No</v>
      </c>
      <c r="P3942" s="1" t="str">
        <f>IF(OR(Employee__2[[#This Row],[Age]]&gt;=30,Employee__2[[#This Row],[Gender]]="Male"),"Mached","Not mached")</f>
        <v>Mached</v>
      </c>
    </row>
    <row r="3943" spans="4:16" x14ac:dyDescent="0.25">
      <c r="D3943" s="6" t="s">
        <v>34</v>
      </c>
      <c r="E3943">
        <v>2017</v>
      </c>
      <c r="F3943" s="6" t="s">
        <v>38</v>
      </c>
      <c r="G3943">
        <v>3</v>
      </c>
      <c r="H3943">
        <v>38</v>
      </c>
      <c r="I3943" s="6" t="s">
        <v>36</v>
      </c>
      <c r="J3943" s="6" t="s">
        <v>42</v>
      </c>
      <c r="K3943">
        <v>5</v>
      </c>
      <c r="M3943" s="1" t="b">
        <f>Employee__2[[#This Row],[Experience]]&gt;1</f>
        <v>1</v>
      </c>
      <c r="N3943" s="1" t="str">
        <f>IF(Employee__2[[#This Row],[City]]="Pune","Yes","No")</f>
        <v>Yes</v>
      </c>
      <c r="O3943" s="1" t="str">
        <f>IF(AND(Employee__2[[#This Row],[Education]]="Bachelors",Employee__2[[#This Row],[City]]="Pune"),"Yes","No")</f>
        <v>Yes</v>
      </c>
      <c r="P3943" s="1" t="str">
        <f>IF(OR(Employee__2[[#This Row],[Age]]&gt;=30,Employee__2[[#This Row],[Gender]]="Male"),"Mached","Not mached")</f>
        <v>Mached</v>
      </c>
    </row>
    <row r="3944" spans="4:16" x14ac:dyDescent="0.25">
      <c r="D3944" s="6" t="s">
        <v>34</v>
      </c>
      <c r="E3944">
        <v>2015</v>
      </c>
      <c r="F3944" s="6" t="s">
        <v>35</v>
      </c>
      <c r="G3944">
        <v>3</v>
      </c>
      <c r="H3944">
        <v>34</v>
      </c>
      <c r="I3944" s="6" t="s">
        <v>36</v>
      </c>
      <c r="J3944" s="6" t="s">
        <v>37</v>
      </c>
      <c r="K3944">
        <v>2</v>
      </c>
      <c r="M3944" s="1" t="b">
        <f>Employee__2[[#This Row],[Experience]]&gt;1</f>
        <v>1</v>
      </c>
      <c r="N3944" s="1" t="str">
        <f>IF(Employee__2[[#This Row],[City]]="Pune","Yes","No")</f>
        <v>No</v>
      </c>
      <c r="O3944" s="1" t="str">
        <f>IF(AND(Employee__2[[#This Row],[Education]]="Bachelors",Employee__2[[#This Row],[City]]="Pune"),"Yes","No")</f>
        <v>No</v>
      </c>
      <c r="P3944" s="1" t="str">
        <f>IF(OR(Employee__2[[#This Row],[Age]]&gt;=30,Employee__2[[#This Row],[Gender]]="Male"),"Mached","Not mached")</f>
        <v>Mached</v>
      </c>
    </row>
    <row r="3945" spans="4:16" x14ac:dyDescent="0.25">
      <c r="D3945" s="6" t="s">
        <v>34</v>
      </c>
      <c r="E3945">
        <v>2017</v>
      </c>
      <c r="F3945" s="6" t="s">
        <v>38</v>
      </c>
      <c r="G3945">
        <v>3</v>
      </c>
      <c r="H3945">
        <v>37</v>
      </c>
      <c r="I3945" s="6" t="s">
        <v>39</v>
      </c>
      <c r="J3945" s="6" t="s">
        <v>37</v>
      </c>
      <c r="K3945">
        <v>0</v>
      </c>
      <c r="M3945" s="1" t="b">
        <f>Employee__2[[#This Row],[Experience]]&gt;1</f>
        <v>0</v>
      </c>
      <c r="N3945" s="1" t="str">
        <f>IF(Employee__2[[#This Row],[City]]="Pune","Yes","No")</f>
        <v>Yes</v>
      </c>
      <c r="O3945" s="1" t="str">
        <f>IF(AND(Employee__2[[#This Row],[Education]]="Bachelors",Employee__2[[#This Row],[City]]="Pune"),"Yes","No")</f>
        <v>Yes</v>
      </c>
      <c r="P3945" s="1" t="str">
        <f>IF(OR(Employee__2[[#This Row],[Age]]&gt;=30,Employee__2[[#This Row],[Gender]]="Male"),"Mached","Not mached")</f>
        <v>Mached</v>
      </c>
    </row>
    <row r="3946" spans="4:16" x14ac:dyDescent="0.25">
      <c r="D3946" s="6" t="s">
        <v>34</v>
      </c>
      <c r="E3946">
        <v>2014</v>
      </c>
      <c r="F3946" s="6" t="s">
        <v>35</v>
      </c>
      <c r="G3946">
        <v>3</v>
      </c>
      <c r="H3946">
        <v>34</v>
      </c>
      <c r="I3946" s="6" t="s">
        <v>36</v>
      </c>
      <c r="J3946" s="6" t="s">
        <v>37</v>
      </c>
      <c r="K3946">
        <v>0</v>
      </c>
      <c r="M3946" s="1" t="b">
        <f>Employee__2[[#This Row],[Experience]]&gt;1</f>
        <v>0</v>
      </c>
      <c r="N3946" s="1" t="str">
        <f>IF(Employee__2[[#This Row],[City]]="Pune","Yes","No")</f>
        <v>No</v>
      </c>
      <c r="O3946" s="1" t="str">
        <f>IF(AND(Employee__2[[#This Row],[Education]]="Bachelors",Employee__2[[#This Row],[City]]="Pune"),"Yes","No")</f>
        <v>No</v>
      </c>
      <c r="P3946" s="1" t="str">
        <f>IF(OR(Employee__2[[#This Row],[Age]]&gt;=30,Employee__2[[#This Row],[Gender]]="Male"),"Mached","Not mached")</f>
        <v>Mached</v>
      </c>
    </row>
    <row r="3947" spans="4:16" x14ac:dyDescent="0.25">
      <c r="D3947" s="6" t="s">
        <v>34</v>
      </c>
      <c r="E3947">
        <v>2012</v>
      </c>
      <c r="F3947" s="6" t="s">
        <v>38</v>
      </c>
      <c r="G3947">
        <v>3</v>
      </c>
      <c r="H3947">
        <v>32</v>
      </c>
      <c r="I3947" s="6" t="s">
        <v>36</v>
      </c>
      <c r="J3947" s="6" t="s">
        <v>37</v>
      </c>
      <c r="K3947">
        <v>1</v>
      </c>
      <c r="M3947" s="1" t="b">
        <f>Employee__2[[#This Row],[Experience]]&gt;1</f>
        <v>0</v>
      </c>
      <c r="N3947" s="1" t="str">
        <f>IF(Employee__2[[#This Row],[City]]="Pune","Yes","No")</f>
        <v>Yes</v>
      </c>
      <c r="O3947" s="1" t="str">
        <f>IF(AND(Employee__2[[#This Row],[Education]]="Bachelors",Employee__2[[#This Row],[City]]="Pune"),"Yes","No")</f>
        <v>Yes</v>
      </c>
      <c r="P3947" s="1" t="str">
        <f>IF(OR(Employee__2[[#This Row],[Age]]&gt;=30,Employee__2[[#This Row],[Gender]]="Male"),"Mached","Not mached")</f>
        <v>Mached</v>
      </c>
    </row>
    <row r="3948" spans="4:16" x14ac:dyDescent="0.25">
      <c r="D3948" s="6" t="s">
        <v>41</v>
      </c>
      <c r="E3948">
        <v>2012</v>
      </c>
      <c r="F3948" s="6" t="s">
        <v>40</v>
      </c>
      <c r="G3948">
        <v>3</v>
      </c>
      <c r="H3948">
        <v>35</v>
      </c>
      <c r="I3948" s="6" t="s">
        <v>39</v>
      </c>
      <c r="J3948" s="6" t="s">
        <v>37</v>
      </c>
      <c r="K3948">
        <v>4</v>
      </c>
      <c r="M3948" s="1" t="b">
        <f>Employee__2[[#This Row],[Experience]]&gt;1</f>
        <v>1</v>
      </c>
      <c r="N3948" s="1" t="str">
        <f>IF(Employee__2[[#This Row],[City]]="Pune","Yes","No")</f>
        <v>No</v>
      </c>
      <c r="O3948" s="1" t="str">
        <f>IF(AND(Employee__2[[#This Row],[Education]]="Bachelors",Employee__2[[#This Row],[City]]="Pune"),"Yes","No")</f>
        <v>No</v>
      </c>
      <c r="P3948" s="1" t="str">
        <f>IF(OR(Employee__2[[#This Row],[Age]]&gt;=30,Employee__2[[#This Row],[Gender]]="Male"),"Mached","Not mached")</f>
        <v>Mached</v>
      </c>
    </row>
    <row r="3949" spans="4:16" x14ac:dyDescent="0.25">
      <c r="D3949" s="6" t="s">
        <v>34</v>
      </c>
      <c r="E3949">
        <v>2013</v>
      </c>
      <c r="F3949" s="6" t="s">
        <v>38</v>
      </c>
      <c r="G3949">
        <v>3</v>
      </c>
      <c r="H3949">
        <v>36</v>
      </c>
      <c r="I3949" s="6" t="s">
        <v>36</v>
      </c>
      <c r="J3949" s="6" t="s">
        <v>37</v>
      </c>
      <c r="K3949">
        <v>3</v>
      </c>
      <c r="M3949" s="1" t="b">
        <f>Employee__2[[#This Row],[Experience]]&gt;1</f>
        <v>1</v>
      </c>
      <c r="N3949" s="1" t="str">
        <f>IF(Employee__2[[#This Row],[City]]="Pune","Yes","No")</f>
        <v>Yes</v>
      </c>
      <c r="O3949" s="1" t="str">
        <f>IF(AND(Employee__2[[#This Row],[Education]]="Bachelors",Employee__2[[#This Row],[City]]="Pune"),"Yes","No")</f>
        <v>Yes</v>
      </c>
      <c r="P3949" s="1" t="str">
        <f>IF(OR(Employee__2[[#This Row],[Age]]&gt;=30,Employee__2[[#This Row],[Gender]]="Male"),"Mached","Not mached")</f>
        <v>Mached</v>
      </c>
    </row>
    <row r="3950" spans="4:16" x14ac:dyDescent="0.25">
      <c r="D3950" s="6" t="s">
        <v>34</v>
      </c>
      <c r="E3950">
        <v>2015</v>
      </c>
      <c r="F3950" s="6" t="s">
        <v>35</v>
      </c>
      <c r="G3950">
        <v>3</v>
      </c>
      <c r="H3950">
        <v>34</v>
      </c>
      <c r="I3950" s="6" t="s">
        <v>39</v>
      </c>
      <c r="J3950" s="6" t="s">
        <v>37</v>
      </c>
      <c r="K3950">
        <v>2</v>
      </c>
      <c r="M3950" s="1" t="b">
        <f>Employee__2[[#This Row],[Experience]]&gt;1</f>
        <v>1</v>
      </c>
      <c r="N3950" s="1" t="str">
        <f>IF(Employee__2[[#This Row],[City]]="Pune","Yes","No")</f>
        <v>No</v>
      </c>
      <c r="O3950" s="1" t="str">
        <f>IF(AND(Employee__2[[#This Row],[Education]]="Bachelors",Employee__2[[#This Row],[City]]="Pune"),"Yes","No")</f>
        <v>No</v>
      </c>
      <c r="P3950" s="1" t="str">
        <f>IF(OR(Employee__2[[#This Row],[Age]]&gt;=30,Employee__2[[#This Row],[Gender]]="Male"),"Mached","Not mached")</f>
        <v>Mached</v>
      </c>
    </row>
    <row r="3951" spans="4:16" x14ac:dyDescent="0.25">
      <c r="D3951" s="6" t="s">
        <v>34</v>
      </c>
      <c r="E3951">
        <v>2014</v>
      </c>
      <c r="F3951" s="6" t="s">
        <v>35</v>
      </c>
      <c r="G3951">
        <v>3</v>
      </c>
      <c r="H3951">
        <v>37</v>
      </c>
      <c r="I3951" s="6" t="s">
        <v>39</v>
      </c>
      <c r="J3951" s="6" t="s">
        <v>37</v>
      </c>
      <c r="K3951">
        <v>3</v>
      </c>
      <c r="M3951" s="1" t="b">
        <f>Employee__2[[#This Row],[Experience]]&gt;1</f>
        <v>1</v>
      </c>
      <c r="N3951" s="1" t="str">
        <f>IF(Employee__2[[#This Row],[City]]="Pune","Yes","No")</f>
        <v>No</v>
      </c>
      <c r="O3951" s="1" t="str">
        <f>IF(AND(Employee__2[[#This Row],[Education]]="Bachelors",Employee__2[[#This Row],[City]]="Pune"),"Yes","No")</f>
        <v>No</v>
      </c>
      <c r="P3951" s="1" t="str">
        <f>IF(OR(Employee__2[[#This Row],[Age]]&gt;=30,Employee__2[[#This Row],[Gender]]="Male"),"Mached","Not mached")</f>
        <v>Mached</v>
      </c>
    </row>
    <row r="3952" spans="4:16" x14ac:dyDescent="0.25">
      <c r="D3952" s="6" t="s">
        <v>34</v>
      </c>
      <c r="E3952">
        <v>2016</v>
      </c>
      <c r="F3952" s="6" t="s">
        <v>35</v>
      </c>
      <c r="G3952">
        <v>3</v>
      </c>
      <c r="H3952">
        <v>40</v>
      </c>
      <c r="I3952" s="6" t="s">
        <v>39</v>
      </c>
      <c r="J3952" s="6" t="s">
        <v>42</v>
      </c>
      <c r="K3952">
        <v>4</v>
      </c>
      <c r="M3952" s="1" t="b">
        <f>Employee__2[[#This Row],[Experience]]&gt;1</f>
        <v>1</v>
      </c>
      <c r="N3952" s="1" t="str">
        <f>IF(Employee__2[[#This Row],[City]]="Pune","Yes","No")</f>
        <v>No</v>
      </c>
      <c r="O3952" s="1" t="str">
        <f>IF(AND(Employee__2[[#This Row],[Education]]="Bachelors",Employee__2[[#This Row],[City]]="Pune"),"Yes","No")</f>
        <v>No</v>
      </c>
      <c r="P3952" s="1" t="str">
        <f>IF(OR(Employee__2[[#This Row],[Age]]&gt;=30,Employee__2[[#This Row],[Gender]]="Male"),"Mached","Not mached")</f>
        <v>Mached</v>
      </c>
    </row>
    <row r="3953" spans="4:16" x14ac:dyDescent="0.25">
      <c r="D3953" s="6" t="s">
        <v>34</v>
      </c>
      <c r="E3953">
        <v>2014</v>
      </c>
      <c r="F3953" s="6" t="s">
        <v>38</v>
      </c>
      <c r="G3953">
        <v>3</v>
      </c>
      <c r="H3953">
        <v>33</v>
      </c>
      <c r="I3953" s="6" t="s">
        <v>36</v>
      </c>
      <c r="J3953" s="6" t="s">
        <v>37</v>
      </c>
      <c r="K3953">
        <v>4</v>
      </c>
      <c r="M3953" s="1" t="b">
        <f>Employee__2[[#This Row],[Experience]]&gt;1</f>
        <v>1</v>
      </c>
      <c r="N3953" s="1" t="str">
        <f>IF(Employee__2[[#This Row],[City]]="Pune","Yes","No")</f>
        <v>Yes</v>
      </c>
      <c r="O3953" s="1" t="str">
        <f>IF(AND(Employee__2[[#This Row],[Education]]="Bachelors",Employee__2[[#This Row],[City]]="Pune"),"Yes","No")</f>
        <v>Yes</v>
      </c>
      <c r="P3953" s="1" t="str">
        <f>IF(OR(Employee__2[[#This Row],[Age]]&gt;=30,Employee__2[[#This Row],[Gender]]="Male"),"Mached","Not mached")</f>
        <v>Mached</v>
      </c>
    </row>
    <row r="3954" spans="4:16" x14ac:dyDescent="0.25">
      <c r="D3954" s="6" t="s">
        <v>34</v>
      </c>
      <c r="E3954">
        <v>2016</v>
      </c>
      <c r="F3954" s="6" t="s">
        <v>35</v>
      </c>
      <c r="G3954">
        <v>3</v>
      </c>
      <c r="H3954">
        <v>39</v>
      </c>
      <c r="I3954" s="6" t="s">
        <v>39</v>
      </c>
      <c r="J3954" s="6" t="s">
        <v>37</v>
      </c>
      <c r="K3954">
        <v>4</v>
      </c>
      <c r="M3954" s="1" t="b">
        <f>Employee__2[[#This Row],[Experience]]&gt;1</f>
        <v>1</v>
      </c>
      <c r="N3954" s="1" t="str">
        <f>IF(Employee__2[[#This Row],[City]]="Pune","Yes","No")</f>
        <v>No</v>
      </c>
      <c r="O3954" s="1" t="str">
        <f>IF(AND(Employee__2[[#This Row],[Education]]="Bachelors",Employee__2[[#This Row],[City]]="Pune"),"Yes","No")</f>
        <v>No</v>
      </c>
      <c r="P3954" s="1" t="str">
        <f>IF(OR(Employee__2[[#This Row],[Age]]&gt;=30,Employee__2[[#This Row],[Gender]]="Male"),"Mached","Not mached")</f>
        <v>Mached</v>
      </c>
    </row>
    <row r="3955" spans="4:16" x14ac:dyDescent="0.25">
      <c r="D3955" s="6" t="s">
        <v>34</v>
      </c>
      <c r="E3955">
        <v>2012</v>
      </c>
      <c r="F3955" s="6" t="s">
        <v>35</v>
      </c>
      <c r="G3955">
        <v>3</v>
      </c>
      <c r="H3955">
        <v>40</v>
      </c>
      <c r="I3955" s="6" t="s">
        <v>36</v>
      </c>
      <c r="J3955" s="6" t="s">
        <v>37</v>
      </c>
      <c r="K3955">
        <v>4</v>
      </c>
      <c r="M3955" s="1" t="b">
        <f>Employee__2[[#This Row],[Experience]]&gt;1</f>
        <v>1</v>
      </c>
      <c r="N3955" s="1" t="str">
        <f>IF(Employee__2[[#This Row],[City]]="Pune","Yes","No")</f>
        <v>No</v>
      </c>
      <c r="O3955" s="1" t="str">
        <f>IF(AND(Employee__2[[#This Row],[Education]]="Bachelors",Employee__2[[#This Row],[City]]="Pune"),"Yes","No")</f>
        <v>No</v>
      </c>
      <c r="P3955" s="1" t="str">
        <f>IF(OR(Employee__2[[#This Row],[Age]]&gt;=30,Employee__2[[#This Row],[Gender]]="Male"),"Mached","Not mached")</f>
        <v>Mached</v>
      </c>
    </row>
    <row r="3956" spans="4:16" x14ac:dyDescent="0.25">
      <c r="D3956" s="6" t="s">
        <v>34</v>
      </c>
      <c r="E3956">
        <v>2013</v>
      </c>
      <c r="F3956" s="6" t="s">
        <v>35</v>
      </c>
      <c r="G3956">
        <v>1</v>
      </c>
      <c r="H3956">
        <v>34</v>
      </c>
      <c r="I3956" s="6" t="s">
        <v>36</v>
      </c>
      <c r="J3956" s="6" t="s">
        <v>37</v>
      </c>
      <c r="K3956">
        <v>4</v>
      </c>
      <c r="M3956" s="1" t="b">
        <f>Employee__2[[#This Row],[Experience]]&gt;1</f>
        <v>1</v>
      </c>
      <c r="N3956" s="1" t="str">
        <f>IF(Employee__2[[#This Row],[City]]="Pune","Yes","No")</f>
        <v>No</v>
      </c>
      <c r="O3956" s="1" t="str">
        <f>IF(AND(Employee__2[[#This Row],[Education]]="Bachelors",Employee__2[[#This Row],[City]]="Pune"),"Yes","No")</f>
        <v>No</v>
      </c>
      <c r="P3956" s="1" t="str">
        <f>IF(OR(Employee__2[[#This Row],[Age]]&gt;=30,Employee__2[[#This Row],[Gender]]="Male"),"Mached","Not mached")</f>
        <v>Mached</v>
      </c>
    </row>
    <row r="3957" spans="4:16" x14ac:dyDescent="0.25">
      <c r="D3957" s="6" t="s">
        <v>34</v>
      </c>
      <c r="E3957">
        <v>2016</v>
      </c>
      <c r="F3957" s="6" t="s">
        <v>38</v>
      </c>
      <c r="G3957">
        <v>3</v>
      </c>
      <c r="H3957">
        <v>40</v>
      </c>
      <c r="I3957" s="6" t="s">
        <v>36</v>
      </c>
      <c r="J3957" s="6" t="s">
        <v>37</v>
      </c>
      <c r="K3957">
        <v>5</v>
      </c>
      <c r="M3957" s="1" t="b">
        <f>Employee__2[[#This Row],[Experience]]&gt;1</f>
        <v>1</v>
      </c>
      <c r="N3957" s="1" t="str">
        <f>IF(Employee__2[[#This Row],[City]]="Pune","Yes","No")</f>
        <v>Yes</v>
      </c>
      <c r="O3957" s="1" t="str">
        <f>IF(AND(Employee__2[[#This Row],[Education]]="Bachelors",Employee__2[[#This Row],[City]]="Pune"),"Yes","No")</f>
        <v>Yes</v>
      </c>
      <c r="P3957" s="1" t="str">
        <f>IF(OR(Employee__2[[#This Row],[Age]]&gt;=30,Employee__2[[#This Row],[Gender]]="Male"),"Mached","Not mached")</f>
        <v>Mached</v>
      </c>
    </row>
    <row r="3958" spans="4:16" x14ac:dyDescent="0.25">
      <c r="D3958" s="6" t="s">
        <v>43</v>
      </c>
      <c r="E3958">
        <v>2013</v>
      </c>
      <c r="F3958" s="6" t="s">
        <v>35</v>
      </c>
      <c r="G3958">
        <v>3</v>
      </c>
      <c r="H3958">
        <v>32</v>
      </c>
      <c r="I3958" s="6" t="s">
        <v>36</v>
      </c>
      <c r="J3958" s="6" t="s">
        <v>37</v>
      </c>
      <c r="K3958">
        <v>5</v>
      </c>
      <c r="M3958" s="1" t="b">
        <f>Employee__2[[#This Row],[Experience]]&gt;1</f>
        <v>1</v>
      </c>
      <c r="N3958" s="1" t="str">
        <f>IF(Employee__2[[#This Row],[City]]="Pune","Yes","No")</f>
        <v>No</v>
      </c>
      <c r="O3958" s="1" t="str">
        <f>IF(AND(Employee__2[[#This Row],[Education]]="Bachelors",Employee__2[[#This Row],[City]]="Pune"),"Yes","No")</f>
        <v>No</v>
      </c>
      <c r="P3958" s="1" t="str">
        <f>IF(OR(Employee__2[[#This Row],[Age]]&gt;=30,Employee__2[[#This Row],[Gender]]="Male"),"Mached","Not mached")</f>
        <v>Mached</v>
      </c>
    </row>
    <row r="3959" spans="4:16" x14ac:dyDescent="0.25">
      <c r="D3959" s="6" t="s">
        <v>34</v>
      </c>
      <c r="E3959">
        <v>2012</v>
      </c>
      <c r="F3959" s="6" t="s">
        <v>35</v>
      </c>
      <c r="G3959">
        <v>3</v>
      </c>
      <c r="H3959">
        <v>33</v>
      </c>
      <c r="I3959" s="6" t="s">
        <v>36</v>
      </c>
      <c r="J3959" s="6" t="s">
        <v>37</v>
      </c>
      <c r="K3959">
        <v>1</v>
      </c>
      <c r="M3959" s="1" t="b">
        <f>Employee__2[[#This Row],[Experience]]&gt;1</f>
        <v>0</v>
      </c>
      <c r="N3959" s="1" t="str">
        <f>IF(Employee__2[[#This Row],[City]]="Pune","Yes","No")</f>
        <v>No</v>
      </c>
      <c r="O3959" s="1" t="str">
        <f>IF(AND(Employee__2[[#This Row],[Education]]="Bachelors",Employee__2[[#This Row],[City]]="Pune"),"Yes","No")</f>
        <v>No</v>
      </c>
      <c r="P3959" s="1" t="str">
        <f>IF(OR(Employee__2[[#This Row],[Age]]&gt;=30,Employee__2[[#This Row],[Gender]]="Male"),"Mached","Not mached")</f>
        <v>Mached</v>
      </c>
    </row>
    <row r="3960" spans="4:16" x14ac:dyDescent="0.25">
      <c r="D3960" s="6" t="s">
        <v>34</v>
      </c>
      <c r="E3960">
        <v>2017</v>
      </c>
      <c r="F3960" s="6" t="s">
        <v>40</v>
      </c>
      <c r="G3960">
        <v>1</v>
      </c>
      <c r="H3960">
        <v>31</v>
      </c>
      <c r="I3960" s="6" t="s">
        <v>39</v>
      </c>
      <c r="J3960" s="6" t="s">
        <v>37</v>
      </c>
      <c r="K3960">
        <v>4</v>
      </c>
      <c r="M3960" s="1" t="b">
        <f>Employee__2[[#This Row],[Experience]]&gt;1</f>
        <v>1</v>
      </c>
      <c r="N3960" s="1" t="str">
        <f>IF(Employee__2[[#This Row],[City]]="Pune","Yes","No")</f>
        <v>No</v>
      </c>
      <c r="O3960" s="1" t="str">
        <f>IF(AND(Employee__2[[#This Row],[Education]]="Bachelors",Employee__2[[#This Row],[City]]="Pune"),"Yes","No")</f>
        <v>No</v>
      </c>
      <c r="P3960" s="1" t="str">
        <f>IF(OR(Employee__2[[#This Row],[Age]]&gt;=30,Employee__2[[#This Row],[Gender]]="Male"),"Mached","Not mached")</f>
        <v>Mached</v>
      </c>
    </row>
    <row r="3961" spans="4:16" x14ac:dyDescent="0.25">
      <c r="D3961" s="6" t="s">
        <v>41</v>
      </c>
      <c r="E3961">
        <v>2016</v>
      </c>
      <c r="F3961" s="6" t="s">
        <v>40</v>
      </c>
      <c r="G3961">
        <v>3</v>
      </c>
      <c r="H3961">
        <v>41</v>
      </c>
      <c r="I3961" s="6" t="s">
        <v>39</v>
      </c>
      <c r="J3961" s="6" t="s">
        <v>37</v>
      </c>
      <c r="K3961">
        <v>4</v>
      </c>
      <c r="M3961" s="1" t="b">
        <f>Employee__2[[#This Row],[Experience]]&gt;1</f>
        <v>1</v>
      </c>
      <c r="N3961" s="1" t="str">
        <f>IF(Employee__2[[#This Row],[City]]="Pune","Yes","No")</f>
        <v>No</v>
      </c>
      <c r="O3961" s="1" t="str">
        <f>IF(AND(Employee__2[[#This Row],[Education]]="Bachelors",Employee__2[[#This Row],[City]]="Pune"),"Yes","No")</f>
        <v>No</v>
      </c>
      <c r="P3961" s="1" t="str">
        <f>IF(OR(Employee__2[[#This Row],[Age]]&gt;=30,Employee__2[[#This Row],[Gender]]="Male"),"Mached","Not mached")</f>
        <v>Mached</v>
      </c>
    </row>
    <row r="3962" spans="4:16" x14ac:dyDescent="0.25">
      <c r="D3962" s="6" t="s">
        <v>34</v>
      </c>
      <c r="E3962">
        <v>2016</v>
      </c>
      <c r="F3962" s="6" t="s">
        <v>35</v>
      </c>
      <c r="G3962">
        <v>3</v>
      </c>
      <c r="H3962">
        <v>34</v>
      </c>
      <c r="I3962" s="6" t="s">
        <v>36</v>
      </c>
      <c r="J3962" s="6" t="s">
        <v>37</v>
      </c>
      <c r="K3962">
        <v>4</v>
      </c>
      <c r="M3962" s="1" t="b">
        <f>Employee__2[[#This Row],[Experience]]&gt;1</f>
        <v>1</v>
      </c>
      <c r="N3962" s="1" t="str">
        <f>IF(Employee__2[[#This Row],[City]]="Pune","Yes","No")</f>
        <v>No</v>
      </c>
      <c r="O3962" s="1" t="str">
        <f>IF(AND(Employee__2[[#This Row],[Education]]="Bachelors",Employee__2[[#This Row],[City]]="Pune"),"Yes","No")</f>
        <v>No</v>
      </c>
      <c r="P3962" s="1" t="str">
        <f>IF(OR(Employee__2[[#This Row],[Age]]&gt;=30,Employee__2[[#This Row],[Gender]]="Male"),"Mached","Not mached")</f>
        <v>Mached</v>
      </c>
    </row>
    <row r="3963" spans="4:16" x14ac:dyDescent="0.25">
      <c r="D3963" s="6" t="s">
        <v>34</v>
      </c>
      <c r="E3963">
        <v>2016</v>
      </c>
      <c r="F3963" s="6" t="s">
        <v>35</v>
      </c>
      <c r="G3963">
        <v>3</v>
      </c>
      <c r="H3963">
        <v>39</v>
      </c>
      <c r="I3963" s="6" t="s">
        <v>36</v>
      </c>
      <c r="J3963" s="6" t="s">
        <v>37</v>
      </c>
      <c r="K3963">
        <v>7</v>
      </c>
      <c r="M3963" s="1" t="b">
        <f>Employee__2[[#This Row],[Experience]]&gt;1</f>
        <v>1</v>
      </c>
      <c r="N3963" s="1" t="str">
        <f>IF(Employee__2[[#This Row],[City]]="Pune","Yes","No")</f>
        <v>No</v>
      </c>
      <c r="O3963" s="1" t="str">
        <f>IF(AND(Employee__2[[#This Row],[Education]]="Bachelors",Employee__2[[#This Row],[City]]="Pune"),"Yes","No")</f>
        <v>No</v>
      </c>
      <c r="P3963" s="1" t="str">
        <f>IF(OR(Employee__2[[#This Row],[Age]]&gt;=30,Employee__2[[#This Row],[Gender]]="Male"),"Mached","Not mached")</f>
        <v>Mached</v>
      </c>
    </row>
    <row r="3964" spans="4:16" x14ac:dyDescent="0.25">
      <c r="D3964" s="6" t="s">
        <v>34</v>
      </c>
      <c r="E3964">
        <v>2014</v>
      </c>
      <c r="F3964" s="6" t="s">
        <v>35</v>
      </c>
      <c r="G3964">
        <v>3</v>
      </c>
      <c r="H3964">
        <v>35</v>
      </c>
      <c r="I3964" s="6" t="s">
        <v>36</v>
      </c>
      <c r="J3964" s="6" t="s">
        <v>37</v>
      </c>
      <c r="K3964">
        <v>5</v>
      </c>
      <c r="M3964" s="1" t="b">
        <f>Employee__2[[#This Row],[Experience]]&gt;1</f>
        <v>1</v>
      </c>
      <c r="N3964" s="1" t="str">
        <f>IF(Employee__2[[#This Row],[City]]="Pune","Yes","No")</f>
        <v>No</v>
      </c>
      <c r="O3964" s="1" t="str">
        <f>IF(AND(Employee__2[[#This Row],[Education]]="Bachelors",Employee__2[[#This Row],[City]]="Pune"),"Yes","No")</f>
        <v>No</v>
      </c>
      <c r="P3964" s="1" t="str">
        <f>IF(OR(Employee__2[[#This Row],[Age]]&gt;=30,Employee__2[[#This Row],[Gender]]="Male"),"Mached","Not mached")</f>
        <v>Mached</v>
      </c>
    </row>
    <row r="3965" spans="4:16" x14ac:dyDescent="0.25">
      <c r="D3965" s="6" t="s">
        <v>34</v>
      </c>
      <c r="E3965">
        <v>2016</v>
      </c>
      <c r="F3965" s="6" t="s">
        <v>38</v>
      </c>
      <c r="G3965">
        <v>3</v>
      </c>
      <c r="H3965">
        <v>38</v>
      </c>
      <c r="I3965" s="6" t="s">
        <v>39</v>
      </c>
      <c r="J3965" s="6" t="s">
        <v>37</v>
      </c>
      <c r="K3965">
        <v>7</v>
      </c>
      <c r="M3965" s="1" t="b">
        <f>Employee__2[[#This Row],[Experience]]&gt;1</f>
        <v>1</v>
      </c>
      <c r="N3965" s="1" t="str">
        <f>IF(Employee__2[[#This Row],[City]]="Pune","Yes","No")</f>
        <v>Yes</v>
      </c>
      <c r="O3965" s="1" t="str">
        <f>IF(AND(Employee__2[[#This Row],[Education]]="Bachelors",Employee__2[[#This Row],[City]]="Pune"),"Yes","No")</f>
        <v>Yes</v>
      </c>
      <c r="P3965" s="1" t="str">
        <f>IF(OR(Employee__2[[#This Row],[Age]]&gt;=30,Employee__2[[#This Row],[Gender]]="Male"),"Mached","Not mached")</f>
        <v>Mached</v>
      </c>
    </row>
    <row r="3966" spans="4:16" x14ac:dyDescent="0.25">
      <c r="D3966" s="6" t="s">
        <v>34</v>
      </c>
      <c r="E3966">
        <v>2016</v>
      </c>
      <c r="F3966" s="6" t="s">
        <v>35</v>
      </c>
      <c r="G3966">
        <v>3</v>
      </c>
      <c r="H3966">
        <v>33</v>
      </c>
      <c r="I3966" s="6" t="s">
        <v>36</v>
      </c>
      <c r="J3966" s="6" t="s">
        <v>37</v>
      </c>
      <c r="K3966">
        <v>6</v>
      </c>
      <c r="M3966" s="1" t="b">
        <f>Employee__2[[#This Row],[Experience]]&gt;1</f>
        <v>1</v>
      </c>
      <c r="N3966" s="1" t="str">
        <f>IF(Employee__2[[#This Row],[City]]="Pune","Yes","No")</f>
        <v>No</v>
      </c>
      <c r="O3966" s="1" t="str">
        <f>IF(AND(Employee__2[[#This Row],[Education]]="Bachelors",Employee__2[[#This Row],[City]]="Pune"),"Yes","No")</f>
        <v>No</v>
      </c>
      <c r="P3966" s="1" t="str">
        <f>IF(OR(Employee__2[[#This Row],[Age]]&gt;=30,Employee__2[[#This Row],[Gender]]="Male"),"Mached","Not mached")</f>
        <v>Mached</v>
      </c>
    </row>
    <row r="3967" spans="4:16" x14ac:dyDescent="0.25">
      <c r="D3967" s="6" t="s">
        <v>34</v>
      </c>
      <c r="E3967">
        <v>2014</v>
      </c>
      <c r="F3967" s="6" t="s">
        <v>38</v>
      </c>
      <c r="G3967">
        <v>3</v>
      </c>
      <c r="H3967">
        <v>33</v>
      </c>
      <c r="I3967" s="6" t="s">
        <v>36</v>
      </c>
      <c r="J3967" s="6" t="s">
        <v>37</v>
      </c>
      <c r="K3967">
        <v>6</v>
      </c>
      <c r="M3967" s="1" t="b">
        <f>Employee__2[[#This Row],[Experience]]&gt;1</f>
        <v>1</v>
      </c>
      <c r="N3967" s="1" t="str">
        <f>IF(Employee__2[[#This Row],[City]]="Pune","Yes","No")</f>
        <v>Yes</v>
      </c>
      <c r="O3967" s="1" t="str">
        <f>IF(AND(Employee__2[[#This Row],[Education]]="Bachelors",Employee__2[[#This Row],[City]]="Pune"),"Yes","No")</f>
        <v>Yes</v>
      </c>
      <c r="P3967" s="1" t="str">
        <f>IF(OR(Employee__2[[#This Row],[Age]]&gt;=30,Employee__2[[#This Row],[Gender]]="Male"),"Mached","Not mached")</f>
        <v>Mached</v>
      </c>
    </row>
    <row r="3968" spans="4:16" x14ac:dyDescent="0.25">
      <c r="D3968" s="6" t="s">
        <v>34</v>
      </c>
      <c r="E3968">
        <v>2012</v>
      </c>
      <c r="F3968" s="6" t="s">
        <v>35</v>
      </c>
      <c r="G3968">
        <v>3</v>
      </c>
      <c r="H3968">
        <v>35</v>
      </c>
      <c r="I3968" s="6" t="s">
        <v>36</v>
      </c>
      <c r="J3968" s="6" t="s">
        <v>37</v>
      </c>
      <c r="K3968">
        <v>5</v>
      </c>
      <c r="M3968" s="1" t="b">
        <f>Employee__2[[#This Row],[Experience]]&gt;1</f>
        <v>1</v>
      </c>
      <c r="N3968" s="1" t="str">
        <f>IF(Employee__2[[#This Row],[City]]="Pune","Yes","No")</f>
        <v>No</v>
      </c>
      <c r="O3968" s="1" t="str">
        <f>IF(AND(Employee__2[[#This Row],[Education]]="Bachelors",Employee__2[[#This Row],[City]]="Pune"),"Yes","No")</f>
        <v>No</v>
      </c>
      <c r="P3968" s="1" t="str">
        <f>IF(OR(Employee__2[[#This Row],[Age]]&gt;=30,Employee__2[[#This Row],[Gender]]="Male"),"Mached","Not mached")</f>
        <v>Mached</v>
      </c>
    </row>
    <row r="3969" spans="4:16" x14ac:dyDescent="0.25">
      <c r="D3969" s="6" t="s">
        <v>43</v>
      </c>
      <c r="E3969">
        <v>2013</v>
      </c>
      <c r="F3969" s="6" t="s">
        <v>40</v>
      </c>
      <c r="G3969">
        <v>3</v>
      </c>
      <c r="H3969">
        <v>40</v>
      </c>
      <c r="I3969" s="6" t="s">
        <v>36</v>
      </c>
      <c r="J3969" s="6" t="s">
        <v>37</v>
      </c>
      <c r="K3969">
        <v>5</v>
      </c>
      <c r="M3969" s="1" t="b">
        <f>Employee__2[[#This Row],[Experience]]&gt;1</f>
        <v>1</v>
      </c>
      <c r="N3969" s="1" t="str">
        <f>IF(Employee__2[[#This Row],[City]]="Pune","Yes","No")</f>
        <v>No</v>
      </c>
      <c r="O3969" s="1" t="str">
        <f>IF(AND(Employee__2[[#This Row],[Education]]="Bachelors",Employee__2[[#This Row],[City]]="Pune"),"Yes","No")</f>
        <v>No</v>
      </c>
      <c r="P3969" s="1" t="str">
        <f>IF(OR(Employee__2[[#This Row],[Age]]&gt;=30,Employee__2[[#This Row],[Gender]]="Male"),"Mached","Not mached")</f>
        <v>Mached</v>
      </c>
    </row>
    <row r="3970" spans="4:16" x14ac:dyDescent="0.25">
      <c r="D3970" s="6" t="s">
        <v>34</v>
      </c>
      <c r="E3970">
        <v>2012</v>
      </c>
      <c r="F3970" s="6" t="s">
        <v>35</v>
      </c>
      <c r="G3970">
        <v>3</v>
      </c>
      <c r="H3970">
        <v>40</v>
      </c>
      <c r="I3970" s="6" t="s">
        <v>39</v>
      </c>
      <c r="J3970" s="6" t="s">
        <v>37</v>
      </c>
      <c r="K3970">
        <v>5</v>
      </c>
      <c r="M3970" s="1" t="b">
        <f>Employee__2[[#This Row],[Experience]]&gt;1</f>
        <v>1</v>
      </c>
      <c r="N3970" s="1" t="str">
        <f>IF(Employee__2[[#This Row],[City]]="Pune","Yes","No")</f>
        <v>No</v>
      </c>
      <c r="O3970" s="1" t="str">
        <f>IF(AND(Employee__2[[#This Row],[Education]]="Bachelors",Employee__2[[#This Row],[City]]="Pune"),"Yes","No")</f>
        <v>No</v>
      </c>
      <c r="P3970" s="1" t="str">
        <f>IF(OR(Employee__2[[#This Row],[Age]]&gt;=30,Employee__2[[#This Row],[Gender]]="Male"),"Mached","Not mached")</f>
        <v>Mached</v>
      </c>
    </row>
    <row r="3971" spans="4:16" x14ac:dyDescent="0.25">
      <c r="D3971" s="6" t="s">
        <v>34</v>
      </c>
      <c r="E3971">
        <v>2017</v>
      </c>
      <c r="F3971" s="6" t="s">
        <v>35</v>
      </c>
      <c r="G3971">
        <v>3</v>
      </c>
      <c r="H3971">
        <v>39</v>
      </c>
      <c r="I3971" s="6" t="s">
        <v>36</v>
      </c>
      <c r="J3971" s="6" t="s">
        <v>37</v>
      </c>
      <c r="K3971">
        <v>5</v>
      </c>
      <c r="M3971" s="1" t="b">
        <f>Employee__2[[#This Row],[Experience]]&gt;1</f>
        <v>1</v>
      </c>
      <c r="N3971" s="1" t="str">
        <f>IF(Employee__2[[#This Row],[City]]="Pune","Yes","No")</f>
        <v>No</v>
      </c>
      <c r="O3971" s="1" t="str">
        <f>IF(AND(Employee__2[[#This Row],[Education]]="Bachelors",Employee__2[[#This Row],[City]]="Pune"),"Yes","No")</f>
        <v>No</v>
      </c>
      <c r="P3971" s="1" t="str">
        <f>IF(OR(Employee__2[[#This Row],[Age]]&gt;=30,Employee__2[[#This Row],[Gender]]="Male"),"Mached","Not mached")</f>
        <v>Mached</v>
      </c>
    </row>
    <row r="3972" spans="4:16" x14ac:dyDescent="0.25">
      <c r="D3972" s="6" t="s">
        <v>34</v>
      </c>
      <c r="E3972">
        <v>2017</v>
      </c>
      <c r="F3972" s="6" t="s">
        <v>35</v>
      </c>
      <c r="G3972">
        <v>3</v>
      </c>
      <c r="H3972">
        <v>33</v>
      </c>
      <c r="I3972" s="6" t="s">
        <v>39</v>
      </c>
      <c r="J3972" s="6" t="s">
        <v>37</v>
      </c>
      <c r="K3972">
        <v>6</v>
      </c>
      <c r="M3972" s="1" t="b">
        <f>Employee__2[[#This Row],[Experience]]&gt;1</f>
        <v>1</v>
      </c>
      <c r="N3972" s="1" t="str">
        <f>IF(Employee__2[[#This Row],[City]]="Pune","Yes","No")</f>
        <v>No</v>
      </c>
      <c r="O3972" s="1" t="str">
        <f>IF(AND(Employee__2[[#This Row],[Education]]="Bachelors",Employee__2[[#This Row],[City]]="Pune"),"Yes","No")</f>
        <v>No</v>
      </c>
      <c r="P3972" s="1" t="str">
        <f>IF(OR(Employee__2[[#This Row],[Age]]&gt;=30,Employee__2[[#This Row],[Gender]]="Male"),"Mached","Not mached")</f>
        <v>Mached</v>
      </c>
    </row>
    <row r="3973" spans="4:16" x14ac:dyDescent="0.25">
      <c r="D3973" s="6" t="s">
        <v>34</v>
      </c>
      <c r="E3973">
        <v>2014</v>
      </c>
      <c r="F3973" s="6" t="s">
        <v>35</v>
      </c>
      <c r="G3973">
        <v>3</v>
      </c>
      <c r="H3973">
        <v>32</v>
      </c>
      <c r="I3973" s="6" t="s">
        <v>39</v>
      </c>
      <c r="J3973" s="6" t="s">
        <v>37</v>
      </c>
      <c r="K3973">
        <v>5</v>
      </c>
      <c r="M3973" s="1" t="b">
        <f>Employee__2[[#This Row],[Experience]]&gt;1</f>
        <v>1</v>
      </c>
      <c r="N3973" s="1" t="str">
        <f>IF(Employee__2[[#This Row],[City]]="Pune","Yes","No")</f>
        <v>No</v>
      </c>
      <c r="O3973" s="1" t="str">
        <f>IF(AND(Employee__2[[#This Row],[Education]]="Bachelors",Employee__2[[#This Row],[City]]="Pune"),"Yes","No")</f>
        <v>No</v>
      </c>
      <c r="P3973" s="1" t="str">
        <f>IF(OR(Employee__2[[#This Row],[Age]]&gt;=30,Employee__2[[#This Row],[Gender]]="Male"),"Mached","Not mached")</f>
        <v>Mached</v>
      </c>
    </row>
    <row r="3974" spans="4:16" x14ac:dyDescent="0.25">
      <c r="D3974" s="6" t="s">
        <v>41</v>
      </c>
      <c r="E3974">
        <v>2014</v>
      </c>
      <c r="F3974" s="6" t="s">
        <v>35</v>
      </c>
      <c r="G3974">
        <v>3</v>
      </c>
      <c r="H3974">
        <v>40</v>
      </c>
      <c r="I3974" s="6" t="s">
        <v>39</v>
      </c>
      <c r="J3974" s="6" t="s">
        <v>37</v>
      </c>
      <c r="K3974">
        <v>7</v>
      </c>
      <c r="M3974" s="1" t="b">
        <f>Employee__2[[#This Row],[Experience]]&gt;1</f>
        <v>1</v>
      </c>
      <c r="N3974" s="1" t="str">
        <f>IF(Employee__2[[#This Row],[City]]="Pune","Yes","No")</f>
        <v>No</v>
      </c>
      <c r="O3974" s="1" t="str">
        <f>IF(AND(Employee__2[[#This Row],[Education]]="Bachelors",Employee__2[[#This Row],[City]]="Pune"),"Yes","No")</f>
        <v>No</v>
      </c>
      <c r="P3974" s="1" t="str">
        <f>IF(OR(Employee__2[[#This Row],[Age]]&gt;=30,Employee__2[[#This Row],[Gender]]="Male"),"Mached","Not mached")</f>
        <v>Mached</v>
      </c>
    </row>
    <row r="3975" spans="4:16" x14ac:dyDescent="0.25">
      <c r="D3975" s="6" t="s">
        <v>34</v>
      </c>
      <c r="E3975">
        <v>2017</v>
      </c>
      <c r="F3975" s="6" t="s">
        <v>40</v>
      </c>
      <c r="G3975">
        <v>2</v>
      </c>
      <c r="H3975">
        <v>33</v>
      </c>
      <c r="I3975" s="6" t="s">
        <v>36</v>
      </c>
      <c r="J3975" s="6" t="s">
        <v>37</v>
      </c>
      <c r="K3975">
        <v>6</v>
      </c>
      <c r="M3975" s="1" t="b">
        <f>Employee__2[[#This Row],[Experience]]&gt;1</f>
        <v>1</v>
      </c>
      <c r="N3975" s="1" t="str">
        <f>IF(Employee__2[[#This Row],[City]]="Pune","Yes","No")</f>
        <v>No</v>
      </c>
      <c r="O3975" s="1" t="str">
        <f>IF(AND(Employee__2[[#This Row],[Education]]="Bachelors",Employee__2[[#This Row],[City]]="Pune"),"Yes","No")</f>
        <v>No</v>
      </c>
      <c r="P3975" s="1" t="str">
        <f>IF(OR(Employee__2[[#This Row],[Age]]&gt;=30,Employee__2[[#This Row],[Gender]]="Male"),"Mached","Not mached")</f>
        <v>Mached</v>
      </c>
    </row>
    <row r="3976" spans="4:16" x14ac:dyDescent="0.25">
      <c r="D3976" s="6" t="s">
        <v>41</v>
      </c>
      <c r="E3976">
        <v>2016</v>
      </c>
      <c r="F3976" s="6" t="s">
        <v>40</v>
      </c>
      <c r="G3976">
        <v>1</v>
      </c>
      <c r="H3976">
        <v>31</v>
      </c>
      <c r="I3976" s="6" t="s">
        <v>39</v>
      </c>
      <c r="J3976" s="6" t="s">
        <v>37</v>
      </c>
      <c r="K3976">
        <v>5</v>
      </c>
      <c r="M3976" s="1" t="b">
        <f>Employee__2[[#This Row],[Experience]]&gt;1</f>
        <v>1</v>
      </c>
      <c r="N3976" s="1" t="str">
        <f>IF(Employee__2[[#This Row],[City]]="Pune","Yes","No")</f>
        <v>No</v>
      </c>
      <c r="O3976" s="1" t="str">
        <f>IF(AND(Employee__2[[#This Row],[Education]]="Bachelors",Employee__2[[#This Row],[City]]="Pune"),"Yes","No")</f>
        <v>No</v>
      </c>
      <c r="P3976" s="1" t="str">
        <f>IF(OR(Employee__2[[#This Row],[Age]]&gt;=30,Employee__2[[#This Row],[Gender]]="Male"),"Mached","Not mached")</f>
        <v>Mached</v>
      </c>
    </row>
    <row r="3977" spans="4:16" x14ac:dyDescent="0.25">
      <c r="D3977" s="6" t="s">
        <v>34</v>
      </c>
      <c r="E3977">
        <v>2013</v>
      </c>
      <c r="F3977" s="6" t="s">
        <v>35</v>
      </c>
      <c r="G3977">
        <v>3</v>
      </c>
      <c r="H3977">
        <v>35</v>
      </c>
      <c r="I3977" s="6" t="s">
        <v>39</v>
      </c>
      <c r="J3977" s="6" t="s">
        <v>37</v>
      </c>
      <c r="K3977">
        <v>5</v>
      </c>
      <c r="M3977" s="1" t="b">
        <f>Employee__2[[#This Row],[Experience]]&gt;1</f>
        <v>1</v>
      </c>
      <c r="N3977" s="1" t="str">
        <f>IF(Employee__2[[#This Row],[City]]="Pune","Yes","No")</f>
        <v>No</v>
      </c>
      <c r="O3977" s="1" t="str">
        <f>IF(AND(Employee__2[[#This Row],[Education]]="Bachelors",Employee__2[[#This Row],[City]]="Pune"),"Yes","No")</f>
        <v>No</v>
      </c>
      <c r="P3977" s="1" t="str">
        <f>IF(OR(Employee__2[[#This Row],[Age]]&gt;=30,Employee__2[[#This Row],[Gender]]="Male"),"Mached","Not mached")</f>
        <v>Mached</v>
      </c>
    </row>
    <row r="3978" spans="4:16" x14ac:dyDescent="0.25">
      <c r="D3978" s="6" t="s">
        <v>34</v>
      </c>
      <c r="E3978">
        <v>2014</v>
      </c>
      <c r="F3978" s="6" t="s">
        <v>35</v>
      </c>
      <c r="G3978">
        <v>3</v>
      </c>
      <c r="H3978">
        <v>39</v>
      </c>
      <c r="I3978" s="6" t="s">
        <v>36</v>
      </c>
      <c r="J3978" s="6" t="s">
        <v>37</v>
      </c>
      <c r="K3978">
        <v>7</v>
      </c>
      <c r="M3978" s="1" t="b">
        <f>Employee__2[[#This Row],[Experience]]&gt;1</f>
        <v>1</v>
      </c>
      <c r="N3978" s="1" t="str">
        <f>IF(Employee__2[[#This Row],[City]]="Pune","Yes","No")</f>
        <v>No</v>
      </c>
      <c r="O3978" s="1" t="str">
        <f>IF(AND(Employee__2[[#This Row],[Education]]="Bachelors",Employee__2[[#This Row],[City]]="Pune"),"Yes","No")</f>
        <v>No</v>
      </c>
      <c r="P3978" s="1" t="str">
        <f>IF(OR(Employee__2[[#This Row],[Age]]&gt;=30,Employee__2[[#This Row],[Gender]]="Male"),"Mached","Not mached")</f>
        <v>Mached</v>
      </c>
    </row>
    <row r="3979" spans="4:16" x14ac:dyDescent="0.25">
      <c r="D3979" s="6" t="s">
        <v>41</v>
      </c>
      <c r="E3979">
        <v>2018</v>
      </c>
      <c r="F3979" s="6" t="s">
        <v>35</v>
      </c>
      <c r="G3979">
        <v>3</v>
      </c>
      <c r="H3979">
        <v>39</v>
      </c>
      <c r="I3979" s="6" t="s">
        <v>39</v>
      </c>
      <c r="J3979" s="6" t="s">
        <v>37</v>
      </c>
      <c r="K3979">
        <v>6</v>
      </c>
      <c r="M3979" s="1" t="b">
        <f>Employee__2[[#This Row],[Experience]]&gt;1</f>
        <v>1</v>
      </c>
      <c r="N3979" s="1" t="str">
        <f>IF(Employee__2[[#This Row],[City]]="Pune","Yes","No")</f>
        <v>No</v>
      </c>
      <c r="O3979" s="1" t="str">
        <f>IF(AND(Employee__2[[#This Row],[Education]]="Bachelors",Employee__2[[#This Row],[City]]="Pune"),"Yes","No")</f>
        <v>No</v>
      </c>
      <c r="P3979" s="1" t="str">
        <f>IF(OR(Employee__2[[#This Row],[Age]]&gt;=30,Employee__2[[#This Row],[Gender]]="Male"),"Mached","Not mached")</f>
        <v>Mached</v>
      </c>
    </row>
    <row r="3980" spans="4:16" x14ac:dyDescent="0.25">
      <c r="D3980" s="6" t="s">
        <v>41</v>
      </c>
      <c r="E3980">
        <v>2017</v>
      </c>
      <c r="F3980" s="6" t="s">
        <v>38</v>
      </c>
      <c r="G3980">
        <v>2</v>
      </c>
      <c r="H3980">
        <v>38</v>
      </c>
      <c r="I3980" s="6" t="s">
        <v>39</v>
      </c>
      <c r="J3980" s="6" t="s">
        <v>37</v>
      </c>
      <c r="K3980">
        <v>2</v>
      </c>
      <c r="M3980" s="1" t="b">
        <f>Employee__2[[#This Row],[Experience]]&gt;1</f>
        <v>1</v>
      </c>
      <c r="N3980" s="1" t="str">
        <f>IF(Employee__2[[#This Row],[City]]="Pune","Yes","No")</f>
        <v>Yes</v>
      </c>
      <c r="O3980" s="1" t="str">
        <f>IF(AND(Employee__2[[#This Row],[Education]]="Bachelors",Employee__2[[#This Row],[City]]="Pune"),"Yes","No")</f>
        <v>No</v>
      </c>
      <c r="P3980" s="1" t="str">
        <f>IF(OR(Employee__2[[#This Row],[Age]]&gt;=30,Employee__2[[#This Row],[Gender]]="Male"),"Mached","Not mached")</f>
        <v>Mached</v>
      </c>
    </row>
    <row r="3981" spans="4:16" x14ac:dyDescent="0.25">
      <c r="D3981" s="6" t="s">
        <v>34</v>
      </c>
      <c r="E3981">
        <v>2012</v>
      </c>
      <c r="F3981" s="6" t="s">
        <v>35</v>
      </c>
      <c r="G3981">
        <v>3</v>
      </c>
      <c r="H3981">
        <v>38</v>
      </c>
      <c r="I3981" s="6" t="s">
        <v>36</v>
      </c>
      <c r="J3981" s="6" t="s">
        <v>37</v>
      </c>
      <c r="K3981">
        <v>7</v>
      </c>
      <c r="M3981" s="1" t="b">
        <f>Employee__2[[#This Row],[Experience]]&gt;1</f>
        <v>1</v>
      </c>
      <c r="N3981" s="1" t="str">
        <f>IF(Employee__2[[#This Row],[City]]="Pune","Yes","No")</f>
        <v>No</v>
      </c>
      <c r="O3981" s="1" t="str">
        <f>IF(AND(Employee__2[[#This Row],[Education]]="Bachelors",Employee__2[[#This Row],[City]]="Pune"),"Yes","No")</f>
        <v>No</v>
      </c>
      <c r="P3981" s="1" t="str">
        <f>IF(OR(Employee__2[[#This Row],[Age]]&gt;=30,Employee__2[[#This Row],[Gender]]="Male"),"Mached","Not mached")</f>
        <v>Mached</v>
      </c>
    </row>
    <row r="3982" spans="4:16" x14ac:dyDescent="0.25">
      <c r="D3982" s="6" t="s">
        <v>41</v>
      </c>
      <c r="E3982">
        <v>2017</v>
      </c>
      <c r="F3982" s="6" t="s">
        <v>40</v>
      </c>
      <c r="G3982">
        <v>2</v>
      </c>
      <c r="H3982">
        <v>40</v>
      </c>
      <c r="I3982" s="6" t="s">
        <v>39</v>
      </c>
      <c r="J3982" s="6" t="s">
        <v>42</v>
      </c>
      <c r="K3982">
        <v>2</v>
      </c>
      <c r="M3982" s="1" t="b">
        <f>Employee__2[[#This Row],[Experience]]&gt;1</f>
        <v>1</v>
      </c>
      <c r="N3982" s="1" t="str">
        <f>IF(Employee__2[[#This Row],[City]]="Pune","Yes","No")</f>
        <v>No</v>
      </c>
      <c r="O3982" s="1" t="str">
        <f>IF(AND(Employee__2[[#This Row],[Education]]="Bachelors",Employee__2[[#This Row],[City]]="Pune"),"Yes","No")</f>
        <v>No</v>
      </c>
      <c r="P3982" s="1" t="str">
        <f>IF(OR(Employee__2[[#This Row],[Age]]&gt;=30,Employee__2[[#This Row],[Gender]]="Male"),"Mached","Not mached")</f>
        <v>Mached</v>
      </c>
    </row>
    <row r="3983" spans="4:16" x14ac:dyDescent="0.25">
      <c r="D3983" s="6" t="s">
        <v>34</v>
      </c>
      <c r="E3983">
        <v>2018</v>
      </c>
      <c r="F3983" s="6" t="s">
        <v>35</v>
      </c>
      <c r="G3983">
        <v>3</v>
      </c>
      <c r="H3983">
        <v>38</v>
      </c>
      <c r="I3983" s="6" t="s">
        <v>36</v>
      </c>
      <c r="J3983" s="6" t="s">
        <v>37</v>
      </c>
      <c r="K3983">
        <v>6</v>
      </c>
      <c r="M3983" s="1" t="b">
        <f>Employee__2[[#This Row],[Experience]]&gt;1</f>
        <v>1</v>
      </c>
      <c r="N3983" s="1" t="str">
        <f>IF(Employee__2[[#This Row],[City]]="Pune","Yes","No")</f>
        <v>No</v>
      </c>
      <c r="O3983" s="1" t="str">
        <f>IF(AND(Employee__2[[#This Row],[Education]]="Bachelors",Employee__2[[#This Row],[City]]="Pune"),"Yes","No")</f>
        <v>No</v>
      </c>
      <c r="P3983" s="1" t="str">
        <f>IF(OR(Employee__2[[#This Row],[Age]]&gt;=30,Employee__2[[#This Row],[Gender]]="Male"),"Mached","Not mached")</f>
        <v>Mached</v>
      </c>
    </row>
    <row r="3984" spans="4:16" x14ac:dyDescent="0.25">
      <c r="D3984" s="6" t="s">
        <v>34</v>
      </c>
      <c r="E3984">
        <v>2013</v>
      </c>
      <c r="F3984" s="6" t="s">
        <v>35</v>
      </c>
      <c r="G3984">
        <v>3</v>
      </c>
      <c r="H3984">
        <v>34</v>
      </c>
      <c r="I3984" s="6" t="s">
        <v>36</v>
      </c>
      <c r="J3984" s="6" t="s">
        <v>37</v>
      </c>
      <c r="K3984">
        <v>6</v>
      </c>
      <c r="M3984" s="1" t="b">
        <f>Employee__2[[#This Row],[Experience]]&gt;1</f>
        <v>1</v>
      </c>
      <c r="N3984" s="1" t="str">
        <f>IF(Employee__2[[#This Row],[City]]="Pune","Yes","No")</f>
        <v>No</v>
      </c>
      <c r="O3984" s="1" t="str">
        <f>IF(AND(Employee__2[[#This Row],[Education]]="Bachelors",Employee__2[[#This Row],[City]]="Pune"),"Yes","No")</f>
        <v>No</v>
      </c>
      <c r="P3984" s="1" t="str">
        <f>IF(OR(Employee__2[[#This Row],[Age]]&gt;=30,Employee__2[[#This Row],[Gender]]="Male"),"Mached","Not mached")</f>
        <v>Mached</v>
      </c>
    </row>
    <row r="3985" spans="4:16" x14ac:dyDescent="0.25">
      <c r="D3985" s="6" t="s">
        <v>34</v>
      </c>
      <c r="E3985">
        <v>2012</v>
      </c>
      <c r="F3985" s="6" t="s">
        <v>35</v>
      </c>
      <c r="G3985">
        <v>1</v>
      </c>
      <c r="H3985">
        <v>35</v>
      </c>
      <c r="I3985" s="6" t="s">
        <v>36</v>
      </c>
      <c r="J3985" s="6" t="s">
        <v>37</v>
      </c>
      <c r="K3985">
        <v>7</v>
      </c>
      <c r="M3985" s="1" t="b">
        <f>Employee__2[[#This Row],[Experience]]&gt;1</f>
        <v>1</v>
      </c>
      <c r="N3985" s="1" t="str">
        <f>IF(Employee__2[[#This Row],[City]]="Pune","Yes","No")</f>
        <v>No</v>
      </c>
      <c r="O3985" s="1" t="str">
        <f>IF(AND(Employee__2[[#This Row],[Education]]="Bachelors",Employee__2[[#This Row],[City]]="Pune"),"Yes","No")</f>
        <v>No</v>
      </c>
      <c r="P3985" s="1" t="str">
        <f>IF(OR(Employee__2[[#This Row],[Age]]&gt;=30,Employee__2[[#This Row],[Gender]]="Male"),"Mached","Not mached")</f>
        <v>Mached</v>
      </c>
    </row>
    <row r="3986" spans="4:16" x14ac:dyDescent="0.25">
      <c r="D3986" s="6" t="s">
        <v>41</v>
      </c>
      <c r="E3986">
        <v>2013</v>
      </c>
      <c r="F3986" s="6" t="s">
        <v>40</v>
      </c>
      <c r="G3986">
        <v>1</v>
      </c>
      <c r="H3986">
        <v>41</v>
      </c>
      <c r="I3986" s="6" t="s">
        <v>36</v>
      </c>
      <c r="J3986" s="6" t="s">
        <v>37</v>
      </c>
      <c r="K3986">
        <v>5</v>
      </c>
      <c r="M3986" s="1" t="b">
        <f>Employee__2[[#This Row],[Experience]]&gt;1</f>
        <v>1</v>
      </c>
      <c r="N3986" s="1" t="str">
        <f>IF(Employee__2[[#This Row],[City]]="Pune","Yes","No")</f>
        <v>No</v>
      </c>
      <c r="O3986" s="1" t="str">
        <f>IF(AND(Employee__2[[#This Row],[Education]]="Bachelors",Employee__2[[#This Row],[City]]="Pune"),"Yes","No")</f>
        <v>No</v>
      </c>
      <c r="P3986" s="1" t="str">
        <f>IF(OR(Employee__2[[#This Row],[Age]]&gt;=30,Employee__2[[#This Row],[Gender]]="Male"),"Mached","Not mached")</f>
        <v>Mached</v>
      </c>
    </row>
    <row r="3987" spans="4:16" x14ac:dyDescent="0.25">
      <c r="D3987" s="6" t="s">
        <v>43</v>
      </c>
      <c r="E3987">
        <v>2014</v>
      </c>
      <c r="F3987" s="6" t="s">
        <v>40</v>
      </c>
      <c r="G3987">
        <v>2</v>
      </c>
      <c r="H3987">
        <v>37</v>
      </c>
      <c r="I3987" s="6" t="s">
        <v>39</v>
      </c>
      <c r="J3987" s="6" t="s">
        <v>37</v>
      </c>
      <c r="K3987">
        <v>5</v>
      </c>
      <c r="M3987" s="1" t="b">
        <f>Employee__2[[#This Row],[Experience]]&gt;1</f>
        <v>1</v>
      </c>
      <c r="N3987" s="1" t="str">
        <f>IF(Employee__2[[#This Row],[City]]="Pune","Yes","No")</f>
        <v>No</v>
      </c>
      <c r="O3987" s="1" t="str">
        <f>IF(AND(Employee__2[[#This Row],[Education]]="Bachelors",Employee__2[[#This Row],[City]]="Pune"),"Yes","No")</f>
        <v>No</v>
      </c>
      <c r="P3987" s="1" t="str">
        <f>IF(OR(Employee__2[[#This Row],[Age]]&gt;=30,Employee__2[[#This Row],[Gender]]="Male"),"Mached","Not mached")</f>
        <v>Mached</v>
      </c>
    </row>
    <row r="3988" spans="4:16" x14ac:dyDescent="0.25">
      <c r="D3988" s="6" t="s">
        <v>34</v>
      </c>
      <c r="E3988">
        <v>2015</v>
      </c>
      <c r="F3988" s="6" t="s">
        <v>38</v>
      </c>
      <c r="G3988">
        <v>3</v>
      </c>
      <c r="H3988">
        <v>34</v>
      </c>
      <c r="I3988" s="6" t="s">
        <v>36</v>
      </c>
      <c r="J3988" s="6" t="s">
        <v>42</v>
      </c>
      <c r="K3988">
        <v>7</v>
      </c>
      <c r="M3988" s="1" t="b">
        <f>Employee__2[[#This Row],[Experience]]&gt;1</f>
        <v>1</v>
      </c>
      <c r="N3988" s="1" t="str">
        <f>IF(Employee__2[[#This Row],[City]]="Pune","Yes","No")</f>
        <v>Yes</v>
      </c>
      <c r="O3988" s="1" t="str">
        <f>IF(AND(Employee__2[[#This Row],[Education]]="Bachelors",Employee__2[[#This Row],[City]]="Pune"),"Yes","No")</f>
        <v>Yes</v>
      </c>
      <c r="P3988" s="1" t="str">
        <f>IF(OR(Employee__2[[#This Row],[Age]]&gt;=30,Employee__2[[#This Row],[Gender]]="Male"),"Mached","Not mached")</f>
        <v>Mached</v>
      </c>
    </row>
    <row r="3989" spans="4:16" x14ac:dyDescent="0.25">
      <c r="D3989" s="6" t="s">
        <v>34</v>
      </c>
      <c r="E3989">
        <v>2014</v>
      </c>
      <c r="F3989" s="6" t="s">
        <v>35</v>
      </c>
      <c r="G3989">
        <v>3</v>
      </c>
      <c r="H3989">
        <v>35</v>
      </c>
      <c r="I3989" s="6" t="s">
        <v>36</v>
      </c>
      <c r="J3989" s="6" t="s">
        <v>42</v>
      </c>
      <c r="K3989">
        <v>5</v>
      </c>
      <c r="M3989" s="1" t="b">
        <f>Employee__2[[#This Row],[Experience]]&gt;1</f>
        <v>1</v>
      </c>
      <c r="N3989" s="1" t="str">
        <f>IF(Employee__2[[#This Row],[City]]="Pune","Yes","No")</f>
        <v>No</v>
      </c>
      <c r="O3989" s="1" t="str">
        <f>IF(AND(Employee__2[[#This Row],[Education]]="Bachelors",Employee__2[[#This Row],[City]]="Pune"),"Yes","No")</f>
        <v>No</v>
      </c>
      <c r="P3989" s="1" t="str">
        <f>IF(OR(Employee__2[[#This Row],[Age]]&gt;=30,Employee__2[[#This Row],[Gender]]="Male"),"Mached","Not mached")</f>
        <v>Mached</v>
      </c>
    </row>
    <row r="3990" spans="4:16" x14ac:dyDescent="0.25">
      <c r="D3990" s="6" t="s">
        <v>34</v>
      </c>
      <c r="E3990">
        <v>2013</v>
      </c>
      <c r="F3990" s="6" t="s">
        <v>35</v>
      </c>
      <c r="G3990">
        <v>1</v>
      </c>
      <c r="H3990">
        <v>38</v>
      </c>
      <c r="I3990" s="6" t="s">
        <v>36</v>
      </c>
      <c r="J3990" s="6" t="s">
        <v>37</v>
      </c>
      <c r="K3990">
        <v>6</v>
      </c>
      <c r="M3990" s="1" t="b">
        <f>Employee__2[[#This Row],[Experience]]&gt;1</f>
        <v>1</v>
      </c>
      <c r="N3990" s="1" t="str">
        <f>IF(Employee__2[[#This Row],[City]]="Pune","Yes","No")</f>
        <v>No</v>
      </c>
      <c r="O3990" s="1" t="str">
        <f>IF(AND(Employee__2[[#This Row],[Education]]="Bachelors",Employee__2[[#This Row],[City]]="Pune"),"Yes","No")</f>
        <v>No</v>
      </c>
      <c r="P3990" s="1" t="str">
        <f>IF(OR(Employee__2[[#This Row],[Age]]&gt;=30,Employee__2[[#This Row],[Gender]]="Male"),"Mached","Not mached")</f>
        <v>Mached</v>
      </c>
    </row>
    <row r="3991" spans="4:16" x14ac:dyDescent="0.25">
      <c r="D3991" s="6" t="s">
        <v>34</v>
      </c>
      <c r="E3991">
        <v>2016</v>
      </c>
      <c r="F3991" s="6" t="s">
        <v>35</v>
      </c>
      <c r="G3991">
        <v>3</v>
      </c>
      <c r="H3991">
        <v>38</v>
      </c>
      <c r="I3991" s="6" t="s">
        <v>39</v>
      </c>
      <c r="J3991" s="6" t="s">
        <v>37</v>
      </c>
      <c r="K3991">
        <v>7</v>
      </c>
      <c r="M3991" s="1" t="b">
        <f>Employee__2[[#This Row],[Experience]]&gt;1</f>
        <v>1</v>
      </c>
      <c r="N3991" s="1" t="str">
        <f>IF(Employee__2[[#This Row],[City]]="Pune","Yes","No")</f>
        <v>No</v>
      </c>
      <c r="O3991" s="1" t="str">
        <f>IF(AND(Employee__2[[#This Row],[Education]]="Bachelors",Employee__2[[#This Row],[City]]="Pune"),"Yes","No")</f>
        <v>No</v>
      </c>
      <c r="P3991" s="1" t="str">
        <f>IF(OR(Employee__2[[#This Row],[Age]]&gt;=30,Employee__2[[#This Row],[Gender]]="Male"),"Mached","Not mached")</f>
        <v>Mached</v>
      </c>
    </row>
    <row r="3992" spans="4:16" x14ac:dyDescent="0.25">
      <c r="D3992" s="6" t="s">
        <v>34</v>
      </c>
      <c r="E3992">
        <v>2015</v>
      </c>
      <c r="F3992" s="6" t="s">
        <v>38</v>
      </c>
      <c r="G3992">
        <v>2</v>
      </c>
      <c r="H3992">
        <v>41</v>
      </c>
      <c r="I3992" s="6" t="s">
        <v>39</v>
      </c>
      <c r="J3992" s="6" t="s">
        <v>37</v>
      </c>
      <c r="K3992">
        <v>7</v>
      </c>
      <c r="M3992" s="1" t="b">
        <f>Employee__2[[#This Row],[Experience]]&gt;1</f>
        <v>1</v>
      </c>
      <c r="N3992" s="1" t="str">
        <f>IF(Employee__2[[#This Row],[City]]="Pune","Yes","No")</f>
        <v>Yes</v>
      </c>
      <c r="O3992" s="1" t="str">
        <f>IF(AND(Employee__2[[#This Row],[Education]]="Bachelors",Employee__2[[#This Row],[City]]="Pune"),"Yes","No")</f>
        <v>Yes</v>
      </c>
      <c r="P3992" s="1" t="str">
        <f>IF(OR(Employee__2[[#This Row],[Age]]&gt;=30,Employee__2[[#This Row],[Gender]]="Male"),"Mached","Not mached")</f>
        <v>Mached</v>
      </c>
    </row>
    <row r="3993" spans="4:16" x14ac:dyDescent="0.25">
      <c r="D3993" s="6" t="s">
        <v>34</v>
      </c>
      <c r="E3993">
        <v>2018</v>
      </c>
      <c r="F3993" s="6" t="s">
        <v>35</v>
      </c>
      <c r="G3993">
        <v>3</v>
      </c>
      <c r="H3993">
        <v>34</v>
      </c>
      <c r="I3993" s="6" t="s">
        <v>36</v>
      </c>
      <c r="J3993" s="6" t="s">
        <v>37</v>
      </c>
      <c r="K3993">
        <v>5</v>
      </c>
      <c r="M3993" s="1" t="b">
        <f>Employee__2[[#This Row],[Experience]]&gt;1</f>
        <v>1</v>
      </c>
      <c r="N3993" s="1" t="str">
        <f>IF(Employee__2[[#This Row],[City]]="Pune","Yes","No")</f>
        <v>No</v>
      </c>
      <c r="O3993" s="1" t="str">
        <f>IF(AND(Employee__2[[#This Row],[Education]]="Bachelors",Employee__2[[#This Row],[City]]="Pune"),"Yes","No")</f>
        <v>No</v>
      </c>
      <c r="P3993" s="1" t="str">
        <f>IF(OR(Employee__2[[#This Row],[Age]]&gt;=30,Employee__2[[#This Row],[Gender]]="Male"),"Mached","Not mached")</f>
        <v>Mached</v>
      </c>
    </row>
    <row r="3994" spans="4:16" x14ac:dyDescent="0.25">
      <c r="D3994" s="6" t="s">
        <v>34</v>
      </c>
      <c r="E3994">
        <v>2017</v>
      </c>
      <c r="F3994" s="6" t="s">
        <v>38</v>
      </c>
      <c r="G3994">
        <v>2</v>
      </c>
      <c r="H3994">
        <v>22</v>
      </c>
      <c r="I3994" s="6" t="s">
        <v>36</v>
      </c>
      <c r="J3994" s="6" t="s">
        <v>37</v>
      </c>
      <c r="K3994">
        <v>0</v>
      </c>
      <c r="M3994" s="1" t="b">
        <f>Employee__2[[#This Row],[Experience]]&gt;1</f>
        <v>0</v>
      </c>
      <c r="N3994" s="1" t="str">
        <f>IF(Employee__2[[#This Row],[City]]="Pune","Yes","No")</f>
        <v>Yes</v>
      </c>
      <c r="O3994" s="1" t="str">
        <f>IF(AND(Employee__2[[#This Row],[Education]]="Bachelors",Employee__2[[#This Row],[City]]="Pune"),"Yes","No")</f>
        <v>Yes</v>
      </c>
      <c r="P3994" s="1" t="str">
        <f>IF(OR(Employee__2[[#This Row],[Age]]&gt;=30,Employee__2[[#This Row],[Gender]]="Male"),"Mached","Not mached")</f>
        <v>Mached</v>
      </c>
    </row>
    <row r="3995" spans="4:16" x14ac:dyDescent="0.25">
      <c r="D3995" s="6" t="s">
        <v>34</v>
      </c>
      <c r="E3995">
        <v>2018</v>
      </c>
      <c r="F3995" s="6" t="s">
        <v>35</v>
      </c>
      <c r="G3995">
        <v>2</v>
      </c>
      <c r="H3995">
        <v>26</v>
      </c>
      <c r="I3995" s="6" t="s">
        <v>39</v>
      </c>
      <c r="J3995" s="6" t="s">
        <v>37</v>
      </c>
      <c r="K3995">
        <v>4</v>
      </c>
      <c r="M3995" s="1" t="b">
        <f>Employee__2[[#This Row],[Experience]]&gt;1</f>
        <v>1</v>
      </c>
      <c r="N3995" s="1" t="str">
        <f>IF(Employee__2[[#This Row],[City]]="Pune","Yes","No")</f>
        <v>No</v>
      </c>
      <c r="O3995" s="1" t="str">
        <f>IF(AND(Employee__2[[#This Row],[Education]]="Bachelors",Employee__2[[#This Row],[City]]="Pune"),"Yes","No")</f>
        <v>No</v>
      </c>
      <c r="P3995" s="1" t="str">
        <f>IF(OR(Employee__2[[#This Row],[Age]]&gt;=30,Employee__2[[#This Row],[Gender]]="Male"),"Mached","Not mached")</f>
        <v>Not mached</v>
      </c>
    </row>
    <row r="3996" spans="4:16" x14ac:dyDescent="0.25">
      <c r="D3996" s="6" t="s">
        <v>34</v>
      </c>
      <c r="E3996">
        <v>2012</v>
      </c>
      <c r="F3996" s="6" t="s">
        <v>35</v>
      </c>
      <c r="G3996">
        <v>3</v>
      </c>
      <c r="H3996">
        <v>22</v>
      </c>
      <c r="I3996" s="6" t="s">
        <v>36</v>
      </c>
      <c r="J3996" s="6" t="s">
        <v>37</v>
      </c>
      <c r="K3996">
        <v>0</v>
      </c>
      <c r="M3996" s="1" t="b">
        <f>Employee__2[[#This Row],[Experience]]&gt;1</f>
        <v>0</v>
      </c>
      <c r="N3996" s="1" t="str">
        <f>IF(Employee__2[[#This Row],[City]]="Pune","Yes","No")</f>
        <v>No</v>
      </c>
      <c r="O3996" s="1" t="str">
        <f>IF(AND(Employee__2[[#This Row],[Education]]="Bachelors",Employee__2[[#This Row],[City]]="Pune"),"Yes","No")</f>
        <v>No</v>
      </c>
      <c r="P3996" s="1" t="str">
        <f>IF(OR(Employee__2[[#This Row],[Age]]&gt;=30,Employee__2[[#This Row],[Gender]]="Male"),"Mached","Not mached")</f>
        <v>Mached</v>
      </c>
    </row>
    <row r="3997" spans="4:16" x14ac:dyDescent="0.25">
      <c r="D3997" s="6" t="s">
        <v>34</v>
      </c>
      <c r="E3997">
        <v>2017</v>
      </c>
      <c r="F3997" s="6" t="s">
        <v>40</v>
      </c>
      <c r="G3997">
        <v>3</v>
      </c>
      <c r="H3997">
        <v>25</v>
      </c>
      <c r="I3997" s="6" t="s">
        <v>39</v>
      </c>
      <c r="J3997" s="6" t="s">
        <v>37</v>
      </c>
      <c r="K3997">
        <v>3</v>
      </c>
      <c r="M3997" s="1" t="b">
        <f>Employee__2[[#This Row],[Experience]]&gt;1</f>
        <v>1</v>
      </c>
      <c r="N3997" s="1" t="str">
        <f>IF(Employee__2[[#This Row],[City]]="Pune","Yes","No")</f>
        <v>No</v>
      </c>
      <c r="O3997" s="1" t="str">
        <f>IF(AND(Employee__2[[#This Row],[Education]]="Bachelors",Employee__2[[#This Row],[City]]="Pune"),"Yes","No")</f>
        <v>No</v>
      </c>
      <c r="P3997" s="1" t="str">
        <f>IF(OR(Employee__2[[#This Row],[Age]]&gt;=30,Employee__2[[#This Row],[Gender]]="Male"),"Mached","Not mached")</f>
        <v>Not mached</v>
      </c>
    </row>
    <row r="3998" spans="4:16" x14ac:dyDescent="0.25">
      <c r="D3998" s="6" t="s">
        <v>34</v>
      </c>
      <c r="E3998">
        <v>2016</v>
      </c>
      <c r="F3998" s="6" t="s">
        <v>35</v>
      </c>
      <c r="G3998">
        <v>3</v>
      </c>
      <c r="H3998">
        <v>29</v>
      </c>
      <c r="I3998" s="6" t="s">
        <v>36</v>
      </c>
      <c r="J3998" s="6" t="s">
        <v>37</v>
      </c>
      <c r="K3998">
        <v>0</v>
      </c>
      <c r="M3998" s="1" t="b">
        <f>Employee__2[[#This Row],[Experience]]&gt;1</f>
        <v>0</v>
      </c>
      <c r="N3998" s="1" t="str">
        <f>IF(Employee__2[[#This Row],[City]]="Pune","Yes","No")</f>
        <v>No</v>
      </c>
      <c r="O3998" s="1" t="str">
        <f>IF(AND(Employee__2[[#This Row],[Education]]="Bachelors",Employee__2[[#This Row],[City]]="Pune"),"Yes","No")</f>
        <v>No</v>
      </c>
      <c r="P3998" s="1" t="str">
        <f>IF(OR(Employee__2[[#This Row],[Age]]&gt;=30,Employee__2[[#This Row],[Gender]]="Male"),"Mached","Not mached")</f>
        <v>Mached</v>
      </c>
    </row>
    <row r="3999" spans="4:16" x14ac:dyDescent="0.25">
      <c r="D3999" s="6" t="s">
        <v>34</v>
      </c>
      <c r="E3999">
        <v>2017</v>
      </c>
      <c r="F3999" s="6" t="s">
        <v>40</v>
      </c>
      <c r="G3999">
        <v>3</v>
      </c>
      <c r="H3999">
        <v>36</v>
      </c>
      <c r="I3999" s="6" t="s">
        <v>39</v>
      </c>
      <c r="J3999" s="6" t="s">
        <v>37</v>
      </c>
      <c r="K3999">
        <v>0</v>
      </c>
      <c r="M3999" s="1" t="b">
        <f>Employee__2[[#This Row],[Experience]]&gt;1</f>
        <v>0</v>
      </c>
      <c r="N3999" s="1" t="str">
        <f>IF(Employee__2[[#This Row],[City]]="Pune","Yes","No")</f>
        <v>No</v>
      </c>
      <c r="O3999" s="1" t="str">
        <f>IF(AND(Employee__2[[#This Row],[Education]]="Bachelors",Employee__2[[#This Row],[City]]="Pune"),"Yes","No")</f>
        <v>No</v>
      </c>
      <c r="P3999" s="1" t="str">
        <f>IF(OR(Employee__2[[#This Row],[Age]]&gt;=30,Employee__2[[#This Row],[Gender]]="Male"),"Mached","Not mached")</f>
        <v>Mached</v>
      </c>
    </row>
    <row r="4000" spans="4:16" x14ac:dyDescent="0.25">
      <c r="D4000" s="6" t="s">
        <v>34</v>
      </c>
      <c r="E4000">
        <v>2014</v>
      </c>
      <c r="F4000" s="6" t="s">
        <v>35</v>
      </c>
      <c r="G4000">
        <v>3</v>
      </c>
      <c r="H4000">
        <v>37</v>
      </c>
      <c r="I4000" s="6" t="s">
        <v>39</v>
      </c>
      <c r="J4000" s="6" t="s">
        <v>37</v>
      </c>
      <c r="K4000">
        <v>1</v>
      </c>
      <c r="M4000" s="1" t="b">
        <f>Employee__2[[#This Row],[Experience]]&gt;1</f>
        <v>0</v>
      </c>
      <c r="N4000" s="1" t="str">
        <f>IF(Employee__2[[#This Row],[City]]="Pune","Yes","No")</f>
        <v>No</v>
      </c>
      <c r="O4000" s="1" t="str">
        <f>IF(AND(Employee__2[[#This Row],[Education]]="Bachelors",Employee__2[[#This Row],[City]]="Pune"),"Yes","No")</f>
        <v>No</v>
      </c>
      <c r="P4000" s="1" t="str">
        <f>IF(OR(Employee__2[[#This Row],[Age]]&gt;=30,Employee__2[[#This Row],[Gender]]="Male"),"Mached","Not mached")</f>
        <v>Mached</v>
      </c>
    </row>
    <row r="4001" spans="4:16" x14ac:dyDescent="0.25">
      <c r="D4001" s="6" t="s">
        <v>34</v>
      </c>
      <c r="E4001">
        <v>2013</v>
      </c>
      <c r="F4001" s="6" t="s">
        <v>40</v>
      </c>
      <c r="G4001">
        <v>2</v>
      </c>
      <c r="H4001">
        <v>34</v>
      </c>
      <c r="I4001" s="6" t="s">
        <v>39</v>
      </c>
      <c r="J4001" s="6" t="s">
        <v>37</v>
      </c>
      <c r="K4001">
        <v>4</v>
      </c>
      <c r="M4001" s="1" t="b">
        <f>Employee__2[[#This Row],[Experience]]&gt;1</f>
        <v>1</v>
      </c>
      <c r="N4001" s="1" t="str">
        <f>IF(Employee__2[[#This Row],[City]]="Pune","Yes","No")</f>
        <v>No</v>
      </c>
      <c r="O4001" s="1" t="str">
        <f>IF(AND(Employee__2[[#This Row],[Education]]="Bachelors",Employee__2[[#This Row],[City]]="Pune"),"Yes","No")</f>
        <v>No</v>
      </c>
      <c r="P4001" s="1" t="str">
        <f>IF(OR(Employee__2[[#This Row],[Age]]&gt;=30,Employee__2[[#This Row],[Gender]]="Male"),"Mached","Not mached")</f>
        <v>Mached</v>
      </c>
    </row>
    <row r="4002" spans="4:16" x14ac:dyDescent="0.25">
      <c r="D4002" s="6" t="s">
        <v>34</v>
      </c>
      <c r="E4002">
        <v>2012</v>
      </c>
      <c r="F4002" s="6" t="s">
        <v>38</v>
      </c>
      <c r="G4002">
        <v>3</v>
      </c>
      <c r="H4002">
        <v>34</v>
      </c>
      <c r="I4002" s="6" t="s">
        <v>39</v>
      </c>
      <c r="J4002" s="6" t="s">
        <v>37</v>
      </c>
      <c r="K4002">
        <v>2</v>
      </c>
      <c r="M4002" s="1" t="b">
        <f>Employee__2[[#This Row],[Experience]]&gt;1</f>
        <v>1</v>
      </c>
      <c r="N4002" s="1" t="str">
        <f>IF(Employee__2[[#This Row],[City]]="Pune","Yes","No")</f>
        <v>Yes</v>
      </c>
      <c r="O4002" s="1" t="str">
        <f>IF(AND(Employee__2[[#This Row],[Education]]="Bachelors",Employee__2[[#This Row],[City]]="Pune"),"Yes","No")</f>
        <v>Yes</v>
      </c>
      <c r="P4002" s="1" t="str">
        <f>IF(OR(Employee__2[[#This Row],[Age]]&gt;=30,Employee__2[[#This Row],[Gender]]="Male"),"Mached","Not mached")</f>
        <v>Mached</v>
      </c>
    </row>
    <row r="4003" spans="4:16" x14ac:dyDescent="0.25">
      <c r="D4003" s="6" t="s">
        <v>34</v>
      </c>
      <c r="E4003">
        <v>2012</v>
      </c>
      <c r="F4003" s="6" t="s">
        <v>35</v>
      </c>
      <c r="G4003">
        <v>3</v>
      </c>
      <c r="H4003">
        <v>25</v>
      </c>
      <c r="I4003" s="6" t="s">
        <v>39</v>
      </c>
      <c r="J4003" s="6" t="s">
        <v>37</v>
      </c>
      <c r="K4003">
        <v>3</v>
      </c>
      <c r="M4003" s="1" t="b">
        <f>Employee__2[[#This Row],[Experience]]&gt;1</f>
        <v>1</v>
      </c>
      <c r="N4003" s="1" t="str">
        <f>IF(Employee__2[[#This Row],[City]]="Pune","Yes","No")</f>
        <v>No</v>
      </c>
      <c r="O4003" s="1" t="str">
        <f>IF(AND(Employee__2[[#This Row],[Education]]="Bachelors",Employee__2[[#This Row],[City]]="Pune"),"Yes","No")</f>
        <v>No</v>
      </c>
      <c r="P4003" s="1" t="str">
        <f>IF(OR(Employee__2[[#This Row],[Age]]&gt;=30,Employee__2[[#This Row],[Gender]]="Male"),"Mached","Not mached")</f>
        <v>Not mached</v>
      </c>
    </row>
    <row r="4004" spans="4:16" x14ac:dyDescent="0.25">
      <c r="D4004" s="6" t="s">
        <v>34</v>
      </c>
      <c r="E4004">
        <v>2012</v>
      </c>
      <c r="F4004" s="6" t="s">
        <v>35</v>
      </c>
      <c r="G4004">
        <v>3</v>
      </c>
      <c r="H4004">
        <v>31</v>
      </c>
      <c r="I4004" s="6" t="s">
        <v>36</v>
      </c>
      <c r="J4004" s="6" t="s">
        <v>37</v>
      </c>
      <c r="K4004">
        <v>0</v>
      </c>
      <c r="M4004" s="1" t="b">
        <f>Employee__2[[#This Row],[Experience]]&gt;1</f>
        <v>0</v>
      </c>
      <c r="N4004" s="1" t="str">
        <f>IF(Employee__2[[#This Row],[City]]="Pune","Yes","No")</f>
        <v>No</v>
      </c>
      <c r="O4004" s="1" t="str">
        <f>IF(AND(Employee__2[[#This Row],[Education]]="Bachelors",Employee__2[[#This Row],[City]]="Pune"),"Yes","No")</f>
        <v>No</v>
      </c>
      <c r="P4004" s="1" t="str">
        <f>IF(OR(Employee__2[[#This Row],[Age]]&gt;=30,Employee__2[[#This Row],[Gender]]="Male"),"Mached","Not mached")</f>
        <v>Mached</v>
      </c>
    </row>
    <row r="4005" spans="4:16" x14ac:dyDescent="0.25">
      <c r="D4005" s="6" t="s">
        <v>34</v>
      </c>
      <c r="E4005">
        <v>2015</v>
      </c>
      <c r="F4005" s="6" t="s">
        <v>40</v>
      </c>
      <c r="G4005">
        <v>3</v>
      </c>
      <c r="H4005">
        <v>36</v>
      </c>
      <c r="I4005" s="6" t="s">
        <v>39</v>
      </c>
      <c r="J4005" s="6" t="s">
        <v>37</v>
      </c>
      <c r="K4005">
        <v>2</v>
      </c>
      <c r="M4005" s="1" t="b">
        <f>Employee__2[[#This Row],[Experience]]&gt;1</f>
        <v>1</v>
      </c>
      <c r="N4005" s="1" t="str">
        <f>IF(Employee__2[[#This Row],[City]]="Pune","Yes","No")</f>
        <v>No</v>
      </c>
      <c r="O4005" s="1" t="str">
        <f>IF(AND(Employee__2[[#This Row],[Education]]="Bachelors",Employee__2[[#This Row],[City]]="Pune"),"Yes","No")</f>
        <v>No</v>
      </c>
      <c r="P4005" s="1" t="str">
        <f>IF(OR(Employee__2[[#This Row],[Age]]&gt;=30,Employee__2[[#This Row],[Gender]]="Male"),"Mached","Not mached")</f>
        <v>Mached</v>
      </c>
    </row>
    <row r="4006" spans="4:16" x14ac:dyDescent="0.25">
      <c r="D4006" s="6" t="s">
        <v>34</v>
      </c>
      <c r="E4006">
        <v>2016</v>
      </c>
      <c r="F4006" s="6" t="s">
        <v>35</v>
      </c>
      <c r="G4006">
        <v>3</v>
      </c>
      <c r="H4006">
        <v>31</v>
      </c>
      <c r="I4006" s="6" t="s">
        <v>36</v>
      </c>
      <c r="J4006" s="6" t="s">
        <v>42</v>
      </c>
      <c r="K4006">
        <v>5</v>
      </c>
      <c r="M4006" s="1" t="b">
        <f>Employee__2[[#This Row],[Experience]]&gt;1</f>
        <v>1</v>
      </c>
      <c r="N4006" s="1" t="str">
        <f>IF(Employee__2[[#This Row],[City]]="Pune","Yes","No")</f>
        <v>No</v>
      </c>
      <c r="O4006" s="1" t="str">
        <f>IF(AND(Employee__2[[#This Row],[Education]]="Bachelors",Employee__2[[#This Row],[City]]="Pune"),"Yes","No")</f>
        <v>No</v>
      </c>
      <c r="P4006" s="1" t="str">
        <f>IF(OR(Employee__2[[#This Row],[Age]]&gt;=30,Employee__2[[#This Row],[Gender]]="Male"),"Mached","Not mached")</f>
        <v>Mached</v>
      </c>
    </row>
    <row r="4007" spans="4:16" x14ac:dyDescent="0.25">
      <c r="D4007" s="6" t="s">
        <v>34</v>
      </c>
      <c r="E4007">
        <v>2015</v>
      </c>
      <c r="F4007" s="6" t="s">
        <v>35</v>
      </c>
      <c r="G4007">
        <v>3</v>
      </c>
      <c r="H4007">
        <v>34</v>
      </c>
      <c r="I4007" s="6" t="s">
        <v>36</v>
      </c>
      <c r="J4007" s="6" t="s">
        <v>37</v>
      </c>
      <c r="K4007">
        <v>4</v>
      </c>
      <c r="M4007" s="1" t="b">
        <f>Employee__2[[#This Row],[Experience]]&gt;1</f>
        <v>1</v>
      </c>
      <c r="N4007" s="1" t="str">
        <f>IF(Employee__2[[#This Row],[City]]="Pune","Yes","No")</f>
        <v>No</v>
      </c>
      <c r="O4007" s="1" t="str">
        <f>IF(AND(Employee__2[[#This Row],[Education]]="Bachelors",Employee__2[[#This Row],[City]]="Pune"),"Yes","No")</f>
        <v>No</v>
      </c>
      <c r="P4007" s="1" t="str">
        <f>IF(OR(Employee__2[[#This Row],[Age]]&gt;=30,Employee__2[[#This Row],[Gender]]="Male"),"Mached","Not mached")</f>
        <v>Mached</v>
      </c>
    </row>
    <row r="4008" spans="4:16" x14ac:dyDescent="0.25">
      <c r="D4008" s="6" t="s">
        <v>41</v>
      </c>
      <c r="E4008">
        <v>2014</v>
      </c>
      <c r="F4008" s="6" t="s">
        <v>40</v>
      </c>
      <c r="G4008">
        <v>3</v>
      </c>
      <c r="H4008">
        <v>28</v>
      </c>
      <c r="I4008" s="6" t="s">
        <v>36</v>
      </c>
      <c r="J4008" s="6" t="s">
        <v>42</v>
      </c>
      <c r="K4008">
        <v>2</v>
      </c>
      <c r="M4008" s="1" t="b">
        <f>Employee__2[[#This Row],[Experience]]&gt;1</f>
        <v>1</v>
      </c>
      <c r="N4008" s="1" t="str">
        <f>IF(Employee__2[[#This Row],[City]]="Pune","Yes","No")</f>
        <v>No</v>
      </c>
      <c r="O4008" s="1" t="str">
        <f>IF(AND(Employee__2[[#This Row],[Education]]="Bachelors",Employee__2[[#This Row],[City]]="Pune"),"Yes","No")</f>
        <v>No</v>
      </c>
      <c r="P4008" s="1" t="str">
        <f>IF(OR(Employee__2[[#This Row],[Age]]&gt;=30,Employee__2[[#This Row],[Gender]]="Male"),"Mached","Not mached")</f>
        <v>Mached</v>
      </c>
    </row>
    <row r="4009" spans="4:16" x14ac:dyDescent="0.25">
      <c r="D4009" s="6" t="s">
        <v>34</v>
      </c>
      <c r="E4009">
        <v>2014</v>
      </c>
      <c r="F4009" s="6" t="s">
        <v>35</v>
      </c>
      <c r="G4009">
        <v>3</v>
      </c>
      <c r="H4009">
        <v>28</v>
      </c>
      <c r="I4009" s="6" t="s">
        <v>36</v>
      </c>
      <c r="J4009" s="6" t="s">
        <v>37</v>
      </c>
      <c r="K4009">
        <v>2</v>
      </c>
      <c r="M4009" s="1" t="b">
        <f>Employee__2[[#This Row],[Experience]]&gt;1</f>
        <v>1</v>
      </c>
      <c r="N4009" s="1" t="str">
        <f>IF(Employee__2[[#This Row],[City]]="Pune","Yes","No")</f>
        <v>No</v>
      </c>
      <c r="O4009" s="1" t="str">
        <f>IF(AND(Employee__2[[#This Row],[Education]]="Bachelors",Employee__2[[#This Row],[City]]="Pune"),"Yes","No")</f>
        <v>No</v>
      </c>
      <c r="P4009" s="1" t="str">
        <f>IF(OR(Employee__2[[#This Row],[Age]]&gt;=30,Employee__2[[#This Row],[Gender]]="Male"),"Mached","Not mached")</f>
        <v>Mached</v>
      </c>
    </row>
    <row r="4010" spans="4:16" x14ac:dyDescent="0.25">
      <c r="D4010" s="6" t="s">
        <v>34</v>
      </c>
      <c r="E4010">
        <v>2015</v>
      </c>
      <c r="F4010" s="6" t="s">
        <v>35</v>
      </c>
      <c r="G4010">
        <v>3</v>
      </c>
      <c r="H4010">
        <v>31</v>
      </c>
      <c r="I4010" s="6" t="s">
        <v>36</v>
      </c>
      <c r="J4010" s="6" t="s">
        <v>37</v>
      </c>
      <c r="K4010">
        <v>1</v>
      </c>
      <c r="M4010" s="1" t="b">
        <f>Employee__2[[#This Row],[Experience]]&gt;1</f>
        <v>0</v>
      </c>
      <c r="N4010" s="1" t="str">
        <f>IF(Employee__2[[#This Row],[City]]="Pune","Yes","No")</f>
        <v>No</v>
      </c>
      <c r="O4010" s="1" t="str">
        <f>IF(AND(Employee__2[[#This Row],[Education]]="Bachelors",Employee__2[[#This Row],[City]]="Pune"),"Yes","No")</f>
        <v>No</v>
      </c>
      <c r="P4010" s="1" t="str">
        <f>IF(OR(Employee__2[[#This Row],[Age]]&gt;=30,Employee__2[[#This Row],[Gender]]="Male"),"Mached","Not mached")</f>
        <v>Mached</v>
      </c>
    </row>
    <row r="4011" spans="4:16" x14ac:dyDescent="0.25">
      <c r="D4011" s="6" t="s">
        <v>34</v>
      </c>
      <c r="E4011">
        <v>2017</v>
      </c>
      <c r="F4011" s="6" t="s">
        <v>35</v>
      </c>
      <c r="G4011">
        <v>3</v>
      </c>
      <c r="H4011">
        <v>35</v>
      </c>
      <c r="I4011" s="6" t="s">
        <v>36</v>
      </c>
      <c r="J4011" s="6" t="s">
        <v>37</v>
      </c>
      <c r="K4011">
        <v>5</v>
      </c>
      <c r="M4011" s="1" t="b">
        <f>Employee__2[[#This Row],[Experience]]&gt;1</f>
        <v>1</v>
      </c>
      <c r="N4011" s="1" t="str">
        <f>IF(Employee__2[[#This Row],[City]]="Pune","Yes","No")</f>
        <v>No</v>
      </c>
      <c r="O4011" s="1" t="str">
        <f>IF(AND(Employee__2[[#This Row],[Education]]="Bachelors",Employee__2[[#This Row],[City]]="Pune"),"Yes","No")</f>
        <v>No</v>
      </c>
      <c r="P4011" s="1" t="str">
        <f>IF(OR(Employee__2[[#This Row],[Age]]&gt;=30,Employee__2[[#This Row],[Gender]]="Male"),"Mached","Not mached")</f>
        <v>Mached</v>
      </c>
    </row>
    <row r="4012" spans="4:16" x14ac:dyDescent="0.25">
      <c r="D4012" s="6" t="s">
        <v>34</v>
      </c>
      <c r="E4012">
        <v>2012</v>
      </c>
      <c r="F4012" s="6" t="s">
        <v>35</v>
      </c>
      <c r="G4012">
        <v>1</v>
      </c>
      <c r="H4012">
        <v>28</v>
      </c>
      <c r="I4012" s="6" t="s">
        <v>39</v>
      </c>
      <c r="J4012" s="6" t="s">
        <v>42</v>
      </c>
      <c r="K4012">
        <v>1</v>
      </c>
      <c r="M4012" s="1" t="b">
        <f>Employee__2[[#This Row],[Experience]]&gt;1</f>
        <v>0</v>
      </c>
      <c r="N4012" s="1" t="str">
        <f>IF(Employee__2[[#This Row],[City]]="Pune","Yes","No")</f>
        <v>No</v>
      </c>
      <c r="O4012" s="1" t="str">
        <f>IF(AND(Employee__2[[#This Row],[Education]]="Bachelors",Employee__2[[#This Row],[City]]="Pune"),"Yes","No")</f>
        <v>No</v>
      </c>
      <c r="P4012" s="1" t="str">
        <f>IF(OR(Employee__2[[#This Row],[Age]]&gt;=30,Employee__2[[#This Row],[Gender]]="Male"),"Mached","Not mached")</f>
        <v>Not mached</v>
      </c>
    </row>
    <row r="4013" spans="4:16" x14ac:dyDescent="0.25">
      <c r="D4013" s="6" t="s">
        <v>34</v>
      </c>
      <c r="E4013">
        <v>2018</v>
      </c>
      <c r="F4013" s="6" t="s">
        <v>35</v>
      </c>
      <c r="G4013">
        <v>3</v>
      </c>
      <c r="H4013">
        <v>32</v>
      </c>
      <c r="I4013" s="6" t="s">
        <v>39</v>
      </c>
      <c r="J4013" s="6" t="s">
        <v>37</v>
      </c>
      <c r="K4013">
        <v>2</v>
      </c>
      <c r="M4013" s="1" t="b">
        <f>Employee__2[[#This Row],[Experience]]&gt;1</f>
        <v>1</v>
      </c>
      <c r="N4013" s="1" t="str">
        <f>IF(Employee__2[[#This Row],[City]]="Pune","Yes","No")</f>
        <v>No</v>
      </c>
      <c r="O4013" s="1" t="str">
        <f>IF(AND(Employee__2[[#This Row],[Education]]="Bachelors",Employee__2[[#This Row],[City]]="Pune"),"Yes","No")</f>
        <v>No</v>
      </c>
      <c r="P4013" s="1" t="str">
        <f>IF(OR(Employee__2[[#This Row],[Age]]&gt;=30,Employee__2[[#This Row],[Gender]]="Male"),"Mached","Not mached")</f>
        <v>Mached</v>
      </c>
    </row>
    <row r="4014" spans="4:16" x14ac:dyDescent="0.25">
      <c r="D4014" s="6" t="s">
        <v>34</v>
      </c>
      <c r="E4014">
        <v>2013</v>
      </c>
      <c r="F4014" s="6" t="s">
        <v>35</v>
      </c>
      <c r="G4014">
        <v>3</v>
      </c>
      <c r="H4014">
        <v>23</v>
      </c>
      <c r="I4014" s="6" t="s">
        <v>36</v>
      </c>
      <c r="J4014" s="6" t="s">
        <v>42</v>
      </c>
      <c r="K4014">
        <v>1</v>
      </c>
      <c r="M4014" s="1" t="b">
        <f>Employee__2[[#This Row],[Experience]]&gt;1</f>
        <v>0</v>
      </c>
      <c r="N4014" s="1" t="str">
        <f>IF(Employee__2[[#This Row],[City]]="Pune","Yes","No")</f>
        <v>No</v>
      </c>
      <c r="O4014" s="1" t="str">
        <f>IF(AND(Employee__2[[#This Row],[Education]]="Bachelors",Employee__2[[#This Row],[City]]="Pune"),"Yes","No")</f>
        <v>No</v>
      </c>
      <c r="P4014" s="1" t="str">
        <f>IF(OR(Employee__2[[#This Row],[Age]]&gt;=30,Employee__2[[#This Row],[Gender]]="Male"),"Mached","Not mached")</f>
        <v>Mached</v>
      </c>
    </row>
    <row r="4015" spans="4:16" x14ac:dyDescent="0.25">
      <c r="D4015" s="6" t="s">
        <v>41</v>
      </c>
      <c r="E4015">
        <v>2018</v>
      </c>
      <c r="F4015" s="6" t="s">
        <v>38</v>
      </c>
      <c r="G4015">
        <v>3</v>
      </c>
      <c r="H4015">
        <v>27</v>
      </c>
      <c r="I4015" s="6" t="s">
        <v>36</v>
      </c>
      <c r="J4015" s="6" t="s">
        <v>37</v>
      </c>
      <c r="K4015">
        <v>5</v>
      </c>
      <c r="M4015" s="1" t="b">
        <f>Employee__2[[#This Row],[Experience]]&gt;1</f>
        <v>1</v>
      </c>
      <c r="N4015" s="1" t="str">
        <f>IF(Employee__2[[#This Row],[City]]="Pune","Yes","No")</f>
        <v>Yes</v>
      </c>
      <c r="O4015" s="1" t="str">
        <f>IF(AND(Employee__2[[#This Row],[Education]]="Bachelors",Employee__2[[#This Row],[City]]="Pune"),"Yes","No")</f>
        <v>No</v>
      </c>
      <c r="P4015" s="1" t="str">
        <f>IF(OR(Employee__2[[#This Row],[Age]]&gt;=30,Employee__2[[#This Row],[Gender]]="Male"),"Mached","Not mached")</f>
        <v>Mached</v>
      </c>
    </row>
    <row r="4016" spans="4:16" x14ac:dyDescent="0.25">
      <c r="D4016" s="6" t="s">
        <v>34</v>
      </c>
      <c r="E4016">
        <v>2017</v>
      </c>
      <c r="F4016" s="6" t="s">
        <v>38</v>
      </c>
      <c r="G4016">
        <v>3</v>
      </c>
      <c r="H4016">
        <v>25</v>
      </c>
      <c r="I4016" s="6" t="s">
        <v>36</v>
      </c>
      <c r="J4016" s="6" t="s">
        <v>37</v>
      </c>
      <c r="K4016">
        <v>3</v>
      </c>
      <c r="M4016" s="1" t="b">
        <f>Employee__2[[#This Row],[Experience]]&gt;1</f>
        <v>1</v>
      </c>
      <c r="N4016" s="1" t="str">
        <f>IF(Employee__2[[#This Row],[City]]="Pune","Yes","No")</f>
        <v>Yes</v>
      </c>
      <c r="O4016" s="1" t="str">
        <f>IF(AND(Employee__2[[#This Row],[Education]]="Bachelors",Employee__2[[#This Row],[City]]="Pune"),"Yes","No")</f>
        <v>Yes</v>
      </c>
      <c r="P4016" s="1" t="str">
        <f>IF(OR(Employee__2[[#This Row],[Age]]&gt;=30,Employee__2[[#This Row],[Gender]]="Male"),"Mached","Not mached")</f>
        <v>Mached</v>
      </c>
    </row>
    <row r="4017" spans="4:16" x14ac:dyDescent="0.25">
      <c r="D4017" s="6" t="s">
        <v>41</v>
      </c>
      <c r="E4017">
        <v>2017</v>
      </c>
      <c r="F4017" s="6" t="s">
        <v>40</v>
      </c>
      <c r="G4017">
        <v>2</v>
      </c>
      <c r="H4017">
        <v>31</v>
      </c>
      <c r="I4017" s="6" t="s">
        <v>39</v>
      </c>
      <c r="J4017" s="6" t="s">
        <v>37</v>
      </c>
      <c r="K4017">
        <v>2</v>
      </c>
      <c r="M4017" s="1" t="b">
        <f>Employee__2[[#This Row],[Experience]]&gt;1</f>
        <v>1</v>
      </c>
      <c r="N4017" s="1" t="str">
        <f>IF(Employee__2[[#This Row],[City]]="Pune","Yes","No")</f>
        <v>No</v>
      </c>
      <c r="O4017" s="1" t="str">
        <f>IF(AND(Employee__2[[#This Row],[Education]]="Bachelors",Employee__2[[#This Row],[City]]="Pune"),"Yes","No")</f>
        <v>No</v>
      </c>
      <c r="P4017" s="1" t="str">
        <f>IF(OR(Employee__2[[#This Row],[Age]]&gt;=30,Employee__2[[#This Row],[Gender]]="Male"),"Mached","Not mached")</f>
        <v>Mached</v>
      </c>
    </row>
    <row r="4018" spans="4:16" x14ac:dyDescent="0.25">
      <c r="D4018" s="6" t="s">
        <v>43</v>
      </c>
      <c r="E4018">
        <v>2018</v>
      </c>
      <c r="F4018" s="6" t="s">
        <v>40</v>
      </c>
      <c r="G4018">
        <v>3</v>
      </c>
      <c r="H4018">
        <v>34</v>
      </c>
      <c r="I4018" s="6" t="s">
        <v>36</v>
      </c>
      <c r="J4018" s="6" t="s">
        <v>37</v>
      </c>
      <c r="K4018">
        <v>0</v>
      </c>
      <c r="M4018" s="1" t="b">
        <f>Employee__2[[#This Row],[Experience]]&gt;1</f>
        <v>0</v>
      </c>
      <c r="N4018" s="1" t="str">
        <f>IF(Employee__2[[#This Row],[City]]="Pune","Yes","No")</f>
        <v>No</v>
      </c>
      <c r="O4018" s="1" t="str">
        <f>IF(AND(Employee__2[[#This Row],[Education]]="Bachelors",Employee__2[[#This Row],[City]]="Pune"),"Yes","No")</f>
        <v>No</v>
      </c>
      <c r="P4018" s="1" t="str">
        <f>IF(OR(Employee__2[[#This Row],[Age]]&gt;=30,Employee__2[[#This Row],[Gender]]="Male"),"Mached","Not mached")</f>
        <v>Mached</v>
      </c>
    </row>
    <row r="4019" spans="4:16" x14ac:dyDescent="0.25">
      <c r="D4019" s="6" t="s">
        <v>34</v>
      </c>
      <c r="E4019">
        <v>2016</v>
      </c>
      <c r="F4019" s="6" t="s">
        <v>35</v>
      </c>
      <c r="G4019">
        <v>3</v>
      </c>
      <c r="H4019">
        <v>36</v>
      </c>
      <c r="I4019" s="6" t="s">
        <v>39</v>
      </c>
      <c r="J4019" s="6" t="s">
        <v>37</v>
      </c>
      <c r="K4019">
        <v>2</v>
      </c>
      <c r="M4019" s="1" t="b">
        <f>Employee__2[[#This Row],[Experience]]&gt;1</f>
        <v>1</v>
      </c>
      <c r="N4019" s="1" t="str">
        <f>IF(Employee__2[[#This Row],[City]]="Pune","Yes","No")</f>
        <v>No</v>
      </c>
      <c r="O4019" s="1" t="str">
        <f>IF(AND(Employee__2[[#This Row],[Education]]="Bachelors",Employee__2[[#This Row],[City]]="Pune"),"Yes","No")</f>
        <v>No</v>
      </c>
      <c r="P4019" s="1" t="str">
        <f>IF(OR(Employee__2[[#This Row],[Age]]&gt;=30,Employee__2[[#This Row],[Gender]]="Male"),"Mached","Not mached")</f>
        <v>Mached</v>
      </c>
    </row>
    <row r="4020" spans="4:16" x14ac:dyDescent="0.25">
      <c r="D4020" s="6" t="s">
        <v>43</v>
      </c>
      <c r="E4020">
        <v>2017</v>
      </c>
      <c r="F4020" s="6" t="s">
        <v>40</v>
      </c>
      <c r="G4020">
        <v>3</v>
      </c>
      <c r="H4020">
        <v>40</v>
      </c>
      <c r="I4020" s="6" t="s">
        <v>36</v>
      </c>
      <c r="J4020" s="6" t="s">
        <v>37</v>
      </c>
      <c r="K4020">
        <v>3</v>
      </c>
      <c r="M4020" s="1" t="b">
        <f>Employee__2[[#This Row],[Experience]]&gt;1</f>
        <v>1</v>
      </c>
      <c r="N4020" s="1" t="str">
        <f>IF(Employee__2[[#This Row],[City]]="Pune","Yes","No")</f>
        <v>No</v>
      </c>
      <c r="O4020" s="1" t="str">
        <f>IF(AND(Employee__2[[#This Row],[Education]]="Bachelors",Employee__2[[#This Row],[City]]="Pune"),"Yes","No")</f>
        <v>No</v>
      </c>
      <c r="P4020" s="1" t="str">
        <f>IF(OR(Employee__2[[#This Row],[Age]]&gt;=30,Employee__2[[#This Row],[Gender]]="Male"),"Mached","Not mached")</f>
        <v>Mached</v>
      </c>
    </row>
    <row r="4021" spans="4:16" x14ac:dyDescent="0.25">
      <c r="D4021" s="6" t="s">
        <v>41</v>
      </c>
      <c r="E4021">
        <v>2012</v>
      </c>
      <c r="F4021" s="6" t="s">
        <v>40</v>
      </c>
      <c r="G4021">
        <v>3</v>
      </c>
      <c r="H4021">
        <v>34</v>
      </c>
      <c r="I4021" s="6" t="s">
        <v>39</v>
      </c>
      <c r="J4021" s="6" t="s">
        <v>37</v>
      </c>
      <c r="K4021">
        <v>2</v>
      </c>
      <c r="M4021" s="1" t="b">
        <f>Employee__2[[#This Row],[Experience]]&gt;1</f>
        <v>1</v>
      </c>
      <c r="N4021" s="1" t="str">
        <f>IF(Employee__2[[#This Row],[City]]="Pune","Yes","No")</f>
        <v>No</v>
      </c>
      <c r="O4021" s="1" t="str">
        <f>IF(AND(Employee__2[[#This Row],[Education]]="Bachelors",Employee__2[[#This Row],[City]]="Pune"),"Yes","No")</f>
        <v>No</v>
      </c>
      <c r="P4021" s="1" t="str">
        <f>IF(OR(Employee__2[[#This Row],[Age]]&gt;=30,Employee__2[[#This Row],[Gender]]="Male"),"Mached","Not mached")</f>
        <v>Mached</v>
      </c>
    </row>
    <row r="4022" spans="4:16" x14ac:dyDescent="0.25">
      <c r="D4022" s="6" t="s">
        <v>34</v>
      </c>
      <c r="E4022">
        <v>2018</v>
      </c>
      <c r="F4022" s="6" t="s">
        <v>35</v>
      </c>
      <c r="G4022">
        <v>3</v>
      </c>
      <c r="H4022">
        <v>37</v>
      </c>
      <c r="I4022" s="6" t="s">
        <v>36</v>
      </c>
      <c r="J4022" s="6" t="s">
        <v>37</v>
      </c>
      <c r="K4022">
        <v>2</v>
      </c>
      <c r="M4022" s="1" t="b">
        <f>Employee__2[[#This Row],[Experience]]&gt;1</f>
        <v>1</v>
      </c>
      <c r="N4022" s="1" t="str">
        <f>IF(Employee__2[[#This Row],[City]]="Pune","Yes","No")</f>
        <v>No</v>
      </c>
      <c r="O4022" s="1" t="str">
        <f>IF(AND(Employee__2[[#This Row],[Education]]="Bachelors",Employee__2[[#This Row],[City]]="Pune"),"Yes","No")</f>
        <v>No</v>
      </c>
      <c r="P4022" s="1" t="str">
        <f>IF(OR(Employee__2[[#This Row],[Age]]&gt;=30,Employee__2[[#This Row],[Gender]]="Male"),"Mached","Not mached")</f>
        <v>Mached</v>
      </c>
    </row>
    <row r="4023" spans="4:16" x14ac:dyDescent="0.25">
      <c r="D4023" s="6" t="s">
        <v>34</v>
      </c>
      <c r="E4023">
        <v>2012</v>
      </c>
      <c r="F4023" s="6" t="s">
        <v>35</v>
      </c>
      <c r="G4023">
        <v>3</v>
      </c>
      <c r="H4023">
        <v>38</v>
      </c>
      <c r="I4023" s="6" t="s">
        <v>36</v>
      </c>
      <c r="J4023" s="6" t="s">
        <v>37</v>
      </c>
      <c r="K4023">
        <v>3</v>
      </c>
      <c r="M4023" s="1" t="b">
        <f>Employee__2[[#This Row],[Experience]]&gt;1</f>
        <v>1</v>
      </c>
      <c r="N4023" s="1" t="str">
        <f>IF(Employee__2[[#This Row],[City]]="Pune","Yes","No")</f>
        <v>No</v>
      </c>
      <c r="O4023" s="1" t="str">
        <f>IF(AND(Employee__2[[#This Row],[Education]]="Bachelors",Employee__2[[#This Row],[City]]="Pune"),"Yes","No")</f>
        <v>No</v>
      </c>
      <c r="P4023" s="1" t="str">
        <f>IF(OR(Employee__2[[#This Row],[Age]]&gt;=30,Employee__2[[#This Row],[Gender]]="Male"),"Mached","Not mached")</f>
        <v>Mached</v>
      </c>
    </row>
    <row r="4024" spans="4:16" x14ac:dyDescent="0.25">
      <c r="D4024" s="6" t="s">
        <v>34</v>
      </c>
      <c r="E4024">
        <v>2017</v>
      </c>
      <c r="F4024" s="6" t="s">
        <v>40</v>
      </c>
      <c r="G4024">
        <v>2</v>
      </c>
      <c r="H4024">
        <v>22</v>
      </c>
      <c r="I4024" s="6" t="s">
        <v>39</v>
      </c>
      <c r="J4024" s="6" t="s">
        <v>37</v>
      </c>
      <c r="K4024">
        <v>0</v>
      </c>
      <c r="M4024" s="1" t="b">
        <f>Employee__2[[#This Row],[Experience]]&gt;1</f>
        <v>0</v>
      </c>
      <c r="N4024" s="1" t="str">
        <f>IF(Employee__2[[#This Row],[City]]="Pune","Yes","No")</f>
        <v>No</v>
      </c>
      <c r="O4024" s="1" t="str">
        <f>IF(AND(Employee__2[[#This Row],[Education]]="Bachelors",Employee__2[[#This Row],[City]]="Pune"),"Yes","No")</f>
        <v>No</v>
      </c>
      <c r="P4024" s="1" t="str">
        <f>IF(OR(Employee__2[[#This Row],[Age]]&gt;=30,Employee__2[[#This Row],[Gender]]="Male"),"Mached","Not mached")</f>
        <v>Not mached</v>
      </c>
    </row>
    <row r="4025" spans="4:16" x14ac:dyDescent="0.25">
      <c r="D4025" s="6" t="s">
        <v>34</v>
      </c>
      <c r="E4025">
        <v>2016</v>
      </c>
      <c r="F4025" s="6" t="s">
        <v>38</v>
      </c>
      <c r="G4025">
        <v>2</v>
      </c>
      <c r="H4025">
        <v>36</v>
      </c>
      <c r="I4025" s="6" t="s">
        <v>39</v>
      </c>
      <c r="J4025" s="6" t="s">
        <v>37</v>
      </c>
      <c r="K4025">
        <v>0</v>
      </c>
      <c r="M4025" s="1" t="b">
        <f>Employee__2[[#This Row],[Experience]]&gt;1</f>
        <v>0</v>
      </c>
      <c r="N4025" s="1" t="str">
        <f>IF(Employee__2[[#This Row],[City]]="Pune","Yes","No")</f>
        <v>Yes</v>
      </c>
      <c r="O4025" s="1" t="str">
        <f>IF(AND(Employee__2[[#This Row],[Education]]="Bachelors",Employee__2[[#This Row],[City]]="Pune"),"Yes","No")</f>
        <v>Yes</v>
      </c>
      <c r="P4025" s="1" t="str">
        <f>IF(OR(Employee__2[[#This Row],[Age]]&gt;=30,Employee__2[[#This Row],[Gender]]="Male"),"Mached","Not mached")</f>
        <v>Mached</v>
      </c>
    </row>
    <row r="4026" spans="4:16" x14ac:dyDescent="0.25">
      <c r="D4026" s="6" t="s">
        <v>34</v>
      </c>
      <c r="E4026">
        <v>2013</v>
      </c>
      <c r="F4026" s="6" t="s">
        <v>40</v>
      </c>
      <c r="G4026">
        <v>2</v>
      </c>
      <c r="H4026">
        <v>35</v>
      </c>
      <c r="I4026" s="6" t="s">
        <v>39</v>
      </c>
      <c r="J4026" s="6" t="s">
        <v>37</v>
      </c>
      <c r="K4026">
        <v>1</v>
      </c>
      <c r="M4026" s="1" t="b">
        <f>Employee__2[[#This Row],[Experience]]&gt;1</f>
        <v>0</v>
      </c>
      <c r="N4026" s="1" t="str">
        <f>IF(Employee__2[[#This Row],[City]]="Pune","Yes","No")</f>
        <v>No</v>
      </c>
      <c r="O4026" s="1" t="str">
        <f>IF(AND(Employee__2[[#This Row],[Education]]="Bachelors",Employee__2[[#This Row],[City]]="Pune"),"Yes","No")</f>
        <v>No</v>
      </c>
      <c r="P4026" s="1" t="str">
        <f>IF(OR(Employee__2[[#This Row],[Age]]&gt;=30,Employee__2[[#This Row],[Gender]]="Male"),"Mached","Not mached")</f>
        <v>Mached</v>
      </c>
    </row>
    <row r="4027" spans="4:16" x14ac:dyDescent="0.25">
      <c r="D4027" s="6" t="s">
        <v>34</v>
      </c>
      <c r="E4027">
        <v>2012</v>
      </c>
      <c r="F4027" s="6" t="s">
        <v>40</v>
      </c>
      <c r="G4027">
        <v>3</v>
      </c>
      <c r="H4027">
        <v>22</v>
      </c>
      <c r="I4027" s="6" t="s">
        <v>39</v>
      </c>
      <c r="J4027" s="6" t="s">
        <v>37</v>
      </c>
      <c r="K4027">
        <v>0</v>
      </c>
      <c r="M4027" s="1" t="b">
        <f>Employee__2[[#This Row],[Experience]]&gt;1</f>
        <v>0</v>
      </c>
      <c r="N4027" s="1" t="str">
        <f>IF(Employee__2[[#This Row],[City]]="Pune","Yes","No")</f>
        <v>No</v>
      </c>
      <c r="O4027" s="1" t="str">
        <f>IF(AND(Employee__2[[#This Row],[Education]]="Bachelors",Employee__2[[#This Row],[City]]="Pune"),"Yes","No")</f>
        <v>No</v>
      </c>
      <c r="P4027" s="1" t="str">
        <f>IF(OR(Employee__2[[#This Row],[Age]]&gt;=30,Employee__2[[#This Row],[Gender]]="Male"),"Mached","Not mached")</f>
        <v>Not mached</v>
      </c>
    </row>
    <row r="4028" spans="4:16" x14ac:dyDescent="0.25">
      <c r="D4028" s="6" t="s">
        <v>34</v>
      </c>
      <c r="E4028">
        <v>2016</v>
      </c>
      <c r="F4028" s="6" t="s">
        <v>35</v>
      </c>
      <c r="G4028">
        <v>3</v>
      </c>
      <c r="H4028">
        <v>22</v>
      </c>
      <c r="I4028" s="6" t="s">
        <v>36</v>
      </c>
      <c r="J4028" s="6" t="s">
        <v>37</v>
      </c>
      <c r="K4028">
        <v>0</v>
      </c>
      <c r="M4028" s="1" t="b">
        <f>Employee__2[[#This Row],[Experience]]&gt;1</f>
        <v>0</v>
      </c>
      <c r="N4028" s="1" t="str">
        <f>IF(Employee__2[[#This Row],[City]]="Pune","Yes","No")</f>
        <v>No</v>
      </c>
      <c r="O4028" s="1" t="str">
        <f>IF(AND(Employee__2[[#This Row],[Education]]="Bachelors",Employee__2[[#This Row],[City]]="Pune"),"Yes","No")</f>
        <v>No</v>
      </c>
      <c r="P4028" s="1" t="str">
        <f>IF(OR(Employee__2[[#This Row],[Age]]&gt;=30,Employee__2[[#This Row],[Gender]]="Male"),"Mached","Not mached")</f>
        <v>Mached</v>
      </c>
    </row>
    <row r="4029" spans="4:16" x14ac:dyDescent="0.25">
      <c r="D4029" s="6" t="s">
        <v>34</v>
      </c>
      <c r="E4029">
        <v>2012</v>
      </c>
      <c r="F4029" s="6" t="s">
        <v>35</v>
      </c>
      <c r="G4029">
        <v>3</v>
      </c>
      <c r="H4029">
        <v>29</v>
      </c>
      <c r="I4029" s="6" t="s">
        <v>36</v>
      </c>
      <c r="J4029" s="6" t="s">
        <v>37</v>
      </c>
      <c r="K4029">
        <v>4</v>
      </c>
      <c r="M4029" s="1" t="b">
        <f>Employee__2[[#This Row],[Experience]]&gt;1</f>
        <v>1</v>
      </c>
      <c r="N4029" s="1" t="str">
        <f>IF(Employee__2[[#This Row],[City]]="Pune","Yes","No")</f>
        <v>No</v>
      </c>
      <c r="O4029" s="1" t="str">
        <f>IF(AND(Employee__2[[#This Row],[Education]]="Bachelors",Employee__2[[#This Row],[City]]="Pune"),"Yes","No")</f>
        <v>No</v>
      </c>
      <c r="P4029" s="1" t="str">
        <f>IF(OR(Employee__2[[#This Row],[Age]]&gt;=30,Employee__2[[#This Row],[Gender]]="Male"),"Mached","Not mached")</f>
        <v>Mached</v>
      </c>
    </row>
    <row r="4030" spans="4:16" x14ac:dyDescent="0.25">
      <c r="D4030" s="6" t="s">
        <v>34</v>
      </c>
      <c r="E4030">
        <v>2017</v>
      </c>
      <c r="F4030" s="6" t="s">
        <v>35</v>
      </c>
      <c r="G4030">
        <v>3</v>
      </c>
      <c r="H4030">
        <v>34</v>
      </c>
      <c r="I4030" s="6" t="s">
        <v>36</v>
      </c>
      <c r="J4030" s="6" t="s">
        <v>37</v>
      </c>
      <c r="K4030">
        <v>5</v>
      </c>
      <c r="M4030" s="1" t="b">
        <f>Employee__2[[#This Row],[Experience]]&gt;1</f>
        <v>1</v>
      </c>
      <c r="N4030" s="1" t="str">
        <f>IF(Employee__2[[#This Row],[City]]="Pune","Yes","No")</f>
        <v>No</v>
      </c>
      <c r="O4030" s="1" t="str">
        <f>IF(AND(Employee__2[[#This Row],[Education]]="Bachelors",Employee__2[[#This Row],[City]]="Pune"),"Yes","No")</f>
        <v>No</v>
      </c>
      <c r="P4030" s="1" t="str">
        <f>IF(OR(Employee__2[[#This Row],[Age]]&gt;=30,Employee__2[[#This Row],[Gender]]="Male"),"Mached","Not mached")</f>
        <v>Mached</v>
      </c>
    </row>
    <row r="4031" spans="4:16" x14ac:dyDescent="0.25">
      <c r="D4031" s="6" t="s">
        <v>34</v>
      </c>
      <c r="E4031">
        <v>2017</v>
      </c>
      <c r="F4031" s="6" t="s">
        <v>35</v>
      </c>
      <c r="G4031">
        <v>2</v>
      </c>
      <c r="H4031">
        <v>23</v>
      </c>
      <c r="I4031" s="6" t="s">
        <v>36</v>
      </c>
      <c r="J4031" s="6" t="s">
        <v>37</v>
      </c>
      <c r="K4031">
        <v>1</v>
      </c>
      <c r="M4031" s="1" t="b">
        <f>Employee__2[[#This Row],[Experience]]&gt;1</f>
        <v>0</v>
      </c>
      <c r="N4031" s="1" t="str">
        <f>IF(Employee__2[[#This Row],[City]]="Pune","Yes","No")</f>
        <v>No</v>
      </c>
      <c r="O4031" s="1" t="str">
        <f>IF(AND(Employee__2[[#This Row],[Education]]="Bachelors",Employee__2[[#This Row],[City]]="Pune"),"Yes","No")</f>
        <v>No</v>
      </c>
      <c r="P4031" s="1" t="str">
        <f>IF(OR(Employee__2[[#This Row],[Age]]&gt;=30,Employee__2[[#This Row],[Gender]]="Male"),"Mached","Not mached")</f>
        <v>Mached</v>
      </c>
    </row>
    <row r="4032" spans="4:16" x14ac:dyDescent="0.25">
      <c r="D4032" s="6" t="s">
        <v>34</v>
      </c>
      <c r="E4032">
        <v>2014</v>
      </c>
      <c r="F4032" s="6" t="s">
        <v>38</v>
      </c>
      <c r="G4032">
        <v>2</v>
      </c>
      <c r="H4032">
        <v>32</v>
      </c>
      <c r="I4032" s="6" t="s">
        <v>36</v>
      </c>
      <c r="J4032" s="6" t="s">
        <v>37</v>
      </c>
      <c r="K4032">
        <v>3</v>
      </c>
      <c r="M4032" s="1" t="b">
        <f>Employee__2[[#This Row],[Experience]]&gt;1</f>
        <v>1</v>
      </c>
      <c r="N4032" s="1" t="str">
        <f>IF(Employee__2[[#This Row],[City]]="Pune","Yes","No")</f>
        <v>Yes</v>
      </c>
      <c r="O4032" s="1" t="str">
        <f>IF(AND(Employee__2[[#This Row],[Education]]="Bachelors",Employee__2[[#This Row],[City]]="Pune"),"Yes","No")</f>
        <v>Yes</v>
      </c>
      <c r="P4032" s="1" t="str">
        <f>IF(OR(Employee__2[[#This Row],[Age]]&gt;=30,Employee__2[[#This Row],[Gender]]="Male"),"Mached","Not mached")</f>
        <v>Mached</v>
      </c>
    </row>
    <row r="4033" spans="4:16" x14ac:dyDescent="0.25">
      <c r="D4033" s="6" t="s">
        <v>34</v>
      </c>
      <c r="E4033">
        <v>2012</v>
      </c>
      <c r="F4033" s="6" t="s">
        <v>38</v>
      </c>
      <c r="G4033">
        <v>2</v>
      </c>
      <c r="H4033">
        <v>26</v>
      </c>
      <c r="I4033" s="6" t="s">
        <v>39</v>
      </c>
      <c r="J4033" s="6" t="s">
        <v>37</v>
      </c>
      <c r="K4033">
        <v>4</v>
      </c>
      <c r="M4033" s="1" t="b">
        <f>Employee__2[[#This Row],[Experience]]&gt;1</f>
        <v>1</v>
      </c>
      <c r="N4033" s="1" t="str">
        <f>IF(Employee__2[[#This Row],[City]]="Pune","Yes","No")</f>
        <v>Yes</v>
      </c>
      <c r="O4033" s="1" t="str">
        <f>IF(AND(Employee__2[[#This Row],[Education]]="Bachelors",Employee__2[[#This Row],[City]]="Pune"),"Yes","No")</f>
        <v>Yes</v>
      </c>
      <c r="P4033" s="1" t="str">
        <f>IF(OR(Employee__2[[#This Row],[Age]]&gt;=30,Employee__2[[#This Row],[Gender]]="Male"),"Mached","Not mached")</f>
        <v>Not mached</v>
      </c>
    </row>
    <row r="4034" spans="4:16" x14ac:dyDescent="0.25">
      <c r="D4034" s="6" t="s">
        <v>41</v>
      </c>
      <c r="E4034">
        <v>2017</v>
      </c>
      <c r="F4034" s="6" t="s">
        <v>35</v>
      </c>
      <c r="G4034">
        <v>3</v>
      </c>
      <c r="H4034">
        <v>38</v>
      </c>
      <c r="I4034" s="6" t="s">
        <v>36</v>
      </c>
      <c r="J4034" s="6" t="s">
        <v>37</v>
      </c>
      <c r="K4034">
        <v>2</v>
      </c>
      <c r="M4034" s="1" t="b">
        <f>Employee__2[[#This Row],[Experience]]&gt;1</f>
        <v>1</v>
      </c>
      <c r="N4034" s="1" t="str">
        <f>IF(Employee__2[[#This Row],[City]]="Pune","Yes","No")</f>
        <v>No</v>
      </c>
      <c r="O4034" s="1" t="str">
        <f>IF(AND(Employee__2[[#This Row],[Education]]="Bachelors",Employee__2[[#This Row],[City]]="Pune"),"Yes","No")</f>
        <v>No</v>
      </c>
      <c r="P4034" s="1" t="str">
        <f>IF(OR(Employee__2[[#This Row],[Age]]&gt;=30,Employee__2[[#This Row],[Gender]]="Male"),"Mached","Not mached")</f>
        <v>Mached</v>
      </c>
    </row>
    <row r="4035" spans="4:16" x14ac:dyDescent="0.25">
      <c r="D4035" s="6" t="s">
        <v>34</v>
      </c>
      <c r="E4035">
        <v>2014</v>
      </c>
      <c r="F4035" s="6" t="s">
        <v>38</v>
      </c>
      <c r="G4035">
        <v>3</v>
      </c>
      <c r="H4035">
        <v>37</v>
      </c>
      <c r="I4035" s="6" t="s">
        <v>36</v>
      </c>
      <c r="J4035" s="6" t="s">
        <v>37</v>
      </c>
      <c r="K4035">
        <v>4</v>
      </c>
      <c r="M4035" s="1" t="b">
        <f>Employee__2[[#This Row],[Experience]]&gt;1</f>
        <v>1</v>
      </c>
      <c r="N4035" s="1" t="str">
        <f>IF(Employee__2[[#This Row],[City]]="Pune","Yes","No")</f>
        <v>Yes</v>
      </c>
      <c r="O4035" s="1" t="str">
        <f>IF(AND(Employee__2[[#This Row],[Education]]="Bachelors",Employee__2[[#This Row],[City]]="Pune"),"Yes","No")</f>
        <v>Yes</v>
      </c>
      <c r="P4035" s="1" t="str">
        <f>IF(OR(Employee__2[[#This Row],[Age]]&gt;=30,Employee__2[[#This Row],[Gender]]="Male"),"Mached","Not mached")</f>
        <v>Mached</v>
      </c>
    </row>
    <row r="4036" spans="4:16" x14ac:dyDescent="0.25">
      <c r="D4036" s="6" t="s">
        <v>34</v>
      </c>
      <c r="E4036">
        <v>2017</v>
      </c>
      <c r="F4036" s="6" t="s">
        <v>40</v>
      </c>
      <c r="G4036">
        <v>2</v>
      </c>
      <c r="H4036">
        <v>25</v>
      </c>
      <c r="I4036" s="6" t="s">
        <v>39</v>
      </c>
      <c r="J4036" s="6" t="s">
        <v>37</v>
      </c>
      <c r="K4036">
        <v>3</v>
      </c>
      <c r="M4036" s="1" t="b">
        <f>Employee__2[[#This Row],[Experience]]&gt;1</f>
        <v>1</v>
      </c>
      <c r="N4036" s="1" t="str">
        <f>IF(Employee__2[[#This Row],[City]]="Pune","Yes","No")</f>
        <v>No</v>
      </c>
      <c r="O4036" s="1" t="str">
        <f>IF(AND(Employee__2[[#This Row],[Education]]="Bachelors",Employee__2[[#This Row],[City]]="Pune"),"Yes","No")</f>
        <v>No</v>
      </c>
      <c r="P4036" s="1" t="str">
        <f>IF(OR(Employee__2[[#This Row],[Age]]&gt;=30,Employee__2[[#This Row],[Gender]]="Male"),"Mached","Not mached")</f>
        <v>Not mached</v>
      </c>
    </row>
    <row r="4037" spans="4:16" x14ac:dyDescent="0.25">
      <c r="D4037" s="6" t="s">
        <v>34</v>
      </c>
      <c r="E4037">
        <v>2018</v>
      </c>
      <c r="F4037" s="6" t="s">
        <v>38</v>
      </c>
      <c r="G4037">
        <v>2</v>
      </c>
      <c r="H4037">
        <v>36</v>
      </c>
      <c r="I4037" s="6" t="s">
        <v>39</v>
      </c>
      <c r="J4037" s="6" t="s">
        <v>37</v>
      </c>
      <c r="K4037">
        <v>5</v>
      </c>
      <c r="M4037" s="1" t="b">
        <f>Employee__2[[#This Row],[Experience]]&gt;1</f>
        <v>1</v>
      </c>
      <c r="N4037" s="1" t="str">
        <f>IF(Employee__2[[#This Row],[City]]="Pune","Yes","No")</f>
        <v>Yes</v>
      </c>
      <c r="O4037" s="1" t="str">
        <f>IF(AND(Employee__2[[#This Row],[Education]]="Bachelors",Employee__2[[#This Row],[City]]="Pune"),"Yes","No")</f>
        <v>Yes</v>
      </c>
      <c r="P4037" s="1" t="str">
        <f>IF(OR(Employee__2[[#This Row],[Age]]&gt;=30,Employee__2[[#This Row],[Gender]]="Male"),"Mached","Not mached")</f>
        <v>Mached</v>
      </c>
    </row>
    <row r="4038" spans="4:16" x14ac:dyDescent="0.25">
      <c r="D4038" s="6" t="s">
        <v>34</v>
      </c>
      <c r="E4038">
        <v>2016</v>
      </c>
      <c r="F4038" s="6" t="s">
        <v>35</v>
      </c>
      <c r="G4038">
        <v>3</v>
      </c>
      <c r="H4038">
        <v>26</v>
      </c>
      <c r="I4038" s="6" t="s">
        <v>39</v>
      </c>
      <c r="J4038" s="6" t="s">
        <v>37</v>
      </c>
      <c r="K4038">
        <v>4</v>
      </c>
      <c r="M4038" s="1" t="b">
        <f>Employee__2[[#This Row],[Experience]]&gt;1</f>
        <v>1</v>
      </c>
      <c r="N4038" s="1" t="str">
        <f>IF(Employee__2[[#This Row],[City]]="Pune","Yes","No")</f>
        <v>No</v>
      </c>
      <c r="O4038" s="1" t="str">
        <f>IF(AND(Employee__2[[#This Row],[Education]]="Bachelors",Employee__2[[#This Row],[City]]="Pune"),"Yes","No")</f>
        <v>No</v>
      </c>
      <c r="P4038" s="1" t="str">
        <f>IF(OR(Employee__2[[#This Row],[Age]]&gt;=30,Employee__2[[#This Row],[Gender]]="Male"),"Mached","Not mached")</f>
        <v>Not mached</v>
      </c>
    </row>
    <row r="4039" spans="4:16" x14ac:dyDescent="0.25">
      <c r="D4039" s="6" t="s">
        <v>34</v>
      </c>
      <c r="E4039">
        <v>2018</v>
      </c>
      <c r="F4039" s="6" t="s">
        <v>38</v>
      </c>
      <c r="G4039">
        <v>2</v>
      </c>
      <c r="H4039">
        <v>39</v>
      </c>
      <c r="I4039" s="6" t="s">
        <v>39</v>
      </c>
      <c r="J4039" s="6" t="s">
        <v>37</v>
      </c>
      <c r="K4039">
        <v>4</v>
      </c>
      <c r="M4039" s="1" t="b">
        <f>Employee__2[[#This Row],[Experience]]&gt;1</f>
        <v>1</v>
      </c>
      <c r="N4039" s="1" t="str">
        <f>IF(Employee__2[[#This Row],[City]]="Pune","Yes","No")</f>
        <v>Yes</v>
      </c>
      <c r="O4039" s="1" t="str">
        <f>IF(AND(Employee__2[[#This Row],[Education]]="Bachelors",Employee__2[[#This Row],[City]]="Pune"),"Yes","No")</f>
        <v>Yes</v>
      </c>
      <c r="P4039" s="1" t="str">
        <f>IF(OR(Employee__2[[#This Row],[Age]]&gt;=30,Employee__2[[#This Row],[Gender]]="Male"),"Mached","Not mached")</f>
        <v>Mached</v>
      </c>
    </row>
    <row r="4040" spans="4:16" x14ac:dyDescent="0.25">
      <c r="D4040" s="6" t="s">
        <v>34</v>
      </c>
      <c r="E4040">
        <v>2016</v>
      </c>
      <c r="F4040" s="6" t="s">
        <v>35</v>
      </c>
      <c r="G4040">
        <v>3</v>
      </c>
      <c r="H4040">
        <v>24</v>
      </c>
      <c r="I4040" s="6" t="s">
        <v>36</v>
      </c>
      <c r="J4040" s="6" t="s">
        <v>37</v>
      </c>
      <c r="K4040">
        <v>2</v>
      </c>
      <c r="M4040" s="1" t="b">
        <f>Employee__2[[#This Row],[Experience]]&gt;1</f>
        <v>1</v>
      </c>
      <c r="N4040" s="1" t="str">
        <f>IF(Employee__2[[#This Row],[City]]="Pune","Yes","No")</f>
        <v>No</v>
      </c>
      <c r="O4040" s="1" t="str">
        <f>IF(AND(Employee__2[[#This Row],[Education]]="Bachelors",Employee__2[[#This Row],[City]]="Pune"),"Yes","No")</f>
        <v>No</v>
      </c>
      <c r="P4040" s="1" t="str">
        <f>IF(OR(Employee__2[[#This Row],[Age]]&gt;=30,Employee__2[[#This Row],[Gender]]="Male"),"Mached","Not mached")</f>
        <v>Mached</v>
      </c>
    </row>
    <row r="4041" spans="4:16" x14ac:dyDescent="0.25">
      <c r="D4041" s="6" t="s">
        <v>41</v>
      </c>
      <c r="E4041">
        <v>2018</v>
      </c>
      <c r="F4041" s="6" t="s">
        <v>38</v>
      </c>
      <c r="G4041">
        <v>3</v>
      </c>
      <c r="H4041">
        <v>39</v>
      </c>
      <c r="I4041" s="6" t="s">
        <v>36</v>
      </c>
      <c r="J4041" s="6" t="s">
        <v>37</v>
      </c>
      <c r="K4041">
        <v>2</v>
      </c>
      <c r="M4041" s="1" t="b">
        <f>Employee__2[[#This Row],[Experience]]&gt;1</f>
        <v>1</v>
      </c>
      <c r="N4041" s="1" t="str">
        <f>IF(Employee__2[[#This Row],[City]]="Pune","Yes","No")</f>
        <v>Yes</v>
      </c>
      <c r="O4041" s="1" t="str">
        <f>IF(AND(Employee__2[[#This Row],[Education]]="Bachelors",Employee__2[[#This Row],[City]]="Pune"),"Yes","No")</f>
        <v>No</v>
      </c>
      <c r="P4041" s="1" t="str">
        <f>IF(OR(Employee__2[[#This Row],[Age]]&gt;=30,Employee__2[[#This Row],[Gender]]="Male"),"Mached","Not mached")</f>
        <v>Mached</v>
      </c>
    </row>
    <row r="4042" spans="4:16" x14ac:dyDescent="0.25">
      <c r="D4042" s="6" t="s">
        <v>41</v>
      </c>
      <c r="E4042">
        <v>2018</v>
      </c>
      <c r="F4042" s="6" t="s">
        <v>40</v>
      </c>
      <c r="G4042">
        <v>3</v>
      </c>
      <c r="H4042">
        <v>39</v>
      </c>
      <c r="I4042" s="6" t="s">
        <v>39</v>
      </c>
      <c r="J4042" s="6" t="s">
        <v>37</v>
      </c>
      <c r="K4042">
        <v>2</v>
      </c>
      <c r="M4042" s="1" t="b">
        <f>Employee__2[[#This Row],[Experience]]&gt;1</f>
        <v>1</v>
      </c>
      <c r="N4042" s="1" t="str">
        <f>IF(Employee__2[[#This Row],[City]]="Pune","Yes","No")</f>
        <v>No</v>
      </c>
      <c r="O4042" s="1" t="str">
        <f>IF(AND(Employee__2[[#This Row],[Education]]="Bachelors",Employee__2[[#This Row],[City]]="Pune"),"Yes","No")</f>
        <v>No</v>
      </c>
      <c r="P4042" s="1" t="str">
        <f>IF(OR(Employee__2[[#This Row],[Age]]&gt;=30,Employee__2[[#This Row],[Gender]]="Male"),"Mached","Not mached")</f>
        <v>Mached</v>
      </c>
    </row>
    <row r="4043" spans="4:16" x14ac:dyDescent="0.25">
      <c r="D4043" s="6" t="s">
        <v>34</v>
      </c>
      <c r="E4043">
        <v>2017</v>
      </c>
      <c r="F4043" s="6" t="s">
        <v>40</v>
      </c>
      <c r="G4043">
        <v>2</v>
      </c>
      <c r="H4043">
        <v>27</v>
      </c>
      <c r="I4043" s="6" t="s">
        <v>39</v>
      </c>
      <c r="J4043" s="6" t="s">
        <v>37</v>
      </c>
      <c r="K4043">
        <v>5</v>
      </c>
      <c r="M4043" s="1" t="b">
        <f>Employee__2[[#This Row],[Experience]]&gt;1</f>
        <v>1</v>
      </c>
      <c r="N4043" s="1" t="str">
        <f>IF(Employee__2[[#This Row],[City]]="Pune","Yes","No")</f>
        <v>No</v>
      </c>
      <c r="O4043" s="1" t="str">
        <f>IF(AND(Employee__2[[#This Row],[Education]]="Bachelors",Employee__2[[#This Row],[City]]="Pune"),"Yes","No")</f>
        <v>No</v>
      </c>
      <c r="P4043" s="1" t="str">
        <f>IF(OR(Employee__2[[#This Row],[Age]]&gt;=30,Employee__2[[#This Row],[Gender]]="Male"),"Mached","Not mached")</f>
        <v>Not mached</v>
      </c>
    </row>
    <row r="4044" spans="4:16" x14ac:dyDescent="0.25">
      <c r="D4044" s="6" t="s">
        <v>34</v>
      </c>
      <c r="E4044">
        <v>2013</v>
      </c>
      <c r="F4044" s="6" t="s">
        <v>35</v>
      </c>
      <c r="G4044">
        <v>3</v>
      </c>
      <c r="H4044">
        <v>36</v>
      </c>
      <c r="I4044" s="6" t="s">
        <v>36</v>
      </c>
      <c r="J4044" s="6" t="s">
        <v>37</v>
      </c>
      <c r="K4044">
        <v>5</v>
      </c>
      <c r="M4044" s="1" t="b">
        <f>Employee__2[[#This Row],[Experience]]&gt;1</f>
        <v>1</v>
      </c>
      <c r="N4044" s="1" t="str">
        <f>IF(Employee__2[[#This Row],[City]]="Pune","Yes","No")</f>
        <v>No</v>
      </c>
      <c r="O4044" s="1" t="str">
        <f>IF(AND(Employee__2[[#This Row],[Education]]="Bachelors",Employee__2[[#This Row],[City]]="Pune"),"Yes","No")</f>
        <v>No</v>
      </c>
      <c r="P4044" s="1" t="str">
        <f>IF(OR(Employee__2[[#This Row],[Age]]&gt;=30,Employee__2[[#This Row],[Gender]]="Male"),"Mached","Not mached")</f>
        <v>Mached</v>
      </c>
    </row>
    <row r="4045" spans="4:16" x14ac:dyDescent="0.25">
      <c r="D4045" s="6" t="s">
        <v>34</v>
      </c>
      <c r="E4045">
        <v>2012</v>
      </c>
      <c r="F4045" s="6" t="s">
        <v>35</v>
      </c>
      <c r="G4045">
        <v>3</v>
      </c>
      <c r="H4045">
        <v>24</v>
      </c>
      <c r="I4045" s="6" t="s">
        <v>36</v>
      </c>
      <c r="J4045" s="6" t="s">
        <v>37</v>
      </c>
      <c r="K4045">
        <v>2</v>
      </c>
      <c r="M4045" s="1" t="b">
        <f>Employee__2[[#This Row],[Experience]]&gt;1</f>
        <v>1</v>
      </c>
      <c r="N4045" s="1" t="str">
        <f>IF(Employee__2[[#This Row],[City]]="Pune","Yes","No")</f>
        <v>No</v>
      </c>
      <c r="O4045" s="1" t="str">
        <f>IF(AND(Employee__2[[#This Row],[Education]]="Bachelors",Employee__2[[#This Row],[City]]="Pune"),"Yes","No")</f>
        <v>No</v>
      </c>
      <c r="P4045" s="1" t="str">
        <f>IF(OR(Employee__2[[#This Row],[Age]]&gt;=30,Employee__2[[#This Row],[Gender]]="Male"),"Mached","Not mached")</f>
        <v>Mached</v>
      </c>
    </row>
    <row r="4046" spans="4:16" x14ac:dyDescent="0.25">
      <c r="D4046" s="6" t="s">
        <v>34</v>
      </c>
      <c r="E4046">
        <v>2017</v>
      </c>
      <c r="F4046" s="6" t="s">
        <v>35</v>
      </c>
      <c r="G4046">
        <v>3</v>
      </c>
      <c r="H4046">
        <v>28</v>
      </c>
      <c r="I4046" s="6" t="s">
        <v>39</v>
      </c>
      <c r="J4046" s="6" t="s">
        <v>37</v>
      </c>
      <c r="K4046">
        <v>3</v>
      </c>
      <c r="M4046" s="1" t="b">
        <f>Employee__2[[#This Row],[Experience]]&gt;1</f>
        <v>1</v>
      </c>
      <c r="N4046" s="1" t="str">
        <f>IF(Employee__2[[#This Row],[City]]="Pune","Yes","No")</f>
        <v>No</v>
      </c>
      <c r="O4046" s="1" t="str">
        <f>IF(AND(Employee__2[[#This Row],[Education]]="Bachelors",Employee__2[[#This Row],[City]]="Pune"),"Yes","No")</f>
        <v>No</v>
      </c>
      <c r="P4046" s="1" t="str">
        <f>IF(OR(Employee__2[[#This Row],[Age]]&gt;=30,Employee__2[[#This Row],[Gender]]="Male"),"Mached","Not mached")</f>
        <v>Not mached</v>
      </c>
    </row>
    <row r="4047" spans="4:16" x14ac:dyDescent="0.25">
      <c r="D4047" s="6" t="s">
        <v>34</v>
      </c>
      <c r="E4047">
        <v>2016</v>
      </c>
      <c r="F4047" s="6" t="s">
        <v>35</v>
      </c>
      <c r="G4047">
        <v>3</v>
      </c>
      <c r="H4047">
        <v>24</v>
      </c>
      <c r="I4047" s="6" t="s">
        <v>36</v>
      </c>
      <c r="J4047" s="6" t="s">
        <v>37</v>
      </c>
      <c r="K4047">
        <v>2</v>
      </c>
      <c r="M4047" s="1" t="b">
        <f>Employee__2[[#This Row],[Experience]]&gt;1</f>
        <v>1</v>
      </c>
      <c r="N4047" s="1" t="str">
        <f>IF(Employee__2[[#This Row],[City]]="Pune","Yes","No")</f>
        <v>No</v>
      </c>
      <c r="O4047" s="1" t="str">
        <f>IF(AND(Employee__2[[#This Row],[Education]]="Bachelors",Employee__2[[#This Row],[City]]="Pune"),"Yes","No")</f>
        <v>No</v>
      </c>
      <c r="P4047" s="1" t="str">
        <f>IF(OR(Employee__2[[#This Row],[Age]]&gt;=30,Employee__2[[#This Row],[Gender]]="Male"),"Mached","Not mached")</f>
        <v>Mached</v>
      </c>
    </row>
    <row r="4048" spans="4:16" x14ac:dyDescent="0.25">
      <c r="D4048" s="6" t="s">
        <v>34</v>
      </c>
      <c r="E4048">
        <v>2014</v>
      </c>
      <c r="F4048" s="6" t="s">
        <v>35</v>
      </c>
      <c r="G4048">
        <v>3</v>
      </c>
      <c r="H4048">
        <v>27</v>
      </c>
      <c r="I4048" s="6" t="s">
        <v>36</v>
      </c>
      <c r="J4048" s="6" t="s">
        <v>37</v>
      </c>
      <c r="K4048">
        <v>5</v>
      </c>
      <c r="M4048" s="1" t="b">
        <f>Employee__2[[#This Row],[Experience]]&gt;1</f>
        <v>1</v>
      </c>
      <c r="N4048" s="1" t="str">
        <f>IF(Employee__2[[#This Row],[City]]="Pune","Yes","No")</f>
        <v>No</v>
      </c>
      <c r="O4048" s="1" t="str">
        <f>IF(AND(Employee__2[[#This Row],[Education]]="Bachelors",Employee__2[[#This Row],[City]]="Pune"),"Yes","No")</f>
        <v>No</v>
      </c>
      <c r="P4048" s="1" t="str">
        <f>IF(OR(Employee__2[[#This Row],[Age]]&gt;=30,Employee__2[[#This Row],[Gender]]="Male"),"Mached","Not mached")</f>
        <v>Mached</v>
      </c>
    </row>
    <row r="4049" spans="4:16" x14ac:dyDescent="0.25">
      <c r="D4049" s="6" t="s">
        <v>34</v>
      </c>
      <c r="E4049">
        <v>2017</v>
      </c>
      <c r="F4049" s="6" t="s">
        <v>40</v>
      </c>
      <c r="G4049">
        <v>3</v>
      </c>
      <c r="H4049">
        <v>23</v>
      </c>
      <c r="I4049" s="6" t="s">
        <v>36</v>
      </c>
      <c r="J4049" s="6" t="s">
        <v>37</v>
      </c>
      <c r="K4049">
        <v>1</v>
      </c>
      <c r="M4049" s="1" t="b">
        <f>Employee__2[[#This Row],[Experience]]&gt;1</f>
        <v>0</v>
      </c>
      <c r="N4049" s="1" t="str">
        <f>IF(Employee__2[[#This Row],[City]]="Pune","Yes","No")</f>
        <v>No</v>
      </c>
      <c r="O4049" s="1" t="str">
        <f>IF(AND(Employee__2[[#This Row],[Education]]="Bachelors",Employee__2[[#This Row],[City]]="Pune"),"Yes","No")</f>
        <v>No</v>
      </c>
      <c r="P4049" s="1" t="str">
        <f>IF(OR(Employee__2[[#This Row],[Age]]&gt;=30,Employee__2[[#This Row],[Gender]]="Male"),"Mached","Not mached")</f>
        <v>Mached</v>
      </c>
    </row>
    <row r="4050" spans="4:16" x14ac:dyDescent="0.25">
      <c r="D4050" s="6" t="s">
        <v>34</v>
      </c>
      <c r="E4050">
        <v>2013</v>
      </c>
      <c r="F4050" s="6" t="s">
        <v>35</v>
      </c>
      <c r="G4050">
        <v>3</v>
      </c>
      <c r="H4050">
        <v>30</v>
      </c>
      <c r="I4050" s="6" t="s">
        <v>39</v>
      </c>
      <c r="J4050" s="6" t="s">
        <v>37</v>
      </c>
      <c r="K4050">
        <v>5</v>
      </c>
      <c r="M4050" s="1" t="b">
        <f>Employee__2[[#This Row],[Experience]]&gt;1</f>
        <v>1</v>
      </c>
      <c r="N4050" s="1" t="str">
        <f>IF(Employee__2[[#This Row],[City]]="Pune","Yes","No")</f>
        <v>No</v>
      </c>
      <c r="O4050" s="1" t="str">
        <f>IF(AND(Employee__2[[#This Row],[Education]]="Bachelors",Employee__2[[#This Row],[City]]="Pune"),"Yes","No")</f>
        <v>No</v>
      </c>
      <c r="P4050" s="1" t="str">
        <f>IF(OR(Employee__2[[#This Row],[Age]]&gt;=30,Employee__2[[#This Row],[Gender]]="Male"),"Mached","Not mached")</f>
        <v>Mached</v>
      </c>
    </row>
    <row r="4051" spans="4:16" x14ac:dyDescent="0.25">
      <c r="D4051" s="6" t="s">
        <v>34</v>
      </c>
      <c r="E4051">
        <v>2014</v>
      </c>
      <c r="F4051" s="6" t="s">
        <v>35</v>
      </c>
      <c r="G4051">
        <v>3</v>
      </c>
      <c r="H4051">
        <v>22</v>
      </c>
      <c r="I4051" s="6" t="s">
        <v>36</v>
      </c>
      <c r="J4051" s="6" t="s">
        <v>37</v>
      </c>
      <c r="K4051">
        <v>0</v>
      </c>
      <c r="M4051" s="1" t="b">
        <f>Employee__2[[#This Row],[Experience]]&gt;1</f>
        <v>0</v>
      </c>
      <c r="N4051" s="1" t="str">
        <f>IF(Employee__2[[#This Row],[City]]="Pune","Yes","No")</f>
        <v>No</v>
      </c>
      <c r="O4051" s="1" t="str">
        <f>IF(AND(Employee__2[[#This Row],[Education]]="Bachelors",Employee__2[[#This Row],[City]]="Pune"),"Yes","No")</f>
        <v>No</v>
      </c>
      <c r="P4051" s="1" t="str">
        <f>IF(OR(Employee__2[[#This Row],[Age]]&gt;=30,Employee__2[[#This Row],[Gender]]="Male"),"Mached","Not mached")</f>
        <v>Mached</v>
      </c>
    </row>
    <row r="4052" spans="4:16" x14ac:dyDescent="0.25">
      <c r="D4052" s="6" t="s">
        <v>34</v>
      </c>
      <c r="E4052">
        <v>2014</v>
      </c>
      <c r="F4052" s="6" t="s">
        <v>38</v>
      </c>
      <c r="G4052">
        <v>3</v>
      </c>
      <c r="H4052">
        <v>27</v>
      </c>
      <c r="I4052" s="6" t="s">
        <v>36</v>
      </c>
      <c r="J4052" s="6" t="s">
        <v>37</v>
      </c>
      <c r="K4052">
        <v>5</v>
      </c>
      <c r="M4052" s="1" t="b">
        <f>Employee__2[[#This Row],[Experience]]&gt;1</f>
        <v>1</v>
      </c>
      <c r="N4052" s="1" t="str">
        <f>IF(Employee__2[[#This Row],[City]]="Pune","Yes","No")</f>
        <v>Yes</v>
      </c>
      <c r="O4052" s="1" t="str">
        <f>IF(AND(Employee__2[[#This Row],[Education]]="Bachelors",Employee__2[[#This Row],[City]]="Pune"),"Yes","No")</f>
        <v>Yes</v>
      </c>
      <c r="P4052" s="1" t="str">
        <f>IF(OR(Employee__2[[#This Row],[Age]]&gt;=30,Employee__2[[#This Row],[Gender]]="Male"),"Mached","Not mached")</f>
        <v>Mached</v>
      </c>
    </row>
    <row r="4053" spans="4:16" x14ac:dyDescent="0.25">
      <c r="D4053" s="6" t="s">
        <v>41</v>
      </c>
      <c r="E4053">
        <v>2017</v>
      </c>
      <c r="F4053" s="6" t="s">
        <v>40</v>
      </c>
      <c r="G4053">
        <v>3</v>
      </c>
      <c r="H4053">
        <v>32</v>
      </c>
      <c r="I4053" s="6" t="s">
        <v>36</v>
      </c>
      <c r="J4053" s="6" t="s">
        <v>37</v>
      </c>
      <c r="K4053">
        <v>2</v>
      </c>
      <c r="M4053" s="1" t="b">
        <f>Employee__2[[#This Row],[Experience]]&gt;1</f>
        <v>1</v>
      </c>
      <c r="N4053" s="1" t="str">
        <f>IF(Employee__2[[#This Row],[City]]="Pune","Yes","No")</f>
        <v>No</v>
      </c>
      <c r="O4053" s="1" t="str">
        <f>IF(AND(Employee__2[[#This Row],[Education]]="Bachelors",Employee__2[[#This Row],[City]]="Pune"),"Yes","No")</f>
        <v>No</v>
      </c>
      <c r="P4053" s="1" t="str">
        <f>IF(OR(Employee__2[[#This Row],[Age]]&gt;=30,Employee__2[[#This Row],[Gender]]="Male"),"Mached","Not mached")</f>
        <v>Mached</v>
      </c>
    </row>
    <row r="4054" spans="4:16" x14ac:dyDescent="0.25">
      <c r="D4054" s="6" t="s">
        <v>41</v>
      </c>
      <c r="E4054">
        <v>2014</v>
      </c>
      <c r="F4054" s="6" t="s">
        <v>38</v>
      </c>
      <c r="G4054">
        <v>1</v>
      </c>
      <c r="H4054">
        <v>33</v>
      </c>
      <c r="I4054" s="6" t="s">
        <v>39</v>
      </c>
      <c r="J4054" s="6" t="s">
        <v>37</v>
      </c>
      <c r="K4054">
        <v>1</v>
      </c>
      <c r="M4054" s="1" t="b">
        <f>Employee__2[[#This Row],[Experience]]&gt;1</f>
        <v>0</v>
      </c>
      <c r="N4054" s="1" t="str">
        <f>IF(Employee__2[[#This Row],[City]]="Pune","Yes","No")</f>
        <v>Yes</v>
      </c>
      <c r="O4054" s="1" t="str">
        <f>IF(AND(Employee__2[[#This Row],[Education]]="Bachelors",Employee__2[[#This Row],[City]]="Pune"),"Yes","No")</f>
        <v>No</v>
      </c>
      <c r="P4054" s="1" t="str">
        <f>IF(OR(Employee__2[[#This Row],[Age]]&gt;=30,Employee__2[[#This Row],[Gender]]="Male"),"Mached","Not mached")</f>
        <v>Mached</v>
      </c>
    </row>
    <row r="4055" spans="4:16" x14ac:dyDescent="0.25">
      <c r="D4055" s="6" t="s">
        <v>41</v>
      </c>
      <c r="E4055">
        <v>2017</v>
      </c>
      <c r="F4055" s="6" t="s">
        <v>40</v>
      </c>
      <c r="G4055">
        <v>3</v>
      </c>
      <c r="H4055">
        <v>26</v>
      </c>
      <c r="I4055" s="6" t="s">
        <v>36</v>
      </c>
      <c r="J4055" s="6" t="s">
        <v>37</v>
      </c>
      <c r="K4055">
        <v>4</v>
      </c>
      <c r="M4055" s="1" t="b">
        <f>Employee__2[[#This Row],[Experience]]&gt;1</f>
        <v>1</v>
      </c>
      <c r="N4055" s="1" t="str">
        <f>IF(Employee__2[[#This Row],[City]]="Pune","Yes","No")</f>
        <v>No</v>
      </c>
      <c r="O4055" s="1" t="str">
        <f>IF(AND(Employee__2[[#This Row],[Education]]="Bachelors",Employee__2[[#This Row],[City]]="Pune"),"Yes","No")</f>
        <v>No</v>
      </c>
      <c r="P4055" s="1" t="str">
        <f>IF(OR(Employee__2[[#This Row],[Age]]&gt;=30,Employee__2[[#This Row],[Gender]]="Male"),"Mached","Not mached")</f>
        <v>Mached</v>
      </c>
    </row>
    <row r="4056" spans="4:16" x14ac:dyDescent="0.25">
      <c r="D4056" s="6" t="s">
        <v>34</v>
      </c>
      <c r="E4056">
        <v>2013</v>
      </c>
      <c r="F4056" s="6" t="s">
        <v>38</v>
      </c>
      <c r="G4056">
        <v>3</v>
      </c>
      <c r="H4056">
        <v>25</v>
      </c>
      <c r="I4056" s="6" t="s">
        <v>39</v>
      </c>
      <c r="J4056" s="6" t="s">
        <v>42</v>
      </c>
      <c r="K4056">
        <v>3</v>
      </c>
      <c r="M4056" s="1" t="b">
        <f>Employee__2[[#This Row],[Experience]]&gt;1</f>
        <v>1</v>
      </c>
      <c r="N4056" s="1" t="str">
        <f>IF(Employee__2[[#This Row],[City]]="Pune","Yes","No")</f>
        <v>Yes</v>
      </c>
      <c r="O4056" s="1" t="str">
        <f>IF(AND(Employee__2[[#This Row],[Education]]="Bachelors",Employee__2[[#This Row],[City]]="Pune"),"Yes","No")</f>
        <v>Yes</v>
      </c>
      <c r="P4056" s="1" t="str">
        <f>IF(OR(Employee__2[[#This Row],[Age]]&gt;=30,Employee__2[[#This Row],[Gender]]="Male"),"Mached","Not mached")</f>
        <v>Not mached</v>
      </c>
    </row>
    <row r="4057" spans="4:16" x14ac:dyDescent="0.25">
      <c r="D4057" s="6" t="s">
        <v>41</v>
      </c>
      <c r="E4057">
        <v>2017</v>
      </c>
      <c r="F4057" s="6" t="s">
        <v>40</v>
      </c>
      <c r="G4057">
        <v>2</v>
      </c>
      <c r="H4057">
        <v>23</v>
      </c>
      <c r="I4057" s="6" t="s">
        <v>36</v>
      </c>
      <c r="J4057" s="6" t="s">
        <v>37</v>
      </c>
      <c r="K4057">
        <v>1</v>
      </c>
      <c r="M4057" s="1" t="b">
        <f>Employee__2[[#This Row],[Experience]]&gt;1</f>
        <v>0</v>
      </c>
      <c r="N4057" s="1" t="str">
        <f>IF(Employee__2[[#This Row],[City]]="Pune","Yes","No")</f>
        <v>No</v>
      </c>
      <c r="O4057" s="1" t="str">
        <f>IF(AND(Employee__2[[#This Row],[Education]]="Bachelors",Employee__2[[#This Row],[City]]="Pune"),"Yes","No")</f>
        <v>No</v>
      </c>
      <c r="P4057" s="1" t="str">
        <f>IF(OR(Employee__2[[#This Row],[Age]]&gt;=30,Employee__2[[#This Row],[Gender]]="Male"),"Mached","Not mached")</f>
        <v>Mached</v>
      </c>
    </row>
    <row r="4058" spans="4:16" x14ac:dyDescent="0.25">
      <c r="D4058" s="6" t="s">
        <v>34</v>
      </c>
      <c r="E4058">
        <v>2012</v>
      </c>
      <c r="F4058" s="6" t="s">
        <v>38</v>
      </c>
      <c r="G4058">
        <v>3</v>
      </c>
      <c r="H4058">
        <v>24</v>
      </c>
      <c r="I4058" s="6" t="s">
        <v>36</v>
      </c>
      <c r="J4058" s="6" t="s">
        <v>37</v>
      </c>
      <c r="K4058">
        <v>2</v>
      </c>
      <c r="M4058" s="1" t="b">
        <f>Employee__2[[#This Row],[Experience]]&gt;1</f>
        <v>1</v>
      </c>
      <c r="N4058" s="1" t="str">
        <f>IF(Employee__2[[#This Row],[City]]="Pune","Yes","No")</f>
        <v>Yes</v>
      </c>
      <c r="O4058" s="1" t="str">
        <f>IF(AND(Employee__2[[#This Row],[Education]]="Bachelors",Employee__2[[#This Row],[City]]="Pune"),"Yes","No")</f>
        <v>Yes</v>
      </c>
      <c r="P4058" s="1" t="str">
        <f>IF(OR(Employee__2[[#This Row],[Age]]&gt;=30,Employee__2[[#This Row],[Gender]]="Male"),"Mached","Not mached")</f>
        <v>Mached</v>
      </c>
    </row>
    <row r="4059" spans="4:16" x14ac:dyDescent="0.25">
      <c r="D4059" s="6" t="s">
        <v>34</v>
      </c>
      <c r="E4059">
        <v>2014</v>
      </c>
      <c r="F4059" s="6" t="s">
        <v>35</v>
      </c>
      <c r="G4059">
        <v>3</v>
      </c>
      <c r="H4059">
        <v>33</v>
      </c>
      <c r="I4059" s="6" t="s">
        <v>36</v>
      </c>
      <c r="J4059" s="6" t="s">
        <v>37</v>
      </c>
      <c r="K4059">
        <v>5</v>
      </c>
      <c r="M4059" s="1" t="b">
        <f>Employee__2[[#This Row],[Experience]]&gt;1</f>
        <v>1</v>
      </c>
      <c r="N4059" s="1" t="str">
        <f>IF(Employee__2[[#This Row],[City]]="Pune","Yes","No")</f>
        <v>No</v>
      </c>
      <c r="O4059" s="1" t="str">
        <f>IF(AND(Employee__2[[#This Row],[Education]]="Bachelors",Employee__2[[#This Row],[City]]="Pune"),"Yes","No")</f>
        <v>No</v>
      </c>
      <c r="P4059" s="1" t="str">
        <f>IF(OR(Employee__2[[#This Row],[Age]]&gt;=30,Employee__2[[#This Row],[Gender]]="Male"),"Mached","Not mached")</f>
        <v>Mached</v>
      </c>
    </row>
    <row r="4060" spans="4:16" x14ac:dyDescent="0.25">
      <c r="D4060" s="6" t="s">
        <v>41</v>
      </c>
      <c r="E4060">
        <v>2018</v>
      </c>
      <c r="F4060" s="6" t="s">
        <v>35</v>
      </c>
      <c r="G4060">
        <v>3</v>
      </c>
      <c r="H4060">
        <v>30</v>
      </c>
      <c r="I4060" s="6" t="s">
        <v>36</v>
      </c>
      <c r="J4060" s="6" t="s">
        <v>42</v>
      </c>
      <c r="K4060">
        <v>2</v>
      </c>
      <c r="M4060" s="1" t="b">
        <f>Employee__2[[#This Row],[Experience]]&gt;1</f>
        <v>1</v>
      </c>
      <c r="N4060" s="1" t="str">
        <f>IF(Employee__2[[#This Row],[City]]="Pune","Yes","No")</f>
        <v>No</v>
      </c>
      <c r="O4060" s="1" t="str">
        <f>IF(AND(Employee__2[[#This Row],[Education]]="Bachelors",Employee__2[[#This Row],[City]]="Pune"),"Yes","No")</f>
        <v>No</v>
      </c>
      <c r="P4060" s="1" t="str">
        <f>IF(OR(Employee__2[[#This Row],[Age]]&gt;=30,Employee__2[[#This Row],[Gender]]="Male"),"Mached","Not mached")</f>
        <v>Mached</v>
      </c>
    </row>
    <row r="4061" spans="4:16" x14ac:dyDescent="0.25">
      <c r="D4061" s="6" t="s">
        <v>41</v>
      </c>
      <c r="E4061">
        <v>2017</v>
      </c>
      <c r="F4061" s="6" t="s">
        <v>40</v>
      </c>
      <c r="G4061">
        <v>2</v>
      </c>
      <c r="H4061">
        <v>27</v>
      </c>
      <c r="I4061" s="6" t="s">
        <v>39</v>
      </c>
      <c r="J4061" s="6" t="s">
        <v>37</v>
      </c>
      <c r="K4061">
        <v>5</v>
      </c>
      <c r="M4061" s="1" t="b">
        <f>Employee__2[[#This Row],[Experience]]&gt;1</f>
        <v>1</v>
      </c>
      <c r="N4061" s="1" t="str">
        <f>IF(Employee__2[[#This Row],[City]]="Pune","Yes","No")</f>
        <v>No</v>
      </c>
      <c r="O4061" s="1" t="str">
        <f>IF(AND(Employee__2[[#This Row],[Education]]="Bachelors",Employee__2[[#This Row],[City]]="Pune"),"Yes","No")</f>
        <v>No</v>
      </c>
      <c r="P4061" s="1" t="str">
        <f>IF(OR(Employee__2[[#This Row],[Age]]&gt;=30,Employee__2[[#This Row],[Gender]]="Male"),"Mached","Not mached")</f>
        <v>Not mached</v>
      </c>
    </row>
    <row r="4062" spans="4:16" x14ac:dyDescent="0.25">
      <c r="D4062" s="6" t="s">
        <v>34</v>
      </c>
      <c r="E4062">
        <v>2012</v>
      </c>
      <c r="F4062" s="6" t="s">
        <v>38</v>
      </c>
      <c r="G4062">
        <v>2</v>
      </c>
      <c r="H4062">
        <v>31</v>
      </c>
      <c r="I4062" s="6" t="s">
        <v>39</v>
      </c>
      <c r="J4062" s="6" t="s">
        <v>37</v>
      </c>
      <c r="K4062">
        <v>5</v>
      </c>
      <c r="M4062" s="1" t="b">
        <f>Employee__2[[#This Row],[Experience]]&gt;1</f>
        <v>1</v>
      </c>
      <c r="N4062" s="1" t="str">
        <f>IF(Employee__2[[#This Row],[City]]="Pune","Yes","No")</f>
        <v>Yes</v>
      </c>
      <c r="O4062" s="1" t="str">
        <f>IF(AND(Employee__2[[#This Row],[Education]]="Bachelors",Employee__2[[#This Row],[City]]="Pune"),"Yes","No")</f>
        <v>Yes</v>
      </c>
      <c r="P4062" s="1" t="str">
        <f>IF(OR(Employee__2[[#This Row],[Age]]&gt;=30,Employee__2[[#This Row],[Gender]]="Male"),"Mached","Not mached")</f>
        <v>Mached</v>
      </c>
    </row>
    <row r="4063" spans="4:16" x14ac:dyDescent="0.25">
      <c r="D4063" s="6" t="s">
        <v>41</v>
      </c>
      <c r="E4063">
        <v>2018</v>
      </c>
      <c r="F4063" s="6" t="s">
        <v>40</v>
      </c>
      <c r="G4063">
        <v>3</v>
      </c>
      <c r="H4063">
        <v>23</v>
      </c>
      <c r="I4063" s="6" t="s">
        <v>39</v>
      </c>
      <c r="J4063" s="6" t="s">
        <v>37</v>
      </c>
      <c r="K4063">
        <v>1</v>
      </c>
      <c r="M4063" s="1" t="b">
        <f>Employee__2[[#This Row],[Experience]]&gt;1</f>
        <v>0</v>
      </c>
      <c r="N4063" s="1" t="str">
        <f>IF(Employee__2[[#This Row],[City]]="Pune","Yes","No")</f>
        <v>No</v>
      </c>
      <c r="O4063" s="1" t="str">
        <f>IF(AND(Employee__2[[#This Row],[Education]]="Bachelors",Employee__2[[#This Row],[City]]="Pune"),"Yes","No")</f>
        <v>No</v>
      </c>
      <c r="P4063" s="1" t="str">
        <f>IF(OR(Employee__2[[#This Row],[Age]]&gt;=30,Employee__2[[#This Row],[Gender]]="Male"),"Mached","Not mached")</f>
        <v>Not mached</v>
      </c>
    </row>
    <row r="4064" spans="4:16" x14ac:dyDescent="0.25">
      <c r="D4064" s="6" t="s">
        <v>34</v>
      </c>
      <c r="E4064">
        <v>2015</v>
      </c>
      <c r="F4064" s="6" t="s">
        <v>35</v>
      </c>
      <c r="G4064">
        <v>3</v>
      </c>
      <c r="H4064">
        <v>30</v>
      </c>
      <c r="I4064" s="6" t="s">
        <v>36</v>
      </c>
      <c r="J4064" s="6" t="s">
        <v>37</v>
      </c>
      <c r="K4064">
        <v>2</v>
      </c>
      <c r="M4064" s="1" t="b">
        <f>Employee__2[[#This Row],[Experience]]&gt;1</f>
        <v>1</v>
      </c>
      <c r="N4064" s="1" t="str">
        <f>IF(Employee__2[[#This Row],[City]]="Pune","Yes","No")</f>
        <v>No</v>
      </c>
      <c r="O4064" s="1" t="str">
        <f>IF(AND(Employee__2[[#This Row],[Education]]="Bachelors",Employee__2[[#This Row],[City]]="Pune"),"Yes","No")</f>
        <v>No</v>
      </c>
      <c r="P4064" s="1" t="str">
        <f>IF(OR(Employee__2[[#This Row],[Age]]&gt;=30,Employee__2[[#This Row],[Gender]]="Male"),"Mached","Not mached")</f>
        <v>Mached</v>
      </c>
    </row>
    <row r="4065" spans="4:16" x14ac:dyDescent="0.25">
      <c r="D4065" s="6" t="s">
        <v>34</v>
      </c>
      <c r="E4065">
        <v>2015</v>
      </c>
      <c r="F4065" s="6" t="s">
        <v>38</v>
      </c>
      <c r="G4065">
        <v>2</v>
      </c>
      <c r="H4065">
        <v>32</v>
      </c>
      <c r="I4065" s="6" t="s">
        <v>39</v>
      </c>
      <c r="J4065" s="6" t="s">
        <v>37</v>
      </c>
      <c r="K4065">
        <v>2</v>
      </c>
      <c r="M4065" s="1" t="b">
        <f>Employee__2[[#This Row],[Experience]]&gt;1</f>
        <v>1</v>
      </c>
      <c r="N4065" s="1" t="str">
        <f>IF(Employee__2[[#This Row],[City]]="Pune","Yes","No")</f>
        <v>Yes</v>
      </c>
      <c r="O4065" s="1" t="str">
        <f>IF(AND(Employee__2[[#This Row],[Education]]="Bachelors",Employee__2[[#This Row],[City]]="Pune"),"Yes","No")</f>
        <v>Yes</v>
      </c>
      <c r="P4065" s="1" t="str">
        <f>IF(OR(Employee__2[[#This Row],[Age]]&gt;=30,Employee__2[[#This Row],[Gender]]="Male"),"Mached","Not mached")</f>
        <v>Mached</v>
      </c>
    </row>
    <row r="4066" spans="4:16" x14ac:dyDescent="0.25">
      <c r="D4066" s="6" t="s">
        <v>34</v>
      </c>
      <c r="E4066">
        <v>2013</v>
      </c>
      <c r="F4066" s="6" t="s">
        <v>40</v>
      </c>
      <c r="G4066">
        <v>3</v>
      </c>
      <c r="H4066">
        <v>26</v>
      </c>
      <c r="I4066" s="6" t="s">
        <v>39</v>
      </c>
      <c r="J4066" s="6" t="s">
        <v>42</v>
      </c>
      <c r="K4066">
        <v>4</v>
      </c>
      <c r="M4066" s="1" t="b">
        <f>Employee__2[[#This Row],[Experience]]&gt;1</f>
        <v>1</v>
      </c>
      <c r="N4066" s="1" t="str">
        <f>IF(Employee__2[[#This Row],[City]]="Pune","Yes","No")</f>
        <v>No</v>
      </c>
      <c r="O4066" s="1" t="str">
        <f>IF(AND(Employee__2[[#This Row],[Education]]="Bachelors",Employee__2[[#This Row],[City]]="Pune"),"Yes","No")</f>
        <v>No</v>
      </c>
      <c r="P4066" s="1" t="str">
        <f>IF(OR(Employee__2[[#This Row],[Age]]&gt;=30,Employee__2[[#This Row],[Gender]]="Male"),"Mached","Not mached")</f>
        <v>Not mached</v>
      </c>
    </row>
    <row r="4067" spans="4:16" x14ac:dyDescent="0.25">
      <c r="D4067" s="6" t="s">
        <v>41</v>
      </c>
      <c r="E4067">
        <v>2017</v>
      </c>
      <c r="F4067" s="6" t="s">
        <v>40</v>
      </c>
      <c r="G4067">
        <v>2</v>
      </c>
      <c r="H4067">
        <v>35</v>
      </c>
      <c r="I4067" s="6" t="s">
        <v>36</v>
      </c>
      <c r="J4067" s="6" t="s">
        <v>37</v>
      </c>
      <c r="K4067">
        <v>2</v>
      </c>
      <c r="M4067" s="1" t="b">
        <f>Employee__2[[#This Row],[Experience]]&gt;1</f>
        <v>1</v>
      </c>
      <c r="N4067" s="1" t="str">
        <f>IF(Employee__2[[#This Row],[City]]="Pune","Yes","No")</f>
        <v>No</v>
      </c>
      <c r="O4067" s="1" t="str">
        <f>IF(AND(Employee__2[[#This Row],[Education]]="Bachelors",Employee__2[[#This Row],[City]]="Pune"),"Yes","No")</f>
        <v>No</v>
      </c>
      <c r="P4067" s="1" t="str">
        <f>IF(OR(Employee__2[[#This Row],[Age]]&gt;=30,Employee__2[[#This Row],[Gender]]="Male"),"Mached","Not mached")</f>
        <v>Mached</v>
      </c>
    </row>
    <row r="4068" spans="4:16" x14ac:dyDescent="0.25">
      <c r="D4068" s="6" t="s">
        <v>34</v>
      </c>
      <c r="E4068">
        <v>2016</v>
      </c>
      <c r="F4068" s="6" t="s">
        <v>35</v>
      </c>
      <c r="G4068">
        <v>1</v>
      </c>
      <c r="H4068">
        <v>30</v>
      </c>
      <c r="I4068" s="6" t="s">
        <v>36</v>
      </c>
      <c r="J4068" s="6" t="s">
        <v>37</v>
      </c>
      <c r="K4068">
        <v>4</v>
      </c>
      <c r="M4068" s="1" t="b">
        <f>Employee__2[[#This Row],[Experience]]&gt;1</f>
        <v>1</v>
      </c>
      <c r="N4068" s="1" t="str">
        <f>IF(Employee__2[[#This Row],[City]]="Pune","Yes","No")</f>
        <v>No</v>
      </c>
      <c r="O4068" s="1" t="str">
        <f>IF(AND(Employee__2[[#This Row],[Education]]="Bachelors",Employee__2[[#This Row],[City]]="Pune"),"Yes","No")</f>
        <v>No</v>
      </c>
      <c r="P4068" s="1" t="str">
        <f>IF(OR(Employee__2[[#This Row],[Age]]&gt;=30,Employee__2[[#This Row],[Gender]]="Male"),"Mached","Not mached")</f>
        <v>Mached</v>
      </c>
    </row>
    <row r="4069" spans="4:16" x14ac:dyDescent="0.25">
      <c r="D4069" s="6" t="s">
        <v>34</v>
      </c>
      <c r="E4069">
        <v>2012</v>
      </c>
      <c r="F4069" s="6" t="s">
        <v>35</v>
      </c>
      <c r="G4069">
        <v>3</v>
      </c>
      <c r="H4069">
        <v>37</v>
      </c>
      <c r="I4069" s="6" t="s">
        <v>36</v>
      </c>
      <c r="J4069" s="6" t="s">
        <v>37</v>
      </c>
      <c r="K4069">
        <v>4</v>
      </c>
      <c r="M4069" s="1" t="b">
        <f>Employee__2[[#This Row],[Experience]]&gt;1</f>
        <v>1</v>
      </c>
      <c r="N4069" s="1" t="str">
        <f>IF(Employee__2[[#This Row],[City]]="Pune","Yes","No")</f>
        <v>No</v>
      </c>
      <c r="O4069" s="1" t="str">
        <f>IF(AND(Employee__2[[#This Row],[Education]]="Bachelors",Employee__2[[#This Row],[City]]="Pune"),"Yes","No")</f>
        <v>No</v>
      </c>
      <c r="P4069" s="1" t="str">
        <f>IF(OR(Employee__2[[#This Row],[Age]]&gt;=30,Employee__2[[#This Row],[Gender]]="Male"),"Mached","Not mached")</f>
        <v>Mached</v>
      </c>
    </row>
    <row r="4070" spans="4:16" x14ac:dyDescent="0.25">
      <c r="D4070" s="6" t="s">
        <v>34</v>
      </c>
      <c r="E4070">
        <v>2017</v>
      </c>
      <c r="F4070" s="6" t="s">
        <v>35</v>
      </c>
      <c r="G4070">
        <v>1</v>
      </c>
      <c r="H4070">
        <v>34</v>
      </c>
      <c r="I4070" s="6" t="s">
        <v>36</v>
      </c>
      <c r="J4070" s="6" t="s">
        <v>42</v>
      </c>
      <c r="K4070">
        <v>0</v>
      </c>
      <c r="M4070" s="1" t="b">
        <f>Employee__2[[#This Row],[Experience]]&gt;1</f>
        <v>0</v>
      </c>
      <c r="N4070" s="1" t="str">
        <f>IF(Employee__2[[#This Row],[City]]="Pune","Yes","No")</f>
        <v>No</v>
      </c>
      <c r="O4070" s="1" t="str">
        <f>IF(AND(Employee__2[[#This Row],[Education]]="Bachelors",Employee__2[[#This Row],[City]]="Pune"),"Yes","No")</f>
        <v>No</v>
      </c>
      <c r="P4070" s="1" t="str">
        <f>IF(OR(Employee__2[[#This Row],[Age]]&gt;=30,Employee__2[[#This Row],[Gender]]="Male"),"Mached","Not mached")</f>
        <v>Mached</v>
      </c>
    </row>
    <row r="4071" spans="4:16" x14ac:dyDescent="0.25">
      <c r="D4071" s="6" t="s">
        <v>34</v>
      </c>
      <c r="E4071">
        <v>2012</v>
      </c>
      <c r="F4071" s="6" t="s">
        <v>35</v>
      </c>
      <c r="G4071">
        <v>3</v>
      </c>
      <c r="H4071">
        <v>38</v>
      </c>
      <c r="I4071" s="6" t="s">
        <v>39</v>
      </c>
      <c r="J4071" s="6" t="s">
        <v>37</v>
      </c>
      <c r="K4071">
        <v>0</v>
      </c>
      <c r="M4071" s="1" t="b">
        <f>Employee__2[[#This Row],[Experience]]&gt;1</f>
        <v>0</v>
      </c>
      <c r="N4071" s="1" t="str">
        <f>IF(Employee__2[[#This Row],[City]]="Pune","Yes","No")</f>
        <v>No</v>
      </c>
      <c r="O4071" s="1" t="str">
        <f>IF(AND(Employee__2[[#This Row],[Education]]="Bachelors",Employee__2[[#This Row],[City]]="Pune"),"Yes","No")</f>
        <v>No</v>
      </c>
      <c r="P4071" s="1" t="str">
        <f>IF(OR(Employee__2[[#This Row],[Age]]&gt;=30,Employee__2[[#This Row],[Gender]]="Male"),"Mached","Not mached")</f>
        <v>Mached</v>
      </c>
    </row>
    <row r="4072" spans="4:16" x14ac:dyDescent="0.25">
      <c r="D4072" s="6" t="s">
        <v>41</v>
      </c>
      <c r="E4072">
        <v>2013</v>
      </c>
      <c r="F4072" s="6" t="s">
        <v>40</v>
      </c>
      <c r="G4072">
        <v>2</v>
      </c>
      <c r="H4072">
        <v>22</v>
      </c>
      <c r="I4072" s="6" t="s">
        <v>36</v>
      </c>
      <c r="J4072" s="6" t="s">
        <v>42</v>
      </c>
      <c r="K4072">
        <v>0</v>
      </c>
      <c r="M4072" s="1" t="b">
        <f>Employee__2[[#This Row],[Experience]]&gt;1</f>
        <v>0</v>
      </c>
      <c r="N4072" s="1" t="str">
        <f>IF(Employee__2[[#This Row],[City]]="Pune","Yes","No")</f>
        <v>No</v>
      </c>
      <c r="O4072" s="1" t="str">
        <f>IF(AND(Employee__2[[#This Row],[Education]]="Bachelors",Employee__2[[#This Row],[City]]="Pune"),"Yes","No")</f>
        <v>No</v>
      </c>
      <c r="P4072" s="1" t="str">
        <f>IF(OR(Employee__2[[#This Row],[Age]]&gt;=30,Employee__2[[#This Row],[Gender]]="Male"),"Mached","Not mached")</f>
        <v>Mached</v>
      </c>
    </row>
    <row r="4073" spans="4:16" x14ac:dyDescent="0.25">
      <c r="D4073" s="6" t="s">
        <v>34</v>
      </c>
      <c r="E4073">
        <v>2015</v>
      </c>
      <c r="F4073" s="6" t="s">
        <v>38</v>
      </c>
      <c r="G4073">
        <v>1</v>
      </c>
      <c r="H4073">
        <v>22</v>
      </c>
      <c r="I4073" s="6" t="s">
        <v>39</v>
      </c>
      <c r="J4073" s="6" t="s">
        <v>37</v>
      </c>
      <c r="K4073">
        <v>0</v>
      </c>
      <c r="M4073" s="1" t="b">
        <f>Employee__2[[#This Row],[Experience]]&gt;1</f>
        <v>0</v>
      </c>
      <c r="N4073" s="1" t="str">
        <f>IF(Employee__2[[#This Row],[City]]="Pune","Yes","No")</f>
        <v>Yes</v>
      </c>
      <c r="O4073" s="1" t="str">
        <f>IF(AND(Employee__2[[#This Row],[Education]]="Bachelors",Employee__2[[#This Row],[City]]="Pune"),"Yes","No")</f>
        <v>Yes</v>
      </c>
      <c r="P4073" s="1" t="str">
        <f>IF(OR(Employee__2[[#This Row],[Age]]&gt;=30,Employee__2[[#This Row],[Gender]]="Male"),"Mached","Not mached")</f>
        <v>Not mached</v>
      </c>
    </row>
    <row r="4074" spans="4:16" x14ac:dyDescent="0.25">
      <c r="D4074" s="6" t="s">
        <v>41</v>
      </c>
      <c r="E4074">
        <v>2015</v>
      </c>
      <c r="F4074" s="6" t="s">
        <v>38</v>
      </c>
      <c r="G4074">
        <v>2</v>
      </c>
      <c r="H4074">
        <v>33</v>
      </c>
      <c r="I4074" s="6" t="s">
        <v>39</v>
      </c>
      <c r="J4074" s="6" t="s">
        <v>37</v>
      </c>
      <c r="K4074">
        <v>2</v>
      </c>
      <c r="M4074" s="1" t="b">
        <f>Employee__2[[#This Row],[Experience]]&gt;1</f>
        <v>1</v>
      </c>
      <c r="N4074" s="1" t="str">
        <f>IF(Employee__2[[#This Row],[City]]="Pune","Yes","No")</f>
        <v>Yes</v>
      </c>
      <c r="O4074" s="1" t="str">
        <f>IF(AND(Employee__2[[#This Row],[Education]]="Bachelors",Employee__2[[#This Row],[City]]="Pune"),"Yes","No")</f>
        <v>No</v>
      </c>
      <c r="P4074" s="1" t="str">
        <f>IF(OR(Employee__2[[#This Row],[Age]]&gt;=30,Employee__2[[#This Row],[Gender]]="Male"),"Mached","Not mached")</f>
        <v>Mached</v>
      </c>
    </row>
    <row r="4075" spans="4:16" x14ac:dyDescent="0.25">
      <c r="D4075" s="6" t="s">
        <v>34</v>
      </c>
      <c r="E4075">
        <v>2015</v>
      </c>
      <c r="F4075" s="6" t="s">
        <v>35</v>
      </c>
      <c r="G4075">
        <v>3</v>
      </c>
      <c r="H4075">
        <v>32</v>
      </c>
      <c r="I4075" s="6" t="s">
        <v>36</v>
      </c>
      <c r="J4075" s="6" t="s">
        <v>37</v>
      </c>
      <c r="K4075">
        <v>1</v>
      </c>
      <c r="M4075" s="1" t="b">
        <f>Employee__2[[#This Row],[Experience]]&gt;1</f>
        <v>0</v>
      </c>
      <c r="N4075" s="1" t="str">
        <f>IF(Employee__2[[#This Row],[City]]="Pune","Yes","No")</f>
        <v>No</v>
      </c>
      <c r="O4075" s="1" t="str">
        <f>IF(AND(Employee__2[[#This Row],[Education]]="Bachelors",Employee__2[[#This Row],[City]]="Pune"),"Yes","No")</f>
        <v>No</v>
      </c>
      <c r="P4075" s="1" t="str">
        <f>IF(OR(Employee__2[[#This Row],[Age]]&gt;=30,Employee__2[[#This Row],[Gender]]="Male"),"Mached","Not mached")</f>
        <v>Mached</v>
      </c>
    </row>
    <row r="4076" spans="4:16" x14ac:dyDescent="0.25">
      <c r="D4076" s="6" t="s">
        <v>41</v>
      </c>
      <c r="E4076">
        <v>2015</v>
      </c>
      <c r="F4076" s="6" t="s">
        <v>38</v>
      </c>
      <c r="G4076">
        <v>2</v>
      </c>
      <c r="H4076">
        <v>34</v>
      </c>
      <c r="I4076" s="6" t="s">
        <v>39</v>
      </c>
      <c r="J4076" s="6" t="s">
        <v>37</v>
      </c>
      <c r="K4076">
        <v>2</v>
      </c>
      <c r="M4076" s="1" t="b">
        <f>Employee__2[[#This Row],[Experience]]&gt;1</f>
        <v>1</v>
      </c>
      <c r="N4076" s="1" t="str">
        <f>IF(Employee__2[[#This Row],[City]]="Pune","Yes","No")</f>
        <v>Yes</v>
      </c>
      <c r="O4076" s="1" t="str">
        <f>IF(AND(Employee__2[[#This Row],[Education]]="Bachelors",Employee__2[[#This Row],[City]]="Pune"),"Yes","No")</f>
        <v>No</v>
      </c>
      <c r="P4076" s="1" t="str">
        <f>IF(OR(Employee__2[[#This Row],[Age]]&gt;=30,Employee__2[[#This Row],[Gender]]="Male"),"Mached","Not mached")</f>
        <v>Mached</v>
      </c>
    </row>
    <row r="4077" spans="4:16" x14ac:dyDescent="0.25">
      <c r="D4077" s="6" t="s">
        <v>34</v>
      </c>
      <c r="E4077">
        <v>2017</v>
      </c>
      <c r="F4077" s="6" t="s">
        <v>35</v>
      </c>
      <c r="G4077">
        <v>3</v>
      </c>
      <c r="H4077">
        <v>36</v>
      </c>
      <c r="I4077" s="6" t="s">
        <v>39</v>
      </c>
      <c r="J4077" s="6" t="s">
        <v>37</v>
      </c>
      <c r="K4077">
        <v>1</v>
      </c>
      <c r="M4077" s="1" t="b">
        <f>Employee__2[[#This Row],[Experience]]&gt;1</f>
        <v>0</v>
      </c>
      <c r="N4077" s="1" t="str">
        <f>IF(Employee__2[[#This Row],[City]]="Pune","Yes","No")</f>
        <v>No</v>
      </c>
      <c r="O4077" s="1" t="str">
        <f>IF(AND(Employee__2[[#This Row],[Education]]="Bachelors",Employee__2[[#This Row],[City]]="Pune"),"Yes","No")</f>
        <v>No</v>
      </c>
      <c r="P4077" s="1" t="str">
        <f>IF(OR(Employee__2[[#This Row],[Age]]&gt;=30,Employee__2[[#This Row],[Gender]]="Male"),"Mached","Not mached")</f>
        <v>Mached</v>
      </c>
    </row>
    <row r="4078" spans="4:16" x14ac:dyDescent="0.25">
      <c r="D4078" s="6" t="s">
        <v>34</v>
      </c>
      <c r="E4078">
        <v>2015</v>
      </c>
      <c r="F4078" s="6" t="s">
        <v>35</v>
      </c>
      <c r="G4078">
        <v>3</v>
      </c>
      <c r="H4078">
        <v>32</v>
      </c>
      <c r="I4078" s="6" t="s">
        <v>36</v>
      </c>
      <c r="J4078" s="6" t="s">
        <v>37</v>
      </c>
      <c r="K4078">
        <v>1</v>
      </c>
      <c r="M4078" s="1" t="b">
        <f>Employee__2[[#This Row],[Experience]]&gt;1</f>
        <v>0</v>
      </c>
      <c r="N4078" s="1" t="str">
        <f>IF(Employee__2[[#This Row],[City]]="Pune","Yes","No")</f>
        <v>No</v>
      </c>
      <c r="O4078" s="1" t="str">
        <f>IF(AND(Employee__2[[#This Row],[Education]]="Bachelors",Employee__2[[#This Row],[City]]="Pune"),"Yes","No")</f>
        <v>No</v>
      </c>
      <c r="P4078" s="1" t="str">
        <f>IF(OR(Employee__2[[#This Row],[Age]]&gt;=30,Employee__2[[#This Row],[Gender]]="Male"),"Mached","Not mached")</f>
        <v>Mached</v>
      </c>
    </row>
    <row r="4079" spans="4:16" x14ac:dyDescent="0.25">
      <c r="D4079" s="6" t="s">
        <v>34</v>
      </c>
      <c r="E4079">
        <v>2017</v>
      </c>
      <c r="F4079" s="6" t="s">
        <v>35</v>
      </c>
      <c r="G4079">
        <v>3</v>
      </c>
      <c r="H4079">
        <v>28</v>
      </c>
      <c r="I4079" s="6" t="s">
        <v>36</v>
      </c>
      <c r="J4079" s="6" t="s">
        <v>42</v>
      </c>
      <c r="K4079">
        <v>3</v>
      </c>
      <c r="M4079" s="1" t="b">
        <f>Employee__2[[#This Row],[Experience]]&gt;1</f>
        <v>1</v>
      </c>
      <c r="N4079" s="1" t="str">
        <f>IF(Employee__2[[#This Row],[City]]="Pune","Yes","No")</f>
        <v>No</v>
      </c>
      <c r="O4079" s="1" t="str">
        <f>IF(AND(Employee__2[[#This Row],[Education]]="Bachelors",Employee__2[[#This Row],[City]]="Pune"),"Yes","No")</f>
        <v>No</v>
      </c>
      <c r="P4079" s="1" t="str">
        <f>IF(OR(Employee__2[[#This Row],[Age]]&gt;=30,Employee__2[[#This Row],[Gender]]="Male"),"Mached","Not mached")</f>
        <v>Mached</v>
      </c>
    </row>
    <row r="4080" spans="4:16" x14ac:dyDescent="0.25">
      <c r="D4080" s="6" t="s">
        <v>34</v>
      </c>
      <c r="E4080">
        <v>2017</v>
      </c>
      <c r="F4080" s="6" t="s">
        <v>40</v>
      </c>
      <c r="G4080">
        <v>2</v>
      </c>
      <c r="H4080">
        <v>26</v>
      </c>
      <c r="I4080" s="6" t="s">
        <v>39</v>
      </c>
      <c r="J4080" s="6" t="s">
        <v>37</v>
      </c>
      <c r="K4080">
        <v>4</v>
      </c>
      <c r="M4080" s="1" t="b">
        <f>Employee__2[[#This Row],[Experience]]&gt;1</f>
        <v>1</v>
      </c>
      <c r="N4080" s="1" t="str">
        <f>IF(Employee__2[[#This Row],[City]]="Pune","Yes","No")</f>
        <v>No</v>
      </c>
      <c r="O4080" s="1" t="str">
        <f>IF(AND(Employee__2[[#This Row],[Education]]="Bachelors",Employee__2[[#This Row],[City]]="Pune"),"Yes","No")</f>
        <v>No</v>
      </c>
      <c r="P4080" s="1" t="str">
        <f>IF(OR(Employee__2[[#This Row],[Age]]&gt;=30,Employee__2[[#This Row],[Gender]]="Male"),"Mached","Not mached")</f>
        <v>Not mached</v>
      </c>
    </row>
    <row r="4081" spans="4:16" x14ac:dyDescent="0.25">
      <c r="D4081" s="6" t="s">
        <v>34</v>
      </c>
      <c r="E4081">
        <v>2013</v>
      </c>
      <c r="F4081" s="6" t="s">
        <v>38</v>
      </c>
      <c r="G4081">
        <v>3</v>
      </c>
      <c r="H4081">
        <v>35</v>
      </c>
      <c r="I4081" s="6" t="s">
        <v>36</v>
      </c>
      <c r="J4081" s="6" t="s">
        <v>37</v>
      </c>
      <c r="K4081">
        <v>1</v>
      </c>
      <c r="M4081" s="1" t="b">
        <f>Employee__2[[#This Row],[Experience]]&gt;1</f>
        <v>0</v>
      </c>
      <c r="N4081" s="1" t="str">
        <f>IF(Employee__2[[#This Row],[City]]="Pune","Yes","No")</f>
        <v>Yes</v>
      </c>
      <c r="O4081" s="1" t="str">
        <f>IF(AND(Employee__2[[#This Row],[Education]]="Bachelors",Employee__2[[#This Row],[City]]="Pune"),"Yes","No")</f>
        <v>Yes</v>
      </c>
      <c r="P4081" s="1" t="str">
        <f>IF(OR(Employee__2[[#This Row],[Age]]&gt;=30,Employee__2[[#This Row],[Gender]]="Male"),"Mached","Not mached")</f>
        <v>Mached</v>
      </c>
    </row>
    <row r="4082" spans="4:16" x14ac:dyDescent="0.25">
      <c r="D4082" s="6" t="s">
        <v>34</v>
      </c>
      <c r="E4082">
        <v>2014</v>
      </c>
      <c r="F4082" s="6" t="s">
        <v>38</v>
      </c>
      <c r="G4082">
        <v>3</v>
      </c>
      <c r="H4082">
        <v>33</v>
      </c>
      <c r="I4082" s="6" t="s">
        <v>36</v>
      </c>
      <c r="J4082" s="6" t="s">
        <v>37</v>
      </c>
      <c r="K4082">
        <v>4</v>
      </c>
      <c r="M4082" s="1" t="b">
        <f>Employee__2[[#This Row],[Experience]]&gt;1</f>
        <v>1</v>
      </c>
      <c r="N4082" s="1" t="str">
        <f>IF(Employee__2[[#This Row],[City]]="Pune","Yes","No")</f>
        <v>Yes</v>
      </c>
      <c r="O4082" s="1" t="str">
        <f>IF(AND(Employee__2[[#This Row],[Education]]="Bachelors",Employee__2[[#This Row],[City]]="Pune"),"Yes","No")</f>
        <v>Yes</v>
      </c>
      <c r="P4082" s="1" t="str">
        <f>IF(OR(Employee__2[[#This Row],[Age]]&gt;=30,Employee__2[[#This Row],[Gender]]="Male"),"Mached","Not mached")</f>
        <v>Mached</v>
      </c>
    </row>
    <row r="4083" spans="4:16" x14ac:dyDescent="0.25">
      <c r="D4083" s="6" t="s">
        <v>41</v>
      </c>
      <c r="E4083">
        <v>2013</v>
      </c>
      <c r="F4083" s="6" t="s">
        <v>38</v>
      </c>
      <c r="G4083">
        <v>3</v>
      </c>
      <c r="H4083">
        <v>22</v>
      </c>
      <c r="I4083" s="6" t="s">
        <v>39</v>
      </c>
      <c r="J4083" s="6" t="s">
        <v>42</v>
      </c>
      <c r="K4083">
        <v>0</v>
      </c>
      <c r="M4083" s="1" t="b">
        <f>Employee__2[[#This Row],[Experience]]&gt;1</f>
        <v>0</v>
      </c>
      <c r="N4083" s="1" t="str">
        <f>IF(Employee__2[[#This Row],[City]]="Pune","Yes","No")</f>
        <v>Yes</v>
      </c>
      <c r="O4083" s="1" t="str">
        <f>IF(AND(Employee__2[[#This Row],[Education]]="Bachelors",Employee__2[[#This Row],[City]]="Pune"),"Yes","No")</f>
        <v>No</v>
      </c>
      <c r="P4083" s="1" t="str">
        <f>IF(OR(Employee__2[[#This Row],[Age]]&gt;=30,Employee__2[[#This Row],[Gender]]="Male"),"Mached","Not mached")</f>
        <v>Not mached</v>
      </c>
    </row>
    <row r="4084" spans="4:16" x14ac:dyDescent="0.25">
      <c r="D4084" s="6" t="s">
        <v>34</v>
      </c>
      <c r="E4084">
        <v>2014</v>
      </c>
      <c r="F4084" s="6" t="s">
        <v>38</v>
      </c>
      <c r="G4084">
        <v>3</v>
      </c>
      <c r="H4084">
        <v>27</v>
      </c>
      <c r="I4084" s="6" t="s">
        <v>36</v>
      </c>
      <c r="J4084" s="6" t="s">
        <v>37</v>
      </c>
      <c r="K4084">
        <v>5</v>
      </c>
      <c r="M4084" s="1" t="b">
        <f>Employee__2[[#This Row],[Experience]]&gt;1</f>
        <v>1</v>
      </c>
      <c r="N4084" s="1" t="str">
        <f>IF(Employee__2[[#This Row],[City]]="Pune","Yes","No")</f>
        <v>Yes</v>
      </c>
      <c r="O4084" s="1" t="str">
        <f>IF(AND(Employee__2[[#This Row],[Education]]="Bachelors",Employee__2[[#This Row],[City]]="Pune"),"Yes","No")</f>
        <v>Yes</v>
      </c>
      <c r="P4084" s="1" t="str">
        <f>IF(OR(Employee__2[[#This Row],[Age]]&gt;=30,Employee__2[[#This Row],[Gender]]="Male"),"Mached","Not mached")</f>
        <v>Mached</v>
      </c>
    </row>
    <row r="4085" spans="4:16" x14ac:dyDescent="0.25">
      <c r="D4085" s="6" t="s">
        <v>41</v>
      </c>
      <c r="E4085">
        <v>2018</v>
      </c>
      <c r="F4085" s="6" t="s">
        <v>40</v>
      </c>
      <c r="G4085">
        <v>3</v>
      </c>
      <c r="H4085">
        <v>23</v>
      </c>
      <c r="I4085" s="6" t="s">
        <v>39</v>
      </c>
      <c r="J4085" s="6" t="s">
        <v>37</v>
      </c>
      <c r="K4085">
        <v>1</v>
      </c>
      <c r="M4085" s="1" t="b">
        <f>Employee__2[[#This Row],[Experience]]&gt;1</f>
        <v>0</v>
      </c>
      <c r="N4085" s="1" t="str">
        <f>IF(Employee__2[[#This Row],[City]]="Pune","Yes","No")</f>
        <v>No</v>
      </c>
      <c r="O4085" s="1" t="str">
        <f>IF(AND(Employee__2[[#This Row],[Education]]="Bachelors",Employee__2[[#This Row],[City]]="Pune"),"Yes","No")</f>
        <v>No</v>
      </c>
      <c r="P4085" s="1" t="str">
        <f>IF(OR(Employee__2[[#This Row],[Age]]&gt;=30,Employee__2[[#This Row],[Gender]]="Male"),"Mached","Not mached")</f>
        <v>Not mached</v>
      </c>
    </row>
    <row r="4086" spans="4:16" x14ac:dyDescent="0.25">
      <c r="D4086" s="6" t="s">
        <v>34</v>
      </c>
      <c r="E4086">
        <v>2013</v>
      </c>
      <c r="F4086" s="6" t="s">
        <v>35</v>
      </c>
      <c r="G4086">
        <v>3</v>
      </c>
      <c r="H4086">
        <v>34</v>
      </c>
      <c r="I4086" s="6" t="s">
        <v>39</v>
      </c>
      <c r="J4086" s="6" t="s">
        <v>42</v>
      </c>
      <c r="K4086">
        <v>2</v>
      </c>
      <c r="M4086" s="1" t="b">
        <f>Employee__2[[#This Row],[Experience]]&gt;1</f>
        <v>1</v>
      </c>
      <c r="N4086" s="1" t="str">
        <f>IF(Employee__2[[#This Row],[City]]="Pune","Yes","No")</f>
        <v>No</v>
      </c>
      <c r="O4086" s="1" t="str">
        <f>IF(AND(Employee__2[[#This Row],[Education]]="Bachelors",Employee__2[[#This Row],[City]]="Pune"),"Yes","No")</f>
        <v>No</v>
      </c>
      <c r="P4086" s="1" t="str">
        <f>IF(OR(Employee__2[[#This Row],[Age]]&gt;=30,Employee__2[[#This Row],[Gender]]="Male"),"Mached","Not mached")</f>
        <v>Mached</v>
      </c>
    </row>
    <row r="4087" spans="4:16" x14ac:dyDescent="0.25">
      <c r="D4087" s="6" t="s">
        <v>41</v>
      </c>
      <c r="E4087">
        <v>2017</v>
      </c>
      <c r="F4087" s="6" t="s">
        <v>38</v>
      </c>
      <c r="G4087">
        <v>2</v>
      </c>
      <c r="H4087">
        <v>23</v>
      </c>
      <c r="I4087" s="6" t="s">
        <v>36</v>
      </c>
      <c r="J4087" s="6" t="s">
        <v>37</v>
      </c>
      <c r="K4087">
        <v>1</v>
      </c>
      <c r="M4087" s="1" t="b">
        <f>Employee__2[[#This Row],[Experience]]&gt;1</f>
        <v>0</v>
      </c>
      <c r="N4087" s="1" t="str">
        <f>IF(Employee__2[[#This Row],[City]]="Pune","Yes","No")</f>
        <v>Yes</v>
      </c>
      <c r="O4087" s="1" t="str">
        <f>IF(AND(Employee__2[[#This Row],[Education]]="Bachelors",Employee__2[[#This Row],[City]]="Pune"),"Yes","No")</f>
        <v>No</v>
      </c>
      <c r="P4087" s="1" t="str">
        <f>IF(OR(Employee__2[[#This Row],[Age]]&gt;=30,Employee__2[[#This Row],[Gender]]="Male"),"Mached","Not mached")</f>
        <v>Mached</v>
      </c>
    </row>
    <row r="4088" spans="4:16" x14ac:dyDescent="0.25">
      <c r="D4088" s="6" t="s">
        <v>34</v>
      </c>
      <c r="E4088">
        <v>2012</v>
      </c>
      <c r="F4088" s="6" t="s">
        <v>38</v>
      </c>
      <c r="G4088">
        <v>3</v>
      </c>
      <c r="H4088">
        <v>36</v>
      </c>
      <c r="I4088" s="6" t="s">
        <v>36</v>
      </c>
      <c r="J4088" s="6" t="s">
        <v>37</v>
      </c>
      <c r="K4088">
        <v>4</v>
      </c>
      <c r="M4088" s="1" t="b">
        <f>Employee__2[[#This Row],[Experience]]&gt;1</f>
        <v>1</v>
      </c>
      <c r="N4088" s="1" t="str">
        <f>IF(Employee__2[[#This Row],[City]]="Pune","Yes","No")</f>
        <v>Yes</v>
      </c>
      <c r="O4088" s="1" t="str">
        <f>IF(AND(Employee__2[[#This Row],[Education]]="Bachelors",Employee__2[[#This Row],[City]]="Pune"),"Yes","No")</f>
        <v>Yes</v>
      </c>
      <c r="P4088" s="1" t="str">
        <f>IF(OR(Employee__2[[#This Row],[Age]]&gt;=30,Employee__2[[#This Row],[Gender]]="Male"),"Mached","Not mached")</f>
        <v>Mached</v>
      </c>
    </row>
    <row r="4089" spans="4:16" x14ac:dyDescent="0.25">
      <c r="D4089" s="6" t="s">
        <v>43</v>
      </c>
      <c r="E4089">
        <v>2018</v>
      </c>
      <c r="F4089" s="6" t="s">
        <v>40</v>
      </c>
      <c r="G4089">
        <v>3</v>
      </c>
      <c r="H4089">
        <v>28</v>
      </c>
      <c r="I4089" s="6" t="s">
        <v>36</v>
      </c>
      <c r="J4089" s="6" t="s">
        <v>37</v>
      </c>
      <c r="K4089">
        <v>4</v>
      </c>
      <c r="M4089" s="1" t="b">
        <f>Employee__2[[#This Row],[Experience]]&gt;1</f>
        <v>1</v>
      </c>
      <c r="N4089" s="1" t="str">
        <f>IF(Employee__2[[#This Row],[City]]="Pune","Yes","No")</f>
        <v>No</v>
      </c>
      <c r="O4089" s="1" t="str">
        <f>IF(AND(Employee__2[[#This Row],[Education]]="Bachelors",Employee__2[[#This Row],[City]]="Pune"),"Yes","No")</f>
        <v>No</v>
      </c>
      <c r="P4089" s="1" t="str">
        <f>IF(OR(Employee__2[[#This Row],[Age]]&gt;=30,Employee__2[[#This Row],[Gender]]="Male"),"Mached","Not mached")</f>
        <v>Mached</v>
      </c>
    </row>
    <row r="4090" spans="4:16" x14ac:dyDescent="0.25">
      <c r="D4090" s="6" t="s">
        <v>43</v>
      </c>
      <c r="E4090">
        <v>2013</v>
      </c>
      <c r="F4090" s="6" t="s">
        <v>35</v>
      </c>
      <c r="G4090">
        <v>3</v>
      </c>
      <c r="H4090">
        <v>28</v>
      </c>
      <c r="I4090" s="6" t="s">
        <v>36</v>
      </c>
      <c r="J4090" s="6" t="s">
        <v>37</v>
      </c>
      <c r="K4090">
        <v>4</v>
      </c>
      <c r="M4090" s="1" t="b">
        <f>Employee__2[[#This Row],[Experience]]&gt;1</f>
        <v>1</v>
      </c>
      <c r="N4090" s="1" t="str">
        <f>IF(Employee__2[[#This Row],[City]]="Pune","Yes","No")</f>
        <v>No</v>
      </c>
      <c r="O4090" s="1" t="str">
        <f>IF(AND(Employee__2[[#This Row],[Education]]="Bachelors",Employee__2[[#This Row],[City]]="Pune"),"Yes","No")</f>
        <v>No</v>
      </c>
      <c r="P4090" s="1" t="str">
        <f>IF(OR(Employee__2[[#This Row],[Age]]&gt;=30,Employee__2[[#This Row],[Gender]]="Male"),"Mached","Not mached")</f>
        <v>Mached</v>
      </c>
    </row>
    <row r="4091" spans="4:16" x14ac:dyDescent="0.25">
      <c r="D4091" s="6" t="s">
        <v>34</v>
      </c>
      <c r="E4091">
        <v>2016</v>
      </c>
      <c r="F4091" s="6" t="s">
        <v>35</v>
      </c>
      <c r="G4091">
        <v>3</v>
      </c>
      <c r="H4091">
        <v>33</v>
      </c>
      <c r="I4091" s="6" t="s">
        <v>39</v>
      </c>
      <c r="J4091" s="6" t="s">
        <v>37</v>
      </c>
      <c r="K4091">
        <v>4</v>
      </c>
      <c r="M4091" s="1" t="b">
        <f>Employee__2[[#This Row],[Experience]]&gt;1</f>
        <v>1</v>
      </c>
      <c r="N4091" s="1" t="str">
        <f>IF(Employee__2[[#This Row],[City]]="Pune","Yes","No")</f>
        <v>No</v>
      </c>
      <c r="O4091" s="1" t="str">
        <f>IF(AND(Employee__2[[#This Row],[Education]]="Bachelors",Employee__2[[#This Row],[City]]="Pune"),"Yes","No")</f>
        <v>No</v>
      </c>
      <c r="P4091" s="1" t="str">
        <f>IF(OR(Employee__2[[#This Row],[Age]]&gt;=30,Employee__2[[#This Row],[Gender]]="Male"),"Mached","Not mached")</f>
        <v>Mached</v>
      </c>
    </row>
    <row r="4092" spans="4:16" x14ac:dyDescent="0.25">
      <c r="D4092" s="6" t="s">
        <v>34</v>
      </c>
      <c r="E4092">
        <v>2013</v>
      </c>
      <c r="F4092" s="6" t="s">
        <v>35</v>
      </c>
      <c r="G4092">
        <v>3</v>
      </c>
      <c r="H4092">
        <v>39</v>
      </c>
      <c r="I4092" s="6" t="s">
        <v>36</v>
      </c>
      <c r="J4092" s="6" t="s">
        <v>37</v>
      </c>
      <c r="K4092">
        <v>3</v>
      </c>
      <c r="M4092" s="1" t="b">
        <f>Employee__2[[#This Row],[Experience]]&gt;1</f>
        <v>1</v>
      </c>
      <c r="N4092" s="1" t="str">
        <f>IF(Employee__2[[#This Row],[City]]="Pune","Yes","No")</f>
        <v>No</v>
      </c>
      <c r="O4092" s="1" t="str">
        <f>IF(AND(Employee__2[[#This Row],[Education]]="Bachelors",Employee__2[[#This Row],[City]]="Pune"),"Yes","No")</f>
        <v>No</v>
      </c>
      <c r="P4092" s="1" t="str">
        <f>IF(OR(Employee__2[[#This Row],[Age]]&gt;=30,Employee__2[[#This Row],[Gender]]="Male"),"Mached","Not mached")</f>
        <v>Mached</v>
      </c>
    </row>
    <row r="4093" spans="4:16" x14ac:dyDescent="0.25">
      <c r="D4093" s="6" t="s">
        <v>34</v>
      </c>
      <c r="E4093">
        <v>2015</v>
      </c>
      <c r="F4093" s="6" t="s">
        <v>40</v>
      </c>
      <c r="G4093">
        <v>3</v>
      </c>
      <c r="H4093">
        <v>25</v>
      </c>
      <c r="I4093" s="6" t="s">
        <v>39</v>
      </c>
      <c r="J4093" s="6" t="s">
        <v>42</v>
      </c>
      <c r="K4093">
        <v>3</v>
      </c>
      <c r="M4093" s="1" t="b">
        <f>Employee__2[[#This Row],[Experience]]&gt;1</f>
        <v>1</v>
      </c>
      <c r="N4093" s="1" t="str">
        <f>IF(Employee__2[[#This Row],[City]]="Pune","Yes","No")</f>
        <v>No</v>
      </c>
      <c r="O4093" s="1" t="str">
        <f>IF(AND(Employee__2[[#This Row],[Education]]="Bachelors",Employee__2[[#This Row],[City]]="Pune"),"Yes","No")</f>
        <v>No</v>
      </c>
      <c r="P4093" s="1" t="str">
        <f>IF(OR(Employee__2[[#This Row],[Age]]&gt;=30,Employee__2[[#This Row],[Gender]]="Male"),"Mached","Not mached")</f>
        <v>Not mached</v>
      </c>
    </row>
    <row r="4094" spans="4:16" x14ac:dyDescent="0.25">
      <c r="D4094" s="6" t="s">
        <v>34</v>
      </c>
      <c r="E4094">
        <v>2014</v>
      </c>
      <c r="F4094" s="6" t="s">
        <v>38</v>
      </c>
      <c r="G4094">
        <v>3</v>
      </c>
      <c r="H4094">
        <v>32</v>
      </c>
      <c r="I4094" s="6" t="s">
        <v>36</v>
      </c>
      <c r="J4094" s="6" t="s">
        <v>37</v>
      </c>
      <c r="K4094">
        <v>2</v>
      </c>
      <c r="M4094" s="1" t="b">
        <f>Employee__2[[#This Row],[Experience]]&gt;1</f>
        <v>1</v>
      </c>
      <c r="N4094" s="1" t="str">
        <f>IF(Employee__2[[#This Row],[City]]="Pune","Yes","No")</f>
        <v>Yes</v>
      </c>
      <c r="O4094" s="1" t="str">
        <f>IF(AND(Employee__2[[#This Row],[Education]]="Bachelors",Employee__2[[#This Row],[City]]="Pune"),"Yes","No")</f>
        <v>Yes</v>
      </c>
      <c r="P4094" s="1" t="str">
        <f>IF(OR(Employee__2[[#This Row],[Age]]&gt;=30,Employee__2[[#This Row],[Gender]]="Male"),"Mached","Not mached")</f>
        <v>Mached</v>
      </c>
    </row>
    <row r="4095" spans="4:16" x14ac:dyDescent="0.25">
      <c r="D4095" s="6" t="s">
        <v>34</v>
      </c>
      <c r="E4095">
        <v>2015</v>
      </c>
      <c r="F4095" s="6" t="s">
        <v>38</v>
      </c>
      <c r="G4095">
        <v>3</v>
      </c>
      <c r="H4095">
        <v>23</v>
      </c>
      <c r="I4095" s="6" t="s">
        <v>39</v>
      </c>
      <c r="J4095" s="6" t="s">
        <v>37</v>
      </c>
      <c r="K4095">
        <v>1</v>
      </c>
      <c r="M4095" s="1" t="b">
        <f>Employee__2[[#This Row],[Experience]]&gt;1</f>
        <v>0</v>
      </c>
      <c r="N4095" s="1" t="str">
        <f>IF(Employee__2[[#This Row],[City]]="Pune","Yes","No")</f>
        <v>Yes</v>
      </c>
      <c r="O4095" s="1" t="str">
        <f>IF(AND(Employee__2[[#This Row],[Education]]="Bachelors",Employee__2[[#This Row],[City]]="Pune"),"Yes","No")</f>
        <v>Yes</v>
      </c>
      <c r="P4095" s="1" t="str">
        <f>IF(OR(Employee__2[[#This Row],[Age]]&gt;=30,Employee__2[[#This Row],[Gender]]="Male"),"Mached","Not mached")</f>
        <v>Not mached</v>
      </c>
    </row>
    <row r="4096" spans="4:16" x14ac:dyDescent="0.25">
      <c r="D4096" s="6" t="s">
        <v>41</v>
      </c>
      <c r="E4096">
        <v>2018</v>
      </c>
      <c r="F4096" s="6" t="s">
        <v>40</v>
      </c>
      <c r="G4096">
        <v>3</v>
      </c>
      <c r="H4096">
        <v>29</v>
      </c>
      <c r="I4096" s="6" t="s">
        <v>36</v>
      </c>
      <c r="J4096" s="6" t="s">
        <v>37</v>
      </c>
      <c r="K4096">
        <v>2</v>
      </c>
      <c r="M4096" s="1" t="b">
        <f>Employee__2[[#This Row],[Experience]]&gt;1</f>
        <v>1</v>
      </c>
      <c r="N4096" s="1" t="str">
        <f>IF(Employee__2[[#This Row],[City]]="Pune","Yes","No")</f>
        <v>No</v>
      </c>
      <c r="O4096" s="1" t="str">
        <f>IF(AND(Employee__2[[#This Row],[Education]]="Bachelors",Employee__2[[#This Row],[City]]="Pune"),"Yes","No")</f>
        <v>No</v>
      </c>
      <c r="P4096" s="1" t="str">
        <f>IF(OR(Employee__2[[#This Row],[Age]]&gt;=30,Employee__2[[#This Row],[Gender]]="Male"),"Mached","Not mached")</f>
        <v>Mached</v>
      </c>
    </row>
    <row r="4097" spans="4:16" x14ac:dyDescent="0.25">
      <c r="D4097" s="6" t="s">
        <v>34</v>
      </c>
      <c r="E4097">
        <v>2013</v>
      </c>
      <c r="F4097" s="6" t="s">
        <v>38</v>
      </c>
      <c r="G4097">
        <v>2</v>
      </c>
      <c r="H4097">
        <v>24</v>
      </c>
      <c r="I4097" s="6" t="s">
        <v>36</v>
      </c>
      <c r="J4097" s="6" t="s">
        <v>37</v>
      </c>
      <c r="K4097">
        <v>2</v>
      </c>
      <c r="M4097" s="1" t="b">
        <f>Employee__2[[#This Row],[Experience]]&gt;1</f>
        <v>1</v>
      </c>
      <c r="N4097" s="1" t="str">
        <f>IF(Employee__2[[#This Row],[City]]="Pune","Yes","No")</f>
        <v>Yes</v>
      </c>
      <c r="O4097" s="1" t="str">
        <f>IF(AND(Employee__2[[#This Row],[Education]]="Bachelors",Employee__2[[#This Row],[City]]="Pune"),"Yes","No")</f>
        <v>Yes</v>
      </c>
      <c r="P4097" s="1" t="str">
        <f>IF(OR(Employee__2[[#This Row],[Age]]&gt;=30,Employee__2[[#This Row],[Gender]]="Male"),"Mached","Not mached")</f>
        <v>Mached</v>
      </c>
    </row>
    <row r="4098" spans="4:16" x14ac:dyDescent="0.25">
      <c r="D4098" s="6" t="s">
        <v>34</v>
      </c>
      <c r="E4098">
        <v>2012</v>
      </c>
      <c r="F4098" s="6" t="s">
        <v>35</v>
      </c>
      <c r="G4098">
        <v>3</v>
      </c>
      <c r="H4098">
        <v>36</v>
      </c>
      <c r="I4098" s="6" t="s">
        <v>39</v>
      </c>
      <c r="J4098" s="6" t="s">
        <v>37</v>
      </c>
      <c r="K4098">
        <v>2</v>
      </c>
      <c r="M4098" s="1" t="b">
        <f>Employee__2[[#This Row],[Experience]]&gt;1</f>
        <v>1</v>
      </c>
      <c r="N4098" s="1" t="str">
        <f>IF(Employee__2[[#This Row],[City]]="Pune","Yes","No")</f>
        <v>No</v>
      </c>
      <c r="O4098" s="1" t="str">
        <f>IF(AND(Employee__2[[#This Row],[Education]]="Bachelors",Employee__2[[#This Row],[City]]="Pune"),"Yes","No")</f>
        <v>No</v>
      </c>
      <c r="P4098" s="1" t="str">
        <f>IF(OR(Employee__2[[#This Row],[Age]]&gt;=30,Employee__2[[#This Row],[Gender]]="Male"),"Mached","Not mached")</f>
        <v>Mached</v>
      </c>
    </row>
    <row r="4099" spans="4:16" x14ac:dyDescent="0.25">
      <c r="D4099" s="6" t="s">
        <v>34</v>
      </c>
      <c r="E4099">
        <v>2018</v>
      </c>
      <c r="F4099" s="6" t="s">
        <v>35</v>
      </c>
      <c r="G4099">
        <v>3</v>
      </c>
      <c r="H4099">
        <v>40</v>
      </c>
      <c r="I4099" s="6" t="s">
        <v>36</v>
      </c>
      <c r="J4099" s="6" t="s">
        <v>37</v>
      </c>
      <c r="K4099">
        <v>4</v>
      </c>
      <c r="M4099" s="1" t="b">
        <f>Employee__2[[#This Row],[Experience]]&gt;1</f>
        <v>1</v>
      </c>
      <c r="N4099" s="1" t="str">
        <f>IF(Employee__2[[#This Row],[City]]="Pune","Yes","No")</f>
        <v>No</v>
      </c>
      <c r="O4099" s="1" t="str">
        <f>IF(AND(Employee__2[[#This Row],[Education]]="Bachelors",Employee__2[[#This Row],[City]]="Pune"),"Yes","No")</f>
        <v>No</v>
      </c>
      <c r="P4099" s="1" t="str">
        <f>IF(OR(Employee__2[[#This Row],[Age]]&gt;=30,Employee__2[[#This Row],[Gender]]="Male"),"Mached","Not mached")</f>
        <v>Mached</v>
      </c>
    </row>
    <row r="4100" spans="4:16" x14ac:dyDescent="0.25">
      <c r="D4100" s="6" t="s">
        <v>34</v>
      </c>
      <c r="E4100">
        <v>2012</v>
      </c>
      <c r="F4100" s="6" t="s">
        <v>40</v>
      </c>
      <c r="G4100">
        <v>3</v>
      </c>
      <c r="H4100">
        <v>38</v>
      </c>
      <c r="I4100" s="6" t="s">
        <v>39</v>
      </c>
      <c r="J4100" s="6" t="s">
        <v>37</v>
      </c>
      <c r="K4100">
        <v>1</v>
      </c>
      <c r="M4100" s="1" t="b">
        <f>Employee__2[[#This Row],[Experience]]&gt;1</f>
        <v>0</v>
      </c>
      <c r="N4100" s="1" t="str">
        <f>IF(Employee__2[[#This Row],[City]]="Pune","Yes","No")</f>
        <v>No</v>
      </c>
      <c r="O4100" s="1" t="str">
        <f>IF(AND(Employee__2[[#This Row],[Education]]="Bachelors",Employee__2[[#This Row],[City]]="Pune"),"Yes","No")</f>
        <v>No</v>
      </c>
      <c r="P4100" s="1" t="str">
        <f>IF(OR(Employee__2[[#This Row],[Age]]&gt;=30,Employee__2[[#This Row],[Gender]]="Male"),"Mached","Not mached")</f>
        <v>Mached</v>
      </c>
    </row>
    <row r="4101" spans="4:16" x14ac:dyDescent="0.25">
      <c r="D4101" s="6" t="s">
        <v>34</v>
      </c>
      <c r="E4101">
        <v>2014</v>
      </c>
      <c r="F4101" s="6" t="s">
        <v>35</v>
      </c>
      <c r="G4101">
        <v>3</v>
      </c>
      <c r="H4101">
        <v>22</v>
      </c>
      <c r="I4101" s="6" t="s">
        <v>36</v>
      </c>
      <c r="J4101" s="6" t="s">
        <v>37</v>
      </c>
      <c r="K4101">
        <v>0</v>
      </c>
      <c r="M4101" s="1" t="b">
        <f>Employee__2[[#This Row],[Experience]]&gt;1</f>
        <v>0</v>
      </c>
      <c r="N4101" s="1" t="str">
        <f>IF(Employee__2[[#This Row],[City]]="Pune","Yes","No")</f>
        <v>No</v>
      </c>
      <c r="O4101" s="1" t="str">
        <f>IF(AND(Employee__2[[#This Row],[Education]]="Bachelors",Employee__2[[#This Row],[City]]="Pune"),"Yes","No")</f>
        <v>No</v>
      </c>
      <c r="P4101" s="1" t="str">
        <f>IF(OR(Employee__2[[#This Row],[Age]]&gt;=30,Employee__2[[#This Row],[Gender]]="Male"),"Mached","Not mached")</f>
        <v>Mached</v>
      </c>
    </row>
    <row r="4102" spans="4:16" x14ac:dyDescent="0.25">
      <c r="D4102" s="6" t="s">
        <v>34</v>
      </c>
      <c r="E4102">
        <v>2018</v>
      </c>
      <c r="F4102" s="6" t="s">
        <v>35</v>
      </c>
      <c r="G4102">
        <v>3</v>
      </c>
      <c r="H4102">
        <v>24</v>
      </c>
      <c r="I4102" s="6" t="s">
        <v>36</v>
      </c>
      <c r="J4102" s="6" t="s">
        <v>37</v>
      </c>
      <c r="K4102">
        <v>2</v>
      </c>
      <c r="M4102" s="1" t="b">
        <f>Employee__2[[#This Row],[Experience]]&gt;1</f>
        <v>1</v>
      </c>
      <c r="N4102" s="1" t="str">
        <f>IF(Employee__2[[#This Row],[City]]="Pune","Yes","No")</f>
        <v>No</v>
      </c>
      <c r="O4102" s="1" t="str">
        <f>IF(AND(Employee__2[[#This Row],[Education]]="Bachelors",Employee__2[[#This Row],[City]]="Pune"),"Yes","No")</f>
        <v>No</v>
      </c>
      <c r="P4102" s="1" t="str">
        <f>IF(OR(Employee__2[[#This Row],[Age]]&gt;=30,Employee__2[[#This Row],[Gender]]="Male"),"Mached","Not mached")</f>
        <v>Mached</v>
      </c>
    </row>
    <row r="4103" spans="4:16" x14ac:dyDescent="0.25">
      <c r="D4103" s="6" t="s">
        <v>34</v>
      </c>
      <c r="E4103">
        <v>2012</v>
      </c>
      <c r="F4103" s="6" t="s">
        <v>35</v>
      </c>
      <c r="G4103">
        <v>3</v>
      </c>
      <c r="H4103">
        <v>37</v>
      </c>
      <c r="I4103" s="6" t="s">
        <v>36</v>
      </c>
      <c r="J4103" s="6" t="s">
        <v>37</v>
      </c>
      <c r="K4103">
        <v>5</v>
      </c>
      <c r="M4103" s="1" t="b">
        <f>Employee__2[[#This Row],[Experience]]&gt;1</f>
        <v>1</v>
      </c>
      <c r="N4103" s="1" t="str">
        <f>IF(Employee__2[[#This Row],[City]]="Pune","Yes","No")</f>
        <v>No</v>
      </c>
      <c r="O4103" s="1" t="str">
        <f>IF(AND(Employee__2[[#This Row],[Education]]="Bachelors",Employee__2[[#This Row],[City]]="Pune"),"Yes","No")</f>
        <v>No</v>
      </c>
      <c r="P4103" s="1" t="str">
        <f>IF(OR(Employee__2[[#This Row],[Age]]&gt;=30,Employee__2[[#This Row],[Gender]]="Male"),"Mached","Not mached")</f>
        <v>Mached</v>
      </c>
    </row>
    <row r="4104" spans="4:16" x14ac:dyDescent="0.25">
      <c r="D4104" s="6" t="s">
        <v>34</v>
      </c>
      <c r="E4104">
        <v>2018</v>
      </c>
      <c r="F4104" s="6" t="s">
        <v>38</v>
      </c>
      <c r="G4104">
        <v>3</v>
      </c>
      <c r="H4104">
        <v>40</v>
      </c>
      <c r="I4104" s="6" t="s">
        <v>36</v>
      </c>
      <c r="J4104" s="6" t="s">
        <v>37</v>
      </c>
      <c r="K4104">
        <v>3</v>
      </c>
      <c r="M4104" s="1" t="b">
        <f>Employee__2[[#This Row],[Experience]]&gt;1</f>
        <v>1</v>
      </c>
      <c r="N4104" s="1" t="str">
        <f>IF(Employee__2[[#This Row],[City]]="Pune","Yes","No")</f>
        <v>Yes</v>
      </c>
      <c r="O4104" s="1" t="str">
        <f>IF(AND(Employee__2[[#This Row],[Education]]="Bachelors",Employee__2[[#This Row],[City]]="Pune"),"Yes","No")</f>
        <v>Yes</v>
      </c>
      <c r="P4104" s="1" t="str">
        <f>IF(OR(Employee__2[[#This Row],[Age]]&gt;=30,Employee__2[[#This Row],[Gender]]="Male"),"Mached","Not mached")</f>
        <v>Mached</v>
      </c>
    </row>
    <row r="4105" spans="4:16" x14ac:dyDescent="0.25">
      <c r="D4105" s="6" t="s">
        <v>34</v>
      </c>
      <c r="E4105">
        <v>2018</v>
      </c>
      <c r="F4105" s="6" t="s">
        <v>35</v>
      </c>
      <c r="G4105">
        <v>3</v>
      </c>
      <c r="H4105">
        <v>32</v>
      </c>
      <c r="I4105" s="6" t="s">
        <v>36</v>
      </c>
      <c r="J4105" s="6" t="s">
        <v>42</v>
      </c>
      <c r="K4105">
        <v>0</v>
      </c>
      <c r="M4105" s="1" t="b">
        <f>Employee__2[[#This Row],[Experience]]&gt;1</f>
        <v>0</v>
      </c>
      <c r="N4105" s="1" t="str">
        <f>IF(Employee__2[[#This Row],[City]]="Pune","Yes","No")</f>
        <v>No</v>
      </c>
      <c r="O4105" s="1" t="str">
        <f>IF(AND(Employee__2[[#This Row],[Education]]="Bachelors",Employee__2[[#This Row],[City]]="Pune"),"Yes","No")</f>
        <v>No</v>
      </c>
      <c r="P4105" s="1" t="str">
        <f>IF(OR(Employee__2[[#This Row],[Age]]&gt;=30,Employee__2[[#This Row],[Gender]]="Male"),"Mached","Not mached")</f>
        <v>Mached</v>
      </c>
    </row>
    <row r="4106" spans="4:16" x14ac:dyDescent="0.25">
      <c r="D4106" s="6" t="s">
        <v>34</v>
      </c>
      <c r="E4106">
        <v>2012</v>
      </c>
      <c r="F4106" s="6" t="s">
        <v>40</v>
      </c>
      <c r="G4106">
        <v>3</v>
      </c>
      <c r="H4106">
        <v>28</v>
      </c>
      <c r="I4106" s="6" t="s">
        <v>39</v>
      </c>
      <c r="J4106" s="6" t="s">
        <v>37</v>
      </c>
      <c r="K4106">
        <v>1</v>
      </c>
      <c r="M4106" s="1" t="b">
        <f>Employee__2[[#This Row],[Experience]]&gt;1</f>
        <v>0</v>
      </c>
      <c r="N4106" s="1" t="str">
        <f>IF(Employee__2[[#This Row],[City]]="Pune","Yes","No")</f>
        <v>No</v>
      </c>
      <c r="O4106" s="1" t="str">
        <f>IF(AND(Employee__2[[#This Row],[Education]]="Bachelors",Employee__2[[#This Row],[City]]="Pune"),"Yes","No")</f>
        <v>No</v>
      </c>
      <c r="P4106" s="1" t="str">
        <f>IF(OR(Employee__2[[#This Row],[Age]]&gt;=30,Employee__2[[#This Row],[Gender]]="Male"),"Mached","Not mached")</f>
        <v>Not mached</v>
      </c>
    </row>
    <row r="4107" spans="4:16" x14ac:dyDescent="0.25">
      <c r="D4107" s="6" t="s">
        <v>34</v>
      </c>
      <c r="E4107">
        <v>2016</v>
      </c>
      <c r="F4107" s="6" t="s">
        <v>38</v>
      </c>
      <c r="G4107">
        <v>3</v>
      </c>
      <c r="H4107">
        <v>29</v>
      </c>
      <c r="I4107" s="6" t="s">
        <v>36</v>
      </c>
      <c r="J4107" s="6" t="s">
        <v>42</v>
      </c>
      <c r="K4107">
        <v>5</v>
      </c>
      <c r="M4107" s="1" t="b">
        <f>Employee__2[[#This Row],[Experience]]&gt;1</f>
        <v>1</v>
      </c>
      <c r="N4107" s="1" t="str">
        <f>IF(Employee__2[[#This Row],[City]]="Pune","Yes","No")</f>
        <v>Yes</v>
      </c>
      <c r="O4107" s="1" t="str">
        <f>IF(AND(Employee__2[[#This Row],[Education]]="Bachelors",Employee__2[[#This Row],[City]]="Pune"),"Yes","No")</f>
        <v>Yes</v>
      </c>
      <c r="P4107" s="1" t="str">
        <f>IF(OR(Employee__2[[#This Row],[Age]]&gt;=30,Employee__2[[#This Row],[Gender]]="Male"),"Mached","Not mached")</f>
        <v>Mached</v>
      </c>
    </row>
    <row r="4108" spans="4:16" x14ac:dyDescent="0.25">
      <c r="D4108" s="6" t="s">
        <v>34</v>
      </c>
      <c r="E4108">
        <v>2013</v>
      </c>
      <c r="F4108" s="6" t="s">
        <v>38</v>
      </c>
      <c r="G4108">
        <v>3</v>
      </c>
      <c r="H4108">
        <v>25</v>
      </c>
      <c r="I4108" s="6" t="s">
        <v>36</v>
      </c>
      <c r="J4108" s="6" t="s">
        <v>37</v>
      </c>
      <c r="K4108">
        <v>3</v>
      </c>
      <c r="M4108" s="1" t="b">
        <f>Employee__2[[#This Row],[Experience]]&gt;1</f>
        <v>1</v>
      </c>
      <c r="N4108" s="1" t="str">
        <f>IF(Employee__2[[#This Row],[City]]="Pune","Yes","No")</f>
        <v>Yes</v>
      </c>
      <c r="O4108" s="1" t="str">
        <f>IF(AND(Employee__2[[#This Row],[Education]]="Bachelors",Employee__2[[#This Row],[City]]="Pune"),"Yes","No")</f>
        <v>Yes</v>
      </c>
      <c r="P4108" s="1" t="str">
        <f>IF(OR(Employee__2[[#This Row],[Age]]&gt;=30,Employee__2[[#This Row],[Gender]]="Male"),"Mached","Not mached")</f>
        <v>Mached</v>
      </c>
    </row>
    <row r="4109" spans="4:16" x14ac:dyDescent="0.25">
      <c r="D4109" s="6" t="s">
        <v>43</v>
      </c>
      <c r="E4109">
        <v>2013</v>
      </c>
      <c r="F4109" s="6" t="s">
        <v>35</v>
      </c>
      <c r="G4109">
        <v>3</v>
      </c>
      <c r="H4109">
        <v>35</v>
      </c>
      <c r="I4109" s="6" t="s">
        <v>36</v>
      </c>
      <c r="J4109" s="6" t="s">
        <v>37</v>
      </c>
      <c r="K4109">
        <v>3</v>
      </c>
      <c r="M4109" s="1" t="b">
        <f>Employee__2[[#This Row],[Experience]]&gt;1</f>
        <v>1</v>
      </c>
      <c r="N4109" s="1" t="str">
        <f>IF(Employee__2[[#This Row],[City]]="Pune","Yes","No")</f>
        <v>No</v>
      </c>
      <c r="O4109" s="1" t="str">
        <f>IF(AND(Employee__2[[#This Row],[Education]]="Bachelors",Employee__2[[#This Row],[City]]="Pune"),"Yes","No")</f>
        <v>No</v>
      </c>
      <c r="P4109" s="1" t="str">
        <f>IF(OR(Employee__2[[#This Row],[Age]]&gt;=30,Employee__2[[#This Row],[Gender]]="Male"),"Mached","Not mached")</f>
        <v>Mached</v>
      </c>
    </row>
    <row r="4110" spans="4:16" x14ac:dyDescent="0.25">
      <c r="D4110" s="6" t="s">
        <v>34</v>
      </c>
      <c r="E4110">
        <v>2015</v>
      </c>
      <c r="F4110" s="6" t="s">
        <v>35</v>
      </c>
      <c r="G4110">
        <v>3</v>
      </c>
      <c r="H4110">
        <v>28</v>
      </c>
      <c r="I4110" s="6" t="s">
        <v>36</v>
      </c>
      <c r="J4110" s="6" t="s">
        <v>37</v>
      </c>
      <c r="K4110">
        <v>0</v>
      </c>
      <c r="M4110" s="1" t="b">
        <f>Employee__2[[#This Row],[Experience]]&gt;1</f>
        <v>0</v>
      </c>
      <c r="N4110" s="1" t="str">
        <f>IF(Employee__2[[#This Row],[City]]="Pune","Yes","No")</f>
        <v>No</v>
      </c>
      <c r="O4110" s="1" t="str">
        <f>IF(AND(Employee__2[[#This Row],[Education]]="Bachelors",Employee__2[[#This Row],[City]]="Pune"),"Yes","No")</f>
        <v>No</v>
      </c>
      <c r="P4110" s="1" t="str">
        <f>IF(OR(Employee__2[[#This Row],[Age]]&gt;=30,Employee__2[[#This Row],[Gender]]="Male"),"Mached","Not mached")</f>
        <v>Mached</v>
      </c>
    </row>
    <row r="4111" spans="4:16" x14ac:dyDescent="0.25">
      <c r="D4111" s="6" t="s">
        <v>34</v>
      </c>
      <c r="E4111">
        <v>2012</v>
      </c>
      <c r="F4111" s="6" t="s">
        <v>35</v>
      </c>
      <c r="G4111">
        <v>3</v>
      </c>
      <c r="H4111">
        <v>39</v>
      </c>
      <c r="I4111" s="6" t="s">
        <v>36</v>
      </c>
      <c r="J4111" s="6" t="s">
        <v>37</v>
      </c>
      <c r="K4111">
        <v>3</v>
      </c>
      <c r="M4111" s="1" t="b">
        <f>Employee__2[[#This Row],[Experience]]&gt;1</f>
        <v>1</v>
      </c>
      <c r="N4111" s="1" t="str">
        <f>IF(Employee__2[[#This Row],[City]]="Pune","Yes","No")</f>
        <v>No</v>
      </c>
      <c r="O4111" s="1" t="str">
        <f>IF(AND(Employee__2[[#This Row],[Education]]="Bachelors",Employee__2[[#This Row],[City]]="Pune"),"Yes","No")</f>
        <v>No</v>
      </c>
      <c r="P4111" s="1" t="str">
        <f>IF(OR(Employee__2[[#This Row],[Age]]&gt;=30,Employee__2[[#This Row],[Gender]]="Male"),"Mached","Not mached")</f>
        <v>Mached</v>
      </c>
    </row>
    <row r="4112" spans="4:16" x14ac:dyDescent="0.25">
      <c r="D4112" s="6" t="s">
        <v>34</v>
      </c>
      <c r="E4112">
        <v>2012</v>
      </c>
      <c r="F4112" s="6" t="s">
        <v>38</v>
      </c>
      <c r="G4112">
        <v>1</v>
      </c>
      <c r="H4112">
        <v>35</v>
      </c>
      <c r="I4112" s="6" t="s">
        <v>36</v>
      </c>
      <c r="J4112" s="6" t="s">
        <v>37</v>
      </c>
      <c r="K4112">
        <v>1</v>
      </c>
      <c r="M4112" s="1" t="b">
        <f>Employee__2[[#This Row],[Experience]]&gt;1</f>
        <v>0</v>
      </c>
      <c r="N4112" s="1" t="str">
        <f>IF(Employee__2[[#This Row],[City]]="Pune","Yes","No")</f>
        <v>Yes</v>
      </c>
      <c r="O4112" s="1" t="str">
        <f>IF(AND(Employee__2[[#This Row],[Education]]="Bachelors",Employee__2[[#This Row],[City]]="Pune"),"Yes","No")</f>
        <v>Yes</v>
      </c>
      <c r="P4112" s="1" t="str">
        <f>IF(OR(Employee__2[[#This Row],[Age]]&gt;=30,Employee__2[[#This Row],[Gender]]="Male"),"Mached","Not mached")</f>
        <v>Mached</v>
      </c>
    </row>
    <row r="4113" spans="4:16" x14ac:dyDescent="0.25">
      <c r="D4113" s="6" t="s">
        <v>34</v>
      </c>
      <c r="E4113">
        <v>2017</v>
      </c>
      <c r="F4113" s="6" t="s">
        <v>35</v>
      </c>
      <c r="G4113">
        <v>3</v>
      </c>
      <c r="H4113">
        <v>37</v>
      </c>
      <c r="I4113" s="6" t="s">
        <v>36</v>
      </c>
      <c r="J4113" s="6" t="s">
        <v>37</v>
      </c>
      <c r="K4113">
        <v>2</v>
      </c>
      <c r="M4113" s="1" t="b">
        <f>Employee__2[[#This Row],[Experience]]&gt;1</f>
        <v>1</v>
      </c>
      <c r="N4113" s="1" t="str">
        <f>IF(Employee__2[[#This Row],[City]]="Pune","Yes","No")</f>
        <v>No</v>
      </c>
      <c r="O4113" s="1" t="str">
        <f>IF(AND(Employee__2[[#This Row],[Education]]="Bachelors",Employee__2[[#This Row],[City]]="Pune"),"Yes","No")</f>
        <v>No</v>
      </c>
      <c r="P4113" s="1" t="str">
        <f>IF(OR(Employee__2[[#This Row],[Age]]&gt;=30,Employee__2[[#This Row],[Gender]]="Male"),"Mached","Not mached")</f>
        <v>Mached</v>
      </c>
    </row>
    <row r="4114" spans="4:16" x14ac:dyDescent="0.25">
      <c r="D4114" s="6" t="s">
        <v>41</v>
      </c>
      <c r="E4114">
        <v>2018</v>
      </c>
      <c r="F4114" s="6" t="s">
        <v>38</v>
      </c>
      <c r="G4114">
        <v>3</v>
      </c>
      <c r="H4114">
        <v>40</v>
      </c>
      <c r="I4114" s="6" t="s">
        <v>39</v>
      </c>
      <c r="J4114" s="6" t="s">
        <v>37</v>
      </c>
      <c r="K4114">
        <v>2</v>
      </c>
      <c r="M4114" s="1" t="b">
        <f>Employee__2[[#This Row],[Experience]]&gt;1</f>
        <v>1</v>
      </c>
      <c r="N4114" s="1" t="str">
        <f>IF(Employee__2[[#This Row],[City]]="Pune","Yes","No")</f>
        <v>Yes</v>
      </c>
      <c r="O4114" s="1" t="str">
        <f>IF(AND(Employee__2[[#This Row],[Education]]="Bachelors",Employee__2[[#This Row],[City]]="Pune"),"Yes","No")</f>
        <v>No</v>
      </c>
      <c r="P4114" s="1" t="str">
        <f>IF(OR(Employee__2[[#This Row],[Age]]&gt;=30,Employee__2[[#This Row],[Gender]]="Male"),"Mached","Not mached")</f>
        <v>Mached</v>
      </c>
    </row>
    <row r="4115" spans="4:16" x14ac:dyDescent="0.25">
      <c r="D4115" s="6" t="s">
        <v>34</v>
      </c>
      <c r="E4115">
        <v>2018</v>
      </c>
      <c r="F4115" s="6" t="s">
        <v>35</v>
      </c>
      <c r="G4115">
        <v>3</v>
      </c>
      <c r="H4115">
        <v>23</v>
      </c>
      <c r="I4115" s="6" t="s">
        <v>36</v>
      </c>
      <c r="J4115" s="6" t="s">
        <v>37</v>
      </c>
      <c r="K4115">
        <v>1</v>
      </c>
      <c r="M4115" s="1" t="b">
        <f>Employee__2[[#This Row],[Experience]]&gt;1</f>
        <v>0</v>
      </c>
      <c r="N4115" s="1" t="str">
        <f>IF(Employee__2[[#This Row],[City]]="Pune","Yes","No")</f>
        <v>No</v>
      </c>
      <c r="O4115" s="1" t="str">
        <f>IF(AND(Employee__2[[#This Row],[Education]]="Bachelors",Employee__2[[#This Row],[City]]="Pune"),"Yes","No")</f>
        <v>No</v>
      </c>
      <c r="P4115" s="1" t="str">
        <f>IF(OR(Employee__2[[#This Row],[Age]]&gt;=30,Employee__2[[#This Row],[Gender]]="Male"),"Mached","Not mached")</f>
        <v>Mached</v>
      </c>
    </row>
    <row r="4116" spans="4:16" x14ac:dyDescent="0.25">
      <c r="D4116" s="6" t="s">
        <v>34</v>
      </c>
      <c r="E4116">
        <v>2013</v>
      </c>
      <c r="F4116" s="6" t="s">
        <v>38</v>
      </c>
      <c r="G4116">
        <v>3</v>
      </c>
      <c r="H4116">
        <v>32</v>
      </c>
      <c r="I4116" s="6" t="s">
        <v>36</v>
      </c>
      <c r="J4116" s="6" t="s">
        <v>37</v>
      </c>
      <c r="K4116">
        <v>2</v>
      </c>
      <c r="M4116" s="1" t="b">
        <f>Employee__2[[#This Row],[Experience]]&gt;1</f>
        <v>1</v>
      </c>
      <c r="N4116" s="1" t="str">
        <f>IF(Employee__2[[#This Row],[City]]="Pune","Yes","No")</f>
        <v>Yes</v>
      </c>
      <c r="O4116" s="1" t="str">
        <f>IF(AND(Employee__2[[#This Row],[Education]]="Bachelors",Employee__2[[#This Row],[City]]="Pune"),"Yes","No")</f>
        <v>Yes</v>
      </c>
      <c r="P4116" s="1" t="str">
        <f>IF(OR(Employee__2[[#This Row],[Age]]&gt;=30,Employee__2[[#This Row],[Gender]]="Male"),"Mached","Not mached")</f>
        <v>Mached</v>
      </c>
    </row>
    <row r="4117" spans="4:16" x14ac:dyDescent="0.25">
      <c r="D4117" s="6" t="s">
        <v>43</v>
      </c>
      <c r="E4117">
        <v>2018</v>
      </c>
      <c r="F4117" s="6" t="s">
        <v>40</v>
      </c>
      <c r="G4117">
        <v>3</v>
      </c>
      <c r="H4117">
        <v>37</v>
      </c>
      <c r="I4117" s="6" t="s">
        <v>36</v>
      </c>
      <c r="J4117" s="6" t="s">
        <v>37</v>
      </c>
      <c r="K4117">
        <v>3</v>
      </c>
      <c r="M4117" s="1" t="b">
        <f>Employee__2[[#This Row],[Experience]]&gt;1</f>
        <v>1</v>
      </c>
      <c r="N4117" s="1" t="str">
        <f>IF(Employee__2[[#This Row],[City]]="Pune","Yes","No")</f>
        <v>No</v>
      </c>
      <c r="O4117" s="1" t="str">
        <f>IF(AND(Employee__2[[#This Row],[Education]]="Bachelors",Employee__2[[#This Row],[City]]="Pune"),"Yes","No")</f>
        <v>No</v>
      </c>
      <c r="P4117" s="1" t="str">
        <f>IF(OR(Employee__2[[#This Row],[Age]]&gt;=30,Employee__2[[#This Row],[Gender]]="Male"),"Mached","Not mached")</f>
        <v>Mached</v>
      </c>
    </row>
    <row r="4118" spans="4:16" x14ac:dyDescent="0.25">
      <c r="D4118" s="6" t="s">
        <v>34</v>
      </c>
      <c r="E4118">
        <v>2015</v>
      </c>
      <c r="F4118" s="6" t="s">
        <v>35</v>
      </c>
      <c r="G4118">
        <v>3</v>
      </c>
      <c r="H4118">
        <v>23</v>
      </c>
      <c r="I4118" s="6" t="s">
        <v>39</v>
      </c>
      <c r="J4118" s="6" t="s">
        <v>37</v>
      </c>
      <c r="K4118">
        <v>1</v>
      </c>
      <c r="M4118" s="1" t="b">
        <f>Employee__2[[#This Row],[Experience]]&gt;1</f>
        <v>0</v>
      </c>
      <c r="N4118" s="1" t="str">
        <f>IF(Employee__2[[#This Row],[City]]="Pune","Yes","No")</f>
        <v>No</v>
      </c>
      <c r="O4118" s="1" t="str">
        <f>IF(AND(Employee__2[[#This Row],[Education]]="Bachelors",Employee__2[[#This Row],[City]]="Pune"),"Yes","No")</f>
        <v>No</v>
      </c>
      <c r="P4118" s="1" t="str">
        <f>IF(OR(Employee__2[[#This Row],[Age]]&gt;=30,Employee__2[[#This Row],[Gender]]="Male"),"Mached","Not mached")</f>
        <v>Not mached</v>
      </c>
    </row>
    <row r="4119" spans="4:16" x14ac:dyDescent="0.25">
      <c r="D4119" s="6" t="s">
        <v>34</v>
      </c>
      <c r="E4119">
        <v>2014</v>
      </c>
      <c r="F4119" s="6" t="s">
        <v>38</v>
      </c>
      <c r="G4119">
        <v>3</v>
      </c>
      <c r="H4119">
        <v>26</v>
      </c>
      <c r="I4119" s="6" t="s">
        <v>36</v>
      </c>
      <c r="J4119" s="6" t="s">
        <v>37</v>
      </c>
      <c r="K4119">
        <v>4</v>
      </c>
      <c r="M4119" s="1" t="b">
        <f>Employee__2[[#This Row],[Experience]]&gt;1</f>
        <v>1</v>
      </c>
      <c r="N4119" s="1" t="str">
        <f>IF(Employee__2[[#This Row],[City]]="Pune","Yes","No")</f>
        <v>Yes</v>
      </c>
      <c r="O4119" s="1" t="str">
        <f>IF(AND(Employee__2[[#This Row],[Education]]="Bachelors",Employee__2[[#This Row],[City]]="Pune"),"Yes","No")</f>
        <v>Yes</v>
      </c>
      <c r="P4119" s="1" t="str">
        <f>IF(OR(Employee__2[[#This Row],[Age]]&gt;=30,Employee__2[[#This Row],[Gender]]="Male"),"Mached","Not mached")</f>
        <v>Mached</v>
      </c>
    </row>
    <row r="4120" spans="4:16" x14ac:dyDescent="0.25">
      <c r="D4120" s="6" t="s">
        <v>34</v>
      </c>
      <c r="E4120">
        <v>2017</v>
      </c>
      <c r="F4120" s="6" t="s">
        <v>35</v>
      </c>
      <c r="G4120">
        <v>3</v>
      </c>
      <c r="H4120">
        <v>36</v>
      </c>
      <c r="I4120" s="6" t="s">
        <v>39</v>
      </c>
      <c r="J4120" s="6" t="s">
        <v>37</v>
      </c>
      <c r="K4120">
        <v>3</v>
      </c>
      <c r="M4120" s="1" t="b">
        <f>Employee__2[[#This Row],[Experience]]&gt;1</f>
        <v>1</v>
      </c>
      <c r="N4120" s="1" t="str">
        <f>IF(Employee__2[[#This Row],[City]]="Pune","Yes","No")</f>
        <v>No</v>
      </c>
      <c r="O4120" s="1" t="str">
        <f>IF(AND(Employee__2[[#This Row],[Education]]="Bachelors",Employee__2[[#This Row],[City]]="Pune"),"Yes","No")</f>
        <v>No</v>
      </c>
      <c r="P4120" s="1" t="str">
        <f>IF(OR(Employee__2[[#This Row],[Age]]&gt;=30,Employee__2[[#This Row],[Gender]]="Male"),"Mached","Not mached")</f>
        <v>Mached</v>
      </c>
    </row>
    <row r="4121" spans="4:16" x14ac:dyDescent="0.25">
      <c r="D4121" s="6" t="s">
        <v>34</v>
      </c>
      <c r="E4121">
        <v>2013</v>
      </c>
      <c r="F4121" s="6" t="s">
        <v>35</v>
      </c>
      <c r="G4121">
        <v>3</v>
      </c>
      <c r="H4121">
        <v>40</v>
      </c>
      <c r="I4121" s="6" t="s">
        <v>39</v>
      </c>
      <c r="J4121" s="6" t="s">
        <v>37</v>
      </c>
      <c r="K4121">
        <v>3</v>
      </c>
      <c r="M4121" s="1" t="b">
        <f>Employee__2[[#This Row],[Experience]]&gt;1</f>
        <v>1</v>
      </c>
      <c r="N4121" s="1" t="str">
        <f>IF(Employee__2[[#This Row],[City]]="Pune","Yes","No")</f>
        <v>No</v>
      </c>
      <c r="O4121" s="1" t="str">
        <f>IF(AND(Employee__2[[#This Row],[Education]]="Bachelors",Employee__2[[#This Row],[City]]="Pune"),"Yes","No")</f>
        <v>No</v>
      </c>
      <c r="P4121" s="1" t="str">
        <f>IF(OR(Employee__2[[#This Row],[Age]]&gt;=30,Employee__2[[#This Row],[Gender]]="Male"),"Mached","Not mached")</f>
        <v>Mached</v>
      </c>
    </row>
    <row r="4122" spans="4:16" x14ac:dyDescent="0.25">
      <c r="D4122" s="6" t="s">
        <v>34</v>
      </c>
      <c r="E4122">
        <v>2015</v>
      </c>
      <c r="F4122" s="6" t="s">
        <v>40</v>
      </c>
      <c r="G4122">
        <v>3</v>
      </c>
      <c r="H4122">
        <v>22</v>
      </c>
      <c r="I4122" s="6" t="s">
        <v>36</v>
      </c>
      <c r="J4122" s="6" t="s">
        <v>37</v>
      </c>
      <c r="K4122">
        <v>0</v>
      </c>
      <c r="M4122" s="1" t="b">
        <f>Employee__2[[#This Row],[Experience]]&gt;1</f>
        <v>0</v>
      </c>
      <c r="N4122" s="1" t="str">
        <f>IF(Employee__2[[#This Row],[City]]="Pune","Yes","No")</f>
        <v>No</v>
      </c>
      <c r="O4122" s="1" t="str">
        <f>IF(AND(Employee__2[[#This Row],[Education]]="Bachelors",Employee__2[[#This Row],[City]]="Pune"),"Yes","No")</f>
        <v>No</v>
      </c>
      <c r="P4122" s="1" t="str">
        <f>IF(OR(Employee__2[[#This Row],[Age]]&gt;=30,Employee__2[[#This Row],[Gender]]="Male"),"Mached","Not mached")</f>
        <v>Mached</v>
      </c>
    </row>
    <row r="4123" spans="4:16" x14ac:dyDescent="0.25">
      <c r="D4123" s="6" t="s">
        <v>34</v>
      </c>
      <c r="E4123">
        <v>2015</v>
      </c>
      <c r="F4123" s="6" t="s">
        <v>35</v>
      </c>
      <c r="G4123">
        <v>3</v>
      </c>
      <c r="H4123">
        <v>30</v>
      </c>
      <c r="I4123" s="6" t="s">
        <v>36</v>
      </c>
      <c r="J4123" s="6" t="s">
        <v>37</v>
      </c>
      <c r="K4123">
        <v>0</v>
      </c>
      <c r="M4123" s="1" t="b">
        <f>Employee__2[[#This Row],[Experience]]&gt;1</f>
        <v>0</v>
      </c>
      <c r="N4123" s="1" t="str">
        <f>IF(Employee__2[[#This Row],[City]]="Pune","Yes","No")</f>
        <v>No</v>
      </c>
      <c r="O4123" s="1" t="str">
        <f>IF(AND(Employee__2[[#This Row],[Education]]="Bachelors",Employee__2[[#This Row],[City]]="Pune"),"Yes","No")</f>
        <v>No</v>
      </c>
      <c r="P4123" s="1" t="str">
        <f>IF(OR(Employee__2[[#This Row],[Age]]&gt;=30,Employee__2[[#This Row],[Gender]]="Male"),"Mached","Not mached")</f>
        <v>Mached</v>
      </c>
    </row>
    <row r="4124" spans="4:16" x14ac:dyDescent="0.25">
      <c r="D4124" s="6" t="s">
        <v>34</v>
      </c>
      <c r="E4124">
        <v>2014</v>
      </c>
      <c r="F4124" s="6" t="s">
        <v>35</v>
      </c>
      <c r="G4124">
        <v>3</v>
      </c>
      <c r="H4124">
        <v>30</v>
      </c>
      <c r="I4124" s="6" t="s">
        <v>36</v>
      </c>
      <c r="J4124" s="6" t="s">
        <v>37</v>
      </c>
      <c r="K4124">
        <v>1</v>
      </c>
      <c r="M4124" s="1" t="b">
        <f>Employee__2[[#This Row],[Experience]]&gt;1</f>
        <v>0</v>
      </c>
      <c r="N4124" s="1" t="str">
        <f>IF(Employee__2[[#This Row],[City]]="Pune","Yes","No")</f>
        <v>No</v>
      </c>
      <c r="O4124" s="1" t="str">
        <f>IF(AND(Employee__2[[#This Row],[Education]]="Bachelors",Employee__2[[#This Row],[City]]="Pune"),"Yes","No")</f>
        <v>No</v>
      </c>
      <c r="P4124" s="1" t="str">
        <f>IF(OR(Employee__2[[#This Row],[Age]]&gt;=30,Employee__2[[#This Row],[Gender]]="Male"),"Mached","Not mached")</f>
        <v>Mached</v>
      </c>
    </row>
    <row r="4125" spans="4:16" x14ac:dyDescent="0.25">
      <c r="D4125" s="6" t="s">
        <v>34</v>
      </c>
      <c r="E4125">
        <v>2015</v>
      </c>
      <c r="F4125" s="6" t="s">
        <v>38</v>
      </c>
      <c r="G4125">
        <v>1</v>
      </c>
      <c r="H4125">
        <v>34</v>
      </c>
      <c r="I4125" s="6" t="s">
        <v>39</v>
      </c>
      <c r="J4125" s="6" t="s">
        <v>37</v>
      </c>
      <c r="K4125">
        <v>3</v>
      </c>
      <c r="M4125" s="1" t="b">
        <f>Employee__2[[#This Row],[Experience]]&gt;1</f>
        <v>1</v>
      </c>
      <c r="N4125" s="1" t="str">
        <f>IF(Employee__2[[#This Row],[City]]="Pune","Yes","No")</f>
        <v>Yes</v>
      </c>
      <c r="O4125" s="1" t="str">
        <f>IF(AND(Employee__2[[#This Row],[Education]]="Bachelors",Employee__2[[#This Row],[City]]="Pune"),"Yes","No")</f>
        <v>Yes</v>
      </c>
      <c r="P4125" s="1" t="str">
        <f>IF(OR(Employee__2[[#This Row],[Age]]&gt;=30,Employee__2[[#This Row],[Gender]]="Male"),"Mached","Not mached")</f>
        <v>Mached</v>
      </c>
    </row>
    <row r="4126" spans="4:16" x14ac:dyDescent="0.25">
      <c r="D4126" s="6" t="s">
        <v>34</v>
      </c>
      <c r="E4126">
        <v>2018</v>
      </c>
      <c r="F4126" s="6" t="s">
        <v>35</v>
      </c>
      <c r="G4126">
        <v>3</v>
      </c>
      <c r="H4126">
        <v>27</v>
      </c>
      <c r="I4126" s="6" t="s">
        <v>36</v>
      </c>
      <c r="J4126" s="6" t="s">
        <v>37</v>
      </c>
      <c r="K4126">
        <v>5</v>
      </c>
      <c r="M4126" s="1" t="b">
        <f>Employee__2[[#This Row],[Experience]]&gt;1</f>
        <v>1</v>
      </c>
      <c r="N4126" s="1" t="str">
        <f>IF(Employee__2[[#This Row],[City]]="Pune","Yes","No")</f>
        <v>No</v>
      </c>
      <c r="O4126" s="1" t="str">
        <f>IF(AND(Employee__2[[#This Row],[Education]]="Bachelors",Employee__2[[#This Row],[City]]="Pune"),"Yes","No")</f>
        <v>No</v>
      </c>
      <c r="P4126" s="1" t="str">
        <f>IF(OR(Employee__2[[#This Row],[Age]]&gt;=30,Employee__2[[#This Row],[Gender]]="Male"),"Mached","Not mached")</f>
        <v>Mached</v>
      </c>
    </row>
    <row r="4127" spans="4:16" x14ac:dyDescent="0.25">
      <c r="D4127" s="6" t="s">
        <v>34</v>
      </c>
      <c r="E4127">
        <v>2013</v>
      </c>
      <c r="F4127" s="6" t="s">
        <v>35</v>
      </c>
      <c r="G4127">
        <v>1</v>
      </c>
      <c r="H4127">
        <v>27</v>
      </c>
      <c r="I4127" s="6" t="s">
        <v>39</v>
      </c>
      <c r="J4127" s="6" t="s">
        <v>37</v>
      </c>
      <c r="K4127">
        <v>5</v>
      </c>
      <c r="M4127" s="1" t="b">
        <f>Employee__2[[#This Row],[Experience]]&gt;1</f>
        <v>1</v>
      </c>
      <c r="N4127" s="1" t="str">
        <f>IF(Employee__2[[#This Row],[City]]="Pune","Yes","No")</f>
        <v>No</v>
      </c>
      <c r="O4127" s="1" t="str">
        <f>IF(AND(Employee__2[[#This Row],[Education]]="Bachelors",Employee__2[[#This Row],[City]]="Pune"),"Yes","No")</f>
        <v>No</v>
      </c>
      <c r="P4127" s="1" t="str">
        <f>IF(OR(Employee__2[[#This Row],[Age]]&gt;=30,Employee__2[[#This Row],[Gender]]="Male"),"Mached","Not mached")</f>
        <v>Not mached</v>
      </c>
    </row>
    <row r="4128" spans="4:16" x14ac:dyDescent="0.25">
      <c r="D4128" s="6" t="s">
        <v>34</v>
      </c>
      <c r="E4128">
        <v>2017</v>
      </c>
      <c r="F4128" s="6" t="s">
        <v>38</v>
      </c>
      <c r="G4128">
        <v>2</v>
      </c>
      <c r="H4128">
        <v>27</v>
      </c>
      <c r="I4128" s="6" t="s">
        <v>39</v>
      </c>
      <c r="J4128" s="6" t="s">
        <v>37</v>
      </c>
      <c r="K4128">
        <v>5</v>
      </c>
      <c r="M4128" s="1" t="b">
        <f>Employee__2[[#This Row],[Experience]]&gt;1</f>
        <v>1</v>
      </c>
      <c r="N4128" s="1" t="str">
        <f>IF(Employee__2[[#This Row],[City]]="Pune","Yes","No")</f>
        <v>Yes</v>
      </c>
      <c r="O4128" s="1" t="str">
        <f>IF(AND(Employee__2[[#This Row],[Education]]="Bachelors",Employee__2[[#This Row],[City]]="Pune"),"Yes","No")</f>
        <v>Yes</v>
      </c>
      <c r="P4128" s="1" t="str">
        <f>IF(OR(Employee__2[[#This Row],[Age]]&gt;=30,Employee__2[[#This Row],[Gender]]="Male"),"Mached","Not mached")</f>
        <v>Not mached</v>
      </c>
    </row>
    <row r="4129" spans="4:16" x14ac:dyDescent="0.25">
      <c r="D4129" s="6" t="s">
        <v>34</v>
      </c>
      <c r="E4129">
        <v>2015</v>
      </c>
      <c r="F4129" s="6" t="s">
        <v>35</v>
      </c>
      <c r="G4129">
        <v>3</v>
      </c>
      <c r="H4129">
        <v>35</v>
      </c>
      <c r="I4129" s="6" t="s">
        <v>39</v>
      </c>
      <c r="J4129" s="6" t="s">
        <v>37</v>
      </c>
      <c r="K4129">
        <v>1</v>
      </c>
      <c r="M4129" s="1" t="b">
        <f>Employee__2[[#This Row],[Experience]]&gt;1</f>
        <v>0</v>
      </c>
      <c r="N4129" s="1" t="str">
        <f>IF(Employee__2[[#This Row],[City]]="Pune","Yes","No")</f>
        <v>No</v>
      </c>
      <c r="O4129" s="1" t="str">
        <f>IF(AND(Employee__2[[#This Row],[Education]]="Bachelors",Employee__2[[#This Row],[City]]="Pune"),"Yes","No")</f>
        <v>No</v>
      </c>
      <c r="P4129" s="1" t="str">
        <f>IF(OR(Employee__2[[#This Row],[Age]]&gt;=30,Employee__2[[#This Row],[Gender]]="Male"),"Mached","Not mached")</f>
        <v>Mached</v>
      </c>
    </row>
    <row r="4130" spans="4:16" x14ac:dyDescent="0.25">
      <c r="D4130" s="6" t="s">
        <v>34</v>
      </c>
      <c r="E4130">
        <v>2014</v>
      </c>
      <c r="F4130" s="6" t="s">
        <v>40</v>
      </c>
      <c r="G4130">
        <v>3</v>
      </c>
      <c r="H4130">
        <v>33</v>
      </c>
      <c r="I4130" s="6" t="s">
        <v>39</v>
      </c>
      <c r="J4130" s="6" t="s">
        <v>42</v>
      </c>
      <c r="K4130">
        <v>4</v>
      </c>
      <c r="M4130" s="1" t="b">
        <f>Employee__2[[#This Row],[Experience]]&gt;1</f>
        <v>1</v>
      </c>
      <c r="N4130" s="1" t="str">
        <f>IF(Employee__2[[#This Row],[City]]="Pune","Yes","No")</f>
        <v>No</v>
      </c>
      <c r="O4130" s="1" t="str">
        <f>IF(AND(Employee__2[[#This Row],[Education]]="Bachelors",Employee__2[[#This Row],[City]]="Pune"),"Yes","No")</f>
        <v>No</v>
      </c>
      <c r="P4130" s="1" t="str">
        <f>IF(OR(Employee__2[[#This Row],[Age]]&gt;=30,Employee__2[[#This Row],[Gender]]="Male"),"Mached","Not mached")</f>
        <v>Mached</v>
      </c>
    </row>
    <row r="4131" spans="4:16" x14ac:dyDescent="0.25">
      <c r="D4131" s="6" t="s">
        <v>34</v>
      </c>
      <c r="E4131">
        <v>2012</v>
      </c>
      <c r="F4131" s="6" t="s">
        <v>35</v>
      </c>
      <c r="G4131">
        <v>3</v>
      </c>
      <c r="H4131">
        <v>37</v>
      </c>
      <c r="I4131" s="6" t="s">
        <v>36</v>
      </c>
      <c r="J4131" s="6" t="s">
        <v>37</v>
      </c>
      <c r="K4131">
        <v>4</v>
      </c>
      <c r="M4131" s="1" t="b">
        <f>Employee__2[[#This Row],[Experience]]&gt;1</f>
        <v>1</v>
      </c>
      <c r="N4131" s="1" t="str">
        <f>IF(Employee__2[[#This Row],[City]]="Pune","Yes","No")</f>
        <v>No</v>
      </c>
      <c r="O4131" s="1" t="str">
        <f>IF(AND(Employee__2[[#This Row],[Education]]="Bachelors",Employee__2[[#This Row],[City]]="Pune"),"Yes","No")</f>
        <v>No</v>
      </c>
      <c r="P4131" s="1" t="str">
        <f>IF(OR(Employee__2[[#This Row],[Age]]&gt;=30,Employee__2[[#This Row],[Gender]]="Male"),"Mached","Not mached")</f>
        <v>Mached</v>
      </c>
    </row>
    <row r="4132" spans="4:16" x14ac:dyDescent="0.25">
      <c r="D4132" s="6" t="s">
        <v>34</v>
      </c>
      <c r="E4132">
        <v>2014</v>
      </c>
      <c r="F4132" s="6" t="s">
        <v>40</v>
      </c>
      <c r="G4132">
        <v>3</v>
      </c>
      <c r="H4132">
        <v>40</v>
      </c>
      <c r="I4132" s="6" t="s">
        <v>39</v>
      </c>
      <c r="J4132" s="6" t="s">
        <v>37</v>
      </c>
      <c r="K4132">
        <v>3</v>
      </c>
      <c r="M4132" s="1" t="b">
        <f>Employee__2[[#This Row],[Experience]]&gt;1</f>
        <v>1</v>
      </c>
      <c r="N4132" s="1" t="str">
        <f>IF(Employee__2[[#This Row],[City]]="Pune","Yes","No")</f>
        <v>No</v>
      </c>
      <c r="O4132" s="1" t="str">
        <f>IF(AND(Employee__2[[#This Row],[Education]]="Bachelors",Employee__2[[#This Row],[City]]="Pune"),"Yes","No")</f>
        <v>No</v>
      </c>
      <c r="P4132" s="1" t="str">
        <f>IF(OR(Employee__2[[#This Row],[Age]]&gt;=30,Employee__2[[#This Row],[Gender]]="Male"),"Mached","Not mached")</f>
        <v>Mached</v>
      </c>
    </row>
    <row r="4133" spans="4:16" x14ac:dyDescent="0.25">
      <c r="D4133" s="6" t="s">
        <v>34</v>
      </c>
      <c r="E4133">
        <v>2015</v>
      </c>
      <c r="F4133" s="6" t="s">
        <v>38</v>
      </c>
      <c r="G4133">
        <v>2</v>
      </c>
      <c r="H4133">
        <v>25</v>
      </c>
      <c r="I4133" s="6" t="s">
        <v>39</v>
      </c>
      <c r="J4133" s="6" t="s">
        <v>37</v>
      </c>
      <c r="K4133">
        <v>3</v>
      </c>
      <c r="M4133" s="1" t="b">
        <f>Employee__2[[#This Row],[Experience]]&gt;1</f>
        <v>1</v>
      </c>
      <c r="N4133" s="1" t="str">
        <f>IF(Employee__2[[#This Row],[City]]="Pune","Yes","No")</f>
        <v>Yes</v>
      </c>
      <c r="O4133" s="1" t="str">
        <f>IF(AND(Employee__2[[#This Row],[Education]]="Bachelors",Employee__2[[#This Row],[City]]="Pune"),"Yes","No")</f>
        <v>Yes</v>
      </c>
      <c r="P4133" s="1" t="str">
        <f>IF(OR(Employee__2[[#This Row],[Age]]&gt;=30,Employee__2[[#This Row],[Gender]]="Male"),"Mached","Not mached")</f>
        <v>Not mached</v>
      </c>
    </row>
    <row r="4134" spans="4:16" x14ac:dyDescent="0.25">
      <c r="D4134" s="6" t="s">
        <v>34</v>
      </c>
      <c r="E4134">
        <v>2017</v>
      </c>
      <c r="F4134" s="6" t="s">
        <v>38</v>
      </c>
      <c r="G4134">
        <v>2</v>
      </c>
      <c r="H4134">
        <v>34</v>
      </c>
      <c r="I4134" s="6" t="s">
        <v>36</v>
      </c>
      <c r="J4134" s="6" t="s">
        <v>37</v>
      </c>
      <c r="K4134">
        <v>2</v>
      </c>
      <c r="M4134" s="1" t="b">
        <f>Employee__2[[#This Row],[Experience]]&gt;1</f>
        <v>1</v>
      </c>
      <c r="N4134" s="1" t="str">
        <f>IF(Employee__2[[#This Row],[City]]="Pune","Yes","No")</f>
        <v>Yes</v>
      </c>
      <c r="O4134" s="1" t="str">
        <f>IF(AND(Employee__2[[#This Row],[Education]]="Bachelors",Employee__2[[#This Row],[City]]="Pune"),"Yes","No")</f>
        <v>Yes</v>
      </c>
      <c r="P4134" s="1" t="str">
        <f>IF(OR(Employee__2[[#This Row],[Age]]&gt;=30,Employee__2[[#This Row],[Gender]]="Male"),"Mached","Not mached")</f>
        <v>Mached</v>
      </c>
    </row>
    <row r="4135" spans="4:16" x14ac:dyDescent="0.25">
      <c r="D4135" s="6" t="s">
        <v>34</v>
      </c>
      <c r="E4135">
        <v>2017</v>
      </c>
      <c r="F4135" s="6" t="s">
        <v>40</v>
      </c>
      <c r="G4135">
        <v>3</v>
      </c>
      <c r="H4135">
        <v>40</v>
      </c>
      <c r="I4135" s="6" t="s">
        <v>36</v>
      </c>
      <c r="J4135" s="6" t="s">
        <v>37</v>
      </c>
      <c r="K4135">
        <v>1</v>
      </c>
      <c r="M4135" s="1" t="b">
        <f>Employee__2[[#This Row],[Experience]]&gt;1</f>
        <v>0</v>
      </c>
      <c r="N4135" s="1" t="str">
        <f>IF(Employee__2[[#This Row],[City]]="Pune","Yes","No")</f>
        <v>No</v>
      </c>
      <c r="O4135" s="1" t="str">
        <f>IF(AND(Employee__2[[#This Row],[Education]]="Bachelors",Employee__2[[#This Row],[City]]="Pune"),"Yes","No")</f>
        <v>No</v>
      </c>
      <c r="P4135" s="1" t="str">
        <f>IF(OR(Employee__2[[#This Row],[Age]]&gt;=30,Employee__2[[#This Row],[Gender]]="Male"),"Mached","Not mached")</f>
        <v>Mached</v>
      </c>
    </row>
    <row r="4136" spans="4:16" x14ac:dyDescent="0.25">
      <c r="D4136" s="6" t="s">
        <v>41</v>
      </c>
      <c r="E4136">
        <v>2018</v>
      </c>
      <c r="F4136" s="6" t="s">
        <v>40</v>
      </c>
      <c r="G4136">
        <v>3</v>
      </c>
      <c r="H4136">
        <v>34</v>
      </c>
      <c r="I4136" s="6" t="s">
        <v>36</v>
      </c>
      <c r="J4136" s="6" t="s">
        <v>37</v>
      </c>
      <c r="K4136">
        <v>2</v>
      </c>
      <c r="M4136" s="1" t="b">
        <f>Employee__2[[#This Row],[Experience]]&gt;1</f>
        <v>1</v>
      </c>
      <c r="N4136" s="1" t="str">
        <f>IF(Employee__2[[#This Row],[City]]="Pune","Yes","No")</f>
        <v>No</v>
      </c>
      <c r="O4136" s="1" t="str">
        <f>IF(AND(Employee__2[[#This Row],[Education]]="Bachelors",Employee__2[[#This Row],[City]]="Pune"),"Yes","No")</f>
        <v>No</v>
      </c>
      <c r="P4136" s="1" t="str">
        <f>IF(OR(Employee__2[[#This Row],[Age]]&gt;=30,Employee__2[[#This Row],[Gender]]="Male"),"Mached","Not mached")</f>
        <v>Mached</v>
      </c>
    </row>
    <row r="4137" spans="4:16" x14ac:dyDescent="0.25">
      <c r="D4137" s="6" t="s">
        <v>34</v>
      </c>
      <c r="E4137">
        <v>2013</v>
      </c>
      <c r="F4137" s="6" t="s">
        <v>38</v>
      </c>
      <c r="G4137">
        <v>3</v>
      </c>
      <c r="H4137">
        <v>33</v>
      </c>
      <c r="I4137" s="6" t="s">
        <v>36</v>
      </c>
      <c r="J4137" s="6" t="s">
        <v>37</v>
      </c>
      <c r="K4137">
        <v>5</v>
      </c>
      <c r="M4137" s="1" t="b">
        <f>Employee__2[[#This Row],[Experience]]&gt;1</f>
        <v>1</v>
      </c>
      <c r="N4137" s="1" t="str">
        <f>IF(Employee__2[[#This Row],[City]]="Pune","Yes","No")</f>
        <v>Yes</v>
      </c>
      <c r="O4137" s="1" t="str">
        <f>IF(AND(Employee__2[[#This Row],[Education]]="Bachelors",Employee__2[[#This Row],[City]]="Pune"),"Yes","No")</f>
        <v>Yes</v>
      </c>
      <c r="P4137" s="1" t="str">
        <f>IF(OR(Employee__2[[#This Row],[Age]]&gt;=30,Employee__2[[#This Row],[Gender]]="Male"),"Mached","Not mached")</f>
        <v>Mached</v>
      </c>
    </row>
    <row r="4138" spans="4:16" x14ac:dyDescent="0.25">
      <c r="D4138" s="6" t="s">
        <v>34</v>
      </c>
      <c r="E4138">
        <v>2016</v>
      </c>
      <c r="F4138" s="6" t="s">
        <v>35</v>
      </c>
      <c r="G4138">
        <v>3</v>
      </c>
      <c r="H4138">
        <v>22</v>
      </c>
      <c r="I4138" s="6" t="s">
        <v>39</v>
      </c>
      <c r="J4138" s="6" t="s">
        <v>37</v>
      </c>
      <c r="K4138">
        <v>0</v>
      </c>
      <c r="M4138" s="1" t="b">
        <f>Employee__2[[#This Row],[Experience]]&gt;1</f>
        <v>0</v>
      </c>
      <c r="N4138" s="1" t="str">
        <f>IF(Employee__2[[#This Row],[City]]="Pune","Yes","No")</f>
        <v>No</v>
      </c>
      <c r="O4138" s="1" t="str">
        <f>IF(AND(Employee__2[[#This Row],[Education]]="Bachelors",Employee__2[[#This Row],[City]]="Pune"),"Yes","No")</f>
        <v>No</v>
      </c>
      <c r="P4138" s="1" t="str">
        <f>IF(OR(Employee__2[[#This Row],[Age]]&gt;=30,Employee__2[[#This Row],[Gender]]="Male"),"Mached","Not mached")</f>
        <v>Not mached</v>
      </c>
    </row>
    <row r="4139" spans="4:16" x14ac:dyDescent="0.25">
      <c r="D4139" s="6" t="s">
        <v>34</v>
      </c>
      <c r="E4139">
        <v>2015</v>
      </c>
      <c r="F4139" s="6" t="s">
        <v>38</v>
      </c>
      <c r="G4139">
        <v>2</v>
      </c>
      <c r="H4139">
        <v>36</v>
      </c>
      <c r="I4139" s="6" t="s">
        <v>39</v>
      </c>
      <c r="J4139" s="6" t="s">
        <v>37</v>
      </c>
      <c r="K4139">
        <v>1</v>
      </c>
      <c r="M4139" s="1" t="b">
        <f>Employee__2[[#This Row],[Experience]]&gt;1</f>
        <v>0</v>
      </c>
      <c r="N4139" s="1" t="str">
        <f>IF(Employee__2[[#This Row],[City]]="Pune","Yes","No")</f>
        <v>Yes</v>
      </c>
      <c r="O4139" s="1" t="str">
        <f>IF(AND(Employee__2[[#This Row],[Education]]="Bachelors",Employee__2[[#This Row],[City]]="Pune"),"Yes","No")</f>
        <v>Yes</v>
      </c>
      <c r="P4139" s="1" t="str">
        <f>IF(OR(Employee__2[[#This Row],[Age]]&gt;=30,Employee__2[[#This Row],[Gender]]="Male"),"Mached","Not mached")</f>
        <v>Mached</v>
      </c>
    </row>
    <row r="4140" spans="4:16" x14ac:dyDescent="0.25">
      <c r="D4140" s="6" t="s">
        <v>34</v>
      </c>
      <c r="E4140">
        <v>2012</v>
      </c>
      <c r="F4140" s="6" t="s">
        <v>35</v>
      </c>
      <c r="G4140">
        <v>3</v>
      </c>
      <c r="H4140">
        <v>38</v>
      </c>
      <c r="I4140" s="6" t="s">
        <v>36</v>
      </c>
      <c r="J4140" s="6" t="s">
        <v>37</v>
      </c>
      <c r="K4140">
        <v>2</v>
      </c>
      <c r="M4140" s="1" t="b">
        <f>Employee__2[[#This Row],[Experience]]&gt;1</f>
        <v>1</v>
      </c>
      <c r="N4140" s="1" t="str">
        <f>IF(Employee__2[[#This Row],[City]]="Pune","Yes","No")</f>
        <v>No</v>
      </c>
      <c r="O4140" s="1" t="str">
        <f>IF(AND(Employee__2[[#This Row],[Education]]="Bachelors",Employee__2[[#This Row],[City]]="Pune"),"Yes","No")</f>
        <v>No</v>
      </c>
      <c r="P4140" s="1" t="str">
        <f>IF(OR(Employee__2[[#This Row],[Age]]&gt;=30,Employee__2[[#This Row],[Gender]]="Male"),"Mached","Not mached")</f>
        <v>Mached</v>
      </c>
    </row>
    <row r="4141" spans="4:16" x14ac:dyDescent="0.25">
      <c r="D4141" s="6" t="s">
        <v>34</v>
      </c>
      <c r="E4141">
        <v>2013</v>
      </c>
      <c r="F4141" s="6" t="s">
        <v>38</v>
      </c>
      <c r="G4141">
        <v>3</v>
      </c>
      <c r="H4141">
        <v>25</v>
      </c>
      <c r="I4141" s="6" t="s">
        <v>39</v>
      </c>
      <c r="J4141" s="6" t="s">
        <v>37</v>
      </c>
      <c r="K4141">
        <v>3</v>
      </c>
      <c r="M4141" s="1" t="b">
        <f>Employee__2[[#This Row],[Experience]]&gt;1</f>
        <v>1</v>
      </c>
      <c r="N4141" s="1" t="str">
        <f>IF(Employee__2[[#This Row],[City]]="Pune","Yes","No")</f>
        <v>Yes</v>
      </c>
      <c r="O4141" s="1" t="str">
        <f>IF(AND(Employee__2[[#This Row],[Education]]="Bachelors",Employee__2[[#This Row],[City]]="Pune"),"Yes","No")</f>
        <v>Yes</v>
      </c>
      <c r="P4141" s="1" t="str">
        <f>IF(OR(Employee__2[[#This Row],[Age]]&gt;=30,Employee__2[[#This Row],[Gender]]="Male"),"Mached","Not mached")</f>
        <v>Not mached</v>
      </c>
    </row>
    <row r="4142" spans="4:16" x14ac:dyDescent="0.25">
      <c r="D4142" s="6" t="s">
        <v>34</v>
      </c>
      <c r="E4142">
        <v>2017</v>
      </c>
      <c r="F4142" s="6" t="s">
        <v>35</v>
      </c>
      <c r="G4142">
        <v>3</v>
      </c>
      <c r="H4142">
        <v>37</v>
      </c>
      <c r="I4142" s="6" t="s">
        <v>36</v>
      </c>
      <c r="J4142" s="6" t="s">
        <v>37</v>
      </c>
      <c r="K4142">
        <v>3</v>
      </c>
      <c r="M4142" s="1" t="b">
        <f>Employee__2[[#This Row],[Experience]]&gt;1</f>
        <v>1</v>
      </c>
      <c r="N4142" s="1" t="str">
        <f>IF(Employee__2[[#This Row],[City]]="Pune","Yes","No")</f>
        <v>No</v>
      </c>
      <c r="O4142" s="1" t="str">
        <f>IF(AND(Employee__2[[#This Row],[Education]]="Bachelors",Employee__2[[#This Row],[City]]="Pune"),"Yes","No")</f>
        <v>No</v>
      </c>
      <c r="P4142" s="1" t="str">
        <f>IF(OR(Employee__2[[#This Row],[Age]]&gt;=30,Employee__2[[#This Row],[Gender]]="Male"),"Mached","Not mached")</f>
        <v>Mached</v>
      </c>
    </row>
    <row r="4143" spans="4:16" x14ac:dyDescent="0.25">
      <c r="D4143" s="6" t="s">
        <v>34</v>
      </c>
      <c r="E4143">
        <v>2016</v>
      </c>
      <c r="F4143" s="6" t="s">
        <v>35</v>
      </c>
      <c r="G4143">
        <v>3</v>
      </c>
      <c r="H4143">
        <v>25</v>
      </c>
      <c r="I4143" s="6" t="s">
        <v>39</v>
      </c>
      <c r="J4143" s="6" t="s">
        <v>37</v>
      </c>
      <c r="K4143">
        <v>3</v>
      </c>
      <c r="M4143" s="1" t="b">
        <f>Employee__2[[#This Row],[Experience]]&gt;1</f>
        <v>1</v>
      </c>
      <c r="N4143" s="1" t="str">
        <f>IF(Employee__2[[#This Row],[City]]="Pune","Yes","No")</f>
        <v>No</v>
      </c>
      <c r="O4143" s="1" t="str">
        <f>IF(AND(Employee__2[[#This Row],[Education]]="Bachelors",Employee__2[[#This Row],[City]]="Pune"),"Yes","No")</f>
        <v>No</v>
      </c>
      <c r="P4143" s="1" t="str">
        <f>IF(OR(Employee__2[[#This Row],[Age]]&gt;=30,Employee__2[[#This Row],[Gender]]="Male"),"Mached","Not mached")</f>
        <v>Not mached</v>
      </c>
    </row>
    <row r="4144" spans="4:16" x14ac:dyDescent="0.25">
      <c r="D4144" s="6" t="s">
        <v>34</v>
      </c>
      <c r="E4144">
        <v>2015</v>
      </c>
      <c r="F4144" s="6" t="s">
        <v>38</v>
      </c>
      <c r="G4144">
        <v>2</v>
      </c>
      <c r="H4144">
        <v>40</v>
      </c>
      <c r="I4144" s="6" t="s">
        <v>39</v>
      </c>
      <c r="J4144" s="6" t="s">
        <v>42</v>
      </c>
      <c r="K4144">
        <v>0</v>
      </c>
      <c r="M4144" s="1" t="b">
        <f>Employee__2[[#This Row],[Experience]]&gt;1</f>
        <v>0</v>
      </c>
      <c r="N4144" s="1" t="str">
        <f>IF(Employee__2[[#This Row],[City]]="Pune","Yes","No")</f>
        <v>Yes</v>
      </c>
      <c r="O4144" s="1" t="str">
        <f>IF(AND(Employee__2[[#This Row],[Education]]="Bachelors",Employee__2[[#This Row],[City]]="Pune"),"Yes","No")</f>
        <v>Yes</v>
      </c>
      <c r="P4144" s="1" t="str">
        <f>IF(OR(Employee__2[[#This Row],[Age]]&gt;=30,Employee__2[[#This Row],[Gender]]="Male"),"Mached","Not mached")</f>
        <v>Mached</v>
      </c>
    </row>
    <row r="4145" spans="4:16" x14ac:dyDescent="0.25">
      <c r="D4145" s="6" t="s">
        <v>34</v>
      </c>
      <c r="E4145">
        <v>2013</v>
      </c>
      <c r="F4145" s="6" t="s">
        <v>35</v>
      </c>
      <c r="G4145">
        <v>3</v>
      </c>
      <c r="H4145">
        <v>26</v>
      </c>
      <c r="I4145" s="6" t="s">
        <v>39</v>
      </c>
      <c r="J4145" s="6" t="s">
        <v>37</v>
      </c>
      <c r="K4145">
        <v>4</v>
      </c>
      <c r="M4145" s="1" t="b">
        <f>Employee__2[[#This Row],[Experience]]&gt;1</f>
        <v>1</v>
      </c>
      <c r="N4145" s="1" t="str">
        <f>IF(Employee__2[[#This Row],[City]]="Pune","Yes","No")</f>
        <v>No</v>
      </c>
      <c r="O4145" s="1" t="str">
        <f>IF(AND(Employee__2[[#This Row],[Education]]="Bachelors",Employee__2[[#This Row],[City]]="Pune"),"Yes","No")</f>
        <v>No</v>
      </c>
      <c r="P4145" s="1" t="str">
        <f>IF(OR(Employee__2[[#This Row],[Age]]&gt;=30,Employee__2[[#This Row],[Gender]]="Male"),"Mached","Not mached")</f>
        <v>Not mached</v>
      </c>
    </row>
    <row r="4146" spans="4:16" x14ac:dyDescent="0.25">
      <c r="D4146" s="6" t="s">
        <v>41</v>
      </c>
      <c r="E4146">
        <v>2015</v>
      </c>
      <c r="F4146" s="6" t="s">
        <v>38</v>
      </c>
      <c r="G4146">
        <v>1</v>
      </c>
      <c r="H4146">
        <v>23</v>
      </c>
      <c r="I4146" s="6" t="s">
        <v>39</v>
      </c>
      <c r="J4146" s="6" t="s">
        <v>37</v>
      </c>
      <c r="K4146">
        <v>1</v>
      </c>
      <c r="M4146" s="1" t="b">
        <f>Employee__2[[#This Row],[Experience]]&gt;1</f>
        <v>0</v>
      </c>
      <c r="N4146" s="1" t="str">
        <f>IF(Employee__2[[#This Row],[City]]="Pune","Yes","No")</f>
        <v>Yes</v>
      </c>
      <c r="O4146" s="1" t="str">
        <f>IF(AND(Employee__2[[#This Row],[Education]]="Bachelors",Employee__2[[#This Row],[City]]="Pune"),"Yes","No")</f>
        <v>No</v>
      </c>
      <c r="P4146" s="1" t="str">
        <f>IF(OR(Employee__2[[#This Row],[Age]]&gt;=30,Employee__2[[#This Row],[Gender]]="Male"),"Mached","Not mached")</f>
        <v>Not mached</v>
      </c>
    </row>
    <row r="4147" spans="4:16" x14ac:dyDescent="0.25">
      <c r="D4147" s="6" t="s">
        <v>34</v>
      </c>
      <c r="E4147">
        <v>2014</v>
      </c>
      <c r="F4147" s="6" t="s">
        <v>35</v>
      </c>
      <c r="G4147">
        <v>3</v>
      </c>
      <c r="H4147">
        <v>22</v>
      </c>
      <c r="I4147" s="6" t="s">
        <v>36</v>
      </c>
      <c r="J4147" s="6" t="s">
        <v>37</v>
      </c>
      <c r="K4147">
        <v>0</v>
      </c>
      <c r="M4147" s="1" t="b">
        <f>Employee__2[[#This Row],[Experience]]&gt;1</f>
        <v>0</v>
      </c>
      <c r="N4147" s="1" t="str">
        <f>IF(Employee__2[[#This Row],[City]]="Pune","Yes","No")</f>
        <v>No</v>
      </c>
      <c r="O4147" s="1" t="str">
        <f>IF(AND(Employee__2[[#This Row],[Education]]="Bachelors",Employee__2[[#This Row],[City]]="Pune"),"Yes","No")</f>
        <v>No</v>
      </c>
      <c r="P4147" s="1" t="str">
        <f>IF(OR(Employee__2[[#This Row],[Age]]&gt;=30,Employee__2[[#This Row],[Gender]]="Male"),"Mached","Not mached")</f>
        <v>Mached</v>
      </c>
    </row>
    <row r="4148" spans="4:16" x14ac:dyDescent="0.25">
      <c r="D4148" s="6" t="s">
        <v>41</v>
      </c>
      <c r="E4148">
        <v>2017</v>
      </c>
      <c r="F4148" s="6" t="s">
        <v>40</v>
      </c>
      <c r="G4148">
        <v>2</v>
      </c>
      <c r="H4148">
        <v>34</v>
      </c>
      <c r="I4148" s="6" t="s">
        <v>36</v>
      </c>
      <c r="J4148" s="6" t="s">
        <v>42</v>
      </c>
      <c r="K4148">
        <v>2</v>
      </c>
      <c r="M4148" s="1" t="b">
        <f>Employee__2[[#This Row],[Experience]]&gt;1</f>
        <v>1</v>
      </c>
      <c r="N4148" s="1" t="str">
        <f>IF(Employee__2[[#This Row],[City]]="Pune","Yes","No")</f>
        <v>No</v>
      </c>
      <c r="O4148" s="1" t="str">
        <f>IF(AND(Employee__2[[#This Row],[Education]]="Bachelors",Employee__2[[#This Row],[City]]="Pune"),"Yes","No")</f>
        <v>No</v>
      </c>
      <c r="P4148" s="1" t="str">
        <f>IF(OR(Employee__2[[#This Row],[Age]]&gt;=30,Employee__2[[#This Row],[Gender]]="Male"),"Mached","Not mached")</f>
        <v>Mached</v>
      </c>
    </row>
    <row r="4149" spans="4:16" x14ac:dyDescent="0.25">
      <c r="D4149" s="6" t="s">
        <v>41</v>
      </c>
      <c r="E4149">
        <v>2017</v>
      </c>
      <c r="F4149" s="6" t="s">
        <v>40</v>
      </c>
      <c r="G4149">
        <v>3</v>
      </c>
      <c r="H4149">
        <v>35</v>
      </c>
      <c r="I4149" s="6" t="s">
        <v>39</v>
      </c>
      <c r="J4149" s="6" t="s">
        <v>37</v>
      </c>
      <c r="K4149">
        <v>2</v>
      </c>
      <c r="M4149" s="1" t="b">
        <f>Employee__2[[#This Row],[Experience]]&gt;1</f>
        <v>1</v>
      </c>
      <c r="N4149" s="1" t="str">
        <f>IF(Employee__2[[#This Row],[City]]="Pune","Yes","No")</f>
        <v>No</v>
      </c>
      <c r="O4149" s="1" t="str">
        <f>IF(AND(Employee__2[[#This Row],[Education]]="Bachelors",Employee__2[[#This Row],[City]]="Pune"),"Yes","No")</f>
        <v>No</v>
      </c>
      <c r="P4149" s="1" t="str">
        <f>IF(OR(Employee__2[[#This Row],[Age]]&gt;=30,Employee__2[[#This Row],[Gender]]="Male"),"Mached","Not mached")</f>
        <v>Mached</v>
      </c>
    </row>
    <row r="4150" spans="4:16" x14ac:dyDescent="0.25">
      <c r="D4150" s="6" t="s">
        <v>34</v>
      </c>
      <c r="E4150">
        <v>2014</v>
      </c>
      <c r="F4150" s="6" t="s">
        <v>38</v>
      </c>
      <c r="G4150">
        <v>3</v>
      </c>
      <c r="H4150">
        <v>23</v>
      </c>
      <c r="I4150" s="6" t="s">
        <v>36</v>
      </c>
      <c r="J4150" s="6" t="s">
        <v>37</v>
      </c>
      <c r="K4150">
        <v>1</v>
      </c>
      <c r="M4150" s="1" t="b">
        <f>Employee__2[[#This Row],[Experience]]&gt;1</f>
        <v>0</v>
      </c>
      <c r="N4150" s="1" t="str">
        <f>IF(Employee__2[[#This Row],[City]]="Pune","Yes","No")</f>
        <v>Yes</v>
      </c>
      <c r="O4150" s="1" t="str">
        <f>IF(AND(Employee__2[[#This Row],[Education]]="Bachelors",Employee__2[[#This Row],[City]]="Pune"),"Yes","No")</f>
        <v>Yes</v>
      </c>
      <c r="P4150" s="1" t="str">
        <f>IF(OR(Employee__2[[#This Row],[Age]]&gt;=30,Employee__2[[#This Row],[Gender]]="Male"),"Mached","Not mached")</f>
        <v>Mached</v>
      </c>
    </row>
    <row r="4151" spans="4:16" x14ac:dyDescent="0.25">
      <c r="D4151" s="6" t="s">
        <v>34</v>
      </c>
      <c r="E4151">
        <v>2015</v>
      </c>
      <c r="F4151" s="6" t="s">
        <v>35</v>
      </c>
      <c r="G4151">
        <v>3</v>
      </c>
      <c r="H4151">
        <v>29</v>
      </c>
      <c r="I4151" s="6" t="s">
        <v>36</v>
      </c>
      <c r="J4151" s="6" t="s">
        <v>37</v>
      </c>
      <c r="K4151">
        <v>2</v>
      </c>
      <c r="M4151" s="1" t="b">
        <f>Employee__2[[#This Row],[Experience]]&gt;1</f>
        <v>1</v>
      </c>
      <c r="N4151" s="1" t="str">
        <f>IF(Employee__2[[#This Row],[City]]="Pune","Yes","No")</f>
        <v>No</v>
      </c>
      <c r="O4151" s="1" t="str">
        <f>IF(AND(Employee__2[[#This Row],[Education]]="Bachelors",Employee__2[[#This Row],[City]]="Pune"),"Yes","No")</f>
        <v>No</v>
      </c>
      <c r="P4151" s="1" t="str">
        <f>IF(OR(Employee__2[[#This Row],[Age]]&gt;=30,Employee__2[[#This Row],[Gender]]="Male"),"Mached","Not mached")</f>
        <v>Mached</v>
      </c>
    </row>
    <row r="4152" spans="4:16" x14ac:dyDescent="0.25">
      <c r="D4152" s="6" t="s">
        <v>34</v>
      </c>
      <c r="E4152">
        <v>2015</v>
      </c>
      <c r="F4152" s="6" t="s">
        <v>38</v>
      </c>
      <c r="G4152">
        <v>3</v>
      </c>
      <c r="H4152">
        <v>32</v>
      </c>
      <c r="I4152" s="6" t="s">
        <v>39</v>
      </c>
      <c r="J4152" s="6" t="s">
        <v>37</v>
      </c>
      <c r="K4152">
        <v>1</v>
      </c>
      <c r="M4152" s="1" t="b">
        <f>Employee__2[[#This Row],[Experience]]&gt;1</f>
        <v>0</v>
      </c>
      <c r="N4152" s="1" t="str">
        <f>IF(Employee__2[[#This Row],[City]]="Pune","Yes","No")</f>
        <v>Yes</v>
      </c>
      <c r="O4152" s="1" t="str">
        <f>IF(AND(Employee__2[[#This Row],[Education]]="Bachelors",Employee__2[[#This Row],[City]]="Pune"),"Yes","No")</f>
        <v>Yes</v>
      </c>
      <c r="P4152" s="1" t="str">
        <f>IF(OR(Employee__2[[#This Row],[Age]]&gt;=30,Employee__2[[#This Row],[Gender]]="Male"),"Mached","Not mached")</f>
        <v>Mached</v>
      </c>
    </row>
    <row r="4153" spans="4:16" x14ac:dyDescent="0.25">
      <c r="D4153" s="6" t="s">
        <v>34</v>
      </c>
      <c r="E4153">
        <v>2015</v>
      </c>
      <c r="F4153" s="6" t="s">
        <v>35</v>
      </c>
      <c r="G4153">
        <v>3</v>
      </c>
      <c r="H4153">
        <v>26</v>
      </c>
      <c r="I4153" s="6" t="s">
        <v>36</v>
      </c>
      <c r="J4153" s="6" t="s">
        <v>37</v>
      </c>
      <c r="K4153">
        <v>4</v>
      </c>
      <c r="M4153" s="1" t="b">
        <f>Employee__2[[#This Row],[Experience]]&gt;1</f>
        <v>1</v>
      </c>
      <c r="N4153" s="1" t="str">
        <f>IF(Employee__2[[#This Row],[City]]="Pune","Yes","No")</f>
        <v>No</v>
      </c>
      <c r="O4153" s="1" t="str">
        <f>IF(AND(Employee__2[[#This Row],[Education]]="Bachelors",Employee__2[[#This Row],[City]]="Pune"),"Yes","No")</f>
        <v>No</v>
      </c>
      <c r="P4153" s="1" t="str">
        <f>IF(OR(Employee__2[[#This Row],[Age]]&gt;=30,Employee__2[[#This Row],[Gender]]="Male"),"Mached","Not mached")</f>
        <v>Mached</v>
      </c>
    </row>
    <row r="4154" spans="4:16" x14ac:dyDescent="0.25">
      <c r="D4154" s="6" t="s">
        <v>34</v>
      </c>
      <c r="E4154">
        <v>2014</v>
      </c>
      <c r="F4154" s="6" t="s">
        <v>35</v>
      </c>
      <c r="G4154">
        <v>3</v>
      </c>
      <c r="H4154">
        <v>28</v>
      </c>
      <c r="I4154" s="6" t="s">
        <v>36</v>
      </c>
      <c r="J4154" s="6" t="s">
        <v>37</v>
      </c>
      <c r="K4154">
        <v>3</v>
      </c>
      <c r="M4154" s="1" t="b">
        <f>Employee__2[[#This Row],[Experience]]&gt;1</f>
        <v>1</v>
      </c>
      <c r="N4154" s="1" t="str">
        <f>IF(Employee__2[[#This Row],[City]]="Pune","Yes","No")</f>
        <v>No</v>
      </c>
      <c r="O4154" s="1" t="str">
        <f>IF(AND(Employee__2[[#This Row],[Education]]="Bachelors",Employee__2[[#This Row],[City]]="Pune"),"Yes","No")</f>
        <v>No</v>
      </c>
      <c r="P4154" s="1" t="str">
        <f>IF(OR(Employee__2[[#This Row],[Age]]&gt;=30,Employee__2[[#This Row],[Gender]]="Male"),"Mached","Not mached")</f>
        <v>Mached</v>
      </c>
    </row>
    <row r="4155" spans="4:16" x14ac:dyDescent="0.25">
      <c r="D4155" s="6" t="s">
        <v>41</v>
      </c>
      <c r="E4155">
        <v>2015</v>
      </c>
      <c r="F4155" s="6" t="s">
        <v>38</v>
      </c>
      <c r="G4155">
        <v>2</v>
      </c>
      <c r="H4155">
        <v>24</v>
      </c>
      <c r="I4155" s="6" t="s">
        <v>39</v>
      </c>
      <c r="J4155" s="6" t="s">
        <v>37</v>
      </c>
      <c r="K4155">
        <v>2</v>
      </c>
      <c r="M4155" s="1" t="b">
        <f>Employee__2[[#This Row],[Experience]]&gt;1</f>
        <v>1</v>
      </c>
      <c r="N4155" s="1" t="str">
        <f>IF(Employee__2[[#This Row],[City]]="Pune","Yes","No")</f>
        <v>Yes</v>
      </c>
      <c r="O4155" s="1" t="str">
        <f>IF(AND(Employee__2[[#This Row],[Education]]="Bachelors",Employee__2[[#This Row],[City]]="Pune"),"Yes","No")</f>
        <v>No</v>
      </c>
      <c r="P4155" s="1" t="str">
        <f>IF(OR(Employee__2[[#This Row],[Age]]&gt;=30,Employee__2[[#This Row],[Gender]]="Male"),"Mached","Not mached")</f>
        <v>Not mached</v>
      </c>
    </row>
    <row r="4156" spans="4:16" x14ac:dyDescent="0.25">
      <c r="D4156" s="6" t="s">
        <v>34</v>
      </c>
      <c r="E4156">
        <v>2017</v>
      </c>
      <c r="F4156" s="6" t="s">
        <v>35</v>
      </c>
      <c r="G4156">
        <v>3</v>
      </c>
      <c r="H4156">
        <v>33</v>
      </c>
      <c r="I4156" s="6" t="s">
        <v>36</v>
      </c>
      <c r="J4156" s="6" t="s">
        <v>37</v>
      </c>
      <c r="K4156">
        <v>4</v>
      </c>
      <c r="M4156" s="1" t="b">
        <f>Employee__2[[#This Row],[Experience]]&gt;1</f>
        <v>1</v>
      </c>
      <c r="N4156" s="1" t="str">
        <f>IF(Employee__2[[#This Row],[City]]="Pune","Yes","No")</f>
        <v>No</v>
      </c>
      <c r="O4156" s="1" t="str">
        <f>IF(AND(Employee__2[[#This Row],[Education]]="Bachelors",Employee__2[[#This Row],[City]]="Pune"),"Yes","No")</f>
        <v>No</v>
      </c>
      <c r="P4156" s="1" t="str">
        <f>IF(OR(Employee__2[[#This Row],[Age]]&gt;=30,Employee__2[[#This Row],[Gender]]="Male"),"Mached","Not mached")</f>
        <v>Mached</v>
      </c>
    </row>
    <row r="4157" spans="4:16" x14ac:dyDescent="0.25">
      <c r="D4157" s="6" t="s">
        <v>43</v>
      </c>
      <c r="E4157">
        <v>2016</v>
      </c>
      <c r="F4157" s="6" t="s">
        <v>40</v>
      </c>
      <c r="G4157">
        <v>3</v>
      </c>
      <c r="H4157">
        <v>22</v>
      </c>
      <c r="I4157" s="6" t="s">
        <v>36</v>
      </c>
      <c r="J4157" s="6" t="s">
        <v>37</v>
      </c>
      <c r="K4157">
        <v>0</v>
      </c>
      <c r="M4157" s="1" t="b">
        <f>Employee__2[[#This Row],[Experience]]&gt;1</f>
        <v>0</v>
      </c>
      <c r="N4157" s="1" t="str">
        <f>IF(Employee__2[[#This Row],[City]]="Pune","Yes","No")</f>
        <v>No</v>
      </c>
      <c r="O4157" s="1" t="str">
        <f>IF(AND(Employee__2[[#This Row],[Education]]="Bachelors",Employee__2[[#This Row],[City]]="Pune"),"Yes","No")</f>
        <v>No</v>
      </c>
      <c r="P4157" s="1" t="str">
        <f>IF(OR(Employee__2[[#This Row],[Age]]&gt;=30,Employee__2[[#This Row],[Gender]]="Male"),"Mached","Not mached")</f>
        <v>Mached</v>
      </c>
    </row>
    <row r="4158" spans="4:16" x14ac:dyDescent="0.25">
      <c r="D4158" s="6" t="s">
        <v>41</v>
      </c>
      <c r="E4158">
        <v>2015</v>
      </c>
      <c r="F4158" s="6" t="s">
        <v>38</v>
      </c>
      <c r="G4158">
        <v>2</v>
      </c>
      <c r="H4158">
        <v>39</v>
      </c>
      <c r="I4158" s="6" t="s">
        <v>39</v>
      </c>
      <c r="J4158" s="6" t="s">
        <v>37</v>
      </c>
      <c r="K4158">
        <v>2</v>
      </c>
      <c r="M4158" s="1" t="b">
        <f>Employee__2[[#This Row],[Experience]]&gt;1</f>
        <v>1</v>
      </c>
      <c r="N4158" s="1" t="str">
        <f>IF(Employee__2[[#This Row],[City]]="Pune","Yes","No")</f>
        <v>Yes</v>
      </c>
      <c r="O4158" s="1" t="str">
        <f>IF(AND(Employee__2[[#This Row],[Education]]="Bachelors",Employee__2[[#This Row],[City]]="Pune"),"Yes","No")</f>
        <v>No</v>
      </c>
      <c r="P4158" s="1" t="str">
        <f>IF(OR(Employee__2[[#This Row],[Age]]&gt;=30,Employee__2[[#This Row],[Gender]]="Male"),"Mached","Not mached")</f>
        <v>Mached</v>
      </c>
    </row>
    <row r="4159" spans="4:16" x14ac:dyDescent="0.25">
      <c r="D4159" s="6" t="s">
        <v>41</v>
      </c>
      <c r="E4159">
        <v>2018</v>
      </c>
      <c r="F4159" s="6" t="s">
        <v>40</v>
      </c>
      <c r="G4159">
        <v>3</v>
      </c>
      <c r="H4159">
        <v>30</v>
      </c>
      <c r="I4159" s="6" t="s">
        <v>39</v>
      </c>
      <c r="J4159" s="6" t="s">
        <v>42</v>
      </c>
      <c r="K4159">
        <v>2</v>
      </c>
      <c r="M4159" s="1" t="b">
        <f>Employee__2[[#This Row],[Experience]]&gt;1</f>
        <v>1</v>
      </c>
      <c r="N4159" s="1" t="str">
        <f>IF(Employee__2[[#This Row],[City]]="Pune","Yes","No")</f>
        <v>No</v>
      </c>
      <c r="O4159" s="1" t="str">
        <f>IF(AND(Employee__2[[#This Row],[Education]]="Bachelors",Employee__2[[#This Row],[City]]="Pune"),"Yes","No")</f>
        <v>No</v>
      </c>
      <c r="P4159" s="1" t="str">
        <f>IF(OR(Employee__2[[#This Row],[Age]]&gt;=30,Employee__2[[#This Row],[Gender]]="Male"),"Mached","Not mached")</f>
        <v>Mached</v>
      </c>
    </row>
    <row r="4160" spans="4:16" x14ac:dyDescent="0.25">
      <c r="D4160" s="6" t="s">
        <v>34</v>
      </c>
      <c r="E4160">
        <v>2014</v>
      </c>
      <c r="F4160" s="6" t="s">
        <v>35</v>
      </c>
      <c r="G4160">
        <v>3</v>
      </c>
      <c r="H4160">
        <v>38</v>
      </c>
      <c r="I4160" s="6" t="s">
        <v>39</v>
      </c>
      <c r="J4160" s="6" t="s">
        <v>37</v>
      </c>
      <c r="K4160">
        <v>5</v>
      </c>
      <c r="M4160" s="1" t="b">
        <f>Employee__2[[#This Row],[Experience]]&gt;1</f>
        <v>1</v>
      </c>
      <c r="N4160" s="1" t="str">
        <f>IF(Employee__2[[#This Row],[City]]="Pune","Yes","No")</f>
        <v>No</v>
      </c>
      <c r="O4160" s="1" t="str">
        <f>IF(AND(Employee__2[[#This Row],[Education]]="Bachelors",Employee__2[[#This Row],[City]]="Pune"),"Yes","No")</f>
        <v>No</v>
      </c>
      <c r="P4160" s="1" t="str">
        <f>IF(OR(Employee__2[[#This Row],[Age]]&gt;=30,Employee__2[[#This Row],[Gender]]="Male"),"Mached","Not mached")</f>
        <v>Mached</v>
      </c>
    </row>
    <row r="4161" spans="4:16" x14ac:dyDescent="0.25">
      <c r="D4161" s="6" t="s">
        <v>34</v>
      </c>
      <c r="E4161">
        <v>2012</v>
      </c>
      <c r="F4161" s="6" t="s">
        <v>40</v>
      </c>
      <c r="G4161">
        <v>3</v>
      </c>
      <c r="H4161">
        <v>36</v>
      </c>
      <c r="I4161" s="6" t="s">
        <v>39</v>
      </c>
      <c r="J4161" s="6" t="s">
        <v>37</v>
      </c>
      <c r="K4161">
        <v>4</v>
      </c>
      <c r="M4161" s="1" t="b">
        <f>Employee__2[[#This Row],[Experience]]&gt;1</f>
        <v>1</v>
      </c>
      <c r="N4161" s="1" t="str">
        <f>IF(Employee__2[[#This Row],[City]]="Pune","Yes","No")</f>
        <v>No</v>
      </c>
      <c r="O4161" s="1" t="str">
        <f>IF(AND(Employee__2[[#This Row],[Education]]="Bachelors",Employee__2[[#This Row],[City]]="Pune"),"Yes","No")</f>
        <v>No</v>
      </c>
      <c r="P4161" s="1" t="str">
        <f>IF(OR(Employee__2[[#This Row],[Age]]&gt;=30,Employee__2[[#This Row],[Gender]]="Male"),"Mached","Not mached")</f>
        <v>Mached</v>
      </c>
    </row>
    <row r="4162" spans="4:16" x14ac:dyDescent="0.25">
      <c r="D4162" s="6" t="s">
        <v>34</v>
      </c>
      <c r="E4162">
        <v>2012</v>
      </c>
      <c r="F4162" s="6" t="s">
        <v>38</v>
      </c>
      <c r="G4162">
        <v>2</v>
      </c>
      <c r="H4162">
        <v>38</v>
      </c>
      <c r="I4162" s="6" t="s">
        <v>36</v>
      </c>
      <c r="J4162" s="6" t="s">
        <v>37</v>
      </c>
      <c r="K4162">
        <v>5</v>
      </c>
      <c r="M4162" s="1" t="b">
        <f>Employee__2[[#This Row],[Experience]]&gt;1</f>
        <v>1</v>
      </c>
      <c r="N4162" s="1" t="str">
        <f>IF(Employee__2[[#This Row],[City]]="Pune","Yes","No")</f>
        <v>Yes</v>
      </c>
      <c r="O4162" s="1" t="str">
        <f>IF(AND(Employee__2[[#This Row],[Education]]="Bachelors",Employee__2[[#This Row],[City]]="Pune"),"Yes","No")</f>
        <v>Yes</v>
      </c>
      <c r="P4162" s="1" t="str">
        <f>IF(OR(Employee__2[[#This Row],[Age]]&gt;=30,Employee__2[[#This Row],[Gender]]="Male"),"Mached","Not mached")</f>
        <v>Mached</v>
      </c>
    </row>
    <row r="4163" spans="4:16" x14ac:dyDescent="0.25">
      <c r="D4163" s="6" t="s">
        <v>34</v>
      </c>
      <c r="E4163">
        <v>2013</v>
      </c>
      <c r="F4163" s="6" t="s">
        <v>35</v>
      </c>
      <c r="G4163">
        <v>3</v>
      </c>
      <c r="H4163">
        <v>24</v>
      </c>
      <c r="I4163" s="6" t="s">
        <v>36</v>
      </c>
      <c r="J4163" s="6" t="s">
        <v>42</v>
      </c>
      <c r="K4163">
        <v>2</v>
      </c>
      <c r="M4163" s="1" t="b">
        <f>Employee__2[[#This Row],[Experience]]&gt;1</f>
        <v>1</v>
      </c>
      <c r="N4163" s="1" t="str">
        <f>IF(Employee__2[[#This Row],[City]]="Pune","Yes","No")</f>
        <v>No</v>
      </c>
      <c r="O4163" s="1" t="str">
        <f>IF(AND(Employee__2[[#This Row],[Education]]="Bachelors",Employee__2[[#This Row],[City]]="Pune"),"Yes","No")</f>
        <v>No</v>
      </c>
      <c r="P4163" s="1" t="str">
        <f>IF(OR(Employee__2[[#This Row],[Age]]&gt;=30,Employee__2[[#This Row],[Gender]]="Male"),"Mached","Not mached")</f>
        <v>Mached</v>
      </c>
    </row>
    <row r="4164" spans="4:16" x14ac:dyDescent="0.25">
      <c r="D4164" s="6" t="s">
        <v>34</v>
      </c>
      <c r="E4164">
        <v>2016</v>
      </c>
      <c r="F4164" s="6" t="s">
        <v>35</v>
      </c>
      <c r="G4164">
        <v>3</v>
      </c>
      <c r="H4164">
        <v>28</v>
      </c>
      <c r="I4164" s="6" t="s">
        <v>36</v>
      </c>
      <c r="J4164" s="6" t="s">
        <v>37</v>
      </c>
      <c r="K4164">
        <v>1</v>
      </c>
      <c r="M4164" s="1" t="b">
        <f>Employee__2[[#This Row],[Experience]]&gt;1</f>
        <v>0</v>
      </c>
      <c r="N4164" s="1" t="str">
        <f>IF(Employee__2[[#This Row],[City]]="Pune","Yes","No")</f>
        <v>No</v>
      </c>
      <c r="O4164" s="1" t="str">
        <f>IF(AND(Employee__2[[#This Row],[Education]]="Bachelors",Employee__2[[#This Row],[City]]="Pune"),"Yes","No")</f>
        <v>No</v>
      </c>
      <c r="P4164" s="1" t="str">
        <f>IF(OR(Employee__2[[#This Row],[Age]]&gt;=30,Employee__2[[#This Row],[Gender]]="Male"),"Mached","Not mached")</f>
        <v>Mached</v>
      </c>
    </row>
    <row r="4165" spans="4:16" x14ac:dyDescent="0.25">
      <c r="D4165" s="6" t="s">
        <v>34</v>
      </c>
      <c r="E4165">
        <v>2015</v>
      </c>
      <c r="F4165" s="6" t="s">
        <v>35</v>
      </c>
      <c r="G4165">
        <v>3</v>
      </c>
      <c r="H4165">
        <v>35</v>
      </c>
      <c r="I4165" s="6" t="s">
        <v>39</v>
      </c>
      <c r="J4165" s="6" t="s">
        <v>37</v>
      </c>
      <c r="K4165">
        <v>0</v>
      </c>
      <c r="M4165" s="1" t="b">
        <f>Employee__2[[#This Row],[Experience]]&gt;1</f>
        <v>0</v>
      </c>
      <c r="N4165" s="1" t="str">
        <f>IF(Employee__2[[#This Row],[City]]="Pune","Yes","No")</f>
        <v>No</v>
      </c>
      <c r="O4165" s="1" t="str">
        <f>IF(AND(Employee__2[[#This Row],[Education]]="Bachelors",Employee__2[[#This Row],[City]]="Pune"),"Yes","No")</f>
        <v>No</v>
      </c>
      <c r="P4165" s="1" t="str">
        <f>IF(OR(Employee__2[[#This Row],[Age]]&gt;=30,Employee__2[[#This Row],[Gender]]="Male"),"Mached","Not mached")</f>
        <v>Mached</v>
      </c>
    </row>
    <row r="4166" spans="4:16" x14ac:dyDescent="0.25">
      <c r="D4166" s="6" t="s">
        <v>34</v>
      </c>
      <c r="E4166">
        <v>2013</v>
      </c>
      <c r="F4166" s="6" t="s">
        <v>40</v>
      </c>
      <c r="G4166">
        <v>3</v>
      </c>
      <c r="H4166">
        <v>23</v>
      </c>
      <c r="I4166" s="6" t="s">
        <v>39</v>
      </c>
      <c r="J4166" s="6" t="s">
        <v>37</v>
      </c>
      <c r="K4166">
        <v>1</v>
      </c>
      <c r="M4166" s="1" t="b">
        <f>Employee__2[[#This Row],[Experience]]&gt;1</f>
        <v>0</v>
      </c>
      <c r="N4166" s="1" t="str">
        <f>IF(Employee__2[[#This Row],[City]]="Pune","Yes","No")</f>
        <v>No</v>
      </c>
      <c r="O4166" s="1" t="str">
        <f>IF(AND(Employee__2[[#This Row],[Education]]="Bachelors",Employee__2[[#This Row],[City]]="Pune"),"Yes","No")</f>
        <v>No</v>
      </c>
      <c r="P4166" s="1" t="str">
        <f>IF(OR(Employee__2[[#This Row],[Age]]&gt;=30,Employee__2[[#This Row],[Gender]]="Male"),"Mached","Not mached")</f>
        <v>Not mached</v>
      </c>
    </row>
    <row r="4167" spans="4:16" x14ac:dyDescent="0.25">
      <c r="D4167" s="6" t="s">
        <v>41</v>
      </c>
      <c r="E4167">
        <v>2017</v>
      </c>
      <c r="F4167" s="6" t="s">
        <v>40</v>
      </c>
      <c r="G4167">
        <v>2</v>
      </c>
      <c r="H4167">
        <v>23</v>
      </c>
      <c r="I4167" s="6" t="s">
        <v>39</v>
      </c>
      <c r="J4167" s="6" t="s">
        <v>37</v>
      </c>
      <c r="K4167">
        <v>1</v>
      </c>
      <c r="M4167" s="1" t="b">
        <f>Employee__2[[#This Row],[Experience]]&gt;1</f>
        <v>0</v>
      </c>
      <c r="N4167" s="1" t="str">
        <f>IF(Employee__2[[#This Row],[City]]="Pune","Yes","No")</f>
        <v>No</v>
      </c>
      <c r="O4167" s="1" t="str">
        <f>IF(AND(Employee__2[[#This Row],[Education]]="Bachelors",Employee__2[[#This Row],[City]]="Pune"),"Yes","No")</f>
        <v>No</v>
      </c>
      <c r="P4167" s="1" t="str">
        <f>IF(OR(Employee__2[[#This Row],[Age]]&gt;=30,Employee__2[[#This Row],[Gender]]="Male"),"Mached","Not mached")</f>
        <v>Not mached</v>
      </c>
    </row>
    <row r="4168" spans="4:16" x14ac:dyDescent="0.25">
      <c r="D4168" s="6" t="s">
        <v>34</v>
      </c>
      <c r="E4168">
        <v>2013</v>
      </c>
      <c r="F4168" s="6" t="s">
        <v>35</v>
      </c>
      <c r="G4168">
        <v>3</v>
      </c>
      <c r="H4168">
        <v>37</v>
      </c>
      <c r="I4168" s="6" t="s">
        <v>36</v>
      </c>
      <c r="J4168" s="6" t="s">
        <v>37</v>
      </c>
      <c r="K4168">
        <v>5</v>
      </c>
      <c r="M4168" s="1" t="b">
        <f>Employee__2[[#This Row],[Experience]]&gt;1</f>
        <v>1</v>
      </c>
      <c r="N4168" s="1" t="str">
        <f>IF(Employee__2[[#This Row],[City]]="Pune","Yes","No")</f>
        <v>No</v>
      </c>
      <c r="O4168" s="1" t="str">
        <f>IF(AND(Employee__2[[#This Row],[Education]]="Bachelors",Employee__2[[#This Row],[City]]="Pune"),"Yes","No")</f>
        <v>No</v>
      </c>
      <c r="P4168" s="1" t="str">
        <f>IF(OR(Employee__2[[#This Row],[Age]]&gt;=30,Employee__2[[#This Row],[Gender]]="Male"),"Mached","Not mached")</f>
        <v>Mached</v>
      </c>
    </row>
    <row r="4169" spans="4:16" x14ac:dyDescent="0.25">
      <c r="D4169" s="6" t="s">
        <v>41</v>
      </c>
      <c r="E4169">
        <v>2016</v>
      </c>
      <c r="F4169" s="6" t="s">
        <v>40</v>
      </c>
      <c r="G4169">
        <v>3</v>
      </c>
      <c r="H4169">
        <v>24</v>
      </c>
      <c r="I4169" s="6" t="s">
        <v>36</v>
      </c>
      <c r="J4169" s="6" t="s">
        <v>37</v>
      </c>
      <c r="K4169">
        <v>2</v>
      </c>
      <c r="M4169" s="1" t="b">
        <f>Employee__2[[#This Row],[Experience]]&gt;1</f>
        <v>1</v>
      </c>
      <c r="N4169" s="1" t="str">
        <f>IF(Employee__2[[#This Row],[City]]="Pune","Yes","No")</f>
        <v>No</v>
      </c>
      <c r="O4169" s="1" t="str">
        <f>IF(AND(Employee__2[[#This Row],[Education]]="Bachelors",Employee__2[[#This Row],[City]]="Pune"),"Yes","No")</f>
        <v>No</v>
      </c>
      <c r="P4169" s="1" t="str">
        <f>IF(OR(Employee__2[[#This Row],[Age]]&gt;=30,Employee__2[[#This Row],[Gender]]="Male"),"Mached","Not mached")</f>
        <v>Mached</v>
      </c>
    </row>
    <row r="4170" spans="4:16" x14ac:dyDescent="0.25">
      <c r="D4170" s="6" t="s">
        <v>34</v>
      </c>
      <c r="E4170">
        <v>2014</v>
      </c>
      <c r="F4170" s="6" t="s">
        <v>38</v>
      </c>
      <c r="G4170">
        <v>3</v>
      </c>
      <c r="H4170">
        <v>33</v>
      </c>
      <c r="I4170" s="6" t="s">
        <v>36</v>
      </c>
      <c r="J4170" s="6" t="s">
        <v>42</v>
      </c>
      <c r="K4170">
        <v>4</v>
      </c>
      <c r="M4170" s="1" t="b">
        <f>Employee__2[[#This Row],[Experience]]&gt;1</f>
        <v>1</v>
      </c>
      <c r="N4170" s="1" t="str">
        <f>IF(Employee__2[[#This Row],[City]]="Pune","Yes","No")</f>
        <v>Yes</v>
      </c>
      <c r="O4170" s="1" t="str">
        <f>IF(AND(Employee__2[[#This Row],[Education]]="Bachelors",Employee__2[[#This Row],[City]]="Pune"),"Yes","No")</f>
        <v>Yes</v>
      </c>
      <c r="P4170" s="1" t="str">
        <f>IF(OR(Employee__2[[#This Row],[Age]]&gt;=30,Employee__2[[#This Row],[Gender]]="Male"),"Mached","Not mached")</f>
        <v>Mached</v>
      </c>
    </row>
    <row r="4171" spans="4:16" x14ac:dyDescent="0.25">
      <c r="D4171" s="6" t="s">
        <v>34</v>
      </c>
      <c r="E4171">
        <v>2015</v>
      </c>
      <c r="F4171" s="6" t="s">
        <v>35</v>
      </c>
      <c r="G4171">
        <v>3</v>
      </c>
      <c r="H4171">
        <v>38</v>
      </c>
      <c r="I4171" s="6" t="s">
        <v>39</v>
      </c>
      <c r="J4171" s="6" t="s">
        <v>37</v>
      </c>
      <c r="K4171">
        <v>5</v>
      </c>
      <c r="M4171" s="1" t="b">
        <f>Employee__2[[#This Row],[Experience]]&gt;1</f>
        <v>1</v>
      </c>
      <c r="N4171" s="1" t="str">
        <f>IF(Employee__2[[#This Row],[City]]="Pune","Yes","No")</f>
        <v>No</v>
      </c>
      <c r="O4171" s="1" t="str">
        <f>IF(AND(Employee__2[[#This Row],[Education]]="Bachelors",Employee__2[[#This Row],[City]]="Pune"),"Yes","No")</f>
        <v>No</v>
      </c>
      <c r="P4171" s="1" t="str">
        <f>IF(OR(Employee__2[[#This Row],[Age]]&gt;=30,Employee__2[[#This Row],[Gender]]="Male"),"Mached","Not mached")</f>
        <v>Mached</v>
      </c>
    </row>
    <row r="4172" spans="4:16" x14ac:dyDescent="0.25">
      <c r="D4172" s="6" t="s">
        <v>34</v>
      </c>
      <c r="E4172">
        <v>2015</v>
      </c>
      <c r="F4172" s="6" t="s">
        <v>38</v>
      </c>
      <c r="G4172">
        <v>3</v>
      </c>
      <c r="H4172">
        <v>40</v>
      </c>
      <c r="I4172" s="6" t="s">
        <v>36</v>
      </c>
      <c r="J4172" s="6" t="s">
        <v>42</v>
      </c>
      <c r="K4172">
        <v>0</v>
      </c>
      <c r="M4172" s="1" t="b">
        <f>Employee__2[[#This Row],[Experience]]&gt;1</f>
        <v>0</v>
      </c>
      <c r="N4172" s="1" t="str">
        <f>IF(Employee__2[[#This Row],[City]]="Pune","Yes","No")</f>
        <v>Yes</v>
      </c>
      <c r="O4172" s="1" t="str">
        <f>IF(AND(Employee__2[[#This Row],[Education]]="Bachelors",Employee__2[[#This Row],[City]]="Pune"),"Yes","No")</f>
        <v>Yes</v>
      </c>
      <c r="P4172" s="1" t="str">
        <f>IF(OR(Employee__2[[#This Row],[Age]]&gt;=30,Employee__2[[#This Row],[Gender]]="Male"),"Mached","Not mached")</f>
        <v>Mached</v>
      </c>
    </row>
    <row r="4173" spans="4:16" x14ac:dyDescent="0.25">
      <c r="D4173" s="6" t="s">
        <v>34</v>
      </c>
      <c r="E4173">
        <v>2014</v>
      </c>
      <c r="F4173" s="6" t="s">
        <v>35</v>
      </c>
      <c r="G4173">
        <v>3</v>
      </c>
      <c r="H4173">
        <v>34</v>
      </c>
      <c r="I4173" s="6" t="s">
        <v>36</v>
      </c>
      <c r="J4173" s="6" t="s">
        <v>37</v>
      </c>
      <c r="K4173">
        <v>4</v>
      </c>
      <c r="M4173" s="1" t="b">
        <f>Employee__2[[#This Row],[Experience]]&gt;1</f>
        <v>1</v>
      </c>
      <c r="N4173" s="1" t="str">
        <f>IF(Employee__2[[#This Row],[City]]="Pune","Yes","No")</f>
        <v>No</v>
      </c>
      <c r="O4173" s="1" t="str">
        <f>IF(AND(Employee__2[[#This Row],[Education]]="Bachelors",Employee__2[[#This Row],[City]]="Pune"),"Yes","No")</f>
        <v>No</v>
      </c>
      <c r="P4173" s="1" t="str">
        <f>IF(OR(Employee__2[[#This Row],[Age]]&gt;=30,Employee__2[[#This Row],[Gender]]="Male"),"Mached","Not mached")</f>
        <v>Mached</v>
      </c>
    </row>
    <row r="4174" spans="4:16" x14ac:dyDescent="0.25">
      <c r="D4174" s="6" t="s">
        <v>41</v>
      </c>
      <c r="E4174">
        <v>2017</v>
      </c>
      <c r="F4174" s="6" t="s">
        <v>40</v>
      </c>
      <c r="G4174">
        <v>2</v>
      </c>
      <c r="H4174">
        <v>26</v>
      </c>
      <c r="I4174" s="6" t="s">
        <v>36</v>
      </c>
      <c r="J4174" s="6" t="s">
        <v>37</v>
      </c>
      <c r="K4174">
        <v>4</v>
      </c>
      <c r="M4174" s="1" t="b">
        <f>Employee__2[[#This Row],[Experience]]&gt;1</f>
        <v>1</v>
      </c>
      <c r="N4174" s="1" t="str">
        <f>IF(Employee__2[[#This Row],[City]]="Pune","Yes","No")</f>
        <v>No</v>
      </c>
      <c r="O4174" s="1" t="str">
        <f>IF(AND(Employee__2[[#This Row],[Education]]="Bachelors",Employee__2[[#This Row],[City]]="Pune"),"Yes","No")</f>
        <v>No</v>
      </c>
      <c r="P4174" s="1" t="str">
        <f>IF(OR(Employee__2[[#This Row],[Age]]&gt;=30,Employee__2[[#This Row],[Gender]]="Male"),"Mached","Not mached")</f>
        <v>Mached</v>
      </c>
    </row>
    <row r="4175" spans="4:16" x14ac:dyDescent="0.25">
      <c r="D4175" s="6" t="s">
        <v>34</v>
      </c>
      <c r="E4175">
        <v>2016</v>
      </c>
      <c r="F4175" s="6" t="s">
        <v>38</v>
      </c>
      <c r="G4175">
        <v>3</v>
      </c>
      <c r="H4175">
        <v>25</v>
      </c>
      <c r="I4175" s="6" t="s">
        <v>36</v>
      </c>
      <c r="J4175" s="6" t="s">
        <v>37</v>
      </c>
      <c r="K4175">
        <v>3</v>
      </c>
      <c r="M4175" s="1" t="b">
        <f>Employee__2[[#This Row],[Experience]]&gt;1</f>
        <v>1</v>
      </c>
      <c r="N4175" s="1" t="str">
        <f>IF(Employee__2[[#This Row],[City]]="Pune","Yes","No")</f>
        <v>Yes</v>
      </c>
      <c r="O4175" s="1" t="str">
        <f>IF(AND(Employee__2[[#This Row],[Education]]="Bachelors",Employee__2[[#This Row],[City]]="Pune"),"Yes","No")</f>
        <v>Yes</v>
      </c>
      <c r="P4175" s="1" t="str">
        <f>IF(OR(Employee__2[[#This Row],[Age]]&gt;=30,Employee__2[[#This Row],[Gender]]="Male"),"Mached","Not mached")</f>
        <v>Mached</v>
      </c>
    </row>
    <row r="4176" spans="4:16" x14ac:dyDescent="0.25">
      <c r="D4176" s="6" t="s">
        <v>34</v>
      </c>
      <c r="E4176">
        <v>2016</v>
      </c>
      <c r="F4176" s="6" t="s">
        <v>38</v>
      </c>
      <c r="G4176">
        <v>3</v>
      </c>
      <c r="H4176">
        <v>24</v>
      </c>
      <c r="I4176" s="6" t="s">
        <v>39</v>
      </c>
      <c r="J4176" s="6" t="s">
        <v>37</v>
      </c>
      <c r="K4176">
        <v>2</v>
      </c>
      <c r="M4176" s="1" t="b">
        <f>Employee__2[[#This Row],[Experience]]&gt;1</f>
        <v>1</v>
      </c>
      <c r="N4176" s="1" t="str">
        <f>IF(Employee__2[[#This Row],[City]]="Pune","Yes","No")</f>
        <v>Yes</v>
      </c>
      <c r="O4176" s="1" t="str">
        <f>IF(AND(Employee__2[[#This Row],[Education]]="Bachelors",Employee__2[[#This Row],[City]]="Pune"),"Yes","No")</f>
        <v>Yes</v>
      </c>
      <c r="P4176" s="1" t="str">
        <f>IF(OR(Employee__2[[#This Row],[Age]]&gt;=30,Employee__2[[#This Row],[Gender]]="Male"),"Mached","Not mached")</f>
        <v>Not mached</v>
      </c>
    </row>
    <row r="4177" spans="4:16" x14ac:dyDescent="0.25">
      <c r="D4177" s="6" t="s">
        <v>34</v>
      </c>
      <c r="E4177">
        <v>2018</v>
      </c>
      <c r="F4177" s="6" t="s">
        <v>35</v>
      </c>
      <c r="G4177">
        <v>3</v>
      </c>
      <c r="H4177">
        <v>35</v>
      </c>
      <c r="I4177" s="6" t="s">
        <v>36</v>
      </c>
      <c r="J4177" s="6" t="s">
        <v>42</v>
      </c>
      <c r="K4177">
        <v>5</v>
      </c>
      <c r="M4177" s="1" t="b">
        <f>Employee__2[[#This Row],[Experience]]&gt;1</f>
        <v>1</v>
      </c>
      <c r="N4177" s="1" t="str">
        <f>IF(Employee__2[[#This Row],[City]]="Pune","Yes","No")</f>
        <v>No</v>
      </c>
      <c r="O4177" s="1" t="str">
        <f>IF(AND(Employee__2[[#This Row],[Education]]="Bachelors",Employee__2[[#This Row],[City]]="Pune"),"Yes","No")</f>
        <v>No</v>
      </c>
      <c r="P4177" s="1" t="str">
        <f>IF(OR(Employee__2[[#This Row],[Age]]&gt;=30,Employee__2[[#This Row],[Gender]]="Male"),"Mached","Not mached")</f>
        <v>Mached</v>
      </c>
    </row>
    <row r="4178" spans="4:16" x14ac:dyDescent="0.25">
      <c r="D4178" s="6" t="s">
        <v>43</v>
      </c>
      <c r="E4178">
        <v>2013</v>
      </c>
      <c r="F4178" s="6" t="s">
        <v>40</v>
      </c>
      <c r="G4178">
        <v>3</v>
      </c>
      <c r="H4178">
        <v>27</v>
      </c>
      <c r="I4178" s="6" t="s">
        <v>36</v>
      </c>
      <c r="J4178" s="6" t="s">
        <v>37</v>
      </c>
      <c r="K4178">
        <v>5</v>
      </c>
      <c r="M4178" s="1" t="b">
        <f>Employee__2[[#This Row],[Experience]]&gt;1</f>
        <v>1</v>
      </c>
      <c r="N4178" s="1" t="str">
        <f>IF(Employee__2[[#This Row],[City]]="Pune","Yes","No")</f>
        <v>No</v>
      </c>
      <c r="O4178" s="1" t="str">
        <f>IF(AND(Employee__2[[#This Row],[Education]]="Bachelors",Employee__2[[#This Row],[City]]="Pune"),"Yes","No")</f>
        <v>No</v>
      </c>
      <c r="P4178" s="1" t="str">
        <f>IF(OR(Employee__2[[#This Row],[Age]]&gt;=30,Employee__2[[#This Row],[Gender]]="Male"),"Mached","Not mached")</f>
        <v>Mached</v>
      </c>
    </row>
    <row r="4179" spans="4:16" x14ac:dyDescent="0.25">
      <c r="D4179" s="6" t="s">
        <v>41</v>
      </c>
      <c r="E4179">
        <v>2013</v>
      </c>
      <c r="F4179" s="6" t="s">
        <v>40</v>
      </c>
      <c r="G4179">
        <v>3</v>
      </c>
      <c r="H4179">
        <v>30</v>
      </c>
      <c r="I4179" s="6" t="s">
        <v>39</v>
      </c>
      <c r="J4179" s="6" t="s">
        <v>37</v>
      </c>
      <c r="K4179">
        <v>3</v>
      </c>
      <c r="M4179" s="1" t="b">
        <f>Employee__2[[#This Row],[Experience]]&gt;1</f>
        <v>1</v>
      </c>
      <c r="N4179" s="1" t="str">
        <f>IF(Employee__2[[#This Row],[City]]="Pune","Yes","No")</f>
        <v>No</v>
      </c>
      <c r="O4179" s="1" t="str">
        <f>IF(AND(Employee__2[[#This Row],[Education]]="Bachelors",Employee__2[[#This Row],[City]]="Pune"),"Yes","No")</f>
        <v>No</v>
      </c>
      <c r="P4179" s="1" t="str">
        <f>IF(OR(Employee__2[[#This Row],[Age]]&gt;=30,Employee__2[[#This Row],[Gender]]="Male"),"Mached","Not mached")</f>
        <v>Mached</v>
      </c>
    </row>
    <row r="4180" spans="4:16" x14ac:dyDescent="0.25">
      <c r="D4180" s="6" t="s">
        <v>34</v>
      </c>
      <c r="E4180">
        <v>2015</v>
      </c>
      <c r="F4180" s="6" t="s">
        <v>35</v>
      </c>
      <c r="G4180">
        <v>3</v>
      </c>
      <c r="H4180">
        <v>26</v>
      </c>
      <c r="I4180" s="6" t="s">
        <v>39</v>
      </c>
      <c r="J4180" s="6" t="s">
        <v>37</v>
      </c>
      <c r="K4180">
        <v>4</v>
      </c>
      <c r="M4180" s="1" t="b">
        <f>Employee__2[[#This Row],[Experience]]&gt;1</f>
        <v>1</v>
      </c>
      <c r="N4180" s="1" t="str">
        <f>IF(Employee__2[[#This Row],[City]]="Pune","Yes","No")</f>
        <v>No</v>
      </c>
      <c r="O4180" s="1" t="str">
        <f>IF(AND(Employee__2[[#This Row],[Education]]="Bachelors",Employee__2[[#This Row],[City]]="Pune"),"Yes","No")</f>
        <v>No</v>
      </c>
      <c r="P4180" s="1" t="str">
        <f>IF(OR(Employee__2[[#This Row],[Age]]&gt;=30,Employee__2[[#This Row],[Gender]]="Male"),"Mached","Not mached")</f>
        <v>Not mached</v>
      </c>
    </row>
    <row r="4181" spans="4:16" x14ac:dyDescent="0.25">
      <c r="D4181" s="6" t="s">
        <v>34</v>
      </c>
      <c r="E4181">
        <v>2017</v>
      </c>
      <c r="F4181" s="6" t="s">
        <v>35</v>
      </c>
      <c r="G4181">
        <v>3</v>
      </c>
      <c r="H4181">
        <v>40</v>
      </c>
      <c r="I4181" s="6" t="s">
        <v>36</v>
      </c>
      <c r="J4181" s="6" t="s">
        <v>37</v>
      </c>
      <c r="K4181">
        <v>0</v>
      </c>
      <c r="M4181" s="1" t="b">
        <f>Employee__2[[#This Row],[Experience]]&gt;1</f>
        <v>0</v>
      </c>
      <c r="N4181" s="1" t="str">
        <f>IF(Employee__2[[#This Row],[City]]="Pune","Yes","No")</f>
        <v>No</v>
      </c>
      <c r="O4181" s="1" t="str">
        <f>IF(AND(Employee__2[[#This Row],[Education]]="Bachelors",Employee__2[[#This Row],[City]]="Pune"),"Yes","No")</f>
        <v>No</v>
      </c>
      <c r="P4181" s="1" t="str">
        <f>IF(OR(Employee__2[[#This Row],[Age]]&gt;=30,Employee__2[[#This Row],[Gender]]="Male"),"Mached","Not mached")</f>
        <v>Mached</v>
      </c>
    </row>
    <row r="4182" spans="4:16" x14ac:dyDescent="0.25">
      <c r="D4182" s="6" t="s">
        <v>41</v>
      </c>
      <c r="E4182">
        <v>2017</v>
      </c>
      <c r="F4182" s="6" t="s">
        <v>38</v>
      </c>
      <c r="G4182">
        <v>2</v>
      </c>
      <c r="H4182">
        <v>27</v>
      </c>
      <c r="I4182" s="6" t="s">
        <v>39</v>
      </c>
      <c r="J4182" s="6" t="s">
        <v>37</v>
      </c>
      <c r="K4182">
        <v>5</v>
      </c>
      <c r="M4182" s="1" t="b">
        <f>Employee__2[[#This Row],[Experience]]&gt;1</f>
        <v>1</v>
      </c>
      <c r="N4182" s="1" t="str">
        <f>IF(Employee__2[[#This Row],[City]]="Pune","Yes","No")</f>
        <v>Yes</v>
      </c>
      <c r="O4182" s="1" t="str">
        <f>IF(AND(Employee__2[[#This Row],[Education]]="Bachelors",Employee__2[[#This Row],[City]]="Pune"),"Yes","No")</f>
        <v>No</v>
      </c>
      <c r="P4182" s="1" t="str">
        <f>IF(OR(Employee__2[[#This Row],[Age]]&gt;=30,Employee__2[[#This Row],[Gender]]="Male"),"Mached","Not mached")</f>
        <v>Not mached</v>
      </c>
    </row>
    <row r="4183" spans="4:16" x14ac:dyDescent="0.25">
      <c r="D4183" s="6" t="s">
        <v>34</v>
      </c>
      <c r="E4183">
        <v>2016</v>
      </c>
      <c r="F4183" s="6" t="s">
        <v>38</v>
      </c>
      <c r="G4183">
        <v>3</v>
      </c>
      <c r="H4183">
        <v>38</v>
      </c>
      <c r="I4183" s="6" t="s">
        <v>36</v>
      </c>
      <c r="J4183" s="6" t="s">
        <v>42</v>
      </c>
      <c r="K4183">
        <v>0</v>
      </c>
      <c r="M4183" s="1" t="b">
        <f>Employee__2[[#This Row],[Experience]]&gt;1</f>
        <v>0</v>
      </c>
      <c r="N4183" s="1" t="str">
        <f>IF(Employee__2[[#This Row],[City]]="Pune","Yes","No")</f>
        <v>Yes</v>
      </c>
      <c r="O4183" s="1" t="str">
        <f>IF(AND(Employee__2[[#This Row],[Education]]="Bachelors",Employee__2[[#This Row],[City]]="Pune"),"Yes","No")</f>
        <v>Yes</v>
      </c>
      <c r="P4183" s="1" t="str">
        <f>IF(OR(Employee__2[[#This Row],[Age]]&gt;=30,Employee__2[[#This Row],[Gender]]="Male"),"Mached","Not mached")</f>
        <v>Mached</v>
      </c>
    </row>
    <row r="4184" spans="4:16" x14ac:dyDescent="0.25">
      <c r="D4184" s="6" t="s">
        <v>34</v>
      </c>
      <c r="E4184">
        <v>2014</v>
      </c>
      <c r="F4184" s="6" t="s">
        <v>40</v>
      </c>
      <c r="G4184">
        <v>3</v>
      </c>
      <c r="H4184">
        <v>34</v>
      </c>
      <c r="I4184" s="6" t="s">
        <v>39</v>
      </c>
      <c r="J4184" s="6" t="s">
        <v>37</v>
      </c>
      <c r="K4184">
        <v>5</v>
      </c>
      <c r="M4184" s="1" t="b">
        <f>Employee__2[[#This Row],[Experience]]&gt;1</f>
        <v>1</v>
      </c>
      <c r="N4184" s="1" t="str">
        <f>IF(Employee__2[[#This Row],[City]]="Pune","Yes","No")</f>
        <v>No</v>
      </c>
      <c r="O4184" s="1" t="str">
        <f>IF(AND(Employee__2[[#This Row],[Education]]="Bachelors",Employee__2[[#This Row],[City]]="Pune"),"Yes","No")</f>
        <v>No</v>
      </c>
      <c r="P4184" s="1" t="str">
        <f>IF(OR(Employee__2[[#This Row],[Age]]&gt;=30,Employee__2[[#This Row],[Gender]]="Male"),"Mached","Not mached")</f>
        <v>Mached</v>
      </c>
    </row>
    <row r="4185" spans="4:16" x14ac:dyDescent="0.25">
      <c r="D4185" s="6" t="s">
        <v>41</v>
      </c>
      <c r="E4185">
        <v>2017</v>
      </c>
      <c r="F4185" s="6" t="s">
        <v>38</v>
      </c>
      <c r="G4185">
        <v>2</v>
      </c>
      <c r="H4185">
        <v>24</v>
      </c>
      <c r="I4185" s="6" t="s">
        <v>36</v>
      </c>
      <c r="J4185" s="6" t="s">
        <v>37</v>
      </c>
      <c r="K4185">
        <v>2</v>
      </c>
      <c r="M4185" s="1" t="b">
        <f>Employee__2[[#This Row],[Experience]]&gt;1</f>
        <v>1</v>
      </c>
      <c r="N4185" s="1" t="str">
        <f>IF(Employee__2[[#This Row],[City]]="Pune","Yes","No")</f>
        <v>Yes</v>
      </c>
      <c r="O4185" s="1" t="str">
        <f>IF(AND(Employee__2[[#This Row],[Education]]="Bachelors",Employee__2[[#This Row],[City]]="Pune"),"Yes","No")</f>
        <v>No</v>
      </c>
      <c r="P4185" s="1" t="str">
        <f>IF(OR(Employee__2[[#This Row],[Age]]&gt;=30,Employee__2[[#This Row],[Gender]]="Male"),"Mached","Not mached")</f>
        <v>Mached</v>
      </c>
    </row>
    <row r="4186" spans="4:16" x14ac:dyDescent="0.25">
      <c r="D4186" s="6" t="s">
        <v>34</v>
      </c>
      <c r="E4186">
        <v>2016</v>
      </c>
      <c r="F4186" s="6" t="s">
        <v>35</v>
      </c>
      <c r="G4186">
        <v>3</v>
      </c>
      <c r="H4186">
        <v>38</v>
      </c>
      <c r="I4186" s="6" t="s">
        <v>36</v>
      </c>
      <c r="J4186" s="6" t="s">
        <v>37</v>
      </c>
      <c r="K4186">
        <v>4</v>
      </c>
      <c r="M4186" s="1" t="b">
        <f>Employee__2[[#This Row],[Experience]]&gt;1</f>
        <v>1</v>
      </c>
      <c r="N4186" s="1" t="str">
        <f>IF(Employee__2[[#This Row],[City]]="Pune","Yes","No")</f>
        <v>No</v>
      </c>
      <c r="O4186" s="1" t="str">
        <f>IF(AND(Employee__2[[#This Row],[Education]]="Bachelors",Employee__2[[#This Row],[City]]="Pune"),"Yes","No")</f>
        <v>No</v>
      </c>
      <c r="P4186" s="1" t="str">
        <f>IF(OR(Employee__2[[#This Row],[Age]]&gt;=30,Employee__2[[#This Row],[Gender]]="Male"),"Mached","Not mached")</f>
        <v>Mached</v>
      </c>
    </row>
    <row r="4187" spans="4:16" x14ac:dyDescent="0.25">
      <c r="D4187" s="6" t="s">
        <v>34</v>
      </c>
      <c r="E4187">
        <v>2014</v>
      </c>
      <c r="F4187" s="6" t="s">
        <v>38</v>
      </c>
      <c r="G4187">
        <v>1</v>
      </c>
      <c r="H4187">
        <v>37</v>
      </c>
      <c r="I4187" s="6" t="s">
        <v>36</v>
      </c>
      <c r="J4187" s="6" t="s">
        <v>37</v>
      </c>
      <c r="K4187">
        <v>1</v>
      </c>
      <c r="M4187" s="1" t="b">
        <f>Employee__2[[#This Row],[Experience]]&gt;1</f>
        <v>0</v>
      </c>
      <c r="N4187" s="1" t="str">
        <f>IF(Employee__2[[#This Row],[City]]="Pune","Yes","No")</f>
        <v>Yes</v>
      </c>
      <c r="O4187" s="1" t="str">
        <f>IF(AND(Employee__2[[#This Row],[Education]]="Bachelors",Employee__2[[#This Row],[City]]="Pune"),"Yes","No")</f>
        <v>Yes</v>
      </c>
      <c r="P4187" s="1" t="str">
        <f>IF(OR(Employee__2[[#This Row],[Age]]&gt;=30,Employee__2[[#This Row],[Gender]]="Male"),"Mached","Not mached")</f>
        <v>Mached</v>
      </c>
    </row>
    <row r="4188" spans="4:16" x14ac:dyDescent="0.25">
      <c r="D4188" s="6" t="s">
        <v>34</v>
      </c>
      <c r="E4188">
        <v>2015</v>
      </c>
      <c r="F4188" s="6" t="s">
        <v>35</v>
      </c>
      <c r="G4188">
        <v>3</v>
      </c>
      <c r="H4188">
        <v>22</v>
      </c>
      <c r="I4188" s="6" t="s">
        <v>36</v>
      </c>
      <c r="J4188" s="6" t="s">
        <v>37</v>
      </c>
      <c r="K4188">
        <v>0</v>
      </c>
      <c r="M4188" s="1" t="b">
        <f>Employee__2[[#This Row],[Experience]]&gt;1</f>
        <v>0</v>
      </c>
      <c r="N4188" s="1" t="str">
        <f>IF(Employee__2[[#This Row],[City]]="Pune","Yes","No")</f>
        <v>No</v>
      </c>
      <c r="O4188" s="1" t="str">
        <f>IF(AND(Employee__2[[#This Row],[Education]]="Bachelors",Employee__2[[#This Row],[City]]="Pune"),"Yes","No")</f>
        <v>No</v>
      </c>
      <c r="P4188" s="1" t="str">
        <f>IF(OR(Employee__2[[#This Row],[Age]]&gt;=30,Employee__2[[#This Row],[Gender]]="Male"),"Mached","Not mached")</f>
        <v>Mached</v>
      </c>
    </row>
    <row r="4189" spans="4:16" x14ac:dyDescent="0.25">
      <c r="D4189" s="6" t="s">
        <v>34</v>
      </c>
      <c r="E4189">
        <v>2014</v>
      </c>
      <c r="F4189" s="6" t="s">
        <v>40</v>
      </c>
      <c r="G4189">
        <v>3</v>
      </c>
      <c r="H4189">
        <v>29</v>
      </c>
      <c r="I4189" s="6" t="s">
        <v>39</v>
      </c>
      <c r="J4189" s="6" t="s">
        <v>37</v>
      </c>
      <c r="K4189">
        <v>2</v>
      </c>
      <c r="M4189" s="1" t="b">
        <f>Employee__2[[#This Row],[Experience]]&gt;1</f>
        <v>1</v>
      </c>
      <c r="N4189" s="1" t="str">
        <f>IF(Employee__2[[#This Row],[City]]="Pune","Yes","No")</f>
        <v>No</v>
      </c>
      <c r="O4189" s="1" t="str">
        <f>IF(AND(Employee__2[[#This Row],[Education]]="Bachelors",Employee__2[[#This Row],[City]]="Pune"),"Yes","No")</f>
        <v>No</v>
      </c>
      <c r="P4189" s="1" t="str">
        <f>IF(OR(Employee__2[[#This Row],[Age]]&gt;=30,Employee__2[[#This Row],[Gender]]="Male"),"Mached","Not mached")</f>
        <v>Not mached</v>
      </c>
    </row>
    <row r="4190" spans="4:16" x14ac:dyDescent="0.25">
      <c r="D4190" s="6" t="s">
        <v>34</v>
      </c>
      <c r="E4190">
        <v>2014</v>
      </c>
      <c r="F4190" s="6" t="s">
        <v>38</v>
      </c>
      <c r="G4190">
        <v>1</v>
      </c>
      <c r="H4190">
        <v>37</v>
      </c>
      <c r="I4190" s="6" t="s">
        <v>39</v>
      </c>
      <c r="J4190" s="6" t="s">
        <v>37</v>
      </c>
      <c r="K4190">
        <v>4</v>
      </c>
      <c r="M4190" s="1" t="b">
        <f>Employee__2[[#This Row],[Experience]]&gt;1</f>
        <v>1</v>
      </c>
      <c r="N4190" s="1" t="str">
        <f>IF(Employee__2[[#This Row],[City]]="Pune","Yes","No")</f>
        <v>Yes</v>
      </c>
      <c r="O4190" s="1" t="str">
        <f>IF(AND(Employee__2[[#This Row],[Education]]="Bachelors",Employee__2[[#This Row],[City]]="Pune"),"Yes","No")</f>
        <v>Yes</v>
      </c>
      <c r="P4190" s="1" t="str">
        <f>IF(OR(Employee__2[[#This Row],[Age]]&gt;=30,Employee__2[[#This Row],[Gender]]="Male"),"Mached","Not mached")</f>
        <v>Mached</v>
      </c>
    </row>
    <row r="4191" spans="4:16" x14ac:dyDescent="0.25">
      <c r="D4191" s="6" t="s">
        <v>34</v>
      </c>
      <c r="E4191">
        <v>2016</v>
      </c>
      <c r="F4191" s="6" t="s">
        <v>38</v>
      </c>
      <c r="G4191">
        <v>3</v>
      </c>
      <c r="H4191">
        <v>23</v>
      </c>
      <c r="I4191" s="6" t="s">
        <v>36</v>
      </c>
      <c r="J4191" s="6" t="s">
        <v>37</v>
      </c>
      <c r="K4191">
        <v>1</v>
      </c>
      <c r="M4191" s="1" t="b">
        <f>Employee__2[[#This Row],[Experience]]&gt;1</f>
        <v>0</v>
      </c>
      <c r="N4191" s="1" t="str">
        <f>IF(Employee__2[[#This Row],[City]]="Pune","Yes","No")</f>
        <v>Yes</v>
      </c>
      <c r="O4191" s="1" t="str">
        <f>IF(AND(Employee__2[[#This Row],[Education]]="Bachelors",Employee__2[[#This Row],[City]]="Pune"),"Yes","No")</f>
        <v>Yes</v>
      </c>
      <c r="P4191" s="1" t="str">
        <f>IF(OR(Employee__2[[#This Row],[Age]]&gt;=30,Employee__2[[#This Row],[Gender]]="Male"),"Mached","Not mached")</f>
        <v>Mached</v>
      </c>
    </row>
    <row r="4192" spans="4:16" x14ac:dyDescent="0.25">
      <c r="D4192" s="6" t="s">
        <v>34</v>
      </c>
      <c r="E4192">
        <v>2012</v>
      </c>
      <c r="F4192" s="6" t="s">
        <v>40</v>
      </c>
      <c r="G4192">
        <v>3</v>
      </c>
      <c r="H4192">
        <v>34</v>
      </c>
      <c r="I4192" s="6" t="s">
        <v>39</v>
      </c>
      <c r="J4192" s="6" t="s">
        <v>37</v>
      </c>
      <c r="K4192">
        <v>2</v>
      </c>
      <c r="M4192" s="1" t="b">
        <f>Employee__2[[#This Row],[Experience]]&gt;1</f>
        <v>1</v>
      </c>
      <c r="N4192" s="1" t="str">
        <f>IF(Employee__2[[#This Row],[City]]="Pune","Yes","No")</f>
        <v>No</v>
      </c>
      <c r="O4192" s="1" t="str">
        <f>IF(AND(Employee__2[[#This Row],[Education]]="Bachelors",Employee__2[[#This Row],[City]]="Pune"),"Yes","No")</f>
        <v>No</v>
      </c>
      <c r="P4192" s="1" t="str">
        <f>IF(OR(Employee__2[[#This Row],[Age]]&gt;=30,Employee__2[[#This Row],[Gender]]="Male"),"Mached","Not mached")</f>
        <v>Mached</v>
      </c>
    </row>
    <row r="4193" spans="4:16" x14ac:dyDescent="0.25">
      <c r="D4193" s="6" t="s">
        <v>34</v>
      </c>
      <c r="E4193">
        <v>2017</v>
      </c>
      <c r="F4193" s="6" t="s">
        <v>35</v>
      </c>
      <c r="G4193">
        <v>3</v>
      </c>
      <c r="H4193">
        <v>28</v>
      </c>
      <c r="I4193" s="6" t="s">
        <v>36</v>
      </c>
      <c r="J4193" s="6" t="s">
        <v>37</v>
      </c>
      <c r="K4193">
        <v>2</v>
      </c>
      <c r="M4193" s="1" t="b">
        <f>Employee__2[[#This Row],[Experience]]&gt;1</f>
        <v>1</v>
      </c>
      <c r="N4193" s="1" t="str">
        <f>IF(Employee__2[[#This Row],[City]]="Pune","Yes","No")</f>
        <v>No</v>
      </c>
      <c r="O4193" s="1" t="str">
        <f>IF(AND(Employee__2[[#This Row],[Education]]="Bachelors",Employee__2[[#This Row],[City]]="Pune"),"Yes","No")</f>
        <v>No</v>
      </c>
      <c r="P4193" s="1" t="str">
        <f>IF(OR(Employee__2[[#This Row],[Age]]&gt;=30,Employee__2[[#This Row],[Gender]]="Male"),"Mached","Not mached")</f>
        <v>Mached</v>
      </c>
    </row>
    <row r="4194" spans="4:16" x14ac:dyDescent="0.25">
      <c r="D4194" s="6" t="s">
        <v>34</v>
      </c>
      <c r="E4194">
        <v>2012</v>
      </c>
      <c r="F4194" s="6" t="s">
        <v>38</v>
      </c>
      <c r="G4194">
        <v>3</v>
      </c>
      <c r="H4194">
        <v>24</v>
      </c>
      <c r="I4194" s="6" t="s">
        <v>36</v>
      </c>
      <c r="J4194" s="6" t="s">
        <v>42</v>
      </c>
      <c r="K4194">
        <v>2</v>
      </c>
      <c r="M4194" s="1" t="b">
        <f>Employee__2[[#This Row],[Experience]]&gt;1</f>
        <v>1</v>
      </c>
      <c r="N4194" s="1" t="str">
        <f>IF(Employee__2[[#This Row],[City]]="Pune","Yes","No")</f>
        <v>Yes</v>
      </c>
      <c r="O4194" s="1" t="str">
        <f>IF(AND(Employee__2[[#This Row],[Education]]="Bachelors",Employee__2[[#This Row],[City]]="Pune"),"Yes","No")</f>
        <v>Yes</v>
      </c>
      <c r="P4194" s="1" t="str">
        <f>IF(OR(Employee__2[[#This Row],[Age]]&gt;=30,Employee__2[[#This Row],[Gender]]="Male"),"Mached","Not mached")</f>
        <v>Mached</v>
      </c>
    </row>
    <row r="4195" spans="4:16" x14ac:dyDescent="0.25">
      <c r="D4195" s="6" t="s">
        <v>41</v>
      </c>
      <c r="E4195">
        <v>2017</v>
      </c>
      <c r="F4195" s="6" t="s">
        <v>35</v>
      </c>
      <c r="G4195">
        <v>2</v>
      </c>
      <c r="H4195">
        <v>35</v>
      </c>
      <c r="I4195" s="6" t="s">
        <v>39</v>
      </c>
      <c r="J4195" s="6" t="s">
        <v>37</v>
      </c>
      <c r="K4195">
        <v>0</v>
      </c>
      <c r="M4195" s="1" t="b">
        <f>Employee__2[[#This Row],[Experience]]&gt;1</f>
        <v>0</v>
      </c>
      <c r="N4195" s="1" t="str">
        <f>IF(Employee__2[[#This Row],[City]]="Pune","Yes","No")</f>
        <v>No</v>
      </c>
      <c r="O4195" s="1" t="str">
        <f>IF(AND(Employee__2[[#This Row],[Education]]="Bachelors",Employee__2[[#This Row],[City]]="Pune"),"Yes","No")</f>
        <v>No</v>
      </c>
      <c r="P4195" s="1" t="str">
        <f>IF(OR(Employee__2[[#This Row],[Age]]&gt;=30,Employee__2[[#This Row],[Gender]]="Male"),"Mached","Not mached")</f>
        <v>Mached</v>
      </c>
    </row>
    <row r="4196" spans="4:16" x14ac:dyDescent="0.25">
      <c r="D4196" s="6" t="s">
        <v>34</v>
      </c>
      <c r="E4196">
        <v>2015</v>
      </c>
      <c r="F4196" s="6" t="s">
        <v>35</v>
      </c>
      <c r="G4196">
        <v>3</v>
      </c>
      <c r="H4196">
        <v>30</v>
      </c>
      <c r="I4196" s="6" t="s">
        <v>36</v>
      </c>
      <c r="J4196" s="6" t="s">
        <v>37</v>
      </c>
      <c r="K4196">
        <v>2</v>
      </c>
      <c r="M4196" s="1" t="b">
        <f>Employee__2[[#This Row],[Experience]]&gt;1</f>
        <v>1</v>
      </c>
      <c r="N4196" s="1" t="str">
        <f>IF(Employee__2[[#This Row],[City]]="Pune","Yes","No")</f>
        <v>No</v>
      </c>
      <c r="O4196" s="1" t="str">
        <f>IF(AND(Employee__2[[#This Row],[Education]]="Bachelors",Employee__2[[#This Row],[City]]="Pune"),"Yes","No")</f>
        <v>No</v>
      </c>
      <c r="P4196" s="1" t="str">
        <f>IF(OR(Employee__2[[#This Row],[Age]]&gt;=30,Employee__2[[#This Row],[Gender]]="Male"),"Mached","Not mached")</f>
        <v>Mached</v>
      </c>
    </row>
    <row r="4197" spans="4:16" x14ac:dyDescent="0.25">
      <c r="D4197" s="6" t="s">
        <v>34</v>
      </c>
      <c r="E4197">
        <v>2018</v>
      </c>
      <c r="F4197" s="6" t="s">
        <v>35</v>
      </c>
      <c r="G4197">
        <v>3</v>
      </c>
      <c r="H4197">
        <v>33</v>
      </c>
      <c r="I4197" s="6" t="s">
        <v>36</v>
      </c>
      <c r="J4197" s="6" t="s">
        <v>37</v>
      </c>
      <c r="K4197">
        <v>4</v>
      </c>
      <c r="M4197" s="1" t="b">
        <f>Employee__2[[#This Row],[Experience]]&gt;1</f>
        <v>1</v>
      </c>
      <c r="N4197" s="1" t="str">
        <f>IF(Employee__2[[#This Row],[City]]="Pune","Yes","No")</f>
        <v>No</v>
      </c>
      <c r="O4197" s="1" t="str">
        <f>IF(AND(Employee__2[[#This Row],[Education]]="Bachelors",Employee__2[[#This Row],[City]]="Pune"),"Yes","No")</f>
        <v>No</v>
      </c>
      <c r="P4197" s="1" t="str">
        <f>IF(OR(Employee__2[[#This Row],[Age]]&gt;=30,Employee__2[[#This Row],[Gender]]="Male"),"Mached","Not mached")</f>
        <v>Mached</v>
      </c>
    </row>
    <row r="4198" spans="4:16" x14ac:dyDescent="0.25">
      <c r="D4198" s="6" t="s">
        <v>34</v>
      </c>
      <c r="E4198">
        <v>2015</v>
      </c>
      <c r="F4198" s="6" t="s">
        <v>35</v>
      </c>
      <c r="G4198">
        <v>3</v>
      </c>
      <c r="H4198">
        <v>27</v>
      </c>
      <c r="I4198" s="6" t="s">
        <v>39</v>
      </c>
      <c r="J4198" s="6" t="s">
        <v>37</v>
      </c>
      <c r="K4198">
        <v>5</v>
      </c>
      <c r="M4198" s="1" t="b">
        <f>Employee__2[[#This Row],[Experience]]&gt;1</f>
        <v>1</v>
      </c>
      <c r="N4198" s="1" t="str">
        <f>IF(Employee__2[[#This Row],[City]]="Pune","Yes","No")</f>
        <v>No</v>
      </c>
      <c r="O4198" s="1" t="str">
        <f>IF(AND(Employee__2[[#This Row],[Education]]="Bachelors",Employee__2[[#This Row],[City]]="Pune"),"Yes","No")</f>
        <v>No</v>
      </c>
      <c r="P4198" s="1" t="str">
        <f>IF(OR(Employee__2[[#This Row],[Age]]&gt;=30,Employee__2[[#This Row],[Gender]]="Male"),"Mached","Not mached")</f>
        <v>Not mached</v>
      </c>
    </row>
    <row r="4199" spans="4:16" x14ac:dyDescent="0.25">
      <c r="D4199" s="6" t="s">
        <v>34</v>
      </c>
      <c r="E4199">
        <v>2016</v>
      </c>
      <c r="F4199" s="6" t="s">
        <v>35</v>
      </c>
      <c r="G4199">
        <v>3</v>
      </c>
      <c r="H4199">
        <v>32</v>
      </c>
      <c r="I4199" s="6" t="s">
        <v>36</v>
      </c>
      <c r="J4199" s="6" t="s">
        <v>37</v>
      </c>
      <c r="K4199">
        <v>4</v>
      </c>
      <c r="M4199" s="1" t="b">
        <f>Employee__2[[#This Row],[Experience]]&gt;1</f>
        <v>1</v>
      </c>
      <c r="N4199" s="1" t="str">
        <f>IF(Employee__2[[#This Row],[City]]="Pune","Yes","No")</f>
        <v>No</v>
      </c>
      <c r="O4199" s="1" t="str">
        <f>IF(AND(Employee__2[[#This Row],[Education]]="Bachelors",Employee__2[[#This Row],[City]]="Pune"),"Yes","No")</f>
        <v>No</v>
      </c>
      <c r="P4199" s="1" t="str">
        <f>IF(OR(Employee__2[[#This Row],[Age]]&gt;=30,Employee__2[[#This Row],[Gender]]="Male"),"Mached","Not mached")</f>
        <v>Mached</v>
      </c>
    </row>
    <row r="4200" spans="4:16" x14ac:dyDescent="0.25">
      <c r="D4200" s="6" t="s">
        <v>34</v>
      </c>
      <c r="E4200">
        <v>2014</v>
      </c>
      <c r="F4200" s="6" t="s">
        <v>38</v>
      </c>
      <c r="G4200">
        <v>3</v>
      </c>
      <c r="H4200">
        <v>36</v>
      </c>
      <c r="I4200" s="6" t="s">
        <v>39</v>
      </c>
      <c r="J4200" s="6" t="s">
        <v>37</v>
      </c>
      <c r="K4200">
        <v>5</v>
      </c>
      <c r="M4200" s="1" t="b">
        <f>Employee__2[[#This Row],[Experience]]&gt;1</f>
        <v>1</v>
      </c>
      <c r="N4200" s="1" t="str">
        <f>IF(Employee__2[[#This Row],[City]]="Pune","Yes","No")</f>
        <v>Yes</v>
      </c>
      <c r="O4200" s="1" t="str">
        <f>IF(AND(Employee__2[[#This Row],[Education]]="Bachelors",Employee__2[[#This Row],[City]]="Pune"),"Yes","No")</f>
        <v>Yes</v>
      </c>
      <c r="P4200" s="1" t="str">
        <f>IF(OR(Employee__2[[#This Row],[Age]]&gt;=30,Employee__2[[#This Row],[Gender]]="Male"),"Mached","Not mached")</f>
        <v>Mached</v>
      </c>
    </row>
    <row r="4201" spans="4:16" x14ac:dyDescent="0.25">
      <c r="D4201" s="6" t="s">
        <v>34</v>
      </c>
      <c r="E4201">
        <v>2012</v>
      </c>
      <c r="F4201" s="6" t="s">
        <v>35</v>
      </c>
      <c r="G4201">
        <v>3</v>
      </c>
      <c r="H4201">
        <v>26</v>
      </c>
      <c r="I4201" s="6" t="s">
        <v>36</v>
      </c>
      <c r="J4201" s="6" t="s">
        <v>42</v>
      </c>
      <c r="K4201">
        <v>4</v>
      </c>
      <c r="M4201" s="1" t="b">
        <f>Employee__2[[#This Row],[Experience]]&gt;1</f>
        <v>1</v>
      </c>
      <c r="N4201" s="1" t="str">
        <f>IF(Employee__2[[#This Row],[City]]="Pune","Yes","No")</f>
        <v>No</v>
      </c>
      <c r="O4201" s="1" t="str">
        <f>IF(AND(Employee__2[[#This Row],[Education]]="Bachelors",Employee__2[[#This Row],[City]]="Pune"),"Yes","No")</f>
        <v>No</v>
      </c>
      <c r="P4201" s="1" t="str">
        <f>IF(OR(Employee__2[[#This Row],[Age]]&gt;=30,Employee__2[[#This Row],[Gender]]="Male"),"Mached","Not mached")</f>
        <v>Mached</v>
      </c>
    </row>
    <row r="4202" spans="4:16" x14ac:dyDescent="0.25">
      <c r="D4202" s="6" t="s">
        <v>34</v>
      </c>
      <c r="E4202">
        <v>2012</v>
      </c>
      <c r="F4202" s="6" t="s">
        <v>35</v>
      </c>
      <c r="G4202">
        <v>1</v>
      </c>
      <c r="H4202">
        <v>35</v>
      </c>
      <c r="I4202" s="6" t="s">
        <v>36</v>
      </c>
      <c r="J4202" s="6" t="s">
        <v>37</v>
      </c>
      <c r="K4202">
        <v>4</v>
      </c>
      <c r="M4202" s="1" t="b">
        <f>Employee__2[[#This Row],[Experience]]&gt;1</f>
        <v>1</v>
      </c>
      <c r="N4202" s="1" t="str">
        <f>IF(Employee__2[[#This Row],[City]]="Pune","Yes","No")</f>
        <v>No</v>
      </c>
      <c r="O4202" s="1" t="str">
        <f>IF(AND(Employee__2[[#This Row],[Education]]="Bachelors",Employee__2[[#This Row],[City]]="Pune"),"Yes","No")</f>
        <v>No</v>
      </c>
      <c r="P4202" s="1" t="str">
        <f>IF(OR(Employee__2[[#This Row],[Age]]&gt;=30,Employee__2[[#This Row],[Gender]]="Male"),"Mached","Not mached")</f>
        <v>Mached</v>
      </c>
    </row>
    <row r="4203" spans="4:16" x14ac:dyDescent="0.25">
      <c r="D4203" s="6" t="s">
        <v>43</v>
      </c>
      <c r="E4203">
        <v>2012</v>
      </c>
      <c r="F4203" s="6" t="s">
        <v>40</v>
      </c>
      <c r="G4203">
        <v>3</v>
      </c>
      <c r="H4203">
        <v>25</v>
      </c>
      <c r="I4203" s="6" t="s">
        <v>36</v>
      </c>
      <c r="J4203" s="6" t="s">
        <v>37</v>
      </c>
      <c r="K4203">
        <v>3</v>
      </c>
      <c r="M4203" s="1" t="b">
        <f>Employee__2[[#This Row],[Experience]]&gt;1</f>
        <v>1</v>
      </c>
      <c r="N4203" s="1" t="str">
        <f>IF(Employee__2[[#This Row],[City]]="Pune","Yes","No")</f>
        <v>No</v>
      </c>
      <c r="O4203" s="1" t="str">
        <f>IF(AND(Employee__2[[#This Row],[Education]]="Bachelors",Employee__2[[#This Row],[City]]="Pune"),"Yes","No")</f>
        <v>No</v>
      </c>
      <c r="P4203" s="1" t="str">
        <f>IF(OR(Employee__2[[#This Row],[Age]]&gt;=30,Employee__2[[#This Row],[Gender]]="Male"),"Mached","Not mached")</f>
        <v>Mached</v>
      </c>
    </row>
    <row r="4204" spans="4:16" x14ac:dyDescent="0.25">
      <c r="D4204" s="6" t="s">
        <v>41</v>
      </c>
      <c r="E4204">
        <v>2013</v>
      </c>
      <c r="F4204" s="6" t="s">
        <v>35</v>
      </c>
      <c r="G4204">
        <v>2</v>
      </c>
      <c r="H4204">
        <v>29</v>
      </c>
      <c r="I4204" s="6" t="s">
        <v>36</v>
      </c>
      <c r="J4204" s="6" t="s">
        <v>37</v>
      </c>
      <c r="K4204">
        <v>1</v>
      </c>
      <c r="M4204" s="1" t="b">
        <f>Employee__2[[#This Row],[Experience]]&gt;1</f>
        <v>0</v>
      </c>
      <c r="N4204" s="1" t="str">
        <f>IF(Employee__2[[#This Row],[City]]="Pune","Yes","No")</f>
        <v>No</v>
      </c>
      <c r="O4204" s="1" t="str">
        <f>IF(AND(Employee__2[[#This Row],[Education]]="Bachelors",Employee__2[[#This Row],[City]]="Pune"),"Yes","No")</f>
        <v>No</v>
      </c>
      <c r="P4204" s="1" t="str">
        <f>IF(OR(Employee__2[[#This Row],[Age]]&gt;=30,Employee__2[[#This Row],[Gender]]="Male"),"Mached","Not mached")</f>
        <v>Mached</v>
      </c>
    </row>
    <row r="4205" spans="4:16" x14ac:dyDescent="0.25">
      <c r="D4205" s="6" t="s">
        <v>34</v>
      </c>
      <c r="E4205">
        <v>2012</v>
      </c>
      <c r="F4205" s="6" t="s">
        <v>35</v>
      </c>
      <c r="G4205">
        <v>3</v>
      </c>
      <c r="H4205">
        <v>36</v>
      </c>
      <c r="I4205" s="6" t="s">
        <v>39</v>
      </c>
      <c r="J4205" s="6" t="s">
        <v>37</v>
      </c>
      <c r="K4205">
        <v>3</v>
      </c>
      <c r="M4205" s="1" t="b">
        <f>Employee__2[[#This Row],[Experience]]&gt;1</f>
        <v>1</v>
      </c>
      <c r="N4205" s="1" t="str">
        <f>IF(Employee__2[[#This Row],[City]]="Pune","Yes","No")</f>
        <v>No</v>
      </c>
      <c r="O4205" s="1" t="str">
        <f>IF(AND(Employee__2[[#This Row],[Education]]="Bachelors",Employee__2[[#This Row],[City]]="Pune"),"Yes","No")</f>
        <v>No</v>
      </c>
      <c r="P4205" s="1" t="str">
        <f>IF(OR(Employee__2[[#This Row],[Age]]&gt;=30,Employee__2[[#This Row],[Gender]]="Male"),"Mached","Not mached")</f>
        <v>Mached</v>
      </c>
    </row>
    <row r="4206" spans="4:16" x14ac:dyDescent="0.25">
      <c r="D4206" s="6" t="s">
        <v>34</v>
      </c>
      <c r="E4206">
        <v>2013</v>
      </c>
      <c r="F4206" s="6" t="s">
        <v>35</v>
      </c>
      <c r="G4206">
        <v>3</v>
      </c>
      <c r="H4206">
        <v>30</v>
      </c>
      <c r="I4206" s="6" t="s">
        <v>36</v>
      </c>
      <c r="J4206" s="6" t="s">
        <v>37</v>
      </c>
      <c r="K4206">
        <v>1</v>
      </c>
      <c r="M4206" s="1" t="b">
        <f>Employee__2[[#This Row],[Experience]]&gt;1</f>
        <v>0</v>
      </c>
      <c r="N4206" s="1" t="str">
        <f>IF(Employee__2[[#This Row],[City]]="Pune","Yes","No")</f>
        <v>No</v>
      </c>
      <c r="O4206" s="1" t="str">
        <f>IF(AND(Employee__2[[#This Row],[Education]]="Bachelors",Employee__2[[#This Row],[City]]="Pune"),"Yes","No")</f>
        <v>No</v>
      </c>
      <c r="P4206" s="1" t="str">
        <f>IF(OR(Employee__2[[#This Row],[Age]]&gt;=30,Employee__2[[#This Row],[Gender]]="Male"),"Mached","Not mached")</f>
        <v>Mached</v>
      </c>
    </row>
    <row r="4207" spans="4:16" x14ac:dyDescent="0.25">
      <c r="D4207" s="6" t="s">
        <v>34</v>
      </c>
      <c r="E4207">
        <v>2017</v>
      </c>
      <c r="F4207" s="6" t="s">
        <v>38</v>
      </c>
      <c r="G4207">
        <v>2</v>
      </c>
      <c r="H4207">
        <v>37</v>
      </c>
      <c r="I4207" s="6" t="s">
        <v>39</v>
      </c>
      <c r="J4207" s="6" t="s">
        <v>37</v>
      </c>
      <c r="K4207">
        <v>4</v>
      </c>
      <c r="M4207" s="1" t="b">
        <f>Employee__2[[#This Row],[Experience]]&gt;1</f>
        <v>1</v>
      </c>
      <c r="N4207" s="1" t="str">
        <f>IF(Employee__2[[#This Row],[City]]="Pune","Yes","No")</f>
        <v>Yes</v>
      </c>
      <c r="O4207" s="1" t="str">
        <f>IF(AND(Employee__2[[#This Row],[Education]]="Bachelors",Employee__2[[#This Row],[City]]="Pune"),"Yes","No")</f>
        <v>Yes</v>
      </c>
      <c r="P4207" s="1" t="str">
        <f>IF(OR(Employee__2[[#This Row],[Age]]&gt;=30,Employee__2[[#This Row],[Gender]]="Male"),"Mached","Not mached")</f>
        <v>Mached</v>
      </c>
    </row>
    <row r="4208" spans="4:16" x14ac:dyDescent="0.25">
      <c r="D4208" s="6" t="s">
        <v>34</v>
      </c>
      <c r="E4208">
        <v>2016</v>
      </c>
      <c r="F4208" s="6" t="s">
        <v>35</v>
      </c>
      <c r="G4208">
        <v>3</v>
      </c>
      <c r="H4208">
        <v>40</v>
      </c>
      <c r="I4208" s="6" t="s">
        <v>36</v>
      </c>
      <c r="J4208" s="6" t="s">
        <v>37</v>
      </c>
      <c r="K4208">
        <v>0</v>
      </c>
      <c r="M4208" s="1" t="b">
        <f>Employee__2[[#This Row],[Experience]]&gt;1</f>
        <v>0</v>
      </c>
      <c r="N4208" s="1" t="str">
        <f>IF(Employee__2[[#This Row],[City]]="Pune","Yes","No")</f>
        <v>No</v>
      </c>
      <c r="O4208" s="1" t="str">
        <f>IF(AND(Employee__2[[#This Row],[Education]]="Bachelors",Employee__2[[#This Row],[City]]="Pune"),"Yes","No")</f>
        <v>No</v>
      </c>
      <c r="P4208" s="1" t="str">
        <f>IF(OR(Employee__2[[#This Row],[Age]]&gt;=30,Employee__2[[#This Row],[Gender]]="Male"),"Mached","Not mached")</f>
        <v>Mached</v>
      </c>
    </row>
    <row r="4209" spans="4:16" x14ac:dyDescent="0.25">
      <c r="D4209" s="6" t="s">
        <v>34</v>
      </c>
      <c r="E4209">
        <v>2012</v>
      </c>
      <c r="F4209" s="6" t="s">
        <v>35</v>
      </c>
      <c r="G4209">
        <v>3</v>
      </c>
      <c r="H4209">
        <v>24</v>
      </c>
      <c r="I4209" s="6" t="s">
        <v>36</v>
      </c>
      <c r="J4209" s="6" t="s">
        <v>37</v>
      </c>
      <c r="K4209">
        <v>2</v>
      </c>
      <c r="M4209" s="1" t="b">
        <f>Employee__2[[#This Row],[Experience]]&gt;1</f>
        <v>1</v>
      </c>
      <c r="N4209" s="1" t="str">
        <f>IF(Employee__2[[#This Row],[City]]="Pune","Yes","No")</f>
        <v>No</v>
      </c>
      <c r="O4209" s="1" t="str">
        <f>IF(AND(Employee__2[[#This Row],[Education]]="Bachelors",Employee__2[[#This Row],[City]]="Pune"),"Yes","No")</f>
        <v>No</v>
      </c>
      <c r="P4209" s="1" t="str">
        <f>IF(OR(Employee__2[[#This Row],[Age]]&gt;=30,Employee__2[[#This Row],[Gender]]="Male"),"Mached","Not mached")</f>
        <v>Mached</v>
      </c>
    </row>
    <row r="4210" spans="4:16" x14ac:dyDescent="0.25">
      <c r="D4210" s="6" t="s">
        <v>34</v>
      </c>
      <c r="E4210">
        <v>2012</v>
      </c>
      <c r="F4210" s="6" t="s">
        <v>35</v>
      </c>
      <c r="G4210">
        <v>3</v>
      </c>
      <c r="H4210">
        <v>32</v>
      </c>
      <c r="I4210" s="6" t="s">
        <v>36</v>
      </c>
      <c r="J4210" s="6" t="s">
        <v>37</v>
      </c>
      <c r="K4210">
        <v>4</v>
      </c>
      <c r="M4210" s="1" t="b">
        <f>Employee__2[[#This Row],[Experience]]&gt;1</f>
        <v>1</v>
      </c>
      <c r="N4210" s="1" t="str">
        <f>IF(Employee__2[[#This Row],[City]]="Pune","Yes","No")</f>
        <v>No</v>
      </c>
      <c r="O4210" s="1" t="str">
        <f>IF(AND(Employee__2[[#This Row],[Education]]="Bachelors",Employee__2[[#This Row],[City]]="Pune"),"Yes","No")</f>
        <v>No</v>
      </c>
      <c r="P4210" s="1" t="str">
        <f>IF(OR(Employee__2[[#This Row],[Age]]&gt;=30,Employee__2[[#This Row],[Gender]]="Male"),"Mached","Not mached")</f>
        <v>Mached</v>
      </c>
    </row>
    <row r="4211" spans="4:16" x14ac:dyDescent="0.25">
      <c r="D4211" s="6" t="s">
        <v>34</v>
      </c>
      <c r="E4211">
        <v>2018</v>
      </c>
      <c r="F4211" s="6" t="s">
        <v>38</v>
      </c>
      <c r="G4211">
        <v>3</v>
      </c>
      <c r="H4211">
        <v>34</v>
      </c>
      <c r="I4211" s="6" t="s">
        <v>36</v>
      </c>
      <c r="J4211" s="6" t="s">
        <v>37</v>
      </c>
      <c r="K4211">
        <v>0</v>
      </c>
      <c r="M4211" s="1" t="b">
        <f>Employee__2[[#This Row],[Experience]]&gt;1</f>
        <v>0</v>
      </c>
      <c r="N4211" s="1" t="str">
        <f>IF(Employee__2[[#This Row],[City]]="Pune","Yes","No")</f>
        <v>Yes</v>
      </c>
      <c r="O4211" s="1" t="str">
        <f>IF(AND(Employee__2[[#This Row],[Education]]="Bachelors",Employee__2[[#This Row],[City]]="Pune"),"Yes","No")</f>
        <v>Yes</v>
      </c>
      <c r="P4211" s="1" t="str">
        <f>IF(OR(Employee__2[[#This Row],[Age]]&gt;=30,Employee__2[[#This Row],[Gender]]="Male"),"Mached","Not mached")</f>
        <v>Mached</v>
      </c>
    </row>
    <row r="4212" spans="4:16" x14ac:dyDescent="0.25">
      <c r="D4212" s="6" t="s">
        <v>34</v>
      </c>
      <c r="E4212">
        <v>2014</v>
      </c>
      <c r="F4212" s="6" t="s">
        <v>38</v>
      </c>
      <c r="G4212">
        <v>3</v>
      </c>
      <c r="H4212">
        <v>29</v>
      </c>
      <c r="I4212" s="6" t="s">
        <v>36</v>
      </c>
      <c r="J4212" s="6" t="s">
        <v>37</v>
      </c>
      <c r="K4212">
        <v>3</v>
      </c>
      <c r="M4212" s="1" t="b">
        <f>Employee__2[[#This Row],[Experience]]&gt;1</f>
        <v>1</v>
      </c>
      <c r="N4212" s="1" t="str">
        <f>IF(Employee__2[[#This Row],[City]]="Pune","Yes","No")</f>
        <v>Yes</v>
      </c>
      <c r="O4212" s="1" t="str">
        <f>IF(AND(Employee__2[[#This Row],[Education]]="Bachelors",Employee__2[[#This Row],[City]]="Pune"),"Yes","No")</f>
        <v>Yes</v>
      </c>
      <c r="P4212" s="1" t="str">
        <f>IF(OR(Employee__2[[#This Row],[Age]]&gt;=30,Employee__2[[#This Row],[Gender]]="Male"),"Mached","Not mached")</f>
        <v>Mached</v>
      </c>
    </row>
    <row r="4213" spans="4:16" x14ac:dyDescent="0.25">
      <c r="D4213" s="6" t="s">
        <v>34</v>
      </c>
      <c r="E4213">
        <v>2012</v>
      </c>
      <c r="F4213" s="6" t="s">
        <v>35</v>
      </c>
      <c r="G4213">
        <v>3</v>
      </c>
      <c r="H4213">
        <v>23</v>
      </c>
      <c r="I4213" s="6" t="s">
        <v>39</v>
      </c>
      <c r="J4213" s="6" t="s">
        <v>37</v>
      </c>
      <c r="K4213">
        <v>1</v>
      </c>
      <c r="M4213" s="1" t="b">
        <f>Employee__2[[#This Row],[Experience]]&gt;1</f>
        <v>0</v>
      </c>
      <c r="N4213" s="1" t="str">
        <f>IF(Employee__2[[#This Row],[City]]="Pune","Yes","No")</f>
        <v>No</v>
      </c>
      <c r="O4213" s="1" t="str">
        <f>IF(AND(Employee__2[[#This Row],[Education]]="Bachelors",Employee__2[[#This Row],[City]]="Pune"),"Yes","No")</f>
        <v>No</v>
      </c>
      <c r="P4213" s="1" t="str">
        <f>IF(OR(Employee__2[[#This Row],[Age]]&gt;=30,Employee__2[[#This Row],[Gender]]="Male"),"Mached","Not mached")</f>
        <v>Not mached</v>
      </c>
    </row>
    <row r="4214" spans="4:16" x14ac:dyDescent="0.25">
      <c r="D4214" s="6" t="s">
        <v>34</v>
      </c>
      <c r="E4214">
        <v>2017</v>
      </c>
      <c r="F4214" s="6" t="s">
        <v>38</v>
      </c>
      <c r="G4214">
        <v>3</v>
      </c>
      <c r="H4214">
        <v>23</v>
      </c>
      <c r="I4214" s="6" t="s">
        <v>36</v>
      </c>
      <c r="J4214" s="6" t="s">
        <v>37</v>
      </c>
      <c r="K4214">
        <v>1</v>
      </c>
      <c r="M4214" s="1" t="b">
        <f>Employee__2[[#This Row],[Experience]]&gt;1</f>
        <v>0</v>
      </c>
      <c r="N4214" s="1" t="str">
        <f>IF(Employee__2[[#This Row],[City]]="Pune","Yes","No")</f>
        <v>Yes</v>
      </c>
      <c r="O4214" s="1" t="str">
        <f>IF(AND(Employee__2[[#This Row],[Education]]="Bachelors",Employee__2[[#This Row],[City]]="Pune"),"Yes","No")</f>
        <v>Yes</v>
      </c>
      <c r="P4214" s="1" t="str">
        <f>IF(OR(Employee__2[[#This Row],[Age]]&gt;=30,Employee__2[[#This Row],[Gender]]="Male"),"Mached","Not mached")</f>
        <v>Mached</v>
      </c>
    </row>
    <row r="4215" spans="4:16" x14ac:dyDescent="0.25">
      <c r="D4215" s="6" t="s">
        <v>34</v>
      </c>
      <c r="E4215">
        <v>2013</v>
      </c>
      <c r="F4215" s="6" t="s">
        <v>35</v>
      </c>
      <c r="G4215">
        <v>3</v>
      </c>
      <c r="H4215">
        <v>25</v>
      </c>
      <c r="I4215" s="6" t="s">
        <v>39</v>
      </c>
      <c r="J4215" s="6" t="s">
        <v>37</v>
      </c>
      <c r="K4215">
        <v>3</v>
      </c>
      <c r="M4215" s="1" t="b">
        <f>Employee__2[[#This Row],[Experience]]&gt;1</f>
        <v>1</v>
      </c>
      <c r="N4215" s="1" t="str">
        <f>IF(Employee__2[[#This Row],[City]]="Pune","Yes","No")</f>
        <v>No</v>
      </c>
      <c r="O4215" s="1" t="str">
        <f>IF(AND(Employee__2[[#This Row],[Education]]="Bachelors",Employee__2[[#This Row],[City]]="Pune"),"Yes","No")</f>
        <v>No</v>
      </c>
      <c r="P4215" s="1" t="str">
        <f>IF(OR(Employee__2[[#This Row],[Age]]&gt;=30,Employee__2[[#This Row],[Gender]]="Male"),"Mached","Not mached")</f>
        <v>Not mached</v>
      </c>
    </row>
    <row r="4216" spans="4:16" x14ac:dyDescent="0.25">
      <c r="D4216" s="6" t="s">
        <v>34</v>
      </c>
      <c r="E4216">
        <v>2012</v>
      </c>
      <c r="F4216" s="6" t="s">
        <v>40</v>
      </c>
      <c r="G4216">
        <v>1</v>
      </c>
      <c r="H4216">
        <v>31</v>
      </c>
      <c r="I4216" s="6" t="s">
        <v>39</v>
      </c>
      <c r="J4216" s="6" t="s">
        <v>37</v>
      </c>
      <c r="K4216">
        <v>3</v>
      </c>
      <c r="M4216" s="1" t="b">
        <f>Employee__2[[#This Row],[Experience]]&gt;1</f>
        <v>1</v>
      </c>
      <c r="N4216" s="1" t="str">
        <f>IF(Employee__2[[#This Row],[City]]="Pune","Yes","No")</f>
        <v>No</v>
      </c>
      <c r="O4216" s="1" t="str">
        <f>IF(AND(Employee__2[[#This Row],[Education]]="Bachelors",Employee__2[[#This Row],[City]]="Pune"),"Yes","No")</f>
        <v>No</v>
      </c>
      <c r="P4216" s="1" t="str">
        <f>IF(OR(Employee__2[[#This Row],[Age]]&gt;=30,Employee__2[[#This Row],[Gender]]="Male"),"Mached","Not mached")</f>
        <v>Mached</v>
      </c>
    </row>
    <row r="4217" spans="4:16" x14ac:dyDescent="0.25">
      <c r="D4217" s="6" t="s">
        <v>41</v>
      </c>
      <c r="E4217">
        <v>2017</v>
      </c>
      <c r="F4217" s="6" t="s">
        <v>40</v>
      </c>
      <c r="G4217">
        <v>2</v>
      </c>
      <c r="H4217">
        <v>23</v>
      </c>
      <c r="I4217" s="6" t="s">
        <v>36</v>
      </c>
      <c r="J4217" s="6" t="s">
        <v>37</v>
      </c>
      <c r="K4217">
        <v>1</v>
      </c>
      <c r="M4217" s="1" t="b">
        <f>Employee__2[[#This Row],[Experience]]&gt;1</f>
        <v>0</v>
      </c>
      <c r="N4217" s="1" t="str">
        <f>IF(Employee__2[[#This Row],[City]]="Pune","Yes","No")</f>
        <v>No</v>
      </c>
      <c r="O4217" s="1" t="str">
        <f>IF(AND(Employee__2[[#This Row],[Education]]="Bachelors",Employee__2[[#This Row],[City]]="Pune"),"Yes","No")</f>
        <v>No</v>
      </c>
      <c r="P4217" s="1" t="str">
        <f>IF(OR(Employee__2[[#This Row],[Age]]&gt;=30,Employee__2[[#This Row],[Gender]]="Male"),"Mached","Not mached")</f>
        <v>Mached</v>
      </c>
    </row>
    <row r="4218" spans="4:16" x14ac:dyDescent="0.25">
      <c r="D4218" s="6" t="s">
        <v>34</v>
      </c>
      <c r="E4218">
        <v>2014</v>
      </c>
      <c r="F4218" s="6" t="s">
        <v>35</v>
      </c>
      <c r="G4218">
        <v>3</v>
      </c>
      <c r="H4218">
        <v>27</v>
      </c>
      <c r="I4218" s="6" t="s">
        <v>36</v>
      </c>
      <c r="J4218" s="6" t="s">
        <v>37</v>
      </c>
      <c r="K4218">
        <v>5</v>
      </c>
      <c r="M4218" s="1" t="b">
        <f>Employee__2[[#This Row],[Experience]]&gt;1</f>
        <v>1</v>
      </c>
      <c r="N4218" s="1" t="str">
        <f>IF(Employee__2[[#This Row],[City]]="Pune","Yes","No")</f>
        <v>No</v>
      </c>
      <c r="O4218" s="1" t="str">
        <f>IF(AND(Employee__2[[#This Row],[Education]]="Bachelors",Employee__2[[#This Row],[City]]="Pune"),"Yes","No")</f>
        <v>No</v>
      </c>
      <c r="P4218" s="1" t="str">
        <f>IF(OR(Employee__2[[#This Row],[Age]]&gt;=30,Employee__2[[#This Row],[Gender]]="Male"),"Mached","Not mached")</f>
        <v>Mached</v>
      </c>
    </row>
    <row r="4219" spans="4:16" x14ac:dyDescent="0.25">
      <c r="D4219" s="6" t="s">
        <v>43</v>
      </c>
      <c r="E4219">
        <v>2015</v>
      </c>
      <c r="F4219" s="6" t="s">
        <v>40</v>
      </c>
      <c r="G4219">
        <v>2</v>
      </c>
      <c r="H4219">
        <v>39</v>
      </c>
      <c r="I4219" s="6" t="s">
        <v>39</v>
      </c>
      <c r="J4219" s="6" t="s">
        <v>37</v>
      </c>
      <c r="K4219">
        <v>5</v>
      </c>
      <c r="M4219" s="1" t="b">
        <f>Employee__2[[#This Row],[Experience]]&gt;1</f>
        <v>1</v>
      </c>
      <c r="N4219" s="1" t="str">
        <f>IF(Employee__2[[#This Row],[City]]="Pune","Yes","No")</f>
        <v>No</v>
      </c>
      <c r="O4219" s="1" t="str">
        <f>IF(AND(Employee__2[[#This Row],[Education]]="Bachelors",Employee__2[[#This Row],[City]]="Pune"),"Yes","No")</f>
        <v>No</v>
      </c>
      <c r="P4219" s="1" t="str">
        <f>IF(OR(Employee__2[[#This Row],[Age]]&gt;=30,Employee__2[[#This Row],[Gender]]="Male"),"Mached","Not mached")</f>
        <v>Mached</v>
      </c>
    </row>
    <row r="4220" spans="4:16" x14ac:dyDescent="0.25">
      <c r="D4220" s="6" t="s">
        <v>34</v>
      </c>
      <c r="E4220">
        <v>2016</v>
      </c>
      <c r="F4220" s="6" t="s">
        <v>35</v>
      </c>
      <c r="G4220">
        <v>3</v>
      </c>
      <c r="H4220">
        <v>33</v>
      </c>
      <c r="I4220" s="6" t="s">
        <v>39</v>
      </c>
      <c r="J4220" s="6" t="s">
        <v>37</v>
      </c>
      <c r="K4220">
        <v>1</v>
      </c>
      <c r="M4220" s="1" t="b">
        <f>Employee__2[[#This Row],[Experience]]&gt;1</f>
        <v>0</v>
      </c>
      <c r="N4220" s="1" t="str">
        <f>IF(Employee__2[[#This Row],[City]]="Pune","Yes","No")</f>
        <v>No</v>
      </c>
      <c r="O4220" s="1" t="str">
        <f>IF(AND(Employee__2[[#This Row],[Education]]="Bachelors",Employee__2[[#This Row],[City]]="Pune"),"Yes","No")</f>
        <v>No</v>
      </c>
      <c r="P4220" s="1" t="str">
        <f>IF(OR(Employee__2[[#This Row],[Age]]&gt;=30,Employee__2[[#This Row],[Gender]]="Male"),"Mached","Not mached")</f>
        <v>Mached</v>
      </c>
    </row>
    <row r="4221" spans="4:16" x14ac:dyDescent="0.25">
      <c r="D4221" s="6" t="s">
        <v>34</v>
      </c>
      <c r="E4221">
        <v>2013</v>
      </c>
      <c r="F4221" s="6" t="s">
        <v>35</v>
      </c>
      <c r="G4221">
        <v>3</v>
      </c>
      <c r="H4221">
        <v>23</v>
      </c>
      <c r="I4221" s="6" t="s">
        <v>36</v>
      </c>
      <c r="J4221" s="6" t="s">
        <v>37</v>
      </c>
      <c r="K4221">
        <v>1</v>
      </c>
      <c r="M4221" s="1" t="b">
        <f>Employee__2[[#This Row],[Experience]]&gt;1</f>
        <v>0</v>
      </c>
      <c r="N4221" s="1" t="str">
        <f>IF(Employee__2[[#This Row],[City]]="Pune","Yes","No")</f>
        <v>No</v>
      </c>
      <c r="O4221" s="1" t="str">
        <f>IF(AND(Employee__2[[#This Row],[Education]]="Bachelors",Employee__2[[#This Row],[City]]="Pune"),"Yes","No")</f>
        <v>No</v>
      </c>
      <c r="P4221" s="1" t="str">
        <f>IF(OR(Employee__2[[#This Row],[Age]]&gt;=30,Employee__2[[#This Row],[Gender]]="Male"),"Mached","Not mached")</f>
        <v>Mached</v>
      </c>
    </row>
    <row r="4222" spans="4:16" x14ac:dyDescent="0.25">
      <c r="D4222" s="6" t="s">
        <v>41</v>
      </c>
      <c r="E4222">
        <v>2017</v>
      </c>
      <c r="F4222" s="6" t="s">
        <v>40</v>
      </c>
      <c r="G4222">
        <v>2</v>
      </c>
      <c r="H4222">
        <v>34</v>
      </c>
      <c r="I4222" s="6" t="s">
        <v>39</v>
      </c>
      <c r="J4222" s="6" t="s">
        <v>37</v>
      </c>
      <c r="K4222">
        <v>4</v>
      </c>
      <c r="M4222" s="1" t="b">
        <f>Employee__2[[#This Row],[Experience]]&gt;1</f>
        <v>1</v>
      </c>
      <c r="N4222" s="1" t="str">
        <f>IF(Employee__2[[#This Row],[City]]="Pune","Yes","No")</f>
        <v>No</v>
      </c>
      <c r="O4222" s="1" t="str">
        <f>IF(AND(Employee__2[[#This Row],[Education]]="Bachelors",Employee__2[[#This Row],[City]]="Pune"),"Yes","No")</f>
        <v>No</v>
      </c>
      <c r="P4222" s="1" t="str">
        <f>IF(OR(Employee__2[[#This Row],[Age]]&gt;=30,Employee__2[[#This Row],[Gender]]="Male"),"Mached","Not mached")</f>
        <v>Mached</v>
      </c>
    </row>
    <row r="4223" spans="4:16" x14ac:dyDescent="0.25">
      <c r="D4223" s="6" t="s">
        <v>34</v>
      </c>
      <c r="E4223">
        <v>2015</v>
      </c>
      <c r="F4223" s="6" t="s">
        <v>38</v>
      </c>
      <c r="G4223">
        <v>2</v>
      </c>
      <c r="H4223">
        <v>37</v>
      </c>
      <c r="I4223" s="6" t="s">
        <v>39</v>
      </c>
      <c r="J4223" s="6" t="s">
        <v>37</v>
      </c>
      <c r="K4223">
        <v>1</v>
      </c>
      <c r="M4223" s="1" t="b">
        <f>Employee__2[[#This Row],[Experience]]&gt;1</f>
        <v>0</v>
      </c>
      <c r="N4223" s="1" t="str">
        <f>IF(Employee__2[[#This Row],[City]]="Pune","Yes","No")</f>
        <v>Yes</v>
      </c>
      <c r="O4223" s="1" t="str">
        <f>IF(AND(Employee__2[[#This Row],[Education]]="Bachelors",Employee__2[[#This Row],[City]]="Pune"),"Yes","No")</f>
        <v>Yes</v>
      </c>
      <c r="P4223" s="1" t="str">
        <f>IF(OR(Employee__2[[#This Row],[Age]]&gt;=30,Employee__2[[#This Row],[Gender]]="Male"),"Mached","Not mached")</f>
        <v>Mached</v>
      </c>
    </row>
    <row r="4224" spans="4:16" x14ac:dyDescent="0.25">
      <c r="D4224" s="6" t="s">
        <v>34</v>
      </c>
      <c r="E4224">
        <v>2012</v>
      </c>
      <c r="F4224" s="6" t="s">
        <v>35</v>
      </c>
      <c r="G4224">
        <v>3</v>
      </c>
      <c r="H4224">
        <v>23</v>
      </c>
      <c r="I4224" s="6" t="s">
        <v>36</v>
      </c>
      <c r="J4224" s="6" t="s">
        <v>37</v>
      </c>
      <c r="K4224">
        <v>1</v>
      </c>
      <c r="M4224" s="1" t="b">
        <f>Employee__2[[#This Row],[Experience]]&gt;1</f>
        <v>0</v>
      </c>
      <c r="N4224" s="1" t="str">
        <f>IF(Employee__2[[#This Row],[City]]="Pune","Yes","No")</f>
        <v>No</v>
      </c>
      <c r="O4224" s="1" t="str">
        <f>IF(AND(Employee__2[[#This Row],[Education]]="Bachelors",Employee__2[[#This Row],[City]]="Pune"),"Yes","No")</f>
        <v>No</v>
      </c>
      <c r="P4224" s="1" t="str">
        <f>IF(OR(Employee__2[[#This Row],[Age]]&gt;=30,Employee__2[[#This Row],[Gender]]="Male"),"Mached","Not mached")</f>
        <v>Mached</v>
      </c>
    </row>
    <row r="4225" spans="4:16" x14ac:dyDescent="0.25">
      <c r="D4225" s="6" t="s">
        <v>34</v>
      </c>
      <c r="E4225">
        <v>2017</v>
      </c>
      <c r="F4225" s="6" t="s">
        <v>40</v>
      </c>
      <c r="G4225">
        <v>3</v>
      </c>
      <c r="H4225">
        <v>27</v>
      </c>
      <c r="I4225" s="6" t="s">
        <v>36</v>
      </c>
      <c r="J4225" s="6" t="s">
        <v>37</v>
      </c>
      <c r="K4225">
        <v>5</v>
      </c>
      <c r="M4225" s="1" t="b">
        <f>Employee__2[[#This Row],[Experience]]&gt;1</f>
        <v>1</v>
      </c>
      <c r="N4225" s="1" t="str">
        <f>IF(Employee__2[[#This Row],[City]]="Pune","Yes","No")</f>
        <v>No</v>
      </c>
      <c r="O4225" s="1" t="str">
        <f>IF(AND(Employee__2[[#This Row],[Education]]="Bachelors",Employee__2[[#This Row],[City]]="Pune"),"Yes","No")</f>
        <v>No</v>
      </c>
      <c r="P4225" s="1" t="str">
        <f>IF(OR(Employee__2[[#This Row],[Age]]&gt;=30,Employee__2[[#This Row],[Gender]]="Male"),"Mached","Not mached")</f>
        <v>Mached</v>
      </c>
    </row>
    <row r="4226" spans="4:16" x14ac:dyDescent="0.25">
      <c r="D4226" s="6" t="s">
        <v>41</v>
      </c>
      <c r="E4226">
        <v>2017</v>
      </c>
      <c r="F4226" s="6" t="s">
        <v>38</v>
      </c>
      <c r="G4226">
        <v>2</v>
      </c>
      <c r="H4226">
        <v>38</v>
      </c>
      <c r="I4226" s="6" t="s">
        <v>39</v>
      </c>
      <c r="J4226" s="6" t="s">
        <v>37</v>
      </c>
      <c r="K4226">
        <v>2</v>
      </c>
      <c r="M4226" s="1" t="b">
        <f>Employee__2[[#This Row],[Experience]]&gt;1</f>
        <v>1</v>
      </c>
      <c r="N4226" s="1" t="str">
        <f>IF(Employee__2[[#This Row],[City]]="Pune","Yes","No")</f>
        <v>Yes</v>
      </c>
      <c r="O4226" s="1" t="str">
        <f>IF(AND(Employee__2[[#This Row],[Education]]="Bachelors",Employee__2[[#This Row],[City]]="Pune"),"Yes","No")</f>
        <v>No</v>
      </c>
      <c r="P4226" s="1" t="str">
        <f>IF(OR(Employee__2[[#This Row],[Age]]&gt;=30,Employee__2[[#This Row],[Gender]]="Male"),"Mached","Not mached")</f>
        <v>Mached</v>
      </c>
    </row>
    <row r="4227" spans="4:16" x14ac:dyDescent="0.25">
      <c r="D4227" s="6" t="s">
        <v>34</v>
      </c>
      <c r="E4227">
        <v>2014</v>
      </c>
      <c r="F4227" s="6" t="s">
        <v>35</v>
      </c>
      <c r="G4227">
        <v>3</v>
      </c>
      <c r="H4227">
        <v>27</v>
      </c>
      <c r="I4227" s="6" t="s">
        <v>39</v>
      </c>
      <c r="J4227" s="6" t="s">
        <v>37</v>
      </c>
      <c r="K4227">
        <v>5</v>
      </c>
      <c r="M4227" s="1" t="b">
        <f>Employee__2[[#This Row],[Experience]]&gt;1</f>
        <v>1</v>
      </c>
      <c r="N4227" s="1" t="str">
        <f>IF(Employee__2[[#This Row],[City]]="Pune","Yes","No")</f>
        <v>No</v>
      </c>
      <c r="O4227" s="1" t="str">
        <f>IF(AND(Employee__2[[#This Row],[Education]]="Bachelors",Employee__2[[#This Row],[City]]="Pune"),"Yes","No")</f>
        <v>No</v>
      </c>
      <c r="P4227" s="1" t="str">
        <f>IF(OR(Employee__2[[#This Row],[Age]]&gt;=30,Employee__2[[#This Row],[Gender]]="Male"),"Mached","Not mached")</f>
        <v>Not mached</v>
      </c>
    </row>
    <row r="4228" spans="4:16" x14ac:dyDescent="0.25">
      <c r="D4228" s="6" t="s">
        <v>34</v>
      </c>
      <c r="E4228">
        <v>2016</v>
      </c>
      <c r="F4228" s="6" t="s">
        <v>35</v>
      </c>
      <c r="G4228">
        <v>3</v>
      </c>
      <c r="H4228">
        <v>22</v>
      </c>
      <c r="I4228" s="6" t="s">
        <v>36</v>
      </c>
      <c r="J4228" s="6" t="s">
        <v>37</v>
      </c>
      <c r="K4228">
        <v>0</v>
      </c>
      <c r="M4228" s="1" t="b">
        <f>Employee__2[[#This Row],[Experience]]&gt;1</f>
        <v>0</v>
      </c>
      <c r="N4228" s="1" t="str">
        <f>IF(Employee__2[[#This Row],[City]]="Pune","Yes","No")</f>
        <v>No</v>
      </c>
      <c r="O4228" s="1" t="str">
        <f>IF(AND(Employee__2[[#This Row],[Education]]="Bachelors",Employee__2[[#This Row],[City]]="Pune"),"Yes","No")</f>
        <v>No</v>
      </c>
      <c r="P4228" s="1" t="str">
        <f>IF(OR(Employee__2[[#This Row],[Age]]&gt;=30,Employee__2[[#This Row],[Gender]]="Male"),"Mached","Not mached")</f>
        <v>Mached</v>
      </c>
    </row>
    <row r="4229" spans="4:16" x14ac:dyDescent="0.25">
      <c r="D4229" s="6" t="s">
        <v>41</v>
      </c>
      <c r="E4229">
        <v>2015</v>
      </c>
      <c r="F4229" s="6" t="s">
        <v>38</v>
      </c>
      <c r="G4229">
        <v>2</v>
      </c>
      <c r="H4229">
        <v>26</v>
      </c>
      <c r="I4229" s="6" t="s">
        <v>39</v>
      </c>
      <c r="J4229" s="6" t="s">
        <v>37</v>
      </c>
      <c r="K4229">
        <v>4</v>
      </c>
      <c r="M4229" s="1" t="b">
        <f>Employee__2[[#This Row],[Experience]]&gt;1</f>
        <v>1</v>
      </c>
      <c r="N4229" s="1" t="str">
        <f>IF(Employee__2[[#This Row],[City]]="Pune","Yes","No")</f>
        <v>Yes</v>
      </c>
      <c r="O4229" s="1" t="str">
        <f>IF(AND(Employee__2[[#This Row],[Education]]="Bachelors",Employee__2[[#This Row],[City]]="Pune"),"Yes","No")</f>
        <v>No</v>
      </c>
      <c r="P4229" s="1" t="str">
        <f>IF(OR(Employee__2[[#This Row],[Age]]&gt;=30,Employee__2[[#This Row],[Gender]]="Male"),"Mached","Not mached")</f>
        <v>Not mached</v>
      </c>
    </row>
    <row r="4230" spans="4:16" x14ac:dyDescent="0.25">
      <c r="D4230" s="6" t="s">
        <v>34</v>
      </c>
      <c r="E4230">
        <v>2012</v>
      </c>
      <c r="F4230" s="6" t="s">
        <v>35</v>
      </c>
      <c r="G4230">
        <v>3</v>
      </c>
      <c r="H4230">
        <v>40</v>
      </c>
      <c r="I4230" s="6" t="s">
        <v>36</v>
      </c>
      <c r="J4230" s="6" t="s">
        <v>37</v>
      </c>
      <c r="K4230">
        <v>3</v>
      </c>
      <c r="M4230" s="1" t="b">
        <f>Employee__2[[#This Row],[Experience]]&gt;1</f>
        <v>1</v>
      </c>
      <c r="N4230" s="1" t="str">
        <f>IF(Employee__2[[#This Row],[City]]="Pune","Yes","No")</f>
        <v>No</v>
      </c>
      <c r="O4230" s="1" t="str">
        <f>IF(AND(Employee__2[[#This Row],[Education]]="Bachelors",Employee__2[[#This Row],[City]]="Pune"),"Yes","No")</f>
        <v>No</v>
      </c>
      <c r="P4230" s="1" t="str">
        <f>IF(OR(Employee__2[[#This Row],[Age]]&gt;=30,Employee__2[[#This Row],[Gender]]="Male"),"Mached","Not mached")</f>
        <v>Mached</v>
      </c>
    </row>
    <row r="4231" spans="4:16" x14ac:dyDescent="0.25">
      <c r="D4231" s="6" t="s">
        <v>34</v>
      </c>
      <c r="E4231">
        <v>2016</v>
      </c>
      <c r="F4231" s="6" t="s">
        <v>35</v>
      </c>
      <c r="G4231">
        <v>3</v>
      </c>
      <c r="H4231">
        <v>33</v>
      </c>
      <c r="I4231" s="6" t="s">
        <v>39</v>
      </c>
      <c r="J4231" s="6" t="s">
        <v>37</v>
      </c>
      <c r="K4231">
        <v>3</v>
      </c>
      <c r="M4231" s="1" t="b">
        <f>Employee__2[[#This Row],[Experience]]&gt;1</f>
        <v>1</v>
      </c>
      <c r="N4231" s="1" t="str">
        <f>IF(Employee__2[[#This Row],[City]]="Pune","Yes","No")</f>
        <v>No</v>
      </c>
      <c r="O4231" s="1" t="str">
        <f>IF(AND(Employee__2[[#This Row],[Education]]="Bachelors",Employee__2[[#This Row],[City]]="Pune"),"Yes","No")</f>
        <v>No</v>
      </c>
      <c r="P4231" s="1" t="str">
        <f>IF(OR(Employee__2[[#This Row],[Age]]&gt;=30,Employee__2[[#This Row],[Gender]]="Male"),"Mached","Not mached")</f>
        <v>Mached</v>
      </c>
    </row>
    <row r="4232" spans="4:16" x14ac:dyDescent="0.25">
      <c r="D4232" s="6" t="s">
        <v>34</v>
      </c>
      <c r="E4232">
        <v>2014</v>
      </c>
      <c r="F4232" s="6" t="s">
        <v>35</v>
      </c>
      <c r="G4232">
        <v>3</v>
      </c>
      <c r="H4232">
        <v>31</v>
      </c>
      <c r="I4232" s="6" t="s">
        <v>36</v>
      </c>
      <c r="J4232" s="6" t="s">
        <v>37</v>
      </c>
      <c r="K4232">
        <v>0</v>
      </c>
      <c r="M4232" s="1" t="b">
        <f>Employee__2[[#This Row],[Experience]]&gt;1</f>
        <v>0</v>
      </c>
      <c r="N4232" s="1" t="str">
        <f>IF(Employee__2[[#This Row],[City]]="Pune","Yes","No")</f>
        <v>No</v>
      </c>
      <c r="O4232" s="1" t="str">
        <f>IF(AND(Employee__2[[#This Row],[Education]]="Bachelors",Employee__2[[#This Row],[City]]="Pune"),"Yes","No")</f>
        <v>No</v>
      </c>
      <c r="P4232" s="1" t="str">
        <f>IF(OR(Employee__2[[#This Row],[Age]]&gt;=30,Employee__2[[#This Row],[Gender]]="Male"),"Mached","Not mached")</f>
        <v>Mached</v>
      </c>
    </row>
    <row r="4233" spans="4:16" x14ac:dyDescent="0.25">
      <c r="D4233" s="6" t="s">
        <v>34</v>
      </c>
      <c r="E4233">
        <v>2017</v>
      </c>
      <c r="F4233" s="6" t="s">
        <v>38</v>
      </c>
      <c r="G4233">
        <v>3</v>
      </c>
      <c r="H4233">
        <v>33</v>
      </c>
      <c r="I4233" s="6" t="s">
        <v>36</v>
      </c>
      <c r="J4233" s="6" t="s">
        <v>37</v>
      </c>
      <c r="K4233">
        <v>4</v>
      </c>
      <c r="M4233" s="1" t="b">
        <f>Employee__2[[#This Row],[Experience]]&gt;1</f>
        <v>1</v>
      </c>
      <c r="N4233" s="1" t="str">
        <f>IF(Employee__2[[#This Row],[City]]="Pune","Yes","No")</f>
        <v>Yes</v>
      </c>
      <c r="O4233" s="1" t="str">
        <f>IF(AND(Employee__2[[#This Row],[Education]]="Bachelors",Employee__2[[#This Row],[City]]="Pune"),"Yes","No")</f>
        <v>Yes</v>
      </c>
      <c r="P4233" s="1" t="str">
        <f>IF(OR(Employee__2[[#This Row],[Age]]&gt;=30,Employee__2[[#This Row],[Gender]]="Male"),"Mached","Not mached")</f>
        <v>Mached</v>
      </c>
    </row>
    <row r="4234" spans="4:16" x14ac:dyDescent="0.25">
      <c r="D4234" s="6" t="s">
        <v>34</v>
      </c>
      <c r="E4234">
        <v>2015</v>
      </c>
      <c r="F4234" s="6" t="s">
        <v>40</v>
      </c>
      <c r="G4234">
        <v>3</v>
      </c>
      <c r="H4234">
        <v>30</v>
      </c>
      <c r="I4234" s="6" t="s">
        <v>36</v>
      </c>
      <c r="J4234" s="6" t="s">
        <v>37</v>
      </c>
      <c r="K4234">
        <v>5</v>
      </c>
      <c r="M4234" s="1" t="b">
        <f>Employee__2[[#This Row],[Experience]]&gt;1</f>
        <v>1</v>
      </c>
      <c r="N4234" s="1" t="str">
        <f>IF(Employee__2[[#This Row],[City]]="Pune","Yes","No")</f>
        <v>No</v>
      </c>
      <c r="O4234" s="1" t="str">
        <f>IF(AND(Employee__2[[#This Row],[Education]]="Bachelors",Employee__2[[#This Row],[City]]="Pune"),"Yes","No")</f>
        <v>No</v>
      </c>
      <c r="P4234" s="1" t="str">
        <f>IF(OR(Employee__2[[#This Row],[Age]]&gt;=30,Employee__2[[#This Row],[Gender]]="Male"),"Mached","Not mached")</f>
        <v>Mached</v>
      </c>
    </row>
    <row r="4235" spans="4:16" x14ac:dyDescent="0.25">
      <c r="D4235" s="6" t="s">
        <v>34</v>
      </c>
      <c r="E4235">
        <v>2015</v>
      </c>
      <c r="F4235" s="6" t="s">
        <v>40</v>
      </c>
      <c r="G4235">
        <v>3</v>
      </c>
      <c r="H4235">
        <v>33</v>
      </c>
      <c r="I4235" s="6" t="s">
        <v>39</v>
      </c>
      <c r="J4235" s="6" t="s">
        <v>37</v>
      </c>
      <c r="K4235">
        <v>5</v>
      </c>
      <c r="M4235" s="1" t="b">
        <f>Employee__2[[#This Row],[Experience]]&gt;1</f>
        <v>1</v>
      </c>
      <c r="N4235" s="1" t="str">
        <f>IF(Employee__2[[#This Row],[City]]="Pune","Yes","No")</f>
        <v>No</v>
      </c>
      <c r="O4235" s="1" t="str">
        <f>IF(AND(Employee__2[[#This Row],[Education]]="Bachelors",Employee__2[[#This Row],[City]]="Pune"),"Yes","No")</f>
        <v>No</v>
      </c>
      <c r="P4235" s="1" t="str">
        <f>IF(OR(Employee__2[[#This Row],[Age]]&gt;=30,Employee__2[[#This Row],[Gender]]="Male"),"Mached","Not mached")</f>
        <v>Mached</v>
      </c>
    </row>
    <row r="4236" spans="4:16" x14ac:dyDescent="0.25">
      <c r="D4236" s="6" t="s">
        <v>41</v>
      </c>
      <c r="E4236">
        <v>2017</v>
      </c>
      <c r="F4236" s="6" t="s">
        <v>40</v>
      </c>
      <c r="G4236">
        <v>3</v>
      </c>
      <c r="H4236">
        <v>33</v>
      </c>
      <c r="I4236" s="6" t="s">
        <v>39</v>
      </c>
      <c r="J4236" s="6" t="s">
        <v>37</v>
      </c>
      <c r="K4236">
        <v>0</v>
      </c>
      <c r="M4236" s="1" t="b">
        <f>Employee__2[[#This Row],[Experience]]&gt;1</f>
        <v>0</v>
      </c>
      <c r="N4236" s="1" t="str">
        <f>IF(Employee__2[[#This Row],[City]]="Pune","Yes","No")</f>
        <v>No</v>
      </c>
      <c r="O4236" s="1" t="str">
        <f>IF(AND(Employee__2[[#This Row],[Education]]="Bachelors",Employee__2[[#This Row],[City]]="Pune"),"Yes","No")</f>
        <v>No</v>
      </c>
      <c r="P4236" s="1" t="str">
        <f>IF(OR(Employee__2[[#This Row],[Age]]&gt;=30,Employee__2[[#This Row],[Gender]]="Male"),"Mached","Not mached")</f>
        <v>Mached</v>
      </c>
    </row>
    <row r="4237" spans="4:16" x14ac:dyDescent="0.25">
      <c r="D4237" s="6" t="s">
        <v>34</v>
      </c>
      <c r="E4237">
        <v>2016</v>
      </c>
      <c r="F4237" s="6" t="s">
        <v>38</v>
      </c>
      <c r="G4237">
        <v>3</v>
      </c>
      <c r="H4237">
        <v>22</v>
      </c>
      <c r="I4237" s="6" t="s">
        <v>36</v>
      </c>
      <c r="J4237" s="6" t="s">
        <v>37</v>
      </c>
      <c r="K4237">
        <v>0</v>
      </c>
      <c r="M4237" s="1" t="b">
        <f>Employee__2[[#This Row],[Experience]]&gt;1</f>
        <v>0</v>
      </c>
      <c r="N4237" s="1" t="str">
        <f>IF(Employee__2[[#This Row],[City]]="Pune","Yes","No")</f>
        <v>Yes</v>
      </c>
      <c r="O4237" s="1" t="str">
        <f>IF(AND(Employee__2[[#This Row],[Education]]="Bachelors",Employee__2[[#This Row],[City]]="Pune"),"Yes","No")</f>
        <v>Yes</v>
      </c>
      <c r="P4237" s="1" t="str">
        <f>IF(OR(Employee__2[[#This Row],[Age]]&gt;=30,Employee__2[[#This Row],[Gender]]="Male"),"Mached","Not mached")</f>
        <v>Mached</v>
      </c>
    </row>
    <row r="4238" spans="4:16" x14ac:dyDescent="0.25">
      <c r="D4238" s="6" t="s">
        <v>34</v>
      </c>
      <c r="E4238">
        <v>2012</v>
      </c>
      <c r="F4238" s="6" t="s">
        <v>38</v>
      </c>
      <c r="G4238">
        <v>3</v>
      </c>
      <c r="H4238">
        <v>28</v>
      </c>
      <c r="I4238" s="6" t="s">
        <v>36</v>
      </c>
      <c r="J4238" s="6" t="s">
        <v>37</v>
      </c>
      <c r="K4238">
        <v>2</v>
      </c>
      <c r="M4238" s="1" t="b">
        <f>Employee__2[[#This Row],[Experience]]&gt;1</f>
        <v>1</v>
      </c>
      <c r="N4238" s="1" t="str">
        <f>IF(Employee__2[[#This Row],[City]]="Pune","Yes","No")</f>
        <v>Yes</v>
      </c>
      <c r="O4238" s="1" t="str">
        <f>IF(AND(Employee__2[[#This Row],[Education]]="Bachelors",Employee__2[[#This Row],[City]]="Pune"),"Yes","No")</f>
        <v>Yes</v>
      </c>
      <c r="P4238" s="1" t="str">
        <f>IF(OR(Employee__2[[#This Row],[Age]]&gt;=30,Employee__2[[#This Row],[Gender]]="Male"),"Mached","Not mached")</f>
        <v>Mached</v>
      </c>
    </row>
    <row r="4239" spans="4:16" x14ac:dyDescent="0.25">
      <c r="D4239" s="6" t="s">
        <v>34</v>
      </c>
      <c r="E4239">
        <v>2013</v>
      </c>
      <c r="F4239" s="6" t="s">
        <v>35</v>
      </c>
      <c r="G4239">
        <v>3</v>
      </c>
      <c r="H4239">
        <v>36</v>
      </c>
      <c r="I4239" s="6" t="s">
        <v>36</v>
      </c>
      <c r="J4239" s="6" t="s">
        <v>37</v>
      </c>
      <c r="K4239">
        <v>4</v>
      </c>
      <c r="M4239" s="1" t="b">
        <f>Employee__2[[#This Row],[Experience]]&gt;1</f>
        <v>1</v>
      </c>
      <c r="N4239" s="1" t="str">
        <f>IF(Employee__2[[#This Row],[City]]="Pune","Yes","No")</f>
        <v>No</v>
      </c>
      <c r="O4239" s="1" t="str">
        <f>IF(AND(Employee__2[[#This Row],[Education]]="Bachelors",Employee__2[[#This Row],[City]]="Pune"),"Yes","No")</f>
        <v>No</v>
      </c>
      <c r="P4239" s="1" t="str">
        <f>IF(OR(Employee__2[[#This Row],[Age]]&gt;=30,Employee__2[[#This Row],[Gender]]="Male"),"Mached","Not mached")</f>
        <v>Mached</v>
      </c>
    </row>
    <row r="4240" spans="4:16" x14ac:dyDescent="0.25">
      <c r="D4240" s="6" t="s">
        <v>34</v>
      </c>
      <c r="E4240">
        <v>2017</v>
      </c>
      <c r="F4240" s="6" t="s">
        <v>40</v>
      </c>
      <c r="G4240">
        <v>2</v>
      </c>
      <c r="H4240">
        <v>36</v>
      </c>
      <c r="I4240" s="6" t="s">
        <v>39</v>
      </c>
      <c r="J4240" s="6" t="s">
        <v>37</v>
      </c>
      <c r="K4240">
        <v>1</v>
      </c>
      <c r="M4240" s="1" t="b">
        <f>Employee__2[[#This Row],[Experience]]&gt;1</f>
        <v>0</v>
      </c>
      <c r="N4240" s="1" t="str">
        <f>IF(Employee__2[[#This Row],[City]]="Pune","Yes","No")</f>
        <v>No</v>
      </c>
      <c r="O4240" s="1" t="str">
        <f>IF(AND(Employee__2[[#This Row],[Education]]="Bachelors",Employee__2[[#This Row],[City]]="Pune"),"Yes","No")</f>
        <v>No</v>
      </c>
      <c r="P4240" s="1" t="str">
        <f>IF(OR(Employee__2[[#This Row],[Age]]&gt;=30,Employee__2[[#This Row],[Gender]]="Male"),"Mached","Not mached")</f>
        <v>Mached</v>
      </c>
    </row>
    <row r="4241" spans="4:16" x14ac:dyDescent="0.25">
      <c r="D4241" s="6" t="s">
        <v>34</v>
      </c>
      <c r="E4241">
        <v>2014</v>
      </c>
      <c r="F4241" s="6" t="s">
        <v>38</v>
      </c>
      <c r="G4241">
        <v>3</v>
      </c>
      <c r="H4241">
        <v>31</v>
      </c>
      <c r="I4241" s="6" t="s">
        <v>39</v>
      </c>
      <c r="J4241" s="6" t="s">
        <v>37</v>
      </c>
      <c r="K4241">
        <v>2</v>
      </c>
      <c r="M4241" s="1" t="b">
        <f>Employee__2[[#This Row],[Experience]]&gt;1</f>
        <v>1</v>
      </c>
      <c r="N4241" s="1" t="str">
        <f>IF(Employee__2[[#This Row],[City]]="Pune","Yes","No")</f>
        <v>Yes</v>
      </c>
      <c r="O4241" s="1" t="str">
        <f>IF(AND(Employee__2[[#This Row],[Education]]="Bachelors",Employee__2[[#This Row],[City]]="Pune"),"Yes","No")</f>
        <v>Yes</v>
      </c>
      <c r="P4241" s="1" t="str">
        <f>IF(OR(Employee__2[[#This Row],[Age]]&gt;=30,Employee__2[[#This Row],[Gender]]="Male"),"Mached","Not mached")</f>
        <v>Mached</v>
      </c>
    </row>
    <row r="4242" spans="4:16" x14ac:dyDescent="0.25">
      <c r="D4242" s="6" t="s">
        <v>34</v>
      </c>
      <c r="E4242">
        <v>2013</v>
      </c>
      <c r="F4242" s="6" t="s">
        <v>35</v>
      </c>
      <c r="G4242">
        <v>2</v>
      </c>
      <c r="H4242">
        <v>25</v>
      </c>
      <c r="I4242" s="6" t="s">
        <v>36</v>
      </c>
      <c r="J4242" s="6" t="s">
        <v>37</v>
      </c>
      <c r="K4242">
        <v>3</v>
      </c>
      <c r="M4242" s="1" t="b">
        <f>Employee__2[[#This Row],[Experience]]&gt;1</f>
        <v>1</v>
      </c>
      <c r="N4242" s="1" t="str">
        <f>IF(Employee__2[[#This Row],[City]]="Pune","Yes","No")</f>
        <v>No</v>
      </c>
      <c r="O4242" s="1" t="str">
        <f>IF(AND(Employee__2[[#This Row],[Education]]="Bachelors",Employee__2[[#This Row],[City]]="Pune"),"Yes","No")</f>
        <v>No</v>
      </c>
      <c r="P4242" s="1" t="str">
        <f>IF(OR(Employee__2[[#This Row],[Age]]&gt;=30,Employee__2[[#This Row],[Gender]]="Male"),"Mached","Not mached")</f>
        <v>Mached</v>
      </c>
    </row>
    <row r="4243" spans="4:16" x14ac:dyDescent="0.25">
      <c r="D4243" s="6" t="s">
        <v>34</v>
      </c>
      <c r="E4243">
        <v>2012</v>
      </c>
      <c r="F4243" s="6" t="s">
        <v>38</v>
      </c>
      <c r="G4243">
        <v>1</v>
      </c>
      <c r="H4243">
        <v>31</v>
      </c>
      <c r="I4243" s="6" t="s">
        <v>36</v>
      </c>
      <c r="J4243" s="6" t="s">
        <v>37</v>
      </c>
      <c r="K4243">
        <v>4</v>
      </c>
      <c r="M4243" s="1" t="b">
        <f>Employee__2[[#This Row],[Experience]]&gt;1</f>
        <v>1</v>
      </c>
      <c r="N4243" s="1" t="str">
        <f>IF(Employee__2[[#This Row],[City]]="Pune","Yes","No")</f>
        <v>Yes</v>
      </c>
      <c r="O4243" s="1" t="str">
        <f>IF(AND(Employee__2[[#This Row],[Education]]="Bachelors",Employee__2[[#This Row],[City]]="Pune"),"Yes","No")</f>
        <v>Yes</v>
      </c>
      <c r="P4243" s="1" t="str">
        <f>IF(OR(Employee__2[[#This Row],[Age]]&gt;=30,Employee__2[[#This Row],[Gender]]="Male"),"Mached","Not mached")</f>
        <v>Mached</v>
      </c>
    </row>
    <row r="4244" spans="4:16" x14ac:dyDescent="0.25">
      <c r="D4244" s="6" t="s">
        <v>41</v>
      </c>
      <c r="E4244">
        <v>2015</v>
      </c>
      <c r="F4244" s="6" t="s">
        <v>38</v>
      </c>
      <c r="G4244">
        <v>2</v>
      </c>
      <c r="H4244">
        <v>39</v>
      </c>
      <c r="I4244" s="6" t="s">
        <v>39</v>
      </c>
      <c r="J4244" s="6" t="s">
        <v>37</v>
      </c>
      <c r="K4244">
        <v>0</v>
      </c>
      <c r="M4244" s="1" t="b">
        <f>Employee__2[[#This Row],[Experience]]&gt;1</f>
        <v>0</v>
      </c>
      <c r="N4244" s="1" t="str">
        <f>IF(Employee__2[[#This Row],[City]]="Pune","Yes","No")</f>
        <v>Yes</v>
      </c>
      <c r="O4244" s="1" t="str">
        <f>IF(AND(Employee__2[[#This Row],[Education]]="Bachelors",Employee__2[[#This Row],[City]]="Pune"),"Yes","No")</f>
        <v>No</v>
      </c>
      <c r="P4244" s="1" t="str">
        <f>IF(OR(Employee__2[[#This Row],[Age]]&gt;=30,Employee__2[[#This Row],[Gender]]="Male"),"Mached","Not mached")</f>
        <v>Mached</v>
      </c>
    </row>
    <row r="4245" spans="4:16" x14ac:dyDescent="0.25">
      <c r="D4245" s="6" t="s">
        <v>41</v>
      </c>
      <c r="E4245">
        <v>2015</v>
      </c>
      <c r="F4245" s="6" t="s">
        <v>35</v>
      </c>
      <c r="G4245">
        <v>3</v>
      </c>
      <c r="H4245">
        <v>26</v>
      </c>
      <c r="I4245" s="6" t="s">
        <v>36</v>
      </c>
      <c r="J4245" s="6" t="s">
        <v>37</v>
      </c>
      <c r="K4245">
        <v>4</v>
      </c>
      <c r="M4245" s="1" t="b">
        <f>Employee__2[[#This Row],[Experience]]&gt;1</f>
        <v>1</v>
      </c>
      <c r="N4245" s="1" t="str">
        <f>IF(Employee__2[[#This Row],[City]]="Pune","Yes","No")</f>
        <v>No</v>
      </c>
      <c r="O4245" s="1" t="str">
        <f>IF(AND(Employee__2[[#This Row],[Education]]="Bachelors",Employee__2[[#This Row],[City]]="Pune"),"Yes","No")</f>
        <v>No</v>
      </c>
      <c r="P4245" s="1" t="str">
        <f>IF(OR(Employee__2[[#This Row],[Age]]&gt;=30,Employee__2[[#This Row],[Gender]]="Male"),"Mached","Not mached")</f>
        <v>Mached</v>
      </c>
    </row>
    <row r="4246" spans="4:16" x14ac:dyDescent="0.25">
      <c r="D4246" s="6" t="s">
        <v>34</v>
      </c>
      <c r="E4246">
        <v>2017</v>
      </c>
      <c r="F4246" s="6" t="s">
        <v>35</v>
      </c>
      <c r="G4246">
        <v>2</v>
      </c>
      <c r="H4246">
        <v>25</v>
      </c>
      <c r="I4246" s="6" t="s">
        <v>39</v>
      </c>
      <c r="J4246" s="6" t="s">
        <v>37</v>
      </c>
      <c r="K4246">
        <v>3</v>
      </c>
      <c r="M4246" s="1" t="b">
        <f>Employee__2[[#This Row],[Experience]]&gt;1</f>
        <v>1</v>
      </c>
      <c r="N4246" s="1" t="str">
        <f>IF(Employee__2[[#This Row],[City]]="Pune","Yes","No")</f>
        <v>No</v>
      </c>
      <c r="O4246" s="1" t="str">
        <f>IF(AND(Employee__2[[#This Row],[Education]]="Bachelors",Employee__2[[#This Row],[City]]="Pune"),"Yes","No")</f>
        <v>No</v>
      </c>
      <c r="P4246" s="1" t="str">
        <f>IF(OR(Employee__2[[#This Row],[Age]]&gt;=30,Employee__2[[#This Row],[Gender]]="Male"),"Mached","Not mached")</f>
        <v>Not mached</v>
      </c>
    </row>
    <row r="4247" spans="4:16" x14ac:dyDescent="0.25">
      <c r="D4247" s="6" t="s">
        <v>34</v>
      </c>
      <c r="E4247">
        <v>2013</v>
      </c>
      <c r="F4247" s="6" t="s">
        <v>35</v>
      </c>
      <c r="G4247">
        <v>3</v>
      </c>
      <c r="H4247">
        <v>26</v>
      </c>
      <c r="I4247" s="6" t="s">
        <v>36</v>
      </c>
      <c r="J4247" s="6" t="s">
        <v>37</v>
      </c>
      <c r="K4247">
        <v>4</v>
      </c>
      <c r="M4247" s="1" t="b">
        <f>Employee__2[[#This Row],[Experience]]&gt;1</f>
        <v>1</v>
      </c>
      <c r="N4247" s="1" t="str">
        <f>IF(Employee__2[[#This Row],[City]]="Pune","Yes","No")</f>
        <v>No</v>
      </c>
      <c r="O4247" s="1" t="str">
        <f>IF(AND(Employee__2[[#This Row],[Education]]="Bachelors",Employee__2[[#This Row],[City]]="Pune"),"Yes","No")</f>
        <v>No</v>
      </c>
      <c r="P4247" s="1" t="str">
        <f>IF(OR(Employee__2[[#This Row],[Age]]&gt;=30,Employee__2[[#This Row],[Gender]]="Male"),"Mached","Not mached")</f>
        <v>Mached</v>
      </c>
    </row>
    <row r="4248" spans="4:16" x14ac:dyDescent="0.25">
      <c r="D4248" s="6" t="s">
        <v>34</v>
      </c>
      <c r="E4248">
        <v>2013</v>
      </c>
      <c r="F4248" s="6" t="s">
        <v>40</v>
      </c>
      <c r="G4248">
        <v>3</v>
      </c>
      <c r="H4248">
        <v>35</v>
      </c>
      <c r="I4248" s="6" t="s">
        <v>39</v>
      </c>
      <c r="J4248" s="6" t="s">
        <v>37</v>
      </c>
      <c r="K4248">
        <v>0</v>
      </c>
      <c r="M4248" s="1" t="b">
        <f>Employee__2[[#This Row],[Experience]]&gt;1</f>
        <v>0</v>
      </c>
      <c r="N4248" s="1" t="str">
        <f>IF(Employee__2[[#This Row],[City]]="Pune","Yes","No")</f>
        <v>No</v>
      </c>
      <c r="O4248" s="1" t="str">
        <f>IF(AND(Employee__2[[#This Row],[Education]]="Bachelors",Employee__2[[#This Row],[City]]="Pune"),"Yes","No")</f>
        <v>No</v>
      </c>
      <c r="P4248" s="1" t="str">
        <f>IF(OR(Employee__2[[#This Row],[Age]]&gt;=30,Employee__2[[#This Row],[Gender]]="Male"),"Mached","Not mached")</f>
        <v>Mached</v>
      </c>
    </row>
    <row r="4249" spans="4:16" x14ac:dyDescent="0.25">
      <c r="D4249" s="6" t="s">
        <v>34</v>
      </c>
      <c r="E4249">
        <v>2013</v>
      </c>
      <c r="F4249" s="6" t="s">
        <v>38</v>
      </c>
      <c r="G4249">
        <v>2</v>
      </c>
      <c r="H4249">
        <v>28</v>
      </c>
      <c r="I4249" s="6" t="s">
        <v>36</v>
      </c>
      <c r="J4249" s="6" t="s">
        <v>37</v>
      </c>
      <c r="K4249">
        <v>5</v>
      </c>
      <c r="M4249" s="1" t="b">
        <f>Employee__2[[#This Row],[Experience]]&gt;1</f>
        <v>1</v>
      </c>
      <c r="N4249" s="1" t="str">
        <f>IF(Employee__2[[#This Row],[City]]="Pune","Yes","No")</f>
        <v>Yes</v>
      </c>
      <c r="O4249" s="1" t="str">
        <f>IF(AND(Employee__2[[#This Row],[Education]]="Bachelors",Employee__2[[#This Row],[City]]="Pune"),"Yes","No")</f>
        <v>Yes</v>
      </c>
      <c r="P4249" s="1" t="str">
        <f>IF(OR(Employee__2[[#This Row],[Age]]&gt;=30,Employee__2[[#This Row],[Gender]]="Male"),"Mached","Not mached")</f>
        <v>Mached</v>
      </c>
    </row>
    <row r="4250" spans="4:16" x14ac:dyDescent="0.25">
      <c r="D4250" s="6" t="s">
        <v>34</v>
      </c>
      <c r="E4250">
        <v>2012</v>
      </c>
      <c r="F4250" s="6" t="s">
        <v>35</v>
      </c>
      <c r="G4250">
        <v>3</v>
      </c>
      <c r="H4250">
        <v>32</v>
      </c>
      <c r="I4250" s="6" t="s">
        <v>39</v>
      </c>
      <c r="J4250" s="6" t="s">
        <v>37</v>
      </c>
      <c r="K4250">
        <v>0</v>
      </c>
      <c r="M4250" s="1" t="b">
        <f>Employee__2[[#This Row],[Experience]]&gt;1</f>
        <v>0</v>
      </c>
      <c r="N4250" s="1" t="str">
        <f>IF(Employee__2[[#This Row],[City]]="Pune","Yes","No")</f>
        <v>No</v>
      </c>
      <c r="O4250" s="1" t="str">
        <f>IF(AND(Employee__2[[#This Row],[Education]]="Bachelors",Employee__2[[#This Row],[City]]="Pune"),"Yes","No")</f>
        <v>No</v>
      </c>
      <c r="P4250" s="1" t="str">
        <f>IF(OR(Employee__2[[#This Row],[Age]]&gt;=30,Employee__2[[#This Row],[Gender]]="Male"),"Mached","Not mached")</f>
        <v>Mached</v>
      </c>
    </row>
    <row r="4251" spans="4:16" x14ac:dyDescent="0.25">
      <c r="D4251" s="6" t="s">
        <v>41</v>
      </c>
      <c r="E4251">
        <v>2017</v>
      </c>
      <c r="F4251" s="6" t="s">
        <v>40</v>
      </c>
      <c r="G4251">
        <v>2</v>
      </c>
      <c r="H4251">
        <v>22</v>
      </c>
      <c r="I4251" s="6" t="s">
        <v>36</v>
      </c>
      <c r="J4251" s="6" t="s">
        <v>37</v>
      </c>
      <c r="K4251">
        <v>0</v>
      </c>
      <c r="M4251" s="1" t="b">
        <f>Employee__2[[#This Row],[Experience]]&gt;1</f>
        <v>0</v>
      </c>
      <c r="N4251" s="1" t="str">
        <f>IF(Employee__2[[#This Row],[City]]="Pune","Yes","No")</f>
        <v>No</v>
      </c>
      <c r="O4251" s="1" t="str">
        <f>IF(AND(Employee__2[[#This Row],[Education]]="Bachelors",Employee__2[[#This Row],[City]]="Pune"),"Yes","No")</f>
        <v>No</v>
      </c>
      <c r="P4251" s="1" t="str">
        <f>IF(OR(Employee__2[[#This Row],[Age]]&gt;=30,Employee__2[[#This Row],[Gender]]="Male"),"Mached","Not mached")</f>
        <v>Mached</v>
      </c>
    </row>
    <row r="4252" spans="4:16" x14ac:dyDescent="0.25">
      <c r="D4252" s="6" t="s">
        <v>34</v>
      </c>
      <c r="E4252">
        <v>2014</v>
      </c>
      <c r="F4252" s="6" t="s">
        <v>38</v>
      </c>
      <c r="G4252">
        <v>3</v>
      </c>
      <c r="H4252">
        <v>36</v>
      </c>
      <c r="I4252" s="6" t="s">
        <v>39</v>
      </c>
      <c r="J4252" s="6" t="s">
        <v>37</v>
      </c>
      <c r="K4252">
        <v>5</v>
      </c>
      <c r="M4252" s="1" t="b">
        <f>Employee__2[[#This Row],[Experience]]&gt;1</f>
        <v>1</v>
      </c>
      <c r="N4252" s="1" t="str">
        <f>IF(Employee__2[[#This Row],[City]]="Pune","Yes","No")</f>
        <v>Yes</v>
      </c>
      <c r="O4252" s="1" t="str">
        <f>IF(AND(Employee__2[[#This Row],[Education]]="Bachelors",Employee__2[[#This Row],[City]]="Pune"),"Yes","No")</f>
        <v>Yes</v>
      </c>
      <c r="P4252" s="1" t="str">
        <f>IF(OR(Employee__2[[#This Row],[Age]]&gt;=30,Employee__2[[#This Row],[Gender]]="Male"),"Mached","Not mached")</f>
        <v>Mached</v>
      </c>
    </row>
    <row r="4253" spans="4:16" x14ac:dyDescent="0.25">
      <c r="D4253" s="6" t="s">
        <v>34</v>
      </c>
      <c r="E4253">
        <v>2015</v>
      </c>
      <c r="F4253" s="6" t="s">
        <v>35</v>
      </c>
      <c r="G4253">
        <v>3</v>
      </c>
      <c r="H4253">
        <v>38</v>
      </c>
      <c r="I4253" s="6" t="s">
        <v>36</v>
      </c>
      <c r="J4253" s="6" t="s">
        <v>37</v>
      </c>
      <c r="K4253">
        <v>1</v>
      </c>
      <c r="M4253" s="1" t="b">
        <f>Employee__2[[#This Row],[Experience]]&gt;1</f>
        <v>0</v>
      </c>
      <c r="N4253" s="1" t="str">
        <f>IF(Employee__2[[#This Row],[City]]="Pune","Yes","No")</f>
        <v>No</v>
      </c>
      <c r="O4253" s="1" t="str">
        <f>IF(AND(Employee__2[[#This Row],[Education]]="Bachelors",Employee__2[[#This Row],[City]]="Pune"),"Yes","No")</f>
        <v>No</v>
      </c>
      <c r="P4253" s="1" t="str">
        <f>IF(OR(Employee__2[[#This Row],[Age]]&gt;=30,Employee__2[[#This Row],[Gender]]="Male"),"Mached","Not mached")</f>
        <v>Mached</v>
      </c>
    </row>
    <row r="4254" spans="4:16" x14ac:dyDescent="0.25">
      <c r="D4254" s="6" t="s">
        <v>34</v>
      </c>
      <c r="E4254">
        <v>2014</v>
      </c>
      <c r="F4254" s="6" t="s">
        <v>35</v>
      </c>
      <c r="G4254">
        <v>3</v>
      </c>
      <c r="H4254">
        <v>39</v>
      </c>
      <c r="I4254" s="6" t="s">
        <v>39</v>
      </c>
      <c r="J4254" s="6" t="s">
        <v>37</v>
      </c>
      <c r="K4254">
        <v>1</v>
      </c>
      <c r="M4254" s="1" t="b">
        <f>Employee__2[[#This Row],[Experience]]&gt;1</f>
        <v>0</v>
      </c>
      <c r="N4254" s="1" t="str">
        <f>IF(Employee__2[[#This Row],[City]]="Pune","Yes","No")</f>
        <v>No</v>
      </c>
      <c r="O4254" s="1" t="str">
        <f>IF(AND(Employee__2[[#This Row],[Education]]="Bachelors",Employee__2[[#This Row],[City]]="Pune"),"Yes","No")</f>
        <v>No</v>
      </c>
      <c r="P4254" s="1" t="str">
        <f>IF(OR(Employee__2[[#This Row],[Age]]&gt;=30,Employee__2[[#This Row],[Gender]]="Male"),"Mached","Not mached")</f>
        <v>Mached</v>
      </c>
    </row>
    <row r="4255" spans="4:16" x14ac:dyDescent="0.25">
      <c r="D4255" s="6" t="s">
        <v>41</v>
      </c>
      <c r="E4255">
        <v>2017</v>
      </c>
      <c r="F4255" s="6" t="s">
        <v>40</v>
      </c>
      <c r="G4255">
        <v>2</v>
      </c>
      <c r="H4255">
        <v>25</v>
      </c>
      <c r="I4255" s="6" t="s">
        <v>39</v>
      </c>
      <c r="J4255" s="6" t="s">
        <v>37</v>
      </c>
      <c r="K4255">
        <v>3</v>
      </c>
      <c r="M4255" s="1" t="b">
        <f>Employee__2[[#This Row],[Experience]]&gt;1</f>
        <v>1</v>
      </c>
      <c r="N4255" s="1" t="str">
        <f>IF(Employee__2[[#This Row],[City]]="Pune","Yes","No")</f>
        <v>No</v>
      </c>
      <c r="O4255" s="1" t="str">
        <f>IF(AND(Employee__2[[#This Row],[Education]]="Bachelors",Employee__2[[#This Row],[City]]="Pune"),"Yes","No")</f>
        <v>No</v>
      </c>
      <c r="P4255" s="1" t="str">
        <f>IF(OR(Employee__2[[#This Row],[Age]]&gt;=30,Employee__2[[#This Row],[Gender]]="Male"),"Mached","Not mached")</f>
        <v>Not mached</v>
      </c>
    </row>
    <row r="4256" spans="4:16" x14ac:dyDescent="0.25">
      <c r="D4256" s="6" t="s">
        <v>34</v>
      </c>
      <c r="E4256">
        <v>2016</v>
      </c>
      <c r="F4256" s="6" t="s">
        <v>38</v>
      </c>
      <c r="G4256">
        <v>3</v>
      </c>
      <c r="H4256">
        <v>27</v>
      </c>
      <c r="I4256" s="6" t="s">
        <v>36</v>
      </c>
      <c r="J4256" s="6" t="s">
        <v>37</v>
      </c>
      <c r="K4256">
        <v>5</v>
      </c>
      <c r="M4256" s="1" t="b">
        <f>Employee__2[[#This Row],[Experience]]&gt;1</f>
        <v>1</v>
      </c>
      <c r="N4256" s="1" t="str">
        <f>IF(Employee__2[[#This Row],[City]]="Pune","Yes","No")</f>
        <v>Yes</v>
      </c>
      <c r="O4256" s="1" t="str">
        <f>IF(AND(Employee__2[[#This Row],[Education]]="Bachelors",Employee__2[[#This Row],[City]]="Pune"),"Yes","No")</f>
        <v>Yes</v>
      </c>
      <c r="P4256" s="1" t="str">
        <f>IF(OR(Employee__2[[#This Row],[Age]]&gt;=30,Employee__2[[#This Row],[Gender]]="Male"),"Mached","Not mached")</f>
        <v>Mached</v>
      </c>
    </row>
    <row r="4257" spans="4:16" x14ac:dyDescent="0.25">
      <c r="D4257" s="6" t="s">
        <v>41</v>
      </c>
      <c r="E4257">
        <v>2014</v>
      </c>
      <c r="F4257" s="6" t="s">
        <v>38</v>
      </c>
      <c r="G4257">
        <v>3</v>
      </c>
      <c r="H4257">
        <v>38</v>
      </c>
      <c r="I4257" s="6" t="s">
        <v>36</v>
      </c>
      <c r="J4257" s="6" t="s">
        <v>42</v>
      </c>
      <c r="K4257">
        <v>2</v>
      </c>
      <c r="M4257" s="1" t="b">
        <f>Employee__2[[#This Row],[Experience]]&gt;1</f>
        <v>1</v>
      </c>
      <c r="N4257" s="1" t="str">
        <f>IF(Employee__2[[#This Row],[City]]="Pune","Yes","No")</f>
        <v>Yes</v>
      </c>
      <c r="O4257" s="1" t="str">
        <f>IF(AND(Employee__2[[#This Row],[Education]]="Bachelors",Employee__2[[#This Row],[City]]="Pune"),"Yes","No")</f>
        <v>No</v>
      </c>
      <c r="P4257" s="1" t="str">
        <f>IF(OR(Employee__2[[#This Row],[Age]]&gt;=30,Employee__2[[#This Row],[Gender]]="Male"),"Mached","Not mached")</f>
        <v>Mached</v>
      </c>
    </row>
    <row r="4258" spans="4:16" x14ac:dyDescent="0.25">
      <c r="D4258" s="6" t="s">
        <v>34</v>
      </c>
      <c r="E4258">
        <v>2012</v>
      </c>
      <c r="F4258" s="6" t="s">
        <v>40</v>
      </c>
      <c r="G4258">
        <v>3</v>
      </c>
      <c r="H4258">
        <v>22</v>
      </c>
      <c r="I4258" s="6" t="s">
        <v>39</v>
      </c>
      <c r="J4258" s="6" t="s">
        <v>37</v>
      </c>
      <c r="K4258">
        <v>0</v>
      </c>
      <c r="M4258" s="1" t="b">
        <f>Employee__2[[#This Row],[Experience]]&gt;1</f>
        <v>0</v>
      </c>
      <c r="N4258" s="1" t="str">
        <f>IF(Employee__2[[#This Row],[City]]="Pune","Yes","No")</f>
        <v>No</v>
      </c>
      <c r="O4258" s="1" t="str">
        <f>IF(AND(Employee__2[[#This Row],[Education]]="Bachelors",Employee__2[[#This Row],[City]]="Pune"),"Yes","No")</f>
        <v>No</v>
      </c>
      <c r="P4258" s="1" t="str">
        <f>IF(OR(Employee__2[[#This Row],[Age]]&gt;=30,Employee__2[[#This Row],[Gender]]="Male"),"Mached","Not mached")</f>
        <v>Not mached</v>
      </c>
    </row>
    <row r="4259" spans="4:16" x14ac:dyDescent="0.25">
      <c r="D4259" s="6" t="s">
        <v>34</v>
      </c>
      <c r="E4259">
        <v>2013</v>
      </c>
      <c r="F4259" s="6" t="s">
        <v>35</v>
      </c>
      <c r="G4259">
        <v>3</v>
      </c>
      <c r="H4259">
        <v>33</v>
      </c>
      <c r="I4259" s="6" t="s">
        <v>36</v>
      </c>
      <c r="J4259" s="6" t="s">
        <v>37</v>
      </c>
      <c r="K4259">
        <v>2</v>
      </c>
      <c r="M4259" s="1" t="b">
        <f>Employee__2[[#This Row],[Experience]]&gt;1</f>
        <v>1</v>
      </c>
      <c r="N4259" s="1" t="str">
        <f>IF(Employee__2[[#This Row],[City]]="Pune","Yes","No")</f>
        <v>No</v>
      </c>
      <c r="O4259" s="1" t="str">
        <f>IF(AND(Employee__2[[#This Row],[Education]]="Bachelors",Employee__2[[#This Row],[City]]="Pune"),"Yes","No")</f>
        <v>No</v>
      </c>
      <c r="P4259" s="1" t="str">
        <f>IF(OR(Employee__2[[#This Row],[Age]]&gt;=30,Employee__2[[#This Row],[Gender]]="Male"),"Mached","Not mached")</f>
        <v>Mached</v>
      </c>
    </row>
    <row r="4260" spans="4:16" x14ac:dyDescent="0.25">
      <c r="D4260" s="6" t="s">
        <v>34</v>
      </c>
      <c r="E4260">
        <v>2013</v>
      </c>
      <c r="F4260" s="6" t="s">
        <v>38</v>
      </c>
      <c r="G4260">
        <v>3</v>
      </c>
      <c r="H4260">
        <v>24</v>
      </c>
      <c r="I4260" s="6" t="s">
        <v>36</v>
      </c>
      <c r="J4260" s="6" t="s">
        <v>37</v>
      </c>
      <c r="K4260">
        <v>2</v>
      </c>
      <c r="M4260" s="1" t="b">
        <f>Employee__2[[#This Row],[Experience]]&gt;1</f>
        <v>1</v>
      </c>
      <c r="N4260" s="1" t="str">
        <f>IF(Employee__2[[#This Row],[City]]="Pune","Yes","No")</f>
        <v>Yes</v>
      </c>
      <c r="O4260" s="1" t="str">
        <f>IF(AND(Employee__2[[#This Row],[Education]]="Bachelors",Employee__2[[#This Row],[City]]="Pune"),"Yes","No")</f>
        <v>Yes</v>
      </c>
      <c r="P4260" s="1" t="str">
        <f>IF(OR(Employee__2[[#This Row],[Age]]&gt;=30,Employee__2[[#This Row],[Gender]]="Male"),"Mached","Not mached")</f>
        <v>Mached</v>
      </c>
    </row>
    <row r="4261" spans="4:16" x14ac:dyDescent="0.25">
      <c r="D4261" s="6" t="s">
        <v>34</v>
      </c>
      <c r="E4261">
        <v>2014</v>
      </c>
      <c r="F4261" s="6" t="s">
        <v>35</v>
      </c>
      <c r="G4261">
        <v>3</v>
      </c>
      <c r="H4261">
        <v>37</v>
      </c>
      <c r="I4261" s="6" t="s">
        <v>36</v>
      </c>
      <c r="J4261" s="6" t="s">
        <v>37</v>
      </c>
      <c r="K4261">
        <v>5</v>
      </c>
      <c r="M4261" s="1" t="b">
        <f>Employee__2[[#This Row],[Experience]]&gt;1</f>
        <v>1</v>
      </c>
      <c r="N4261" s="1" t="str">
        <f>IF(Employee__2[[#This Row],[City]]="Pune","Yes","No")</f>
        <v>No</v>
      </c>
      <c r="O4261" s="1" t="str">
        <f>IF(AND(Employee__2[[#This Row],[Education]]="Bachelors",Employee__2[[#This Row],[City]]="Pune"),"Yes","No")</f>
        <v>No</v>
      </c>
      <c r="P4261" s="1" t="str">
        <f>IF(OR(Employee__2[[#This Row],[Age]]&gt;=30,Employee__2[[#This Row],[Gender]]="Male"),"Mached","Not mached")</f>
        <v>Mached</v>
      </c>
    </row>
    <row r="4262" spans="4:16" x14ac:dyDescent="0.25">
      <c r="D4262" s="6" t="s">
        <v>34</v>
      </c>
      <c r="E4262">
        <v>2018</v>
      </c>
      <c r="F4262" s="6" t="s">
        <v>38</v>
      </c>
      <c r="G4262">
        <v>3</v>
      </c>
      <c r="H4262">
        <v>28</v>
      </c>
      <c r="I4262" s="6" t="s">
        <v>36</v>
      </c>
      <c r="J4262" s="6" t="s">
        <v>42</v>
      </c>
      <c r="K4262">
        <v>0</v>
      </c>
      <c r="M4262" s="1" t="b">
        <f>Employee__2[[#This Row],[Experience]]&gt;1</f>
        <v>0</v>
      </c>
      <c r="N4262" s="1" t="str">
        <f>IF(Employee__2[[#This Row],[City]]="Pune","Yes","No")</f>
        <v>Yes</v>
      </c>
      <c r="O4262" s="1" t="str">
        <f>IF(AND(Employee__2[[#This Row],[Education]]="Bachelors",Employee__2[[#This Row],[City]]="Pune"),"Yes","No")</f>
        <v>Yes</v>
      </c>
      <c r="P4262" s="1" t="str">
        <f>IF(OR(Employee__2[[#This Row],[Age]]&gt;=30,Employee__2[[#This Row],[Gender]]="Male"),"Mached","Not mached")</f>
        <v>Mached</v>
      </c>
    </row>
    <row r="4263" spans="4:16" x14ac:dyDescent="0.25">
      <c r="D4263" s="6" t="s">
        <v>41</v>
      </c>
      <c r="E4263">
        <v>2017</v>
      </c>
      <c r="F4263" s="6" t="s">
        <v>38</v>
      </c>
      <c r="G4263">
        <v>3</v>
      </c>
      <c r="H4263">
        <v>32</v>
      </c>
      <c r="I4263" s="6" t="s">
        <v>36</v>
      </c>
      <c r="J4263" s="6" t="s">
        <v>42</v>
      </c>
      <c r="K4263">
        <v>2</v>
      </c>
      <c r="M4263" s="1" t="b">
        <f>Employee__2[[#This Row],[Experience]]&gt;1</f>
        <v>1</v>
      </c>
      <c r="N4263" s="1" t="str">
        <f>IF(Employee__2[[#This Row],[City]]="Pune","Yes","No")</f>
        <v>Yes</v>
      </c>
      <c r="O4263" s="1" t="str">
        <f>IF(AND(Employee__2[[#This Row],[Education]]="Bachelors",Employee__2[[#This Row],[City]]="Pune"),"Yes","No")</f>
        <v>No</v>
      </c>
      <c r="P4263" s="1" t="str">
        <f>IF(OR(Employee__2[[#This Row],[Age]]&gt;=30,Employee__2[[#This Row],[Gender]]="Male"),"Mached","Not mached")</f>
        <v>Mached</v>
      </c>
    </row>
    <row r="4264" spans="4:16" x14ac:dyDescent="0.25">
      <c r="D4264" s="6" t="s">
        <v>43</v>
      </c>
      <c r="E4264">
        <v>2016</v>
      </c>
      <c r="F4264" s="6" t="s">
        <v>40</v>
      </c>
      <c r="G4264">
        <v>3</v>
      </c>
      <c r="H4264">
        <v>33</v>
      </c>
      <c r="I4264" s="6" t="s">
        <v>36</v>
      </c>
      <c r="J4264" s="6" t="s">
        <v>37</v>
      </c>
      <c r="K4264">
        <v>0</v>
      </c>
      <c r="M4264" s="1" t="b">
        <f>Employee__2[[#This Row],[Experience]]&gt;1</f>
        <v>0</v>
      </c>
      <c r="N4264" s="1" t="str">
        <f>IF(Employee__2[[#This Row],[City]]="Pune","Yes","No")</f>
        <v>No</v>
      </c>
      <c r="O4264" s="1" t="str">
        <f>IF(AND(Employee__2[[#This Row],[Education]]="Bachelors",Employee__2[[#This Row],[City]]="Pune"),"Yes","No")</f>
        <v>No</v>
      </c>
      <c r="P4264" s="1" t="str">
        <f>IF(OR(Employee__2[[#This Row],[Age]]&gt;=30,Employee__2[[#This Row],[Gender]]="Male"),"Mached","Not mached")</f>
        <v>Mached</v>
      </c>
    </row>
    <row r="4265" spans="4:16" x14ac:dyDescent="0.25">
      <c r="D4265" s="6" t="s">
        <v>34</v>
      </c>
      <c r="E4265">
        <v>2014</v>
      </c>
      <c r="F4265" s="6" t="s">
        <v>40</v>
      </c>
      <c r="G4265">
        <v>3</v>
      </c>
      <c r="H4265">
        <v>32</v>
      </c>
      <c r="I4265" s="6" t="s">
        <v>36</v>
      </c>
      <c r="J4265" s="6" t="s">
        <v>37</v>
      </c>
      <c r="K4265">
        <v>5</v>
      </c>
      <c r="M4265" s="1" t="b">
        <f>Employee__2[[#This Row],[Experience]]&gt;1</f>
        <v>1</v>
      </c>
      <c r="N4265" s="1" t="str">
        <f>IF(Employee__2[[#This Row],[City]]="Pune","Yes","No")</f>
        <v>No</v>
      </c>
      <c r="O4265" s="1" t="str">
        <f>IF(AND(Employee__2[[#This Row],[Education]]="Bachelors",Employee__2[[#This Row],[City]]="Pune"),"Yes","No")</f>
        <v>No</v>
      </c>
      <c r="P4265" s="1" t="str">
        <f>IF(OR(Employee__2[[#This Row],[Age]]&gt;=30,Employee__2[[#This Row],[Gender]]="Male"),"Mached","Not mached")</f>
        <v>Mached</v>
      </c>
    </row>
    <row r="4266" spans="4:16" x14ac:dyDescent="0.25">
      <c r="D4266" s="6" t="s">
        <v>34</v>
      </c>
      <c r="E4266">
        <v>2017</v>
      </c>
      <c r="F4266" s="6" t="s">
        <v>35</v>
      </c>
      <c r="G4266">
        <v>3</v>
      </c>
      <c r="H4266">
        <v>24</v>
      </c>
      <c r="I4266" s="6" t="s">
        <v>36</v>
      </c>
      <c r="J4266" s="6" t="s">
        <v>37</v>
      </c>
      <c r="K4266">
        <v>2</v>
      </c>
      <c r="M4266" s="1" t="b">
        <f>Employee__2[[#This Row],[Experience]]&gt;1</f>
        <v>1</v>
      </c>
      <c r="N4266" s="1" t="str">
        <f>IF(Employee__2[[#This Row],[City]]="Pune","Yes","No")</f>
        <v>No</v>
      </c>
      <c r="O4266" s="1" t="str">
        <f>IF(AND(Employee__2[[#This Row],[Education]]="Bachelors",Employee__2[[#This Row],[City]]="Pune"),"Yes","No")</f>
        <v>No</v>
      </c>
      <c r="P4266" s="1" t="str">
        <f>IF(OR(Employee__2[[#This Row],[Age]]&gt;=30,Employee__2[[#This Row],[Gender]]="Male"),"Mached","Not mached")</f>
        <v>Mached</v>
      </c>
    </row>
    <row r="4267" spans="4:16" x14ac:dyDescent="0.25">
      <c r="D4267" s="6" t="s">
        <v>34</v>
      </c>
      <c r="E4267">
        <v>2016</v>
      </c>
      <c r="F4267" s="6" t="s">
        <v>35</v>
      </c>
      <c r="G4267">
        <v>3</v>
      </c>
      <c r="H4267">
        <v>27</v>
      </c>
      <c r="I4267" s="6" t="s">
        <v>36</v>
      </c>
      <c r="J4267" s="6" t="s">
        <v>42</v>
      </c>
      <c r="K4267">
        <v>5</v>
      </c>
      <c r="M4267" s="1" t="b">
        <f>Employee__2[[#This Row],[Experience]]&gt;1</f>
        <v>1</v>
      </c>
      <c r="N4267" s="1" t="str">
        <f>IF(Employee__2[[#This Row],[City]]="Pune","Yes","No")</f>
        <v>No</v>
      </c>
      <c r="O4267" s="1" t="str">
        <f>IF(AND(Employee__2[[#This Row],[Education]]="Bachelors",Employee__2[[#This Row],[City]]="Pune"),"Yes","No")</f>
        <v>No</v>
      </c>
      <c r="P4267" s="1" t="str">
        <f>IF(OR(Employee__2[[#This Row],[Age]]&gt;=30,Employee__2[[#This Row],[Gender]]="Male"),"Mached","Not mached")</f>
        <v>Mached</v>
      </c>
    </row>
    <row r="4268" spans="4:16" x14ac:dyDescent="0.25">
      <c r="D4268" s="6" t="s">
        <v>34</v>
      </c>
      <c r="E4268">
        <v>2012</v>
      </c>
      <c r="F4268" s="6" t="s">
        <v>38</v>
      </c>
      <c r="G4268">
        <v>2</v>
      </c>
      <c r="H4268">
        <v>35</v>
      </c>
      <c r="I4268" s="6" t="s">
        <v>39</v>
      </c>
      <c r="J4268" s="6" t="s">
        <v>37</v>
      </c>
      <c r="K4268">
        <v>2</v>
      </c>
      <c r="M4268" s="1" t="b">
        <f>Employee__2[[#This Row],[Experience]]&gt;1</f>
        <v>1</v>
      </c>
      <c r="N4268" s="1" t="str">
        <f>IF(Employee__2[[#This Row],[City]]="Pune","Yes","No")</f>
        <v>Yes</v>
      </c>
      <c r="O4268" s="1" t="str">
        <f>IF(AND(Employee__2[[#This Row],[Education]]="Bachelors",Employee__2[[#This Row],[City]]="Pune"),"Yes","No")</f>
        <v>Yes</v>
      </c>
      <c r="P4268" s="1" t="str">
        <f>IF(OR(Employee__2[[#This Row],[Age]]&gt;=30,Employee__2[[#This Row],[Gender]]="Male"),"Mached","Not mached")</f>
        <v>Mached</v>
      </c>
    </row>
    <row r="4269" spans="4:16" x14ac:dyDescent="0.25">
      <c r="D4269" s="6" t="s">
        <v>43</v>
      </c>
      <c r="E4269">
        <v>2013</v>
      </c>
      <c r="F4269" s="6" t="s">
        <v>35</v>
      </c>
      <c r="G4269">
        <v>3</v>
      </c>
      <c r="H4269">
        <v>40</v>
      </c>
      <c r="I4269" s="6" t="s">
        <v>36</v>
      </c>
      <c r="J4269" s="6" t="s">
        <v>37</v>
      </c>
      <c r="K4269">
        <v>1</v>
      </c>
      <c r="M4269" s="1" t="b">
        <f>Employee__2[[#This Row],[Experience]]&gt;1</f>
        <v>0</v>
      </c>
      <c r="N4269" s="1" t="str">
        <f>IF(Employee__2[[#This Row],[City]]="Pune","Yes","No")</f>
        <v>No</v>
      </c>
      <c r="O4269" s="1" t="str">
        <f>IF(AND(Employee__2[[#This Row],[Education]]="Bachelors",Employee__2[[#This Row],[City]]="Pune"),"Yes","No")</f>
        <v>No</v>
      </c>
      <c r="P4269" s="1" t="str">
        <f>IF(OR(Employee__2[[#This Row],[Age]]&gt;=30,Employee__2[[#This Row],[Gender]]="Male"),"Mached","Not mached")</f>
        <v>Mached</v>
      </c>
    </row>
    <row r="4270" spans="4:16" x14ac:dyDescent="0.25">
      <c r="D4270" s="6" t="s">
        <v>34</v>
      </c>
      <c r="E4270">
        <v>2017</v>
      </c>
      <c r="F4270" s="6" t="s">
        <v>40</v>
      </c>
      <c r="G4270">
        <v>2</v>
      </c>
      <c r="H4270">
        <v>34</v>
      </c>
      <c r="I4270" s="6" t="s">
        <v>39</v>
      </c>
      <c r="J4270" s="6" t="s">
        <v>37</v>
      </c>
      <c r="K4270">
        <v>4</v>
      </c>
      <c r="M4270" s="1" t="b">
        <f>Employee__2[[#This Row],[Experience]]&gt;1</f>
        <v>1</v>
      </c>
      <c r="N4270" s="1" t="str">
        <f>IF(Employee__2[[#This Row],[City]]="Pune","Yes","No")</f>
        <v>No</v>
      </c>
      <c r="O4270" s="1" t="str">
        <f>IF(AND(Employee__2[[#This Row],[Education]]="Bachelors",Employee__2[[#This Row],[City]]="Pune"),"Yes","No")</f>
        <v>No</v>
      </c>
      <c r="P4270" s="1" t="str">
        <f>IF(OR(Employee__2[[#This Row],[Age]]&gt;=30,Employee__2[[#This Row],[Gender]]="Male"),"Mached","Not mached")</f>
        <v>Mached</v>
      </c>
    </row>
    <row r="4271" spans="4:16" x14ac:dyDescent="0.25">
      <c r="D4271" s="6" t="s">
        <v>34</v>
      </c>
      <c r="E4271">
        <v>2016</v>
      </c>
      <c r="F4271" s="6" t="s">
        <v>40</v>
      </c>
      <c r="G4271">
        <v>3</v>
      </c>
      <c r="H4271">
        <v>39</v>
      </c>
      <c r="I4271" s="6" t="s">
        <v>39</v>
      </c>
      <c r="J4271" s="6" t="s">
        <v>37</v>
      </c>
      <c r="K4271">
        <v>0</v>
      </c>
      <c r="M4271" s="1" t="b">
        <f>Employee__2[[#This Row],[Experience]]&gt;1</f>
        <v>0</v>
      </c>
      <c r="N4271" s="1" t="str">
        <f>IF(Employee__2[[#This Row],[City]]="Pune","Yes","No")</f>
        <v>No</v>
      </c>
      <c r="O4271" s="1" t="str">
        <f>IF(AND(Employee__2[[#This Row],[Education]]="Bachelors",Employee__2[[#This Row],[City]]="Pune"),"Yes","No")</f>
        <v>No</v>
      </c>
      <c r="P4271" s="1" t="str">
        <f>IF(OR(Employee__2[[#This Row],[Age]]&gt;=30,Employee__2[[#This Row],[Gender]]="Male"),"Mached","Not mached")</f>
        <v>Mached</v>
      </c>
    </row>
    <row r="4272" spans="4:16" x14ac:dyDescent="0.25">
      <c r="D4272" s="6" t="s">
        <v>34</v>
      </c>
      <c r="E4272">
        <v>2014</v>
      </c>
      <c r="F4272" s="6" t="s">
        <v>38</v>
      </c>
      <c r="G4272">
        <v>3</v>
      </c>
      <c r="H4272">
        <v>26</v>
      </c>
      <c r="I4272" s="6" t="s">
        <v>36</v>
      </c>
      <c r="J4272" s="6" t="s">
        <v>37</v>
      </c>
      <c r="K4272">
        <v>4</v>
      </c>
      <c r="M4272" s="1" t="b">
        <f>Employee__2[[#This Row],[Experience]]&gt;1</f>
        <v>1</v>
      </c>
      <c r="N4272" s="1" t="str">
        <f>IF(Employee__2[[#This Row],[City]]="Pune","Yes","No")</f>
        <v>Yes</v>
      </c>
      <c r="O4272" s="1" t="str">
        <f>IF(AND(Employee__2[[#This Row],[Education]]="Bachelors",Employee__2[[#This Row],[City]]="Pune"),"Yes","No")</f>
        <v>Yes</v>
      </c>
      <c r="P4272" s="1" t="str">
        <f>IF(OR(Employee__2[[#This Row],[Age]]&gt;=30,Employee__2[[#This Row],[Gender]]="Male"),"Mached","Not mached")</f>
        <v>Mached</v>
      </c>
    </row>
    <row r="4273" spans="4:16" x14ac:dyDescent="0.25">
      <c r="D4273" s="6" t="s">
        <v>41</v>
      </c>
      <c r="E4273">
        <v>2015</v>
      </c>
      <c r="F4273" s="6" t="s">
        <v>38</v>
      </c>
      <c r="G4273">
        <v>2</v>
      </c>
      <c r="H4273">
        <v>29</v>
      </c>
      <c r="I4273" s="6" t="s">
        <v>39</v>
      </c>
      <c r="J4273" s="6" t="s">
        <v>37</v>
      </c>
      <c r="K4273">
        <v>2</v>
      </c>
      <c r="M4273" s="1" t="b">
        <f>Employee__2[[#This Row],[Experience]]&gt;1</f>
        <v>1</v>
      </c>
      <c r="N4273" s="1" t="str">
        <f>IF(Employee__2[[#This Row],[City]]="Pune","Yes","No")</f>
        <v>Yes</v>
      </c>
      <c r="O4273" s="1" t="str">
        <f>IF(AND(Employee__2[[#This Row],[Education]]="Bachelors",Employee__2[[#This Row],[City]]="Pune"),"Yes","No")</f>
        <v>No</v>
      </c>
      <c r="P4273" s="1" t="str">
        <f>IF(OR(Employee__2[[#This Row],[Age]]&gt;=30,Employee__2[[#This Row],[Gender]]="Male"),"Mached","Not mached")</f>
        <v>Not mached</v>
      </c>
    </row>
    <row r="4274" spans="4:16" x14ac:dyDescent="0.25">
      <c r="D4274" s="6" t="s">
        <v>34</v>
      </c>
      <c r="E4274">
        <v>2013</v>
      </c>
      <c r="F4274" s="6" t="s">
        <v>35</v>
      </c>
      <c r="G4274">
        <v>3</v>
      </c>
      <c r="H4274">
        <v>29</v>
      </c>
      <c r="I4274" s="6" t="s">
        <v>36</v>
      </c>
      <c r="J4274" s="6" t="s">
        <v>37</v>
      </c>
      <c r="K4274">
        <v>4</v>
      </c>
      <c r="M4274" s="1" t="b">
        <f>Employee__2[[#This Row],[Experience]]&gt;1</f>
        <v>1</v>
      </c>
      <c r="N4274" s="1" t="str">
        <f>IF(Employee__2[[#This Row],[City]]="Pune","Yes","No")</f>
        <v>No</v>
      </c>
      <c r="O4274" s="1" t="str">
        <f>IF(AND(Employee__2[[#This Row],[Education]]="Bachelors",Employee__2[[#This Row],[City]]="Pune"),"Yes","No")</f>
        <v>No</v>
      </c>
      <c r="P4274" s="1" t="str">
        <f>IF(OR(Employee__2[[#This Row],[Age]]&gt;=30,Employee__2[[#This Row],[Gender]]="Male"),"Mached","Not mached")</f>
        <v>Mached</v>
      </c>
    </row>
    <row r="4275" spans="4:16" x14ac:dyDescent="0.25">
      <c r="D4275" s="6" t="s">
        <v>34</v>
      </c>
      <c r="E4275">
        <v>2015</v>
      </c>
      <c r="F4275" s="6" t="s">
        <v>38</v>
      </c>
      <c r="G4275">
        <v>2</v>
      </c>
      <c r="H4275">
        <v>23</v>
      </c>
      <c r="I4275" s="6" t="s">
        <v>39</v>
      </c>
      <c r="J4275" s="6" t="s">
        <v>42</v>
      </c>
      <c r="K4275">
        <v>1</v>
      </c>
      <c r="M4275" s="1" t="b">
        <f>Employee__2[[#This Row],[Experience]]&gt;1</f>
        <v>0</v>
      </c>
      <c r="N4275" s="1" t="str">
        <f>IF(Employee__2[[#This Row],[City]]="Pune","Yes","No")</f>
        <v>Yes</v>
      </c>
      <c r="O4275" s="1" t="str">
        <f>IF(AND(Employee__2[[#This Row],[Education]]="Bachelors",Employee__2[[#This Row],[City]]="Pune"),"Yes","No")</f>
        <v>Yes</v>
      </c>
      <c r="P4275" s="1" t="str">
        <f>IF(OR(Employee__2[[#This Row],[Age]]&gt;=30,Employee__2[[#This Row],[Gender]]="Male"),"Mached","Not mached")</f>
        <v>Not mached</v>
      </c>
    </row>
    <row r="4276" spans="4:16" x14ac:dyDescent="0.25">
      <c r="D4276" s="6" t="s">
        <v>34</v>
      </c>
      <c r="E4276">
        <v>2015</v>
      </c>
      <c r="F4276" s="6" t="s">
        <v>38</v>
      </c>
      <c r="G4276">
        <v>3</v>
      </c>
      <c r="H4276">
        <v>32</v>
      </c>
      <c r="I4276" s="6" t="s">
        <v>36</v>
      </c>
      <c r="J4276" s="6" t="s">
        <v>37</v>
      </c>
      <c r="K4276">
        <v>0</v>
      </c>
      <c r="M4276" s="1" t="b">
        <f>Employee__2[[#This Row],[Experience]]&gt;1</f>
        <v>0</v>
      </c>
      <c r="N4276" s="1" t="str">
        <f>IF(Employee__2[[#This Row],[City]]="Pune","Yes","No")</f>
        <v>Yes</v>
      </c>
      <c r="O4276" s="1" t="str">
        <f>IF(AND(Employee__2[[#This Row],[Education]]="Bachelors",Employee__2[[#This Row],[City]]="Pune"),"Yes","No")</f>
        <v>Yes</v>
      </c>
      <c r="P4276" s="1" t="str">
        <f>IF(OR(Employee__2[[#This Row],[Age]]&gt;=30,Employee__2[[#This Row],[Gender]]="Male"),"Mached","Not mached")</f>
        <v>Mached</v>
      </c>
    </row>
    <row r="4277" spans="4:16" x14ac:dyDescent="0.25">
      <c r="D4277" s="6" t="s">
        <v>34</v>
      </c>
      <c r="E4277">
        <v>2014</v>
      </c>
      <c r="F4277" s="6" t="s">
        <v>38</v>
      </c>
      <c r="G4277">
        <v>3</v>
      </c>
      <c r="H4277">
        <v>28</v>
      </c>
      <c r="I4277" s="6" t="s">
        <v>36</v>
      </c>
      <c r="J4277" s="6" t="s">
        <v>42</v>
      </c>
      <c r="K4277">
        <v>4</v>
      </c>
      <c r="M4277" s="1" t="b">
        <f>Employee__2[[#This Row],[Experience]]&gt;1</f>
        <v>1</v>
      </c>
      <c r="N4277" s="1" t="str">
        <f>IF(Employee__2[[#This Row],[City]]="Pune","Yes","No")</f>
        <v>Yes</v>
      </c>
      <c r="O4277" s="1" t="str">
        <f>IF(AND(Employee__2[[#This Row],[Education]]="Bachelors",Employee__2[[#This Row],[City]]="Pune"),"Yes","No")</f>
        <v>Yes</v>
      </c>
      <c r="P4277" s="1" t="str">
        <f>IF(OR(Employee__2[[#This Row],[Age]]&gt;=30,Employee__2[[#This Row],[Gender]]="Male"),"Mached","Not mached")</f>
        <v>Mached</v>
      </c>
    </row>
    <row r="4278" spans="4:16" x14ac:dyDescent="0.25">
      <c r="D4278" s="6" t="s">
        <v>41</v>
      </c>
      <c r="E4278">
        <v>2013</v>
      </c>
      <c r="F4278" s="6" t="s">
        <v>40</v>
      </c>
      <c r="G4278">
        <v>2</v>
      </c>
      <c r="H4278">
        <v>32</v>
      </c>
      <c r="I4278" s="6" t="s">
        <v>36</v>
      </c>
      <c r="J4278" s="6" t="s">
        <v>42</v>
      </c>
      <c r="K4278">
        <v>2</v>
      </c>
      <c r="M4278" s="1" t="b">
        <f>Employee__2[[#This Row],[Experience]]&gt;1</f>
        <v>1</v>
      </c>
      <c r="N4278" s="1" t="str">
        <f>IF(Employee__2[[#This Row],[City]]="Pune","Yes","No")</f>
        <v>No</v>
      </c>
      <c r="O4278" s="1" t="str">
        <f>IF(AND(Employee__2[[#This Row],[Education]]="Bachelors",Employee__2[[#This Row],[City]]="Pune"),"Yes","No")</f>
        <v>No</v>
      </c>
      <c r="P4278" s="1" t="str">
        <f>IF(OR(Employee__2[[#This Row],[Age]]&gt;=30,Employee__2[[#This Row],[Gender]]="Male"),"Mached","Not mached")</f>
        <v>Mached</v>
      </c>
    </row>
    <row r="4279" spans="4:16" x14ac:dyDescent="0.25">
      <c r="D4279" s="6" t="s">
        <v>34</v>
      </c>
      <c r="E4279">
        <v>2012</v>
      </c>
      <c r="F4279" s="6" t="s">
        <v>40</v>
      </c>
      <c r="G4279">
        <v>3</v>
      </c>
      <c r="H4279">
        <v>32</v>
      </c>
      <c r="I4279" s="6" t="s">
        <v>39</v>
      </c>
      <c r="J4279" s="6" t="s">
        <v>37</v>
      </c>
      <c r="K4279">
        <v>0</v>
      </c>
      <c r="M4279" s="1" t="b">
        <f>Employee__2[[#This Row],[Experience]]&gt;1</f>
        <v>0</v>
      </c>
      <c r="N4279" s="1" t="str">
        <f>IF(Employee__2[[#This Row],[City]]="Pune","Yes","No")</f>
        <v>No</v>
      </c>
      <c r="O4279" s="1" t="str">
        <f>IF(AND(Employee__2[[#This Row],[Education]]="Bachelors",Employee__2[[#This Row],[City]]="Pune"),"Yes","No")</f>
        <v>No</v>
      </c>
      <c r="P4279" s="1" t="str">
        <f>IF(OR(Employee__2[[#This Row],[Age]]&gt;=30,Employee__2[[#This Row],[Gender]]="Male"),"Mached","Not mached")</f>
        <v>Mached</v>
      </c>
    </row>
    <row r="4280" spans="4:16" x14ac:dyDescent="0.25">
      <c r="D4280" s="6" t="s">
        <v>34</v>
      </c>
      <c r="E4280">
        <v>2013</v>
      </c>
      <c r="F4280" s="6" t="s">
        <v>35</v>
      </c>
      <c r="G4280">
        <v>3</v>
      </c>
      <c r="H4280">
        <v>38</v>
      </c>
      <c r="I4280" s="6" t="s">
        <v>36</v>
      </c>
      <c r="J4280" s="6" t="s">
        <v>37</v>
      </c>
      <c r="K4280">
        <v>0</v>
      </c>
      <c r="M4280" s="1" t="b">
        <f>Employee__2[[#This Row],[Experience]]&gt;1</f>
        <v>0</v>
      </c>
      <c r="N4280" s="1" t="str">
        <f>IF(Employee__2[[#This Row],[City]]="Pune","Yes","No")</f>
        <v>No</v>
      </c>
      <c r="O4280" s="1" t="str">
        <f>IF(AND(Employee__2[[#This Row],[Education]]="Bachelors",Employee__2[[#This Row],[City]]="Pune"),"Yes","No")</f>
        <v>No</v>
      </c>
      <c r="P4280" s="1" t="str">
        <f>IF(OR(Employee__2[[#This Row],[Age]]&gt;=30,Employee__2[[#This Row],[Gender]]="Male"),"Mached","Not mached")</f>
        <v>Mached</v>
      </c>
    </row>
    <row r="4281" spans="4:16" x14ac:dyDescent="0.25">
      <c r="D4281" s="6" t="s">
        <v>43</v>
      </c>
      <c r="E4281">
        <v>2017</v>
      </c>
      <c r="F4281" s="6" t="s">
        <v>38</v>
      </c>
      <c r="G4281">
        <v>3</v>
      </c>
      <c r="H4281">
        <v>30</v>
      </c>
      <c r="I4281" s="6" t="s">
        <v>36</v>
      </c>
      <c r="J4281" s="6" t="s">
        <v>37</v>
      </c>
      <c r="K4281">
        <v>5</v>
      </c>
      <c r="M4281" s="1" t="b">
        <f>Employee__2[[#This Row],[Experience]]&gt;1</f>
        <v>1</v>
      </c>
      <c r="N4281" s="1" t="str">
        <f>IF(Employee__2[[#This Row],[City]]="Pune","Yes","No")</f>
        <v>Yes</v>
      </c>
      <c r="O4281" s="1" t="str">
        <f>IF(AND(Employee__2[[#This Row],[Education]]="Bachelors",Employee__2[[#This Row],[City]]="Pune"),"Yes","No")</f>
        <v>No</v>
      </c>
      <c r="P4281" s="1" t="str">
        <f>IF(OR(Employee__2[[#This Row],[Age]]&gt;=30,Employee__2[[#This Row],[Gender]]="Male"),"Mached","Not mached")</f>
        <v>Mached</v>
      </c>
    </row>
    <row r="4282" spans="4:16" x14ac:dyDescent="0.25">
      <c r="D4282" s="6" t="s">
        <v>43</v>
      </c>
      <c r="E4282">
        <v>2015</v>
      </c>
      <c r="F4282" s="6" t="s">
        <v>40</v>
      </c>
      <c r="G4282">
        <v>3</v>
      </c>
      <c r="H4282">
        <v>31</v>
      </c>
      <c r="I4282" s="6" t="s">
        <v>36</v>
      </c>
      <c r="J4282" s="6" t="s">
        <v>37</v>
      </c>
      <c r="K4282">
        <v>3</v>
      </c>
      <c r="M4282" s="1" t="b">
        <f>Employee__2[[#This Row],[Experience]]&gt;1</f>
        <v>1</v>
      </c>
      <c r="N4282" s="1" t="str">
        <f>IF(Employee__2[[#This Row],[City]]="Pune","Yes","No")</f>
        <v>No</v>
      </c>
      <c r="O4282" s="1" t="str">
        <f>IF(AND(Employee__2[[#This Row],[Education]]="Bachelors",Employee__2[[#This Row],[City]]="Pune"),"Yes","No")</f>
        <v>No</v>
      </c>
      <c r="P4282" s="1" t="str">
        <f>IF(OR(Employee__2[[#This Row],[Age]]&gt;=30,Employee__2[[#This Row],[Gender]]="Male"),"Mached","Not mached")</f>
        <v>Mached</v>
      </c>
    </row>
    <row r="4283" spans="4:16" x14ac:dyDescent="0.25">
      <c r="D4283" s="6" t="s">
        <v>34</v>
      </c>
      <c r="E4283">
        <v>2012</v>
      </c>
      <c r="F4283" s="6" t="s">
        <v>35</v>
      </c>
      <c r="G4283">
        <v>3</v>
      </c>
      <c r="H4283">
        <v>25</v>
      </c>
      <c r="I4283" s="6" t="s">
        <v>36</v>
      </c>
      <c r="J4283" s="6" t="s">
        <v>37</v>
      </c>
      <c r="K4283">
        <v>3</v>
      </c>
      <c r="M4283" s="1" t="b">
        <f>Employee__2[[#This Row],[Experience]]&gt;1</f>
        <v>1</v>
      </c>
      <c r="N4283" s="1" t="str">
        <f>IF(Employee__2[[#This Row],[City]]="Pune","Yes","No")</f>
        <v>No</v>
      </c>
      <c r="O4283" s="1" t="str">
        <f>IF(AND(Employee__2[[#This Row],[Education]]="Bachelors",Employee__2[[#This Row],[City]]="Pune"),"Yes","No")</f>
        <v>No</v>
      </c>
      <c r="P4283" s="1" t="str">
        <f>IF(OR(Employee__2[[#This Row],[Age]]&gt;=30,Employee__2[[#This Row],[Gender]]="Male"),"Mached","Not mached")</f>
        <v>Mached</v>
      </c>
    </row>
    <row r="4284" spans="4:16" x14ac:dyDescent="0.25">
      <c r="D4284" s="6" t="s">
        <v>34</v>
      </c>
      <c r="E4284">
        <v>2013</v>
      </c>
      <c r="F4284" s="6" t="s">
        <v>35</v>
      </c>
      <c r="G4284">
        <v>3</v>
      </c>
      <c r="H4284">
        <v>37</v>
      </c>
      <c r="I4284" s="6" t="s">
        <v>39</v>
      </c>
      <c r="J4284" s="6" t="s">
        <v>37</v>
      </c>
      <c r="K4284">
        <v>4</v>
      </c>
      <c r="M4284" s="1" t="b">
        <f>Employee__2[[#This Row],[Experience]]&gt;1</f>
        <v>1</v>
      </c>
      <c r="N4284" s="1" t="str">
        <f>IF(Employee__2[[#This Row],[City]]="Pune","Yes","No")</f>
        <v>No</v>
      </c>
      <c r="O4284" s="1" t="str">
        <f>IF(AND(Employee__2[[#This Row],[Education]]="Bachelors",Employee__2[[#This Row],[City]]="Pune"),"Yes","No")</f>
        <v>No</v>
      </c>
      <c r="P4284" s="1" t="str">
        <f>IF(OR(Employee__2[[#This Row],[Age]]&gt;=30,Employee__2[[#This Row],[Gender]]="Male"),"Mached","Not mached")</f>
        <v>Mached</v>
      </c>
    </row>
    <row r="4285" spans="4:16" x14ac:dyDescent="0.25">
      <c r="D4285" s="6" t="s">
        <v>41</v>
      </c>
      <c r="E4285">
        <v>2017</v>
      </c>
      <c r="F4285" s="6" t="s">
        <v>40</v>
      </c>
      <c r="G4285">
        <v>2</v>
      </c>
      <c r="H4285">
        <v>27</v>
      </c>
      <c r="I4285" s="6" t="s">
        <v>36</v>
      </c>
      <c r="J4285" s="6" t="s">
        <v>37</v>
      </c>
      <c r="K4285">
        <v>5</v>
      </c>
      <c r="M4285" s="1" t="b">
        <f>Employee__2[[#This Row],[Experience]]&gt;1</f>
        <v>1</v>
      </c>
      <c r="N4285" s="1" t="str">
        <f>IF(Employee__2[[#This Row],[City]]="Pune","Yes","No")</f>
        <v>No</v>
      </c>
      <c r="O4285" s="1" t="str">
        <f>IF(AND(Employee__2[[#This Row],[Education]]="Bachelors",Employee__2[[#This Row],[City]]="Pune"),"Yes","No")</f>
        <v>No</v>
      </c>
      <c r="P4285" s="1" t="str">
        <f>IF(OR(Employee__2[[#This Row],[Age]]&gt;=30,Employee__2[[#This Row],[Gender]]="Male"),"Mached","Not mached")</f>
        <v>Mached</v>
      </c>
    </row>
    <row r="4286" spans="4:16" x14ac:dyDescent="0.25">
      <c r="D4286" s="6" t="s">
        <v>34</v>
      </c>
      <c r="E4286">
        <v>2013</v>
      </c>
      <c r="F4286" s="6" t="s">
        <v>40</v>
      </c>
      <c r="G4286">
        <v>3</v>
      </c>
      <c r="H4286">
        <v>25</v>
      </c>
      <c r="I4286" s="6" t="s">
        <v>39</v>
      </c>
      <c r="J4286" s="6" t="s">
        <v>37</v>
      </c>
      <c r="K4286">
        <v>3</v>
      </c>
      <c r="M4286" s="1" t="b">
        <f>Employee__2[[#This Row],[Experience]]&gt;1</f>
        <v>1</v>
      </c>
      <c r="N4286" s="1" t="str">
        <f>IF(Employee__2[[#This Row],[City]]="Pune","Yes","No")</f>
        <v>No</v>
      </c>
      <c r="O4286" s="1" t="str">
        <f>IF(AND(Employee__2[[#This Row],[Education]]="Bachelors",Employee__2[[#This Row],[City]]="Pune"),"Yes","No")</f>
        <v>No</v>
      </c>
      <c r="P4286" s="1" t="str">
        <f>IF(OR(Employee__2[[#This Row],[Age]]&gt;=30,Employee__2[[#This Row],[Gender]]="Male"),"Mached","Not mached")</f>
        <v>Not mached</v>
      </c>
    </row>
    <row r="4287" spans="4:16" x14ac:dyDescent="0.25">
      <c r="D4287" s="6" t="s">
        <v>34</v>
      </c>
      <c r="E4287">
        <v>2015</v>
      </c>
      <c r="F4287" s="6" t="s">
        <v>38</v>
      </c>
      <c r="G4287">
        <v>2</v>
      </c>
      <c r="H4287">
        <v>22</v>
      </c>
      <c r="I4287" s="6" t="s">
        <v>39</v>
      </c>
      <c r="J4287" s="6" t="s">
        <v>37</v>
      </c>
      <c r="K4287">
        <v>0</v>
      </c>
      <c r="M4287" s="1" t="b">
        <f>Employee__2[[#This Row],[Experience]]&gt;1</f>
        <v>0</v>
      </c>
      <c r="N4287" s="1" t="str">
        <f>IF(Employee__2[[#This Row],[City]]="Pune","Yes","No")</f>
        <v>Yes</v>
      </c>
      <c r="O4287" s="1" t="str">
        <f>IF(AND(Employee__2[[#This Row],[Education]]="Bachelors",Employee__2[[#This Row],[City]]="Pune"),"Yes","No")</f>
        <v>Yes</v>
      </c>
      <c r="P4287" s="1" t="str">
        <f>IF(OR(Employee__2[[#This Row],[Age]]&gt;=30,Employee__2[[#This Row],[Gender]]="Male"),"Mached","Not mached")</f>
        <v>Not mached</v>
      </c>
    </row>
    <row r="4288" spans="4:16" x14ac:dyDescent="0.25">
      <c r="D4288" s="6" t="s">
        <v>34</v>
      </c>
      <c r="E4288">
        <v>2018</v>
      </c>
      <c r="F4288" s="6" t="s">
        <v>35</v>
      </c>
      <c r="G4288">
        <v>3</v>
      </c>
      <c r="H4288">
        <v>38</v>
      </c>
      <c r="I4288" s="6" t="s">
        <v>36</v>
      </c>
      <c r="J4288" s="6" t="s">
        <v>37</v>
      </c>
      <c r="K4288">
        <v>2</v>
      </c>
      <c r="M4288" s="1" t="b">
        <f>Employee__2[[#This Row],[Experience]]&gt;1</f>
        <v>1</v>
      </c>
      <c r="N4288" s="1" t="str">
        <f>IF(Employee__2[[#This Row],[City]]="Pune","Yes","No")</f>
        <v>No</v>
      </c>
      <c r="O4288" s="1" t="str">
        <f>IF(AND(Employee__2[[#This Row],[Education]]="Bachelors",Employee__2[[#This Row],[City]]="Pune"),"Yes","No")</f>
        <v>No</v>
      </c>
      <c r="P4288" s="1" t="str">
        <f>IF(OR(Employee__2[[#This Row],[Age]]&gt;=30,Employee__2[[#This Row],[Gender]]="Male"),"Mached","Not mached")</f>
        <v>Mached</v>
      </c>
    </row>
    <row r="4289" spans="4:16" x14ac:dyDescent="0.25">
      <c r="D4289" s="6" t="s">
        <v>34</v>
      </c>
      <c r="E4289">
        <v>2015</v>
      </c>
      <c r="F4289" s="6" t="s">
        <v>40</v>
      </c>
      <c r="G4289">
        <v>3</v>
      </c>
      <c r="H4289">
        <v>22</v>
      </c>
      <c r="I4289" s="6" t="s">
        <v>36</v>
      </c>
      <c r="J4289" s="6" t="s">
        <v>37</v>
      </c>
      <c r="K4289">
        <v>0</v>
      </c>
      <c r="M4289" s="1" t="b">
        <f>Employee__2[[#This Row],[Experience]]&gt;1</f>
        <v>0</v>
      </c>
      <c r="N4289" s="1" t="str">
        <f>IF(Employee__2[[#This Row],[City]]="Pune","Yes","No")</f>
        <v>No</v>
      </c>
      <c r="O4289" s="1" t="str">
        <f>IF(AND(Employee__2[[#This Row],[Education]]="Bachelors",Employee__2[[#This Row],[City]]="Pune"),"Yes","No")</f>
        <v>No</v>
      </c>
      <c r="P4289" s="1" t="str">
        <f>IF(OR(Employee__2[[#This Row],[Age]]&gt;=30,Employee__2[[#This Row],[Gender]]="Male"),"Mached","Not mached")</f>
        <v>Mached</v>
      </c>
    </row>
    <row r="4290" spans="4:16" x14ac:dyDescent="0.25">
      <c r="D4290" s="6" t="s">
        <v>34</v>
      </c>
      <c r="E4290">
        <v>2017</v>
      </c>
      <c r="F4290" s="6" t="s">
        <v>38</v>
      </c>
      <c r="G4290">
        <v>3</v>
      </c>
      <c r="H4290">
        <v>38</v>
      </c>
      <c r="I4290" s="6" t="s">
        <v>36</v>
      </c>
      <c r="J4290" s="6" t="s">
        <v>37</v>
      </c>
      <c r="K4290">
        <v>2</v>
      </c>
      <c r="M4290" s="1" t="b">
        <f>Employee__2[[#This Row],[Experience]]&gt;1</f>
        <v>1</v>
      </c>
      <c r="N4290" s="1" t="str">
        <f>IF(Employee__2[[#This Row],[City]]="Pune","Yes","No")</f>
        <v>Yes</v>
      </c>
      <c r="O4290" s="1" t="str">
        <f>IF(AND(Employee__2[[#This Row],[Education]]="Bachelors",Employee__2[[#This Row],[City]]="Pune"),"Yes","No")</f>
        <v>Yes</v>
      </c>
      <c r="P4290" s="1" t="str">
        <f>IF(OR(Employee__2[[#This Row],[Age]]&gt;=30,Employee__2[[#This Row],[Gender]]="Male"),"Mached","Not mached")</f>
        <v>Mached</v>
      </c>
    </row>
    <row r="4291" spans="4:16" x14ac:dyDescent="0.25">
      <c r="D4291" s="6" t="s">
        <v>43</v>
      </c>
      <c r="E4291">
        <v>2015</v>
      </c>
      <c r="F4291" s="6" t="s">
        <v>40</v>
      </c>
      <c r="G4291">
        <v>1</v>
      </c>
      <c r="H4291">
        <v>38</v>
      </c>
      <c r="I4291" s="6" t="s">
        <v>36</v>
      </c>
      <c r="J4291" s="6" t="s">
        <v>37</v>
      </c>
      <c r="K4291">
        <v>5</v>
      </c>
      <c r="M4291" s="1" t="b">
        <f>Employee__2[[#This Row],[Experience]]&gt;1</f>
        <v>1</v>
      </c>
      <c r="N4291" s="1" t="str">
        <f>IF(Employee__2[[#This Row],[City]]="Pune","Yes","No")</f>
        <v>No</v>
      </c>
      <c r="O4291" s="1" t="str">
        <f>IF(AND(Employee__2[[#This Row],[Education]]="Bachelors",Employee__2[[#This Row],[City]]="Pune"),"Yes","No")</f>
        <v>No</v>
      </c>
      <c r="P4291" s="1" t="str">
        <f>IF(OR(Employee__2[[#This Row],[Age]]&gt;=30,Employee__2[[#This Row],[Gender]]="Male"),"Mached","Not mached")</f>
        <v>Mached</v>
      </c>
    </row>
    <row r="4292" spans="4:16" x14ac:dyDescent="0.25">
      <c r="D4292" s="6" t="s">
        <v>34</v>
      </c>
      <c r="E4292">
        <v>2016</v>
      </c>
      <c r="F4292" s="6" t="s">
        <v>40</v>
      </c>
      <c r="G4292">
        <v>2</v>
      </c>
      <c r="H4292">
        <v>26</v>
      </c>
      <c r="I4292" s="6" t="s">
        <v>39</v>
      </c>
      <c r="J4292" s="6" t="s">
        <v>37</v>
      </c>
      <c r="K4292">
        <v>4</v>
      </c>
      <c r="M4292" s="1" t="b">
        <f>Employee__2[[#This Row],[Experience]]&gt;1</f>
        <v>1</v>
      </c>
      <c r="N4292" s="1" t="str">
        <f>IF(Employee__2[[#This Row],[City]]="Pune","Yes","No")</f>
        <v>No</v>
      </c>
      <c r="O4292" s="1" t="str">
        <f>IF(AND(Employee__2[[#This Row],[Education]]="Bachelors",Employee__2[[#This Row],[City]]="Pune"),"Yes","No")</f>
        <v>No</v>
      </c>
      <c r="P4292" s="1" t="str">
        <f>IF(OR(Employee__2[[#This Row],[Age]]&gt;=30,Employee__2[[#This Row],[Gender]]="Male"),"Mached","Not mached")</f>
        <v>Not mached</v>
      </c>
    </row>
    <row r="4293" spans="4:16" x14ac:dyDescent="0.25">
      <c r="D4293" s="6" t="s">
        <v>41</v>
      </c>
      <c r="E4293">
        <v>2017</v>
      </c>
      <c r="F4293" s="6" t="s">
        <v>40</v>
      </c>
      <c r="G4293">
        <v>2</v>
      </c>
      <c r="H4293">
        <v>31</v>
      </c>
      <c r="I4293" s="6" t="s">
        <v>36</v>
      </c>
      <c r="J4293" s="6" t="s">
        <v>37</v>
      </c>
      <c r="K4293">
        <v>4</v>
      </c>
      <c r="M4293" s="1" t="b">
        <f>Employee__2[[#This Row],[Experience]]&gt;1</f>
        <v>1</v>
      </c>
      <c r="N4293" s="1" t="str">
        <f>IF(Employee__2[[#This Row],[City]]="Pune","Yes","No")</f>
        <v>No</v>
      </c>
      <c r="O4293" s="1" t="str">
        <f>IF(AND(Employee__2[[#This Row],[Education]]="Bachelors",Employee__2[[#This Row],[City]]="Pune"),"Yes","No")</f>
        <v>No</v>
      </c>
      <c r="P4293" s="1" t="str">
        <f>IF(OR(Employee__2[[#This Row],[Age]]&gt;=30,Employee__2[[#This Row],[Gender]]="Male"),"Mached","Not mached")</f>
        <v>Mached</v>
      </c>
    </row>
    <row r="4294" spans="4:16" x14ac:dyDescent="0.25">
      <c r="D4294" s="6" t="s">
        <v>41</v>
      </c>
      <c r="E4294">
        <v>2014</v>
      </c>
      <c r="F4294" s="6" t="s">
        <v>40</v>
      </c>
      <c r="G4294">
        <v>3</v>
      </c>
      <c r="H4294">
        <v>28</v>
      </c>
      <c r="I4294" s="6" t="s">
        <v>36</v>
      </c>
      <c r="J4294" s="6" t="s">
        <v>37</v>
      </c>
      <c r="K4294">
        <v>5</v>
      </c>
      <c r="M4294" s="1" t="b">
        <f>Employee__2[[#This Row],[Experience]]&gt;1</f>
        <v>1</v>
      </c>
      <c r="N4294" s="1" t="str">
        <f>IF(Employee__2[[#This Row],[City]]="Pune","Yes","No")</f>
        <v>No</v>
      </c>
      <c r="O4294" s="1" t="str">
        <f>IF(AND(Employee__2[[#This Row],[Education]]="Bachelors",Employee__2[[#This Row],[City]]="Pune"),"Yes","No")</f>
        <v>No</v>
      </c>
      <c r="P4294" s="1" t="str">
        <f>IF(OR(Employee__2[[#This Row],[Age]]&gt;=30,Employee__2[[#This Row],[Gender]]="Male"),"Mached","Not mached")</f>
        <v>Mached</v>
      </c>
    </row>
    <row r="4295" spans="4:16" x14ac:dyDescent="0.25">
      <c r="D4295" s="6" t="s">
        <v>43</v>
      </c>
      <c r="E4295">
        <v>2017</v>
      </c>
      <c r="F4295" s="6" t="s">
        <v>40</v>
      </c>
      <c r="G4295">
        <v>3</v>
      </c>
      <c r="H4295">
        <v>34</v>
      </c>
      <c r="I4295" s="6" t="s">
        <v>39</v>
      </c>
      <c r="J4295" s="6" t="s">
        <v>37</v>
      </c>
      <c r="K4295">
        <v>3</v>
      </c>
      <c r="M4295" s="1" t="b">
        <f>Employee__2[[#This Row],[Experience]]&gt;1</f>
        <v>1</v>
      </c>
      <c r="N4295" s="1" t="str">
        <f>IF(Employee__2[[#This Row],[City]]="Pune","Yes","No")</f>
        <v>No</v>
      </c>
      <c r="O4295" s="1" t="str">
        <f>IF(AND(Employee__2[[#This Row],[Education]]="Bachelors",Employee__2[[#This Row],[City]]="Pune"),"Yes","No")</f>
        <v>No</v>
      </c>
      <c r="P4295" s="1" t="str">
        <f>IF(OR(Employee__2[[#This Row],[Age]]&gt;=30,Employee__2[[#This Row],[Gender]]="Male"),"Mached","Not mached")</f>
        <v>Mached</v>
      </c>
    </row>
    <row r="4296" spans="4:16" x14ac:dyDescent="0.25">
      <c r="D4296" s="6" t="s">
        <v>41</v>
      </c>
      <c r="E4296">
        <v>2013</v>
      </c>
      <c r="F4296" s="6" t="s">
        <v>35</v>
      </c>
      <c r="G4296">
        <v>3</v>
      </c>
      <c r="H4296">
        <v>31</v>
      </c>
      <c r="I4296" s="6" t="s">
        <v>36</v>
      </c>
      <c r="J4296" s="6" t="s">
        <v>37</v>
      </c>
      <c r="K4296">
        <v>2</v>
      </c>
      <c r="M4296" s="1" t="b">
        <f>Employee__2[[#This Row],[Experience]]&gt;1</f>
        <v>1</v>
      </c>
      <c r="N4296" s="1" t="str">
        <f>IF(Employee__2[[#This Row],[City]]="Pune","Yes","No")</f>
        <v>No</v>
      </c>
      <c r="O4296" s="1" t="str">
        <f>IF(AND(Employee__2[[#This Row],[Education]]="Bachelors",Employee__2[[#This Row],[City]]="Pune"),"Yes","No")</f>
        <v>No</v>
      </c>
      <c r="P4296" s="1" t="str">
        <f>IF(OR(Employee__2[[#This Row],[Age]]&gt;=30,Employee__2[[#This Row],[Gender]]="Male"),"Mached","Not mached")</f>
        <v>Mached</v>
      </c>
    </row>
    <row r="4297" spans="4:16" x14ac:dyDescent="0.25">
      <c r="D4297" s="6" t="s">
        <v>34</v>
      </c>
      <c r="E4297">
        <v>2014</v>
      </c>
      <c r="F4297" s="6" t="s">
        <v>40</v>
      </c>
      <c r="G4297">
        <v>3</v>
      </c>
      <c r="H4297">
        <v>26</v>
      </c>
      <c r="I4297" s="6" t="s">
        <v>39</v>
      </c>
      <c r="J4297" s="6" t="s">
        <v>37</v>
      </c>
      <c r="K4297">
        <v>4</v>
      </c>
      <c r="M4297" s="1" t="b">
        <f>Employee__2[[#This Row],[Experience]]&gt;1</f>
        <v>1</v>
      </c>
      <c r="N4297" s="1" t="str">
        <f>IF(Employee__2[[#This Row],[City]]="Pune","Yes","No")</f>
        <v>No</v>
      </c>
      <c r="O4297" s="1" t="str">
        <f>IF(AND(Employee__2[[#This Row],[Education]]="Bachelors",Employee__2[[#This Row],[City]]="Pune"),"Yes","No")</f>
        <v>No</v>
      </c>
      <c r="P4297" s="1" t="str">
        <f>IF(OR(Employee__2[[#This Row],[Age]]&gt;=30,Employee__2[[#This Row],[Gender]]="Male"),"Mached","Not mached")</f>
        <v>Not mached</v>
      </c>
    </row>
    <row r="4298" spans="4:16" x14ac:dyDescent="0.25">
      <c r="D4298" s="6" t="s">
        <v>34</v>
      </c>
      <c r="E4298">
        <v>2013</v>
      </c>
      <c r="F4298" s="6" t="s">
        <v>38</v>
      </c>
      <c r="G4298">
        <v>3</v>
      </c>
      <c r="H4298">
        <v>40</v>
      </c>
      <c r="I4298" s="6" t="s">
        <v>39</v>
      </c>
      <c r="J4298" s="6" t="s">
        <v>37</v>
      </c>
      <c r="K4298">
        <v>1</v>
      </c>
      <c r="M4298" s="1" t="b">
        <f>Employee__2[[#This Row],[Experience]]&gt;1</f>
        <v>0</v>
      </c>
      <c r="N4298" s="1" t="str">
        <f>IF(Employee__2[[#This Row],[City]]="Pune","Yes","No")</f>
        <v>Yes</v>
      </c>
      <c r="O4298" s="1" t="str">
        <f>IF(AND(Employee__2[[#This Row],[Education]]="Bachelors",Employee__2[[#This Row],[City]]="Pune"),"Yes","No")</f>
        <v>Yes</v>
      </c>
      <c r="P4298" s="1" t="str">
        <f>IF(OR(Employee__2[[#This Row],[Age]]&gt;=30,Employee__2[[#This Row],[Gender]]="Male"),"Mached","Not mached")</f>
        <v>Mached</v>
      </c>
    </row>
    <row r="4299" spans="4:16" x14ac:dyDescent="0.25">
      <c r="D4299" s="6" t="s">
        <v>34</v>
      </c>
      <c r="E4299">
        <v>2016</v>
      </c>
      <c r="F4299" s="6" t="s">
        <v>35</v>
      </c>
      <c r="G4299">
        <v>3</v>
      </c>
      <c r="H4299">
        <v>31</v>
      </c>
      <c r="I4299" s="6" t="s">
        <v>36</v>
      </c>
      <c r="J4299" s="6" t="s">
        <v>37</v>
      </c>
      <c r="K4299">
        <v>0</v>
      </c>
      <c r="M4299" s="1" t="b">
        <f>Employee__2[[#This Row],[Experience]]&gt;1</f>
        <v>0</v>
      </c>
      <c r="N4299" s="1" t="str">
        <f>IF(Employee__2[[#This Row],[City]]="Pune","Yes","No")</f>
        <v>No</v>
      </c>
      <c r="O4299" s="1" t="str">
        <f>IF(AND(Employee__2[[#This Row],[Education]]="Bachelors",Employee__2[[#This Row],[City]]="Pune"),"Yes","No")</f>
        <v>No</v>
      </c>
      <c r="P4299" s="1" t="str">
        <f>IF(OR(Employee__2[[#This Row],[Age]]&gt;=30,Employee__2[[#This Row],[Gender]]="Male"),"Mached","Not mached")</f>
        <v>Mached</v>
      </c>
    </row>
    <row r="4300" spans="4:16" x14ac:dyDescent="0.25">
      <c r="D4300" s="6" t="s">
        <v>34</v>
      </c>
      <c r="E4300">
        <v>2013</v>
      </c>
      <c r="F4300" s="6" t="s">
        <v>35</v>
      </c>
      <c r="G4300">
        <v>3</v>
      </c>
      <c r="H4300">
        <v>26</v>
      </c>
      <c r="I4300" s="6" t="s">
        <v>39</v>
      </c>
      <c r="J4300" s="6" t="s">
        <v>37</v>
      </c>
      <c r="K4300">
        <v>4</v>
      </c>
      <c r="M4300" s="1" t="b">
        <f>Employee__2[[#This Row],[Experience]]&gt;1</f>
        <v>1</v>
      </c>
      <c r="N4300" s="1" t="str">
        <f>IF(Employee__2[[#This Row],[City]]="Pune","Yes","No")</f>
        <v>No</v>
      </c>
      <c r="O4300" s="1" t="str">
        <f>IF(AND(Employee__2[[#This Row],[Education]]="Bachelors",Employee__2[[#This Row],[City]]="Pune"),"Yes","No")</f>
        <v>No</v>
      </c>
      <c r="P4300" s="1" t="str">
        <f>IF(OR(Employee__2[[#This Row],[Age]]&gt;=30,Employee__2[[#This Row],[Gender]]="Male"),"Mached","Not mached")</f>
        <v>Not mached</v>
      </c>
    </row>
    <row r="4301" spans="4:16" x14ac:dyDescent="0.25">
      <c r="D4301" s="6" t="s">
        <v>34</v>
      </c>
      <c r="E4301">
        <v>2018</v>
      </c>
      <c r="F4301" s="6" t="s">
        <v>38</v>
      </c>
      <c r="G4301">
        <v>3</v>
      </c>
      <c r="H4301">
        <v>32</v>
      </c>
      <c r="I4301" s="6" t="s">
        <v>39</v>
      </c>
      <c r="J4301" s="6" t="s">
        <v>37</v>
      </c>
      <c r="K4301">
        <v>1</v>
      </c>
      <c r="M4301" s="1" t="b">
        <f>Employee__2[[#This Row],[Experience]]&gt;1</f>
        <v>0</v>
      </c>
      <c r="N4301" s="1" t="str">
        <f>IF(Employee__2[[#This Row],[City]]="Pune","Yes","No")</f>
        <v>Yes</v>
      </c>
      <c r="O4301" s="1" t="str">
        <f>IF(AND(Employee__2[[#This Row],[Education]]="Bachelors",Employee__2[[#This Row],[City]]="Pune"),"Yes","No")</f>
        <v>Yes</v>
      </c>
      <c r="P4301" s="1" t="str">
        <f>IF(OR(Employee__2[[#This Row],[Age]]&gt;=30,Employee__2[[#This Row],[Gender]]="Male"),"Mached","Not mached")</f>
        <v>Mached</v>
      </c>
    </row>
    <row r="4302" spans="4:16" x14ac:dyDescent="0.25">
      <c r="D4302" s="6" t="s">
        <v>34</v>
      </c>
      <c r="E4302">
        <v>2012</v>
      </c>
      <c r="F4302" s="6" t="s">
        <v>35</v>
      </c>
      <c r="G4302">
        <v>3</v>
      </c>
      <c r="H4302">
        <v>33</v>
      </c>
      <c r="I4302" s="6" t="s">
        <v>39</v>
      </c>
      <c r="J4302" s="6" t="s">
        <v>37</v>
      </c>
      <c r="K4302">
        <v>5</v>
      </c>
      <c r="M4302" s="1" t="b">
        <f>Employee__2[[#This Row],[Experience]]&gt;1</f>
        <v>1</v>
      </c>
      <c r="N4302" s="1" t="str">
        <f>IF(Employee__2[[#This Row],[City]]="Pune","Yes","No")</f>
        <v>No</v>
      </c>
      <c r="O4302" s="1" t="str">
        <f>IF(AND(Employee__2[[#This Row],[Education]]="Bachelors",Employee__2[[#This Row],[City]]="Pune"),"Yes","No")</f>
        <v>No</v>
      </c>
      <c r="P4302" s="1" t="str">
        <f>IF(OR(Employee__2[[#This Row],[Age]]&gt;=30,Employee__2[[#This Row],[Gender]]="Male"),"Mached","Not mached")</f>
        <v>Mached</v>
      </c>
    </row>
    <row r="4303" spans="4:16" x14ac:dyDescent="0.25">
      <c r="D4303" s="6" t="s">
        <v>34</v>
      </c>
      <c r="E4303">
        <v>2017</v>
      </c>
      <c r="F4303" s="6" t="s">
        <v>35</v>
      </c>
      <c r="G4303">
        <v>3</v>
      </c>
      <c r="H4303">
        <v>25</v>
      </c>
      <c r="I4303" s="6" t="s">
        <v>36</v>
      </c>
      <c r="J4303" s="6" t="s">
        <v>37</v>
      </c>
      <c r="K4303">
        <v>3</v>
      </c>
      <c r="M4303" s="1" t="b">
        <f>Employee__2[[#This Row],[Experience]]&gt;1</f>
        <v>1</v>
      </c>
      <c r="N4303" s="1" t="str">
        <f>IF(Employee__2[[#This Row],[City]]="Pune","Yes","No")</f>
        <v>No</v>
      </c>
      <c r="O4303" s="1" t="str">
        <f>IF(AND(Employee__2[[#This Row],[Education]]="Bachelors",Employee__2[[#This Row],[City]]="Pune"),"Yes","No")</f>
        <v>No</v>
      </c>
      <c r="P4303" s="1" t="str">
        <f>IF(OR(Employee__2[[#This Row],[Age]]&gt;=30,Employee__2[[#This Row],[Gender]]="Male"),"Mached","Not mached")</f>
        <v>Mached</v>
      </c>
    </row>
    <row r="4304" spans="4:16" x14ac:dyDescent="0.25">
      <c r="D4304" s="6" t="s">
        <v>34</v>
      </c>
      <c r="E4304">
        <v>2017</v>
      </c>
      <c r="F4304" s="6" t="s">
        <v>35</v>
      </c>
      <c r="G4304">
        <v>3</v>
      </c>
      <c r="H4304">
        <v>40</v>
      </c>
      <c r="I4304" s="6" t="s">
        <v>36</v>
      </c>
      <c r="J4304" s="6" t="s">
        <v>37</v>
      </c>
      <c r="K4304">
        <v>0</v>
      </c>
      <c r="M4304" s="1" t="b">
        <f>Employee__2[[#This Row],[Experience]]&gt;1</f>
        <v>0</v>
      </c>
      <c r="N4304" s="1" t="str">
        <f>IF(Employee__2[[#This Row],[City]]="Pune","Yes","No")</f>
        <v>No</v>
      </c>
      <c r="O4304" s="1" t="str">
        <f>IF(AND(Employee__2[[#This Row],[Education]]="Bachelors",Employee__2[[#This Row],[City]]="Pune"),"Yes","No")</f>
        <v>No</v>
      </c>
      <c r="P4304" s="1" t="str">
        <f>IF(OR(Employee__2[[#This Row],[Age]]&gt;=30,Employee__2[[#This Row],[Gender]]="Male"),"Mached","Not mached")</f>
        <v>Mached</v>
      </c>
    </row>
    <row r="4305" spans="4:16" x14ac:dyDescent="0.25">
      <c r="D4305" s="6" t="s">
        <v>41</v>
      </c>
      <c r="E4305">
        <v>2013</v>
      </c>
      <c r="F4305" s="6" t="s">
        <v>40</v>
      </c>
      <c r="G4305">
        <v>3</v>
      </c>
      <c r="H4305">
        <v>31</v>
      </c>
      <c r="I4305" s="6" t="s">
        <v>36</v>
      </c>
      <c r="J4305" s="6" t="s">
        <v>37</v>
      </c>
      <c r="K4305">
        <v>2</v>
      </c>
      <c r="M4305" s="1" t="b">
        <f>Employee__2[[#This Row],[Experience]]&gt;1</f>
        <v>1</v>
      </c>
      <c r="N4305" s="1" t="str">
        <f>IF(Employee__2[[#This Row],[City]]="Pune","Yes","No")</f>
        <v>No</v>
      </c>
      <c r="O4305" s="1" t="str">
        <f>IF(AND(Employee__2[[#This Row],[Education]]="Bachelors",Employee__2[[#This Row],[City]]="Pune"),"Yes","No")</f>
        <v>No</v>
      </c>
      <c r="P4305" s="1" t="str">
        <f>IF(OR(Employee__2[[#This Row],[Age]]&gt;=30,Employee__2[[#This Row],[Gender]]="Male"),"Mached","Not mached")</f>
        <v>Mached</v>
      </c>
    </row>
    <row r="4306" spans="4:16" x14ac:dyDescent="0.25">
      <c r="D4306" s="6" t="s">
        <v>34</v>
      </c>
      <c r="E4306">
        <v>2015</v>
      </c>
      <c r="F4306" s="6" t="s">
        <v>35</v>
      </c>
      <c r="G4306">
        <v>3</v>
      </c>
      <c r="H4306">
        <v>36</v>
      </c>
      <c r="I4306" s="6" t="s">
        <v>36</v>
      </c>
      <c r="J4306" s="6" t="s">
        <v>37</v>
      </c>
      <c r="K4306">
        <v>1</v>
      </c>
      <c r="M4306" s="1" t="b">
        <f>Employee__2[[#This Row],[Experience]]&gt;1</f>
        <v>0</v>
      </c>
      <c r="N4306" s="1" t="str">
        <f>IF(Employee__2[[#This Row],[City]]="Pune","Yes","No")</f>
        <v>No</v>
      </c>
      <c r="O4306" s="1" t="str">
        <f>IF(AND(Employee__2[[#This Row],[Education]]="Bachelors",Employee__2[[#This Row],[City]]="Pune"),"Yes","No")</f>
        <v>No</v>
      </c>
      <c r="P4306" s="1" t="str">
        <f>IF(OR(Employee__2[[#This Row],[Age]]&gt;=30,Employee__2[[#This Row],[Gender]]="Male"),"Mached","Not mached")</f>
        <v>Mached</v>
      </c>
    </row>
    <row r="4307" spans="4:16" x14ac:dyDescent="0.25">
      <c r="D4307" s="6" t="s">
        <v>34</v>
      </c>
      <c r="E4307">
        <v>2014</v>
      </c>
      <c r="F4307" s="6" t="s">
        <v>35</v>
      </c>
      <c r="G4307">
        <v>3</v>
      </c>
      <c r="H4307">
        <v>31</v>
      </c>
      <c r="I4307" s="6" t="s">
        <v>36</v>
      </c>
      <c r="J4307" s="6" t="s">
        <v>37</v>
      </c>
      <c r="K4307">
        <v>5</v>
      </c>
      <c r="M4307" s="1" t="b">
        <f>Employee__2[[#This Row],[Experience]]&gt;1</f>
        <v>1</v>
      </c>
      <c r="N4307" s="1" t="str">
        <f>IF(Employee__2[[#This Row],[City]]="Pune","Yes","No")</f>
        <v>No</v>
      </c>
      <c r="O4307" s="1" t="str">
        <f>IF(AND(Employee__2[[#This Row],[Education]]="Bachelors",Employee__2[[#This Row],[City]]="Pune"),"Yes","No")</f>
        <v>No</v>
      </c>
      <c r="P4307" s="1" t="str">
        <f>IF(OR(Employee__2[[#This Row],[Age]]&gt;=30,Employee__2[[#This Row],[Gender]]="Male"),"Mached","Not mached")</f>
        <v>Mached</v>
      </c>
    </row>
    <row r="4308" spans="4:16" x14ac:dyDescent="0.25">
      <c r="D4308" s="6" t="s">
        <v>34</v>
      </c>
      <c r="E4308">
        <v>2015</v>
      </c>
      <c r="F4308" s="6" t="s">
        <v>38</v>
      </c>
      <c r="G4308">
        <v>3</v>
      </c>
      <c r="H4308">
        <v>22</v>
      </c>
      <c r="I4308" s="6" t="s">
        <v>36</v>
      </c>
      <c r="J4308" s="6" t="s">
        <v>37</v>
      </c>
      <c r="K4308">
        <v>0</v>
      </c>
      <c r="M4308" s="1" t="b">
        <f>Employee__2[[#This Row],[Experience]]&gt;1</f>
        <v>0</v>
      </c>
      <c r="N4308" s="1" t="str">
        <f>IF(Employee__2[[#This Row],[City]]="Pune","Yes","No")</f>
        <v>Yes</v>
      </c>
      <c r="O4308" s="1" t="str">
        <f>IF(AND(Employee__2[[#This Row],[Education]]="Bachelors",Employee__2[[#This Row],[City]]="Pune"),"Yes","No")</f>
        <v>Yes</v>
      </c>
      <c r="P4308" s="1" t="str">
        <f>IF(OR(Employee__2[[#This Row],[Age]]&gt;=30,Employee__2[[#This Row],[Gender]]="Male"),"Mached","Not mached")</f>
        <v>Mached</v>
      </c>
    </row>
    <row r="4309" spans="4:16" x14ac:dyDescent="0.25">
      <c r="D4309" s="6" t="s">
        <v>34</v>
      </c>
      <c r="E4309">
        <v>2016</v>
      </c>
      <c r="F4309" s="6" t="s">
        <v>35</v>
      </c>
      <c r="G4309">
        <v>3</v>
      </c>
      <c r="H4309">
        <v>34</v>
      </c>
      <c r="I4309" s="6" t="s">
        <v>39</v>
      </c>
      <c r="J4309" s="6" t="s">
        <v>37</v>
      </c>
      <c r="K4309">
        <v>0</v>
      </c>
      <c r="M4309" s="1" t="b">
        <f>Employee__2[[#This Row],[Experience]]&gt;1</f>
        <v>0</v>
      </c>
      <c r="N4309" s="1" t="str">
        <f>IF(Employee__2[[#This Row],[City]]="Pune","Yes","No")</f>
        <v>No</v>
      </c>
      <c r="O4309" s="1" t="str">
        <f>IF(AND(Employee__2[[#This Row],[Education]]="Bachelors",Employee__2[[#This Row],[City]]="Pune"),"Yes","No")</f>
        <v>No</v>
      </c>
      <c r="P4309" s="1" t="str">
        <f>IF(OR(Employee__2[[#This Row],[Age]]&gt;=30,Employee__2[[#This Row],[Gender]]="Male"),"Mached","Not mached")</f>
        <v>Mached</v>
      </c>
    </row>
    <row r="4310" spans="4:16" x14ac:dyDescent="0.25">
      <c r="D4310" s="6" t="s">
        <v>43</v>
      </c>
      <c r="E4310">
        <v>2018</v>
      </c>
      <c r="F4310" s="6" t="s">
        <v>40</v>
      </c>
      <c r="G4310">
        <v>3</v>
      </c>
      <c r="H4310">
        <v>38</v>
      </c>
      <c r="I4310" s="6" t="s">
        <v>39</v>
      </c>
      <c r="J4310" s="6" t="s">
        <v>37</v>
      </c>
      <c r="K4310">
        <v>5</v>
      </c>
      <c r="M4310" s="1" t="b">
        <f>Employee__2[[#This Row],[Experience]]&gt;1</f>
        <v>1</v>
      </c>
      <c r="N4310" s="1" t="str">
        <f>IF(Employee__2[[#This Row],[City]]="Pune","Yes","No")</f>
        <v>No</v>
      </c>
      <c r="O4310" s="1" t="str">
        <f>IF(AND(Employee__2[[#This Row],[Education]]="Bachelors",Employee__2[[#This Row],[City]]="Pune"),"Yes","No")</f>
        <v>No</v>
      </c>
      <c r="P4310" s="1" t="str">
        <f>IF(OR(Employee__2[[#This Row],[Age]]&gt;=30,Employee__2[[#This Row],[Gender]]="Male"),"Mached","Not mached")</f>
        <v>Mached</v>
      </c>
    </row>
    <row r="4311" spans="4:16" x14ac:dyDescent="0.25">
      <c r="D4311" s="6" t="s">
        <v>34</v>
      </c>
      <c r="E4311">
        <v>2015</v>
      </c>
      <c r="F4311" s="6" t="s">
        <v>35</v>
      </c>
      <c r="G4311">
        <v>3</v>
      </c>
      <c r="H4311">
        <v>23</v>
      </c>
      <c r="I4311" s="6" t="s">
        <v>36</v>
      </c>
      <c r="J4311" s="6" t="s">
        <v>42</v>
      </c>
      <c r="K4311">
        <v>1</v>
      </c>
      <c r="M4311" s="1" t="b">
        <f>Employee__2[[#This Row],[Experience]]&gt;1</f>
        <v>0</v>
      </c>
      <c r="N4311" s="1" t="str">
        <f>IF(Employee__2[[#This Row],[City]]="Pune","Yes","No")</f>
        <v>No</v>
      </c>
      <c r="O4311" s="1" t="str">
        <f>IF(AND(Employee__2[[#This Row],[Education]]="Bachelors",Employee__2[[#This Row],[City]]="Pune"),"Yes","No")</f>
        <v>No</v>
      </c>
      <c r="P4311" s="1" t="str">
        <f>IF(OR(Employee__2[[#This Row],[Age]]&gt;=30,Employee__2[[#This Row],[Gender]]="Male"),"Mached","Not mached")</f>
        <v>Mached</v>
      </c>
    </row>
    <row r="4312" spans="4:16" x14ac:dyDescent="0.25">
      <c r="D4312" s="6" t="s">
        <v>43</v>
      </c>
      <c r="E4312">
        <v>2017</v>
      </c>
      <c r="F4312" s="6" t="s">
        <v>35</v>
      </c>
      <c r="G4312">
        <v>3</v>
      </c>
      <c r="H4312">
        <v>27</v>
      </c>
      <c r="I4312" s="6" t="s">
        <v>36</v>
      </c>
      <c r="J4312" s="6" t="s">
        <v>37</v>
      </c>
      <c r="K4312">
        <v>5</v>
      </c>
      <c r="M4312" s="1" t="b">
        <f>Employee__2[[#This Row],[Experience]]&gt;1</f>
        <v>1</v>
      </c>
      <c r="N4312" s="1" t="str">
        <f>IF(Employee__2[[#This Row],[City]]="Pune","Yes","No")</f>
        <v>No</v>
      </c>
      <c r="O4312" s="1" t="str">
        <f>IF(AND(Employee__2[[#This Row],[Education]]="Bachelors",Employee__2[[#This Row],[City]]="Pune"),"Yes","No")</f>
        <v>No</v>
      </c>
      <c r="P4312" s="1" t="str">
        <f>IF(OR(Employee__2[[#This Row],[Age]]&gt;=30,Employee__2[[#This Row],[Gender]]="Male"),"Mached","Not mached")</f>
        <v>Mached</v>
      </c>
    </row>
    <row r="4313" spans="4:16" x14ac:dyDescent="0.25">
      <c r="D4313" s="6" t="s">
        <v>34</v>
      </c>
      <c r="E4313">
        <v>2016</v>
      </c>
      <c r="F4313" s="6" t="s">
        <v>35</v>
      </c>
      <c r="G4313">
        <v>3</v>
      </c>
      <c r="H4313">
        <v>34</v>
      </c>
      <c r="I4313" s="6" t="s">
        <v>36</v>
      </c>
      <c r="J4313" s="6" t="s">
        <v>37</v>
      </c>
      <c r="K4313">
        <v>1</v>
      </c>
      <c r="M4313" s="1" t="b">
        <f>Employee__2[[#This Row],[Experience]]&gt;1</f>
        <v>0</v>
      </c>
      <c r="N4313" s="1" t="str">
        <f>IF(Employee__2[[#This Row],[City]]="Pune","Yes","No")</f>
        <v>No</v>
      </c>
      <c r="O4313" s="1" t="str">
        <f>IF(AND(Employee__2[[#This Row],[Education]]="Bachelors",Employee__2[[#This Row],[City]]="Pune"),"Yes","No")</f>
        <v>No</v>
      </c>
      <c r="P4313" s="1" t="str">
        <f>IF(OR(Employee__2[[#This Row],[Age]]&gt;=30,Employee__2[[#This Row],[Gender]]="Male"),"Mached","Not mached")</f>
        <v>Mached</v>
      </c>
    </row>
    <row r="4314" spans="4:16" x14ac:dyDescent="0.25">
      <c r="D4314" s="6" t="s">
        <v>34</v>
      </c>
      <c r="E4314">
        <v>2012</v>
      </c>
      <c r="F4314" s="6" t="s">
        <v>35</v>
      </c>
      <c r="G4314">
        <v>3</v>
      </c>
      <c r="H4314">
        <v>39</v>
      </c>
      <c r="I4314" s="6" t="s">
        <v>36</v>
      </c>
      <c r="J4314" s="6" t="s">
        <v>37</v>
      </c>
      <c r="K4314">
        <v>3</v>
      </c>
      <c r="M4314" s="1" t="b">
        <f>Employee__2[[#This Row],[Experience]]&gt;1</f>
        <v>1</v>
      </c>
      <c r="N4314" s="1" t="str">
        <f>IF(Employee__2[[#This Row],[City]]="Pune","Yes","No")</f>
        <v>No</v>
      </c>
      <c r="O4314" s="1" t="str">
        <f>IF(AND(Employee__2[[#This Row],[Education]]="Bachelors",Employee__2[[#This Row],[City]]="Pune"),"Yes","No")</f>
        <v>No</v>
      </c>
      <c r="P4314" s="1" t="str">
        <f>IF(OR(Employee__2[[#This Row],[Age]]&gt;=30,Employee__2[[#This Row],[Gender]]="Male"),"Mached","Not mached")</f>
        <v>Mached</v>
      </c>
    </row>
    <row r="4315" spans="4:16" x14ac:dyDescent="0.25">
      <c r="D4315" s="6" t="s">
        <v>34</v>
      </c>
      <c r="E4315">
        <v>2018</v>
      </c>
      <c r="F4315" s="6" t="s">
        <v>35</v>
      </c>
      <c r="G4315">
        <v>3</v>
      </c>
      <c r="H4315">
        <v>24</v>
      </c>
      <c r="I4315" s="6" t="s">
        <v>36</v>
      </c>
      <c r="J4315" s="6" t="s">
        <v>42</v>
      </c>
      <c r="K4315">
        <v>2</v>
      </c>
      <c r="M4315" s="1" t="b">
        <f>Employee__2[[#This Row],[Experience]]&gt;1</f>
        <v>1</v>
      </c>
      <c r="N4315" s="1" t="str">
        <f>IF(Employee__2[[#This Row],[City]]="Pune","Yes","No")</f>
        <v>No</v>
      </c>
      <c r="O4315" s="1" t="str">
        <f>IF(AND(Employee__2[[#This Row],[Education]]="Bachelors",Employee__2[[#This Row],[City]]="Pune"),"Yes","No")</f>
        <v>No</v>
      </c>
      <c r="P4315" s="1" t="str">
        <f>IF(OR(Employee__2[[#This Row],[Age]]&gt;=30,Employee__2[[#This Row],[Gender]]="Male"),"Mached","Not mached")</f>
        <v>Mached</v>
      </c>
    </row>
    <row r="4316" spans="4:16" x14ac:dyDescent="0.25">
      <c r="D4316" s="6" t="s">
        <v>34</v>
      </c>
      <c r="E4316">
        <v>2015</v>
      </c>
      <c r="F4316" s="6" t="s">
        <v>38</v>
      </c>
      <c r="G4316">
        <v>3</v>
      </c>
      <c r="H4316">
        <v>37</v>
      </c>
      <c r="I4316" s="6" t="s">
        <v>39</v>
      </c>
      <c r="J4316" s="6" t="s">
        <v>37</v>
      </c>
      <c r="K4316">
        <v>1</v>
      </c>
      <c r="M4316" s="1" t="b">
        <f>Employee__2[[#This Row],[Experience]]&gt;1</f>
        <v>0</v>
      </c>
      <c r="N4316" s="1" t="str">
        <f>IF(Employee__2[[#This Row],[City]]="Pune","Yes","No")</f>
        <v>Yes</v>
      </c>
      <c r="O4316" s="1" t="str">
        <f>IF(AND(Employee__2[[#This Row],[Education]]="Bachelors",Employee__2[[#This Row],[City]]="Pune"),"Yes","No")</f>
        <v>Yes</v>
      </c>
      <c r="P4316" s="1" t="str">
        <f>IF(OR(Employee__2[[#This Row],[Age]]&gt;=30,Employee__2[[#This Row],[Gender]]="Male"),"Mached","Not mached")</f>
        <v>Mached</v>
      </c>
    </row>
    <row r="4317" spans="4:16" x14ac:dyDescent="0.25">
      <c r="D4317" s="6" t="s">
        <v>43</v>
      </c>
      <c r="E4317">
        <v>2013</v>
      </c>
      <c r="F4317" s="6" t="s">
        <v>40</v>
      </c>
      <c r="G4317">
        <v>3</v>
      </c>
      <c r="H4317">
        <v>23</v>
      </c>
      <c r="I4317" s="6" t="s">
        <v>36</v>
      </c>
      <c r="J4317" s="6" t="s">
        <v>37</v>
      </c>
      <c r="K4317">
        <v>1</v>
      </c>
      <c r="M4317" s="1" t="b">
        <f>Employee__2[[#This Row],[Experience]]&gt;1</f>
        <v>0</v>
      </c>
      <c r="N4317" s="1" t="str">
        <f>IF(Employee__2[[#This Row],[City]]="Pune","Yes","No")</f>
        <v>No</v>
      </c>
      <c r="O4317" s="1" t="str">
        <f>IF(AND(Employee__2[[#This Row],[Education]]="Bachelors",Employee__2[[#This Row],[City]]="Pune"),"Yes","No")</f>
        <v>No</v>
      </c>
      <c r="P4317" s="1" t="str">
        <f>IF(OR(Employee__2[[#This Row],[Age]]&gt;=30,Employee__2[[#This Row],[Gender]]="Male"),"Mached","Not mached")</f>
        <v>Mached</v>
      </c>
    </row>
    <row r="4318" spans="4:16" x14ac:dyDescent="0.25">
      <c r="D4318" s="6" t="s">
        <v>34</v>
      </c>
      <c r="E4318">
        <v>2018</v>
      </c>
      <c r="F4318" s="6" t="s">
        <v>35</v>
      </c>
      <c r="G4318">
        <v>3</v>
      </c>
      <c r="H4318">
        <v>36</v>
      </c>
      <c r="I4318" s="6" t="s">
        <v>36</v>
      </c>
      <c r="J4318" s="6" t="s">
        <v>37</v>
      </c>
      <c r="K4318">
        <v>3</v>
      </c>
      <c r="M4318" s="1" t="b">
        <f>Employee__2[[#This Row],[Experience]]&gt;1</f>
        <v>1</v>
      </c>
      <c r="N4318" s="1" t="str">
        <f>IF(Employee__2[[#This Row],[City]]="Pune","Yes","No")</f>
        <v>No</v>
      </c>
      <c r="O4318" s="1" t="str">
        <f>IF(AND(Employee__2[[#This Row],[Education]]="Bachelors",Employee__2[[#This Row],[City]]="Pune"),"Yes","No")</f>
        <v>No</v>
      </c>
      <c r="P4318" s="1" t="str">
        <f>IF(OR(Employee__2[[#This Row],[Age]]&gt;=30,Employee__2[[#This Row],[Gender]]="Male"),"Mached","Not mached")</f>
        <v>Mached</v>
      </c>
    </row>
    <row r="4319" spans="4:16" x14ac:dyDescent="0.25">
      <c r="D4319" s="6" t="s">
        <v>34</v>
      </c>
      <c r="E4319">
        <v>2014</v>
      </c>
      <c r="F4319" s="6" t="s">
        <v>40</v>
      </c>
      <c r="G4319">
        <v>3</v>
      </c>
      <c r="H4319">
        <v>23</v>
      </c>
      <c r="I4319" s="6" t="s">
        <v>36</v>
      </c>
      <c r="J4319" s="6" t="s">
        <v>37</v>
      </c>
      <c r="K4319">
        <v>1</v>
      </c>
      <c r="M4319" s="1" t="b">
        <f>Employee__2[[#This Row],[Experience]]&gt;1</f>
        <v>0</v>
      </c>
      <c r="N4319" s="1" t="str">
        <f>IF(Employee__2[[#This Row],[City]]="Pune","Yes","No")</f>
        <v>No</v>
      </c>
      <c r="O4319" s="1" t="str">
        <f>IF(AND(Employee__2[[#This Row],[Education]]="Bachelors",Employee__2[[#This Row],[City]]="Pune"),"Yes","No")</f>
        <v>No</v>
      </c>
      <c r="P4319" s="1" t="str">
        <f>IF(OR(Employee__2[[#This Row],[Age]]&gt;=30,Employee__2[[#This Row],[Gender]]="Male"),"Mached","Not mached")</f>
        <v>Mached</v>
      </c>
    </row>
    <row r="4320" spans="4:16" x14ac:dyDescent="0.25">
      <c r="D4320" s="6" t="s">
        <v>34</v>
      </c>
      <c r="E4320">
        <v>2012</v>
      </c>
      <c r="F4320" s="6" t="s">
        <v>38</v>
      </c>
      <c r="G4320">
        <v>3</v>
      </c>
      <c r="H4320">
        <v>31</v>
      </c>
      <c r="I4320" s="6" t="s">
        <v>36</v>
      </c>
      <c r="J4320" s="6" t="s">
        <v>37</v>
      </c>
      <c r="K4320">
        <v>3</v>
      </c>
      <c r="M4320" s="1" t="b">
        <f>Employee__2[[#This Row],[Experience]]&gt;1</f>
        <v>1</v>
      </c>
      <c r="N4320" s="1" t="str">
        <f>IF(Employee__2[[#This Row],[City]]="Pune","Yes","No")</f>
        <v>Yes</v>
      </c>
      <c r="O4320" s="1" t="str">
        <f>IF(AND(Employee__2[[#This Row],[Education]]="Bachelors",Employee__2[[#This Row],[City]]="Pune"),"Yes","No")</f>
        <v>Yes</v>
      </c>
      <c r="P4320" s="1" t="str">
        <f>IF(OR(Employee__2[[#This Row],[Age]]&gt;=30,Employee__2[[#This Row],[Gender]]="Male"),"Mached","Not mached")</f>
        <v>Mached</v>
      </c>
    </row>
    <row r="4321" spans="4:16" x14ac:dyDescent="0.25">
      <c r="D4321" s="6" t="s">
        <v>34</v>
      </c>
      <c r="E4321">
        <v>2015</v>
      </c>
      <c r="F4321" s="6" t="s">
        <v>35</v>
      </c>
      <c r="G4321">
        <v>3</v>
      </c>
      <c r="H4321">
        <v>22</v>
      </c>
      <c r="I4321" s="6" t="s">
        <v>36</v>
      </c>
      <c r="J4321" s="6" t="s">
        <v>37</v>
      </c>
      <c r="K4321">
        <v>0</v>
      </c>
      <c r="M4321" s="1" t="b">
        <f>Employee__2[[#This Row],[Experience]]&gt;1</f>
        <v>0</v>
      </c>
      <c r="N4321" s="1" t="str">
        <f>IF(Employee__2[[#This Row],[City]]="Pune","Yes","No")</f>
        <v>No</v>
      </c>
      <c r="O4321" s="1" t="str">
        <f>IF(AND(Employee__2[[#This Row],[Education]]="Bachelors",Employee__2[[#This Row],[City]]="Pune"),"Yes","No")</f>
        <v>No</v>
      </c>
      <c r="P4321" s="1" t="str">
        <f>IF(OR(Employee__2[[#This Row],[Age]]&gt;=30,Employee__2[[#This Row],[Gender]]="Male"),"Mached","Not mached")</f>
        <v>Mached</v>
      </c>
    </row>
    <row r="4322" spans="4:16" x14ac:dyDescent="0.25">
      <c r="D4322" s="6" t="s">
        <v>34</v>
      </c>
      <c r="E4322">
        <v>2015</v>
      </c>
      <c r="F4322" s="6" t="s">
        <v>38</v>
      </c>
      <c r="G4322">
        <v>2</v>
      </c>
      <c r="H4322">
        <v>24</v>
      </c>
      <c r="I4322" s="6" t="s">
        <v>39</v>
      </c>
      <c r="J4322" s="6" t="s">
        <v>37</v>
      </c>
      <c r="K4322">
        <v>2</v>
      </c>
      <c r="M4322" s="1" t="b">
        <f>Employee__2[[#This Row],[Experience]]&gt;1</f>
        <v>1</v>
      </c>
      <c r="N4322" s="1" t="str">
        <f>IF(Employee__2[[#This Row],[City]]="Pune","Yes","No")</f>
        <v>Yes</v>
      </c>
      <c r="O4322" s="1" t="str">
        <f>IF(AND(Employee__2[[#This Row],[Education]]="Bachelors",Employee__2[[#This Row],[City]]="Pune"),"Yes","No")</f>
        <v>Yes</v>
      </c>
      <c r="P4322" s="1" t="str">
        <f>IF(OR(Employee__2[[#This Row],[Age]]&gt;=30,Employee__2[[#This Row],[Gender]]="Male"),"Mached","Not mached")</f>
        <v>Not mached</v>
      </c>
    </row>
    <row r="4323" spans="4:16" x14ac:dyDescent="0.25">
      <c r="D4323" s="6" t="s">
        <v>34</v>
      </c>
      <c r="E4323">
        <v>2018</v>
      </c>
      <c r="F4323" s="6" t="s">
        <v>38</v>
      </c>
      <c r="G4323">
        <v>2</v>
      </c>
      <c r="H4323">
        <v>28</v>
      </c>
      <c r="I4323" s="6" t="s">
        <v>39</v>
      </c>
      <c r="J4323" s="6" t="s">
        <v>37</v>
      </c>
      <c r="K4323">
        <v>4</v>
      </c>
      <c r="M4323" s="1" t="b">
        <f>Employee__2[[#This Row],[Experience]]&gt;1</f>
        <v>1</v>
      </c>
      <c r="N4323" s="1" t="str">
        <f>IF(Employee__2[[#This Row],[City]]="Pune","Yes","No")</f>
        <v>Yes</v>
      </c>
      <c r="O4323" s="1" t="str">
        <f>IF(AND(Employee__2[[#This Row],[Education]]="Bachelors",Employee__2[[#This Row],[City]]="Pune"),"Yes","No")</f>
        <v>Yes</v>
      </c>
      <c r="P4323" s="1" t="str">
        <f>IF(OR(Employee__2[[#This Row],[Age]]&gt;=30,Employee__2[[#This Row],[Gender]]="Male"),"Mached","Not mached")</f>
        <v>Not mached</v>
      </c>
    </row>
    <row r="4324" spans="4:16" x14ac:dyDescent="0.25">
      <c r="D4324" s="6" t="s">
        <v>34</v>
      </c>
      <c r="E4324">
        <v>2014</v>
      </c>
      <c r="F4324" s="6" t="s">
        <v>38</v>
      </c>
      <c r="G4324">
        <v>3</v>
      </c>
      <c r="H4324">
        <v>33</v>
      </c>
      <c r="I4324" s="6" t="s">
        <v>36</v>
      </c>
      <c r="J4324" s="6" t="s">
        <v>37</v>
      </c>
      <c r="K4324">
        <v>3</v>
      </c>
      <c r="M4324" s="1" t="b">
        <f>Employee__2[[#This Row],[Experience]]&gt;1</f>
        <v>1</v>
      </c>
      <c r="N4324" s="1" t="str">
        <f>IF(Employee__2[[#This Row],[City]]="Pune","Yes","No")</f>
        <v>Yes</v>
      </c>
      <c r="O4324" s="1" t="str">
        <f>IF(AND(Employee__2[[#This Row],[Education]]="Bachelors",Employee__2[[#This Row],[City]]="Pune"),"Yes","No")</f>
        <v>Yes</v>
      </c>
      <c r="P4324" s="1" t="str">
        <f>IF(OR(Employee__2[[#This Row],[Age]]&gt;=30,Employee__2[[#This Row],[Gender]]="Male"),"Mached","Not mached")</f>
        <v>Mached</v>
      </c>
    </row>
    <row r="4325" spans="4:16" x14ac:dyDescent="0.25">
      <c r="D4325" s="6" t="s">
        <v>34</v>
      </c>
      <c r="E4325">
        <v>2018</v>
      </c>
      <c r="F4325" s="6" t="s">
        <v>35</v>
      </c>
      <c r="G4325">
        <v>3</v>
      </c>
      <c r="H4325">
        <v>35</v>
      </c>
      <c r="I4325" s="6" t="s">
        <v>39</v>
      </c>
      <c r="J4325" s="6" t="s">
        <v>37</v>
      </c>
      <c r="K4325">
        <v>2</v>
      </c>
      <c r="M4325" s="1" t="b">
        <f>Employee__2[[#This Row],[Experience]]&gt;1</f>
        <v>1</v>
      </c>
      <c r="N4325" s="1" t="str">
        <f>IF(Employee__2[[#This Row],[City]]="Pune","Yes","No")</f>
        <v>No</v>
      </c>
      <c r="O4325" s="1" t="str">
        <f>IF(AND(Employee__2[[#This Row],[Education]]="Bachelors",Employee__2[[#This Row],[City]]="Pune"),"Yes","No")</f>
        <v>No</v>
      </c>
      <c r="P4325" s="1" t="str">
        <f>IF(OR(Employee__2[[#This Row],[Age]]&gt;=30,Employee__2[[#This Row],[Gender]]="Male"),"Mached","Not mached")</f>
        <v>Mached</v>
      </c>
    </row>
    <row r="4326" spans="4:16" x14ac:dyDescent="0.25">
      <c r="D4326" s="6" t="s">
        <v>34</v>
      </c>
      <c r="E4326">
        <v>2012</v>
      </c>
      <c r="F4326" s="6" t="s">
        <v>40</v>
      </c>
      <c r="G4326">
        <v>3</v>
      </c>
      <c r="H4326">
        <v>30</v>
      </c>
      <c r="I4326" s="6" t="s">
        <v>39</v>
      </c>
      <c r="J4326" s="6" t="s">
        <v>42</v>
      </c>
      <c r="K4326">
        <v>1</v>
      </c>
      <c r="M4326" s="1" t="b">
        <f>Employee__2[[#This Row],[Experience]]&gt;1</f>
        <v>0</v>
      </c>
      <c r="N4326" s="1" t="str">
        <f>IF(Employee__2[[#This Row],[City]]="Pune","Yes","No")</f>
        <v>No</v>
      </c>
      <c r="O4326" s="1" t="str">
        <f>IF(AND(Employee__2[[#This Row],[Education]]="Bachelors",Employee__2[[#This Row],[City]]="Pune"),"Yes","No")</f>
        <v>No</v>
      </c>
      <c r="P4326" s="1" t="str">
        <f>IF(OR(Employee__2[[#This Row],[Age]]&gt;=30,Employee__2[[#This Row],[Gender]]="Male"),"Mached","Not mached")</f>
        <v>Mached</v>
      </c>
    </row>
    <row r="4327" spans="4:16" x14ac:dyDescent="0.25">
      <c r="D4327" s="6" t="s">
        <v>34</v>
      </c>
      <c r="E4327">
        <v>2014</v>
      </c>
      <c r="F4327" s="6" t="s">
        <v>35</v>
      </c>
      <c r="G4327">
        <v>3</v>
      </c>
      <c r="H4327">
        <v>28</v>
      </c>
      <c r="I4327" s="6" t="s">
        <v>39</v>
      </c>
      <c r="J4327" s="6" t="s">
        <v>37</v>
      </c>
      <c r="K4327">
        <v>3</v>
      </c>
      <c r="M4327" s="1" t="b">
        <f>Employee__2[[#This Row],[Experience]]&gt;1</f>
        <v>1</v>
      </c>
      <c r="N4327" s="1" t="str">
        <f>IF(Employee__2[[#This Row],[City]]="Pune","Yes","No")</f>
        <v>No</v>
      </c>
      <c r="O4327" s="1" t="str">
        <f>IF(AND(Employee__2[[#This Row],[Education]]="Bachelors",Employee__2[[#This Row],[City]]="Pune"),"Yes","No")</f>
        <v>No</v>
      </c>
      <c r="P4327" s="1" t="str">
        <f>IF(OR(Employee__2[[#This Row],[Age]]&gt;=30,Employee__2[[#This Row],[Gender]]="Male"),"Mached","Not mached")</f>
        <v>Not mached</v>
      </c>
    </row>
    <row r="4328" spans="4:16" x14ac:dyDescent="0.25">
      <c r="D4328" s="6" t="s">
        <v>34</v>
      </c>
      <c r="E4328">
        <v>2015</v>
      </c>
      <c r="F4328" s="6" t="s">
        <v>35</v>
      </c>
      <c r="G4328">
        <v>3</v>
      </c>
      <c r="H4328">
        <v>22</v>
      </c>
      <c r="I4328" s="6" t="s">
        <v>36</v>
      </c>
      <c r="J4328" s="6" t="s">
        <v>42</v>
      </c>
      <c r="K4328">
        <v>0</v>
      </c>
      <c r="M4328" s="1" t="b">
        <f>Employee__2[[#This Row],[Experience]]&gt;1</f>
        <v>0</v>
      </c>
      <c r="N4328" s="1" t="str">
        <f>IF(Employee__2[[#This Row],[City]]="Pune","Yes","No")</f>
        <v>No</v>
      </c>
      <c r="O4328" s="1" t="str">
        <f>IF(AND(Employee__2[[#This Row],[Education]]="Bachelors",Employee__2[[#This Row],[City]]="Pune"),"Yes","No")</f>
        <v>No</v>
      </c>
      <c r="P4328" s="1" t="str">
        <f>IF(OR(Employee__2[[#This Row],[Age]]&gt;=30,Employee__2[[#This Row],[Gender]]="Male"),"Mached","Not mached")</f>
        <v>Mached</v>
      </c>
    </row>
    <row r="4329" spans="4:16" x14ac:dyDescent="0.25">
      <c r="D4329" s="6" t="s">
        <v>34</v>
      </c>
      <c r="E4329">
        <v>2014</v>
      </c>
      <c r="F4329" s="6" t="s">
        <v>35</v>
      </c>
      <c r="G4329">
        <v>3</v>
      </c>
      <c r="H4329">
        <v>38</v>
      </c>
      <c r="I4329" s="6" t="s">
        <v>36</v>
      </c>
      <c r="J4329" s="6" t="s">
        <v>37</v>
      </c>
      <c r="K4329">
        <v>3</v>
      </c>
      <c r="M4329" s="1" t="b">
        <f>Employee__2[[#This Row],[Experience]]&gt;1</f>
        <v>1</v>
      </c>
      <c r="N4329" s="1" t="str">
        <f>IF(Employee__2[[#This Row],[City]]="Pune","Yes","No")</f>
        <v>No</v>
      </c>
      <c r="O4329" s="1" t="str">
        <f>IF(AND(Employee__2[[#This Row],[Education]]="Bachelors",Employee__2[[#This Row],[City]]="Pune"),"Yes","No")</f>
        <v>No</v>
      </c>
      <c r="P4329" s="1" t="str">
        <f>IF(OR(Employee__2[[#This Row],[Age]]&gt;=30,Employee__2[[#This Row],[Gender]]="Male"),"Mached","Not mached")</f>
        <v>Mached</v>
      </c>
    </row>
    <row r="4330" spans="4:16" x14ac:dyDescent="0.25">
      <c r="D4330" s="6" t="s">
        <v>34</v>
      </c>
      <c r="E4330">
        <v>2014</v>
      </c>
      <c r="F4330" s="6" t="s">
        <v>38</v>
      </c>
      <c r="G4330">
        <v>3</v>
      </c>
      <c r="H4330">
        <v>39</v>
      </c>
      <c r="I4330" s="6" t="s">
        <v>36</v>
      </c>
      <c r="J4330" s="6" t="s">
        <v>37</v>
      </c>
      <c r="K4330">
        <v>4</v>
      </c>
      <c r="M4330" s="1" t="b">
        <f>Employee__2[[#This Row],[Experience]]&gt;1</f>
        <v>1</v>
      </c>
      <c r="N4330" s="1" t="str">
        <f>IF(Employee__2[[#This Row],[City]]="Pune","Yes","No")</f>
        <v>Yes</v>
      </c>
      <c r="O4330" s="1" t="str">
        <f>IF(AND(Employee__2[[#This Row],[Education]]="Bachelors",Employee__2[[#This Row],[City]]="Pune"),"Yes","No")</f>
        <v>Yes</v>
      </c>
      <c r="P4330" s="1" t="str">
        <f>IF(OR(Employee__2[[#This Row],[Age]]&gt;=30,Employee__2[[#This Row],[Gender]]="Male"),"Mached","Not mached")</f>
        <v>Mached</v>
      </c>
    </row>
    <row r="4331" spans="4:16" x14ac:dyDescent="0.25">
      <c r="D4331" s="6" t="s">
        <v>43</v>
      </c>
      <c r="E4331">
        <v>2012</v>
      </c>
      <c r="F4331" s="6" t="s">
        <v>35</v>
      </c>
      <c r="G4331">
        <v>1</v>
      </c>
      <c r="H4331">
        <v>38</v>
      </c>
      <c r="I4331" s="6" t="s">
        <v>36</v>
      </c>
      <c r="J4331" s="6" t="s">
        <v>37</v>
      </c>
      <c r="K4331">
        <v>5</v>
      </c>
      <c r="M4331" s="1" t="b">
        <f>Employee__2[[#This Row],[Experience]]&gt;1</f>
        <v>1</v>
      </c>
      <c r="N4331" s="1" t="str">
        <f>IF(Employee__2[[#This Row],[City]]="Pune","Yes","No")</f>
        <v>No</v>
      </c>
      <c r="O4331" s="1" t="str">
        <f>IF(AND(Employee__2[[#This Row],[Education]]="Bachelors",Employee__2[[#This Row],[City]]="Pune"),"Yes","No")</f>
        <v>No</v>
      </c>
      <c r="P4331" s="1" t="str">
        <f>IF(OR(Employee__2[[#This Row],[Age]]&gt;=30,Employee__2[[#This Row],[Gender]]="Male"),"Mached","Not mached")</f>
        <v>Mached</v>
      </c>
    </row>
    <row r="4332" spans="4:16" x14ac:dyDescent="0.25">
      <c r="D4332" s="6" t="s">
        <v>34</v>
      </c>
      <c r="E4332">
        <v>2014</v>
      </c>
      <c r="F4332" s="6" t="s">
        <v>35</v>
      </c>
      <c r="G4332">
        <v>3</v>
      </c>
      <c r="H4332">
        <v>22</v>
      </c>
      <c r="I4332" s="6" t="s">
        <v>39</v>
      </c>
      <c r="J4332" s="6" t="s">
        <v>37</v>
      </c>
      <c r="K4332">
        <v>0</v>
      </c>
      <c r="M4332" s="1" t="b">
        <f>Employee__2[[#This Row],[Experience]]&gt;1</f>
        <v>0</v>
      </c>
      <c r="N4332" s="1" t="str">
        <f>IF(Employee__2[[#This Row],[City]]="Pune","Yes","No")</f>
        <v>No</v>
      </c>
      <c r="O4332" s="1" t="str">
        <f>IF(AND(Employee__2[[#This Row],[Education]]="Bachelors",Employee__2[[#This Row],[City]]="Pune"),"Yes","No")</f>
        <v>No</v>
      </c>
      <c r="P4332" s="1" t="str">
        <f>IF(OR(Employee__2[[#This Row],[Age]]&gt;=30,Employee__2[[#This Row],[Gender]]="Male"),"Mached","Not mached")</f>
        <v>Not mached</v>
      </c>
    </row>
    <row r="4333" spans="4:16" x14ac:dyDescent="0.25">
      <c r="D4333" s="6" t="s">
        <v>34</v>
      </c>
      <c r="E4333">
        <v>2014</v>
      </c>
      <c r="F4333" s="6" t="s">
        <v>40</v>
      </c>
      <c r="G4333">
        <v>3</v>
      </c>
      <c r="H4333">
        <v>36</v>
      </c>
      <c r="I4333" s="6" t="s">
        <v>39</v>
      </c>
      <c r="J4333" s="6" t="s">
        <v>37</v>
      </c>
      <c r="K4333">
        <v>5</v>
      </c>
      <c r="M4333" s="1" t="b">
        <f>Employee__2[[#This Row],[Experience]]&gt;1</f>
        <v>1</v>
      </c>
      <c r="N4333" s="1" t="str">
        <f>IF(Employee__2[[#This Row],[City]]="Pune","Yes","No")</f>
        <v>No</v>
      </c>
      <c r="O4333" s="1" t="str">
        <f>IF(AND(Employee__2[[#This Row],[Education]]="Bachelors",Employee__2[[#This Row],[City]]="Pune"),"Yes","No")</f>
        <v>No</v>
      </c>
      <c r="P4333" s="1" t="str">
        <f>IF(OR(Employee__2[[#This Row],[Age]]&gt;=30,Employee__2[[#This Row],[Gender]]="Male"),"Mached","Not mached")</f>
        <v>Mached</v>
      </c>
    </row>
    <row r="4334" spans="4:16" x14ac:dyDescent="0.25">
      <c r="D4334" s="6" t="s">
        <v>34</v>
      </c>
      <c r="E4334">
        <v>2015</v>
      </c>
      <c r="F4334" s="6" t="s">
        <v>35</v>
      </c>
      <c r="G4334">
        <v>3</v>
      </c>
      <c r="H4334">
        <v>27</v>
      </c>
      <c r="I4334" s="6" t="s">
        <v>36</v>
      </c>
      <c r="J4334" s="6" t="s">
        <v>37</v>
      </c>
      <c r="K4334">
        <v>5</v>
      </c>
      <c r="M4334" s="1" t="b">
        <f>Employee__2[[#This Row],[Experience]]&gt;1</f>
        <v>1</v>
      </c>
      <c r="N4334" s="1" t="str">
        <f>IF(Employee__2[[#This Row],[City]]="Pune","Yes","No")</f>
        <v>No</v>
      </c>
      <c r="O4334" s="1" t="str">
        <f>IF(AND(Employee__2[[#This Row],[Education]]="Bachelors",Employee__2[[#This Row],[City]]="Pune"),"Yes","No")</f>
        <v>No</v>
      </c>
      <c r="P4334" s="1" t="str">
        <f>IF(OR(Employee__2[[#This Row],[Age]]&gt;=30,Employee__2[[#This Row],[Gender]]="Male"),"Mached","Not mached")</f>
        <v>Mached</v>
      </c>
    </row>
    <row r="4335" spans="4:16" x14ac:dyDescent="0.25">
      <c r="D4335" s="6" t="s">
        <v>34</v>
      </c>
      <c r="E4335">
        <v>2016</v>
      </c>
      <c r="F4335" s="6" t="s">
        <v>38</v>
      </c>
      <c r="G4335">
        <v>1</v>
      </c>
      <c r="H4335">
        <v>32</v>
      </c>
      <c r="I4335" s="6" t="s">
        <v>36</v>
      </c>
      <c r="J4335" s="6" t="s">
        <v>37</v>
      </c>
      <c r="K4335">
        <v>2</v>
      </c>
      <c r="M4335" s="1" t="b">
        <f>Employee__2[[#This Row],[Experience]]&gt;1</f>
        <v>1</v>
      </c>
      <c r="N4335" s="1" t="str">
        <f>IF(Employee__2[[#This Row],[City]]="Pune","Yes","No")</f>
        <v>Yes</v>
      </c>
      <c r="O4335" s="1" t="str">
        <f>IF(AND(Employee__2[[#This Row],[Education]]="Bachelors",Employee__2[[#This Row],[City]]="Pune"),"Yes","No")</f>
        <v>Yes</v>
      </c>
      <c r="P4335" s="1" t="str">
        <f>IF(OR(Employee__2[[#This Row],[Age]]&gt;=30,Employee__2[[#This Row],[Gender]]="Male"),"Mached","Not mached")</f>
        <v>Mached</v>
      </c>
    </row>
    <row r="4336" spans="4:16" x14ac:dyDescent="0.25">
      <c r="D4336" s="6" t="s">
        <v>34</v>
      </c>
      <c r="E4336">
        <v>2017</v>
      </c>
      <c r="F4336" s="6" t="s">
        <v>40</v>
      </c>
      <c r="G4336">
        <v>2</v>
      </c>
      <c r="H4336">
        <v>39</v>
      </c>
      <c r="I4336" s="6" t="s">
        <v>39</v>
      </c>
      <c r="J4336" s="6" t="s">
        <v>37</v>
      </c>
      <c r="K4336">
        <v>2</v>
      </c>
      <c r="M4336" s="1" t="b">
        <f>Employee__2[[#This Row],[Experience]]&gt;1</f>
        <v>1</v>
      </c>
      <c r="N4336" s="1" t="str">
        <f>IF(Employee__2[[#This Row],[City]]="Pune","Yes","No")</f>
        <v>No</v>
      </c>
      <c r="O4336" s="1" t="str">
        <f>IF(AND(Employee__2[[#This Row],[Education]]="Bachelors",Employee__2[[#This Row],[City]]="Pune"),"Yes","No")</f>
        <v>No</v>
      </c>
      <c r="P4336" s="1" t="str">
        <f>IF(OR(Employee__2[[#This Row],[Age]]&gt;=30,Employee__2[[#This Row],[Gender]]="Male"),"Mached","Not mached")</f>
        <v>Mached</v>
      </c>
    </row>
    <row r="4337" spans="4:16" x14ac:dyDescent="0.25">
      <c r="D4337" s="6" t="s">
        <v>34</v>
      </c>
      <c r="E4337">
        <v>2015</v>
      </c>
      <c r="F4337" s="6" t="s">
        <v>38</v>
      </c>
      <c r="G4337">
        <v>2</v>
      </c>
      <c r="H4337">
        <v>36</v>
      </c>
      <c r="I4337" s="6" t="s">
        <v>36</v>
      </c>
      <c r="J4337" s="6" t="s">
        <v>37</v>
      </c>
      <c r="K4337">
        <v>5</v>
      </c>
      <c r="M4337" s="1" t="b">
        <f>Employee__2[[#This Row],[Experience]]&gt;1</f>
        <v>1</v>
      </c>
      <c r="N4337" s="1" t="str">
        <f>IF(Employee__2[[#This Row],[City]]="Pune","Yes","No")</f>
        <v>Yes</v>
      </c>
      <c r="O4337" s="1" t="str">
        <f>IF(AND(Employee__2[[#This Row],[Education]]="Bachelors",Employee__2[[#This Row],[City]]="Pune"),"Yes","No")</f>
        <v>Yes</v>
      </c>
      <c r="P4337" s="1" t="str">
        <f>IF(OR(Employee__2[[#This Row],[Age]]&gt;=30,Employee__2[[#This Row],[Gender]]="Male"),"Mached","Not mached")</f>
        <v>Mached</v>
      </c>
    </row>
    <row r="4338" spans="4:16" x14ac:dyDescent="0.25">
      <c r="D4338" s="6" t="s">
        <v>34</v>
      </c>
      <c r="E4338">
        <v>2018</v>
      </c>
      <c r="F4338" s="6" t="s">
        <v>35</v>
      </c>
      <c r="G4338">
        <v>3</v>
      </c>
      <c r="H4338">
        <v>34</v>
      </c>
      <c r="I4338" s="6" t="s">
        <v>36</v>
      </c>
      <c r="J4338" s="6" t="s">
        <v>42</v>
      </c>
      <c r="K4338">
        <v>5</v>
      </c>
      <c r="M4338" s="1" t="b">
        <f>Employee__2[[#This Row],[Experience]]&gt;1</f>
        <v>1</v>
      </c>
      <c r="N4338" s="1" t="str">
        <f>IF(Employee__2[[#This Row],[City]]="Pune","Yes","No")</f>
        <v>No</v>
      </c>
      <c r="O4338" s="1" t="str">
        <f>IF(AND(Employee__2[[#This Row],[Education]]="Bachelors",Employee__2[[#This Row],[City]]="Pune"),"Yes","No")</f>
        <v>No</v>
      </c>
      <c r="P4338" s="1" t="str">
        <f>IF(OR(Employee__2[[#This Row],[Age]]&gt;=30,Employee__2[[#This Row],[Gender]]="Male"),"Mached","Not mached")</f>
        <v>Mached</v>
      </c>
    </row>
    <row r="4339" spans="4:16" x14ac:dyDescent="0.25">
      <c r="D4339" s="6" t="s">
        <v>34</v>
      </c>
      <c r="E4339">
        <v>2015</v>
      </c>
      <c r="F4339" s="6" t="s">
        <v>35</v>
      </c>
      <c r="G4339">
        <v>3</v>
      </c>
      <c r="H4339">
        <v>28</v>
      </c>
      <c r="I4339" s="6" t="s">
        <v>36</v>
      </c>
      <c r="J4339" s="6" t="s">
        <v>37</v>
      </c>
      <c r="K4339">
        <v>1</v>
      </c>
      <c r="M4339" s="1" t="b">
        <f>Employee__2[[#This Row],[Experience]]&gt;1</f>
        <v>0</v>
      </c>
      <c r="N4339" s="1" t="str">
        <f>IF(Employee__2[[#This Row],[City]]="Pune","Yes","No")</f>
        <v>No</v>
      </c>
      <c r="O4339" s="1" t="str">
        <f>IF(AND(Employee__2[[#This Row],[Education]]="Bachelors",Employee__2[[#This Row],[City]]="Pune"),"Yes","No")</f>
        <v>No</v>
      </c>
      <c r="P4339" s="1" t="str">
        <f>IF(OR(Employee__2[[#This Row],[Age]]&gt;=30,Employee__2[[#This Row],[Gender]]="Male"),"Mached","Not mached")</f>
        <v>Mached</v>
      </c>
    </row>
    <row r="4340" spans="4:16" x14ac:dyDescent="0.25">
      <c r="D4340" s="6" t="s">
        <v>34</v>
      </c>
      <c r="E4340">
        <v>2018</v>
      </c>
      <c r="F4340" s="6" t="s">
        <v>35</v>
      </c>
      <c r="G4340">
        <v>3</v>
      </c>
      <c r="H4340">
        <v>36</v>
      </c>
      <c r="I4340" s="6" t="s">
        <v>39</v>
      </c>
      <c r="J4340" s="6" t="s">
        <v>42</v>
      </c>
      <c r="K4340">
        <v>1</v>
      </c>
      <c r="M4340" s="1" t="b">
        <f>Employee__2[[#This Row],[Experience]]&gt;1</f>
        <v>0</v>
      </c>
      <c r="N4340" s="1" t="str">
        <f>IF(Employee__2[[#This Row],[City]]="Pune","Yes","No")</f>
        <v>No</v>
      </c>
      <c r="O4340" s="1" t="str">
        <f>IF(AND(Employee__2[[#This Row],[Education]]="Bachelors",Employee__2[[#This Row],[City]]="Pune"),"Yes","No")</f>
        <v>No</v>
      </c>
      <c r="P4340" s="1" t="str">
        <f>IF(OR(Employee__2[[#This Row],[Age]]&gt;=30,Employee__2[[#This Row],[Gender]]="Male"),"Mached","Not mached")</f>
        <v>Mached</v>
      </c>
    </row>
    <row r="4341" spans="4:16" x14ac:dyDescent="0.25">
      <c r="D4341" s="6" t="s">
        <v>43</v>
      </c>
      <c r="E4341">
        <v>2015</v>
      </c>
      <c r="F4341" s="6" t="s">
        <v>40</v>
      </c>
      <c r="G4341">
        <v>3</v>
      </c>
      <c r="H4341">
        <v>22</v>
      </c>
      <c r="I4341" s="6" t="s">
        <v>39</v>
      </c>
      <c r="J4341" s="6" t="s">
        <v>37</v>
      </c>
      <c r="K4341">
        <v>0</v>
      </c>
      <c r="M4341" s="1" t="b">
        <f>Employee__2[[#This Row],[Experience]]&gt;1</f>
        <v>0</v>
      </c>
      <c r="N4341" s="1" t="str">
        <f>IF(Employee__2[[#This Row],[City]]="Pune","Yes","No")</f>
        <v>No</v>
      </c>
      <c r="O4341" s="1" t="str">
        <f>IF(AND(Employee__2[[#This Row],[Education]]="Bachelors",Employee__2[[#This Row],[City]]="Pune"),"Yes","No")</f>
        <v>No</v>
      </c>
      <c r="P4341" s="1" t="str">
        <f>IF(OR(Employee__2[[#This Row],[Age]]&gt;=30,Employee__2[[#This Row],[Gender]]="Male"),"Mached","Not mached")</f>
        <v>Not mached</v>
      </c>
    </row>
    <row r="4342" spans="4:16" x14ac:dyDescent="0.25">
      <c r="D4342" s="6" t="s">
        <v>34</v>
      </c>
      <c r="E4342">
        <v>2014</v>
      </c>
      <c r="F4342" s="6" t="s">
        <v>40</v>
      </c>
      <c r="G4342">
        <v>1</v>
      </c>
      <c r="H4342">
        <v>28</v>
      </c>
      <c r="I4342" s="6" t="s">
        <v>39</v>
      </c>
      <c r="J4342" s="6" t="s">
        <v>37</v>
      </c>
      <c r="K4342">
        <v>5</v>
      </c>
      <c r="M4342" s="1" t="b">
        <f>Employee__2[[#This Row],[Experience]]&gt;1</f>
        <v>1</v>
      </c>
      <c r="N4342" s="1" t="str">
        <f>IF(Employee__2[[#This Row],[City]]="Pune","Yes","No")</f>
        <v>No</v>
      </c>
      <c r="O4342" s="1" t="str">
        <f>IF(AND(Employee__2[[#This Row],[Education]]="Bachelors",Employee__2[[#This Row],[City]]="Pune"),"Yes","No")</f>
        <v>No</v>
      </c>
      <c r="P4342" s="1" t="str">
        <f>IF(OR(Employee__2[[#This Row],[Age]]&gt;=30,Employee__2[[#This Row],[Gender]]="Male"),"Mached","Not mached")</f>
        <v>Not mached</v>
      </c>
    </row>
    <row r="4343" spans="4:16" x14ac:dyDescent="0.25">
      <c r="D4343" s="6" t="s">
        <v>34</v>
      </c>
      <c r="E4343">
        <v>2016</v>
      </c>
      <c r="F4343" s="6" t="s">
        <v>38</v>
      </c>
      <c r="G4343">
        <v>2</v>
      </c>
      <c r="H4343">
        <v>27</v>
      </c>
      <c r="I4343" s="6" t="s">
        <v>39</v>
      </c>
      <c r="J4343" s="6" t="s">
        <v>37</v>
      </c>
      <c r="K4343">
        <v>5</v>
      </c>
      <c r="M4343" s="1" t="b">
        <f>Employee__2[[#This Row],[Experience]]&gt;1</f>
        <v>1</v>
      </c>
      <c r="N4343" s="1" t="str">
        <f>IF(Employee__2[[#This Row],[City]]="Pune","Yes","No")</f>
        <v>Yes</v>
      </c>
      <c r="O4343" s="1" t="str">
        <f>IF(AND(Employee__2[[#This Row],[Education]]="Bachelors",Employee__2[[#This Row],[City]]="Pune"),"Yes","No")</f>
        <v>Yes</v>
      </c>
      <c r="P4343" s="1" t="str">
        <f>IF(OR(Employee__2[[#This Row],[Age]]&gt;=30,Employee__2[[#This Row],[Gender]]="Male"),"Mached","Not mached")</f>
        <v>Not mached</v>
      </c>
    </row>
    <row r="4344" spans="4:16" x14ac:dyDescent="0.25">
      <c r="D4344" s="6" t="s">
        <v>34</v>
      </c>
      <c r="E4344">
        <v>2014</v>
      </c>
      <c r="F4344" s="6" t="s">
        <v>35</v>
      </c>
      <c r="G4344">
        <v>1</v>
      </c>
      <c r="H4344">
        <v>39</v>
      </c>
      <c r="I4344" s="6" t="s">
        <v>39</v>
      </c>
      <c r="J4344" s="6" t="s">
        <v>37</v>
      </c>
      <c r="K4344">
        <v>4</v>
      </c>
      <c r="M4344" s="1" t="b">
        <f>Employee__2[[#This Row],[Experience]]&gt;1</f>
        <v>1</v>
      </c>
      <c r="N4344" s="1" t="str">
        <f>IF(Employee__2[[#This Row],[City]]="Pune","Yes","No")</f>
        <v>No</v>
      </c>
      <c r="O4344" s="1" t="str">
        <f>IF(AND(Employee__2[[#This Row],[Education]]="Bachelors",Employee__2[[#This Row],[City]]="Pune"),"Yes","No")</f>
        <v>No</v>
      </c>
      <c r="P4344" s="1" t="str">
        <f>IF(OR(Employee__2[[#This Row],[Age]]&gt;=30,Employee__2[[#This Row],[Gender]]="Male"),"Mached","Not mached")</f>
        <v>Mached</v>
      </c>
    </row>
    <row r="4345" spans="4:16" x14ac:dyDescent="0.25">
      <c r="D4345" s="6" t="s">
        <v>34</v>
      </c>
      <c r="E4345">
        <v>2012</v>
      </c>
      <c r="F4345" s="6" t="s">
        <v>35</v>
      </c>
      <c r="G4345">
        <v>3</v>
      </c>
      <c r="H4345">
        <v>31</v>
      </c>
      <c r="I4345" s="6" t="s">
        <v>36</v>
      </c>
      <c r="J4345" s="6" t="s">
        <v>37</v>
      </c>
      <c r="K4345">
        <v>0</v>
      </c>
      <c r="M4345" s="1" t="b">
        <f>Employee__2[[#This Row],[Experience]]&gt;1</f>
        <v>0</v>
      </c>
      <c r="N4345" s="1" t="str">
        <f>IF(Employee__2[[#This Row],[City]]="Pune","Yes","No")</f>
        <v>No</v>
      </c>
      <c r="O4345" s="1" t="str">
        <f>IF(AND(Employee__2[[#This Row],[Education]]="Bachelors",Employee__2[[#This Row],[City]]="Pune"),"Yes","No")</f>
        <v>No</v>
      </c>
      <c r="P4345" s="1" t="str">
        <f>IF(OR(Employee__2[[#This Row],[Age]]&gt;=30,Employee__2[[#This Row],[Gender]]="Male"),"Mached","Not mached")</f>
        <v>Mached</v>
      </c>
    </row>
    <row r="4346" spans="4:16" x14ac:dyDescent="0.25">
      <c r="D4346" s="6" t="s">
        <v>34</v>
      </c>
      <c r="E4346">
        <v>2013</v>
      </c>
      <c r="F4346" s="6" t="s">
        <v>35</v>
      </c>
      <c r="G4346">
        <v>3</v>
      </c>
      <c r="H4346">
        <v>26</v>
      </c>
      <c r="I4346" s="6" t="s">
        <v>36</v>
      </c>
      <c r="J4346" s="6" t="s">
        <v>42</v>
      </c>
      <c r="K4346">
        <v>4</v>
      </c>
      <c r="M4346" s="1" t="b">
        <f>Employee__2[[#This Row],[Experience]]&gt;1</f>
        <v>1</v>
      </c>
      <c r="N4346" s="1" t="str">
        <f>IF(Employee__2[[#This Row],[City]]="Pune","Yes","No")</f>
        <v>No</v>
      </c>
      <c r="O4346" s="1" t="str">
        <f>IF(AND(Employee__2[[#This Row],[Education]]="Bachelors",Employee__2[[#This Row],[City]]="Pune"),"Yes","No")</f>
        <v>No</v>
      </c>
      <c r="P4346" s="1" t="str">
        <f>IF(OR(Employee__2[[#This Row],[Age]]&gt;=30,Employee__2[[#This Row],[Gender]]="Male"),"Mached","Not mached")</f>
        <v>Mached</v>
      </c>
    </row>
    <row r="4347" spans="4:16" x14ac:dyDescent="0.25">
      <c r="D4347" s="6" t="s">
        <v>34</v>
      </c>
      <c r="E4347">
        <v>2012</v>
      </c>
      <c r="F4347" s="6" t="s">
        <v>35</v>
      </c>
      <c r="G4347">
        <v>3</v>
      </c>
      <c r="H4347">
        <v>31</v>
      </c>
      <c r="I4347" s="6" t="s">
        <v>36</v>
      </c>
      <c r="J4347" s="6" t="s">
        <v>37</v>
      </c>
      <c r="K4347">
        <v>3</v>
      </c>
      <c r="M4347" s="1" t="b">
        <f>Employee__2[[#This Row],[Experience]]&gt;1</f>
        <v>1</v>
      </c>
      <c r="N4347" s="1" t="str">
        <f>IF(Employee__2[[#This Row],[City]]="Pune","Yes","No")</f>
        <v>No</v>
      </c>
      <c r="O4347" s="1" t="str">
        <f>IF(AND(Employee__2[[#This Row],[Education]]="Bachelors",Employee__2[[#This Row],[City]]="Pune"),"Yes","No")</f>
        <v>No</v>
      </c>
      <c r="P4347" s="1" t="str">
        <f>IF(OR(Employee__2[[#This Row],[Age]]&gt;=30,Employee__2[[#This Row],[Gender]]="Male"),"Mached","Not mached")</f>
        <v>Mached</v>
      </c>
    </row>
    <row r="4348" spans="4:16" x14ac:dyDescent="0.25">
      <c r="D4348" s="6" t="s">
        <v>34</v>
      </c>
      <c r="E4348">
        <v>2015</v>
      </c>
      <c r="F4348" s="6" t="s">
        <v>38</v>
      </c>
      <c r="G4348">
        <v>2</v>
      </c>
      <c r="H4348">
        <v>33</v>
      </c>
      <c r="I4348" s="6" t="s">
        <v>39</v>
      </c>
      <c r="J4348" s="6" t="s">
        <v>37</v>
      </c>
      <c r="K4348">
        <v>2</v>
      </c>
      <c r="M4348" s="1" t="b">
        <f>Employee__2[[#This Row],[Experience]]&gt;1</f>
        <v>1</v>
      </c>
      <c r="N4348" s="1" t="str">
        <f>IF(Employee__2[[#This Row],[City]]="Pune","Yes","No")</f>
        <v>Yes</v>
      </c>
      <c r="O4348" s="1" t="str">
        <f>IF(AND(Employee__2[[#This Row],[Education]]="Bachelors",Employee__2[[#This Row],[City]]="Pune"),"Yes","No")</f>
        <v>Yes</v>
      </c>
      <c r="P4348" s="1" t="str">
        <f>IF(OR(Employee__2[[#This Row],[Age]]&gt;=30,Employee__2[[#This Row],[Gender]]="Male"),"Mached","Not mached")</f>
        <v>Mached</v>
      </c>
    </row>
    <row r="4349" spans="4:16" x14ac:dyDescent="0.25">
      <c r="D4349" s="6" t="s">
        <v>34</v>
      </c>
      <c r="E4349">
        <v>2017</v>
      </c>
      <c r="F4349" s="6" t="s">
        <v>38</v>
      </c>
      <c r="G4349">
        <v>2</v>
      </c>
      <c r="H4349">
        <v>38</v>
      </c>
      <c r="I4349" s="6" t="s">
        <v>39</v>
      </c>
      <c r="J4349" s="6" t="s">
        <v>37</v>
      </c>
      <c r="K4349">
        <v>1</v>
      </c>
      <c r="M4349" s="1" t="b">
        <f>Employee__2[[#This Row],[Experience]]&gt;1</f>
        <v>0</v>
      </c>
      <c r="N4349" s="1" t="str">
        <f>IF(Employee__2[[#This Row],[City]]="Pune","Yes","No")</f>
        <v>Yes</v>
      </c>
      <c r="O4349" s="1" t="str">
        <f>IF(AND(Employee__2[[#This Row],[Education]]="Bachelors",Employee__2[[#This Row],[City]]="Pune"),"Yes","No")</f>
        <v>Yes</v>
      </c>
      <c r="P4349" s="1" t="str">
        <f>IF(OR(Employee__2[[#This Row],[Age]]&gt;=30,Employee__2[[#This Row],[Gender]]="Male"),"Mached","Not mached")</f>
        <v>Mached</v>
      </c>
    </row>
    <row r="4350" spans="4:16" x14ac:dyDescent="0.25">
      <c r="D4350" s="6" t="s">
        <v>34</v>
      </c>
      <c r="E4350">
        <v>2014</v>
      </c>
      <c r="F4350" s="6" t="s">
        <v>38</v>
      </c>
      <c r="G4350">
        <v>3</v>
      </c>
      <c r="H4350">
        <v>38</v>
      </c>
      <c r="I4350" s="6" t="s">
        <v>36</v>
      </c>
      <c r="J4350" s="6" t="s">
        <v>37</v>
      </c>
      <c r="K4350">
        <v>2</v>
      </c>
      <c r="M4350" s="1" t="b">
        <f>Employee__2[[#This Row],[Experience]]&gt;1</f>
        <v>1</v>
      </c>
      <c r="N4350" s="1" t="str">
        <f>IF(Employee__2[[#This Row],[City]]="Pune","Yes","No")</f>
        <v>Yes</v>
      </c>
      <c r="O4350" s="1" t="str">
        <f>IF(AND(Employee__2[[#This Row],[Education]]="Bachelors",Employee__2[[#This Row],[City]]="Pune"),"Yes","No")</f>
        <v>Yes</v>
      </c>
      <c r="P4350" s="1" t="str">
        <f>IF(OR(Employee__2[[#This Row],[Age]]&gt;=30,Employee__2[[#This Row],[Gender]]="Male"),"Mached","Not mached")</f>
        <v>Mached</v>
      </c>
    </row>
    <row r="4351" spans="4:16" x14ac:dyDescent="0.25">
      <c r="D4351" s="6" t="s">
        <v>34</v>
      </c>
      <c r="E4351">
        <v>2012</v>
      </c>
      <c r="F4351" s="6" t="s">
        <v>38</v>
      </c>
      <c r="G4351">
        <v>3</v>
      </c>
      <c r="H4351">
        <v>32</v>
      </c>
      <c r="I4351" s="6" t="s">
        <v>36</v>
      </c>
      <c r="J4351" s="6" t="s">
        <v>37</v>
      </c>
      <c r="K4351">
        <v>3</v>
      </c>
      <c r="M4351" s="1" t="b">
        <f>Employee__2[[#This Row],[Experience]]&gt;1</f>
        <v>1</v>
      </c>
      <c r="N4351" s="1" t="str">
        <f>IF(Employee__2[[#This Row],[City]]="Pune","Yes","No")</f>
        <v>Yes</v>
      </c>
      <c r="O4351" s="1" t="str">
        <f>IF(AND(Employee__2[[#This Row],[Education]]="Bachelors",Employee__2[[#This Row],[City]]="Pune"),"Yes","No")</f>
        <v>Yes</v>
      </c>
      <c r="P4351" s="1" t="str">
        <f>IF(OR(Employee__2[[#This Row],[Age]]&gt;=30,Employee__2[[#This Row],[Gender]]="Male"),"Mached","Not mached")</f>
        <v>Mached</v>
      </c>
    </row>
    <row r="4352" spans="4:16" x14ac:dyDescent="0.25">
      <c r="D4352" s="6" t="s">
        <v>34</v>
      </c>
      <c r="E4352">
        <v>2014</v>
      </c>
      <c r="F4352" s="6" t="s">
        <v>35</v>
      </c>
      <c r="G4352">
        <v>3</v>
      </c>
      <c r="H4352">
        <v>26</v>
      </c>
      <c r="I4352" s="6" t="s">
        <v>36</v>
      </c>
      <c r="J4352" s="6" t="s">
        <v>37</v>
      </c>
      <c r="K4352">
        <v>4</v>
      </c>
      <c r="M4352" s="1" t="b">
        <f>Employee__2[[#This Row],[Experience]]&gt;1</f>
        <v>1</v>
      </c>
      <c r="N4352" s="1" t="str">
        <f>IF(Employee__2[[#This Row],[City]]="Pune","Yes","No")</f>
        <v>No</v>
      </c>
      <c r="O4352" s="1" t="str">
        <f>IF(AND(Employee__2[[#This Row],[Education]]="Bachelors",Employee__2[[#This Row],[City]]="Pune"),"Yes","No")</f>
        <v>No</v>
      </c>
      <c r="P4352" s="1" t="str">
        <f>IF(OR(Employee__2[[#This Row],[Age]]&gt;=30,Employee__2[[#This Row],[Gender]]="Male"),"Mached","Not mached")</f>
        <v>Mached</v>
      </c>
    </row>
    <row r="4353" spans="4:16" x14ac:dyDescent="0.25">
      <c r="D4353" s="6" t="s">
        <v>41</v>
      </c>
      <c r="E4353">
        <v>2017</v>
      </c>
      <c r="F4353" s="6" t="s">
        <v>38</v>
      </c>
      <c r="G4353">
        <v>2</v>
      </c>
      <c r="H4353">
        <v>33</v>
      </c>
      <c r="I4353" s="6" t="s">
        <v>39</v>
      </c>
      <c r="J4353" s="6" t="s">
        <v>37</v>
      </c>
      <c r="K4353">
        <v>2</v>
      </c>
      <c r="M4353" s="1" t="b">
        <f>Employee__2[[#This Row],[Experience]]&gt;1</f>
        <v>1</v>
      </c>
      <c r="N4353" s="1" t="str">
        <f>IF(Employee__2[[#This Row],[City]]="Pune","Yes","No")</f>
        <v>Yes</v>
      </c>
      <c r="O4353" s="1" t="str">
        <f>IF(AND(Employee__2[[#This Row],[Education]]="Bachelors",Employee__2[[#This Row],[City]]="Pune"),"Yes","No")</f>
        <v>No</v>
      </c>
      <c r="P4353" s="1" t="str">
        <f>IF(OR(Employee__2[[#This Row],[Age]]&gt;=30,Employee__2[[#This Row],[Gender]]="Male"),"Mached","Not mached")</f>
        <v>Mached</v>
      </c>
    </row>
    <row r="4354" spans="4:16" x14ac:dyDescent="0.25">
      <c r="D4354" s="6" t="s">
        <v>34</v>
      </c>
      <c r="E4354">
        <v>2015</v>
      </c>
      <c r="F4354" s="6" t="s">
        <v>35</v>
      </c>
      <c r="G4354">
        <v>3</v>
      </c>
      <c r="H4354">
        <v>34</v>
      </c>
      <c r="I4354" s="6" t="s">
        <v>39</v>
      </c>
      <c r="J4354" s="6" t="s">
        <v>37</v>
      </c>
      <c r="K4354">
        <v>2</v>
      </c>
      <c r="M4354" s="1" t="b">
        <f>Employee__2[[#This Row],[Experience]]&gt;1</f>
        <v>1</v>
      </c>
      <c r="N4354" s="1" t="str">
        <f>IF(Employee__2[[#This Row],[City]]="Pune","Yes","No")</f>
        <v>No</v>
      </c>
      <c r="O4354" s="1" t="str">
        <f>IF(AND(Employee__2[[#This Row],[Education]]="Bachelors",Employee__2[[#This Row],[City]]="Pune"),"Yes","No")</f>
        <v>No</v>
      </c>
      <c r="P4354" s="1" t="str">
        <f>IF(OR(Employee__2[[#This Row],[Age]]&gt;=30,Employee__2[[#This Row],[Gender]]="Male"),"Mached","Not mached")</f>
        <v>Mached</v>
      </c>
    </row>
    <row r="4355" spans="4:16" x14ac:dyDescent="0.25">
      <c r="D4355" s="6" t="s">
        <v>34</v>
      </c>
      <c r="E4355">
        <v>2018</v>
      </c>
      <c r="F4355" s="6" t="s">
        <v>38</v>
      </c>
      <c r="G4355">
        <v>3</v>
      </c>
      <c r="H4355">
        <v>36</v>
      </c>
      <c r="I4355" s="6" t="s">
        <v>36</v>
      </c>
      <c r="J4355" s="6" t="s">
        <v>42</v>
      </c>
      <c r="K4355">
        <v>1</v>
      </c>
      <c r="M4355" s="1" t="b">
        <f>Employee__2[[#This Row],[Experience]]&gt;1</f>
        <v>0</v>
      </c>
      <c r="N4355" s="1" t="str">
        <f>IF(Employee__2[[#This Row],[City]]="Pune","Yes","No")</f>
        <v>Yes</v>
      </c>
      <c r="O4355" s="1" t="str">
        <f>IF(AND(Employee__2[[#This Row],[Education]]="Bachelors",Employee__2[[#This Row],[City]]="Pune"),"Yes","No")</f>
        <v>Yes</v>
      </c>
      <c r="P4355" s="1" t="str">
        <f>IF(OR(Employee__2[[#This Row],[Age]]&gt;=30,Employee__2[[#This Row],[Gender]]="Male"),"Mached","Not mached")</f>
        <v>Mached</v>
      </c>
    </row>
    <row r="4356" spans="4:16" x14ac:dyDescent="0.25">
      <c r="D4356" s="6" t="s">
        <v>34</v>
      </c>
      <c r="E4356">
        <v>2014</v>
      </c>
      <c r="F4356" s="6" t="s">
        <v>35</v>
      </c>
      <c r="G4356">
        <v>3</v>
      </c>
      <c r="H4356">
        <v>27</v>
      </c>
      <c r="I4356" s="6" t="s">
        <v>36</v>
      </c>
      <c r="J4356" s="6" t="s">
        <v>37</v>
      </c>
      <c r="K4356">
        <v>5</v>
      </c>
      <c r="M4356" s="1" t="b">
        <f>Employee__2[[#This Row],[Experience]]&gt;1</f>
        <v>1</v>
      </c>
      <c r="N4356" s="1" t="str">
        <f>IF(Employee__2[[#This Row],[City]]="Pune","Yes","No")</f>
        <v>No</v>
      </c>
      <c r="O4356" s="1" t="str">
        <f>IF(AND(Employee__2[[#This Row],[Education]]="Bachelors",Employee__2[[#This Row],[City]]="Pune"),"Yes","No")</f>
        <v>No</v>
      </c>
      <c r="P4356" s="1" t="str">
        <f>IF(OR(Employee__2[[#This Row],[Age]]&gt;=30,Employee__2[[#This Row],[Gender]]="Male"),"Mached","Not mached")</f>
        <v>Mached</v>
      </c>
    </row>
    <row r="4357" spans="4:16" x14ac:dyDescent="0.25">
      <c r="D4357" s="6" t="s">
        <v>41</v>
      </c>
      <c r="E4357">
        <v>2017</v>
      </c>
      <c r="F4357" s="6" t="s">
        <v>38</v>
      </c>
      <c r="G4357">
        <v>2</v>
      </c>
      <c r="H4357">
        <v>27</v>
      </c>
      <c r="I4357" s="6" t="s">
        <v>36</v>
      </c>
      <c r="J4357" s="6" t="s">
        <v>37</v>
      </c>
      <c r="K4357">
        <v>5</v>
      </c>
      <c r="M4357" s="1" t="b">
        <f>Employee__2[[#This Row],[Experience]]&gt;1</f>
        <v>1</v>
      </c>
      <c r="N4357" s="1" t="str">
        <f>IF(Employee__2[[#This Row],[City]]="Pune","Yes","No")</f>
        <v>Yes</v>
      </c>
      <c r="O4357" s="1" t="str">
        <f>IF(AND(Employee__2[[#This Row],[Education]]="Bachelors",Employee__2[[#This Row],[City]]="Pune"),"Yes","No")</f>
        <v>No</v>
      </c>
      <c r="P4357" s="1" t="str">
        <f>IF(OR(Employee__2[[#This Row],[Age]]&gt;=30,Employee__2[[#This Row],[Gender]]="Male"),"Mached","Not mached")</f>
        <v>Mached</v>
      </c>
    </row>
    <row r="4358" spans="4:16" x14ac:dyDescent="0.25">
      <c r="D4358" s="6" t="s">
        <v>34</v>
      </c>
      <c r="E4358">
        <v>2017</v>
      </c>
      <c r="F4358" s="6" t="s">
        <v>40</v>
      </c>
      <c r="G4358">
        <v>2</v>
      </c>
      <c r="H4358">
        <v>40</v>
      </c>
      <c r="I4358" s="6" t="s">
        <v>39</v>
      </c>
      <c r="J4358" s="6" t="s">
        <v>37</v>
      </c>
      <c r="K4358">
        <v>5</v>
      </c>
      <c r="M4358" s="1" t="b">
        <f>Employee__2[[#This Row],[Experience]]&gt;1</f>
        <v>1</v>
      </c>
      <c r="N4358" s="1" t="str">
        <f>IF(Employee__2[[#This Row],[City]]="Pune","Yes","No")</f>
        <v>No</v>
      </c>
      <c r="O4358" s="1" t="str">
        <f>IF(AND(Employee__2[[#This Row],[Education]]="Bachelors",Employee__2[[#This Row],[City]]="Pune"),"Yes","No")</f>
        <v>No</v>
      </c>
      <c r="P4358" s="1" t="str">
        <f>IF(OR(Employee__2[[#This Row],[Age]]&gt;=30,Employee__2[[#This Row],[Gender]]="Male"),"Mached","Not mached")</f>
        <v>Mached</v>
      </c>
    </row>
    <row r="4359" spans="4:16" x14ac:dyDescent="0.25">
      <c r="D4359" s="6" t="s">
        <v>41</v>
      </c>
      <c r="E4359">
        <v>2012</v>
      </c>
      <c r="F4359" s="6" t="s">
        <v>35</v>
      </c>
      <c r="G4359">
        <v>3</v>
      </c>
      <c r="H4359">
        <v>31</v>
      </c>
      <c r="I4359" s="6" t="s">
        <v>39</v>
      </c>
      <c r="J4359" s="6" t="s">
        <v>37</v>
      </c>
      <c r="K4359">
        <v>4</v>
      </c>
      <c r="M4359" s="1" t="b">
        <f>Employee__2[[#This Row],[Experience]]&gt;1</f>
        <v>1</v>
      </c>
      <c r="N4359" s="1" t="str">
        <f>IF(Employee__2[[#This Row],[City]]="Pune","Yes","No")</f>
        <v>No</v>
      </c>
      <c r="O4359" s="1" t="str">
        <f>IF(AND(Employee__2[[#This Row],[Education]]="Bachelors",Employee__2[[#This Row],[City]]="Pune"),"Yes","No")</f>
        <v>No</v>
      </c>
      <c r="P4359" s="1" t="str">
        <f>IF(OR(Employee__2[[#This Row],[Age]]&gt;=30,Employee__2[[#This Row],[Gender]]="Male"),"Mached","Not mached")</f>
        <v>Mached</v>
      </c>
    </row>
    <row r="4360" spans="4:16" x14ac:dyDescent="0.25">
      <c r="D4360" s="6" t="s">
        <v>34</v>
      </c>
      <c r="E4360">
        <v>2014</v>
      </c>
      <c r="F4360" s="6" t="s">
        <v>35</v>
      </c>
      <c r="G4360">
        <v>3</v>
      </c>
      <c r="H4360">
        <v>22</v>
      </c>
      <c r="I4360" s="6" t="s">
        <v>36</v>
      </c>
      <c r="J4360" s="6" t="s">
        <v>37</v>
      </c>
      <c r="K4360">
        <v>0</v>
      </c>
      <c r="M4360" s="1" t="b">
        <f>Employee__2[[#This Row],[Experience]]&gt;1</f>
        <v>0</v>
      </c>
      <c r="N4360" s="1" t="str">
        <f>IF(Employee__2[[#This Row],[City]]="Pune","Yes","No")</f>
        <v>No</v>
      </c>
      <c r="O4360" s="1" t="str">
        <f>IF(AND(Employee__2[[#This Row],[Education]]="Bachelors",Employee__2[[#This Row],[City]]="Pune"),"Yes","No")</f>
        <v>No</v>
      </c>
      <c r="P4360" s="1" t="str">
        <f>IF(OR(Employee__2[[#This Row],[Age]]&gt;=30,Employee__2[[#This Row],[Gender]]="Male"),"Mached","Not mached")</f>
        <v>Mached</v>
      </c>
    </row>
    <row r="4361" spans="4:16" x14ac:dyDescent="0.25">
      <c r="D4361" s="6" t="s">
        <v>41</v>
      </c>
      <c r="E4361">
        <v>2017</v>
      </c>
      <c r="F4361" s="6" t="s">
        <v>40</v>
      </c>
      <c r="G4361">
        <v>2</v>
      </c>
      <c r="H4361">
        <v>22</v>
      </c>
      <c r="I4361" s="6" t="s">
        <v>36</v>
      </c>
      <c r="J4361" s="6" t="s">
        <v>37</v>
      </c>
      <c r="K4361">
        <v>0</v>
      </c>
      <c r="M4361" s="1" t="b">
        <f>Employee__2[[#This Row],[Experience]]&gt;1</f>
        <v>0</v>
      </c>
      <c r="N4361" s="1" t="str">
        <f>IF(Employee__2[[#This Row],[City]]="Pune","Yes","No")</f>
        <v>No</v>
      </c>
      <c r="O4361" s="1" t="str">
        <f>IF(AND(Employee__2[[#This Row],[Education]]="Bachelors",Employee__2[[#This Row],[City]]="Pune"),"Yes","No")</f>
        <v>No</v>
      </c>
      <c r="P4361" s="1" t="str">
        <f>IF(OR(Employee__2[[#This Row],[Age]]&gt;=30,Employee__2[[#This Row],[Gender]]="Male"),"Mached","Not mached")</f>
        <v>Mached</v>
      </c>
    </row>
    <row r="4362" spans="4:16" x14ac:dyDescent="0.25">
      <c r="D4362" s="6" t="s">
        <v>34</v>
      </c>
      <c r="E4362">
        <v>2016</v>
      </c>
      <c r="F4362" s="6" t="s">
        <v>40</v>
      </c>
      <c r="G4362">
        <v>3</v>
      </c>
      <c r="H4362">
        <v>26</v>
      </c>
      <c r="I4362" s="6" t="s">
        <v>39</v>
      </c>
      <c r="J4362" s="6" t="s">
        <v>37</v>
      </c>
      <c r="K4362">
        <v>4</v>
      </c>
      <c r="M4362" s="1" t="b">
        <f>Employee__2[[#This Row],[Experience]]&gt;1</f>
        <v>1</v>
      </c>
      <c r="N4362" s="1" t="str">
        <f>IF(Employee__2[[#This Row],[City]]="Pune","Yes","No")</f>
        <v>No</v>
      </c>
      <c r="O4362" s="1" t="str">
        <f>IF(AND(Employee__2[[#This Row],[Education]]="Bachelors",Employee__2[[#This Row],[City]]="Pune"),"Yes","No")</f>
        <v>No</v>
      </c>
      <c r="P4362" s="1" t="str">
        <f>IF(OR(Employee__2[[#This Row],[Age]]&gt;=30,Employee__2[[#This Row],[Gender]]="Male"),"Mached","Not mached")</f>
        <v>Not mached</v>
      </c>
    </row>
    <row r="4363" spans="4:16" x14ac:dyDescent="0.25">
      <c r="D4363" s="6" t="s">
        <v>34</v>
      </c>
      <c r="E4363">
        <v>2017</v>
      </c>
      <c r="F4363" s="6" t="s">
        <v>40</v>
      </c>
      <c r="G4363">
        <v>3</v>
      </c>
      <c r="H4363">
        <v>28</v>
      </c>
      <c r="I4363" s="6" t="s">
        <v>39</v>
      </c>
      <c r="J4363" s="6" t="s">
        <v>37</v>
      </c>
      <c r="K4363">
        <v>1</v>
      </c>
      <c r="M4363" s="1" t="b">
        <f>Employee__2[[#This Row],[Experience]]&gt;1</f>
        <v>0</v>
      </c>
      <c r="N4363" s="1" t="str">
        <f>IF(Employee__2[[#This Row],[City]]="Pune","Yes","No")</f>
        <v>No</v>
      </c>
      <c r="O4363" s="1" t="str">
        <f>IF(AND(Employee__2[[#This Row],[Education]]="Bachelors",Employee__2[[#This Row],[City]]="Pune"),"Yes","No")</f>
        <v>No</v>
      </c>
      <c r="P4363" s="1" t="str">
        <f>IF(OR(Employee__2[[#This Row],[Age]]&gt;=30,Employee__2[[#This Row],[Gender]]="Male"),"Mached","Not mached")</f>
        <v>Not mached</v>
      </c>
    </row>
    <row r="4364" spans="4:16" x14ac:dyDescent="0.25">
      <c r="D4364" s="6" t="s">
        <v>34</v>
      </c>
      <c r="E4364">
        <v>2014</v>
      </c>
      <c r="F4364" s="6" t="s">
        <v>35</v>
      </c>
      <c r="G4364">
        <v>3</v>
      </c>
      <c r="H4364">
        <v>38</v>
      </c>
      <c r="I4364" s="6" t="s">
        <v>36</v>
      </c>
      <c r="J4364" s="6" t="s">
        <v>42</v>
      </c>
      <c r="K4364">
        <v>5</v>
      </c>
      <c r="M4364" s="1" t="b">
        <f>Employee__2[[#This Row],[Experience]]&gt;1</f>
        <v>1</v>
      </c>
      <c r="N4364" s="1" t="str">
        <f>IF(Employee__2[[#This Row],[City]]="Pune","Yes","No")</f>
        <v>No</v>
      </c>
      <c r="O4364" s="1" t="str">
        <f>IF(AND(Employee__2[[#This Row],[Education]]="Bachelors",Employee__2[[#This Row],[City]]="Pune"),"Yes","No")</f>
        <v>No</v>
      </c>
      <c r="P4364" s="1" t="str">
        <f>IF(OR(Employee__2[[#This Row],[Age]]&gt;=30,Employee__2[[#This Row],[Gender]]="Male"),"Mached","Not mached")</f>
        <v>Mached</v>
      </c>
    </row>
    <row r="4365" spans="4:16" x14ac:dyDescent="0.25">
      <c r="D4365" s="6" t="s">
        <v>41</v>
      </c>
      <c r="E4365">
        <v>2015</v>
      </c>
      <c r="F4365" s="6" t="s">
        <v>38</v>
      </c>
      <c r="G4365">
        <v>3</v>
      </c>
      <c r="H4365">
        <v>31</v>
      </c>
      <c r="I4365" s="6" t="s">
        <v>36</v>
      </c>
      <c r="J4365" s="6" t="s">
        <v>37</v>
      </c>
      <c r="K4365">
        <v>0</v>
      </c>
      <c r="M4365" s="1" t="b">
        <f>Employee__2[[#This Row],[Experience]]&gt;1</f>
        <v>0</v>
      </c>
      <c r="N4365" s="1" t="str">
        <f>IF(Employee__2[[#This Row],[City]]="Pune","Yes","No")</f>
        <v>Yes</v>
      </c>
      <c r="O4365" s="1" t="str">
        <f>IF(AND(Employee__2[[#This Row],[Education]]="Bachelors",Employee__2[[#This Row],[City]]="Pune"),"Yes","No")</f>
        <v>No</v>
      </c>
      <c r="P4365" s="1" t="str">
        <f>IF(OR(Employee__2[[#This Row],[Age]]&gt;=30,Employee__2[[#This Row],[Gender]]="Male"),"Mached","Not mached")</f>
        <v>Mached</v>
      </c>
    </row>
    <row r="4366" spans="4:16" x14ac:dyDescent="0.25">
      <c r="D4366" s="6" t="s">
        <v>34</v>
      </c>
      <c r="E4366">
        <v>2016</v>
      </c>
      <c r="F4366" s="6" t="s">
        <v>35</v>
      </c>
      <c r="G4366">
        <v>3</v>
      </c>
      <c r="H4366">
        <v>24</v>
      </c>
      <c r="I4366" s="6" t="s">
        <v>36</v>
      </c>
      <c r="J4366" s="6" t="s">
        <v>37</v>
      </c>
      <c r="K4366">
        <v>2</v>
      </c>
      <c r="M4366" s="1" t="b">
        <f>Employee__2[[#This Row],[Experience]]&gt;1</f>
        <v>1</v>
      </c>
      <c r="N4366" s="1" t="str">
        <f>IF(Employee__2[[#This Row],[City]]="Pune","Yes","No")</f>
        <v>No</v>
      </c>
      <c r="O4366" s="1" t="str">
        <f>IF(AND(Employee__2[[#This Row],[Education]]="Bachelors",Employee__2[[#This Row],[City]]="Pune"),"Yes","No")</f>
        <v>No</v>
      </c>
      <c r="P4366" s="1" t="str">
        <f>IF(OR(Employee__2[[#This Row],[Age]]&gt;=30,Employee__2[[#This Row],[Gender]]="Male"),"Mached","Not mached")</f>
        <v>Mached</v>
      </c>
    </row>
    <row r="4367" spans="4:16" x14ac:dyDescent="0.25">
      <c r="D4367" s="6" t="s">
        <v>34</v>
      </c>
      <c r="E4367">
        <v>2015</v>
      </c>
      <c r="F4367" s="6" t="s">
        <v>38</v>
      </c>
      <c r="G4367">
        <v>2</v>
      </c>
      <c r="H4367">
        <v>25</v>
      </c>
      <c r="I4367" s="6" t="s">
        <v>36</v>
      </c>
      <c r="J4367" s="6" t="s">
        <v>37</v>
      </c>
      <c r="K4367">
        <v>3</v>
      </c>
      <c r="M4367" s="1" t="b">
        <f>Employee__2[[#This Row],[Experience]]&gt;1</f>
        <v>1</v>
      </c>
      <c r="N4367" s="1" t="str">
        <f>IF(Employee__2[[#This Row],[City]]="Pune","Yes","No")</f>
        <v>Yes</v>
      </c>
      <c r="O4367" s="1" t="str">
        <f>IF(AND(Employee__2[[#This Row],[Education]]="Bachelors",Employee__2[[#This Row],[City]]="Pune"),"Yes","No")</f>
        <v>Yes</v>
      </c>
      <c r="P4367" s="1" t="str">
        <f>IF(OR(Employee__2[[#This Row],[Age]]&gt;=30,Employee__2[[#This Row],[Gender]]="Male"),"Mached","Not mached")</f>
        <v>Mached</v>
      </c>
    </row>
    <row r="4368" spans="4:16" x14ac:dyDescent="0.25">
      <c r="D4368" s="6" t="s">
        <v>43</v>
      </c>
      <c r="E4368">
        <v>2013</v>
      </c>
      <c r="F4368" s="6" t="s">
        <v>35</v>
      </c>
      <c r="G4368">
        <v>3</v>
      </c>
      <c r="H4368">
        <v>26</v>
      </c>
      <c r="I4368" s="6" t="s">
        <v>36</v>
      </c>
      <c r="J4368" s="6" t="s">
        <v>37</v>
      </c>
      <c r="K4368">
        <v>4</v>
      </c>
      <c r="M4368" s="1" t="b">
        <f>Employee__2[[#This Row],[Experience]]&gt;1</f>
        <v>1</v>
      </c>
      <c r="N4368" s="1" t="str">
        <f>IF(Employee__2[[#This Row],[City]]="Pune","Yes","No")</f>
        <v>No</v>
      </c>
      <c r="O4368" s="1" t="str">
        <f>IF(AND(Employee__2[[#This Row],[Education]]="Bachelors",Employee__2[[#This Row],[City]]="Pune"),"Yes","No")</f>
        <v>No</v>
      </c>
      <c r="P4368" s="1" t="str">
        <f>IF(OR(Employee__2[[#This Row],[Age]]&gt;=30,Employee__2[[#This Row],[Gender]]="Male"),"Mached","Not mached")</f>
        <v>Mached</v>
      </c>
    </row>
    <row r="4369" spans="4:16" x14ac:dyDescent="0.25">
      <c r="D4369" s="6" t="s">
        <v>34</v>
      </c>
      <c r="E4369">
        <v>2017</v>
      </c>
      <c r="F4369" s="6" t="s">
        <v>35</v>
      </c>
      <c r="G4369">
        <v>3</v>
      </c>
      <c r="H4369">
        <v>40</v>
      </c>
      <c r="I4369" s="6" t="s">
        <v>36</v>
      </c>
      <c r="J4369" s="6" t="s">
        <v>37</v>
      </c>
      <c r="K4369">
        <v>1</v>
      </c>
      <c r="M4369" s="1" t="b">
        <f>Employee__2[[#This Row],[Experience]]&gt;1</f>
        <v>0</v>
      </c>
      <c r="N4369" s="1" t="str">
        <f>IF(Employee__2[[#This Row],[City]]="Pune","Yes","No")</f>
        <v>No</v>
      </c>
      <c r="O4369" s="1" t="str">
        <f>IF(AND(Employee__2[[#This Row],[Education]]="Bachelors",Employee__2[[#This Row],[City]]="Pune"),"Yes","No")</f>
        <v>No</v>
      </c>
      <c r="P4369" s="1" t="str">
        <f>IF(OR(Employee__2[[#This Row],[Age]]&gt;=30,Employee__2[[#This Row],[Gender]]="Male"),"Mached","Not mached")</f>
        <v>Mached</v>
      </c>
    </row>
    <row r="4370" spans="4:16" x14ac:dyDescent="0.25">
      <c r="D4370" s="6" t="s">
        <v>34</v>
      </c>
      <c r="E4370">
        <v>2018</v>
      </c>
      <c r="F4370" s="6" t="s">
        <v>38</v>
      </c>
      <c r="G4370">
        <v>2</v>
      </c>
      <c r="H4370">
        <v>34</v>
      </c>
      <c r="I4370" s="6" t="s">
        <v>39</v>
      </c>
      <c r="J4370" s="6" t="s">
        <v>37</v>
      </c>
      <c r="K4370">
        <v>4</v>
      </c>
      <c r="M4370" s="1" t="b">
        <f>Employee__2[[#This Row],[Experience]]&gt;1</f>
        <v>1</v>
      </c>
      <c r="N4370" s="1" t="str">
        <f>IF(Employee__2[[#This Row],[City]]="Pune","Yes","No")</f>
        <v>Yes</v>
      </c>
      <c r="O4370" s="1" t="str">
        <f>IF(AND(Employee__2[[#This Row],[Education]]="Bachelors",Employee__2[[#This Row],[City]]="Pune"),"Yes","No")</f>
        <v>Yes</v>
      </c>
      <c r="P4370" s="1" t="str">
        <f>IF(OR(Employee__2[[#This Row],[Age]]&gt;=30,Employee__2[[#This Row],[Gender]]="Male"),"Mached","Not mached")</f>
        <v>Mached</v>
      </c>
    </row>
    <row r="4371" spans="4:16" x14ac:dyDescent="0.25">
      <c r="D4371" s="6" t="s">
        <v>34</v>
      </c>
      <c r="E4371">
        <v>2016</v>
      </c>
      <c r="F4371" s="6" t="s">
        <v>35</v>
      </c>
      <c r="G4371">
        <v>3</v>
      </c>
      <c r="H4371">
        <v>32</v>
      </c>
      <c r="I4371" s="6" t="s">
        <v>36</v>
      </c>
      <c r="J4371" s="6" t="s">
        <v>37</v>
      </c>
      <c r="K4371">
        <v>0</v>
      </c>
      <c r="M4371" s="1" t="b">
        <f>Employee__2[[#This Row],[Experience]]&gt;1</f>
        <v>0</v>
      </c>
      <c r="N4371" s="1" t="str">
        <f>IF(Employee__2[[#This Row],[City]]="Pune","Yes","No")</f>
        <v>No</v>
      </c>
      <c r="O4371" s="1" t="str">
        <f>IF(AND(Employee__2[[#This Row],[Education]]="Bachelors",Employee__2[[#This Row],[City]]="Pune"),"Yes","No")</f>
        <v>No</v>
      </c>
      <c r="P4371" s="1" t="str">
        <f>IF(OR(Employee__2[[#This Row],[Age]]&gt;=30,Employee__2[[#This Row],[Gender]]="Male"),"Mached","Not mached")</f>
        <v>Mached</v>
      </c>
    </row>
    <row r="4372" spans="4:16" x14ac:dyDescent="0.25">
      <c r="D4372" s="6" t="s">
        <v>34</v>
      </c>
      <c r="E4372">
        <v>2014</v>
      </c>
      <c r="F4372" s="6" t="s">
        <v>38</v>
      </c>
      <c r="G4372">
        <v>3</v>
      </c>
      <c r="H4372">
        <v>37</v>
      </c>
      <c r="I4372" s="6" t="s">
        <v>36</v>
      </c>
      <c r="J4372" s="6" t="s">
        <v>37</v>
      </c>
      <c r="K4372">
        <v>1</v>
      </c>
      <c r="M4372" s="1" t="b">
        <f>Employee__2[[#This Row],[Experience]]&gt;1</f>
        <v>0</v>
      </c>
      <c r="N4372" s="1" t="str">
        <f>IF(Employee__2[[#This Row],[City]]="Pune","Yes","No")</f>
        <v>Yes</v>
      </c>
      <c r="O4372" s="1" t="str">
        <f>IF(AND(Employee__2[[#This Row],[Education]]="Bachelors",Employee__2[[#This Row],[City]]="Pune"),"Yes","No")</f>
        <v>Yes</v>
      </c>
      <c r="P4372" s="1" t="str">
        <f>IF(OR(Employee__2[[#This Row],[Age]]&gt;=30,Employee__2[[#This Row],[Gender]]="Male"),"Mached","Not mached")</f>
        <v>Mached</v>
      </c>
    </row>
    <row r="4373" spans="4:16" x14ac:dyDescent="0.25">
      <c r="D4373" s="6" t="s">
        <v>34</v>
      </c>
      <c r="E4373">
        <v>2015</v>
      </c>
      <c r="F4373" s="6" t="s">
        <v>35</v>
      </c>
      <c r="G4373">
        <v>3</v>
      </c>
      <c r="H4373">
        <v>33</v>
      </c>
      <c r="I4373" s="6" t="s">
        <v>36</v>
      </c>
      <c r="J4373" s="6" t="s">
        <v>37</v>
      </c>
      <c r="K4373">
        <v>3</v>
      </c>
      <c r="M4373" s="1" t="b">
        <f>Employee__2[[#This Row],[Experience]]&gt;1</f>
        <v>1</v>
      </c>
      <c r="N4373" s="1" t="str">
        <f>IF(Employee__2[[#This Row],[City]]="Pune","Yes","No")</f>
        <v>No</v>
      </c>
      <c r="O4373" s="1" t="str">
        <f>IF(AND(Employee__2[[#This Row],[Education]]="Bachelors",Employee__2[[#This Row],[City]]="Pune"),"Yes","No")</f>
        <v>No</v>
      </c>
      <c r="P4373" s="1" t="str">
        <f>IF(OR(Employee__2[[#This Row],[Age]]&gt;=30,Employee__2[[#This Row],[Gender]]="Male"),"Mached","Not mached")</f>
        <v>Mached</v>
      </c>
    </row>
    <row r="4374" spans="4:16" x14ac:dyDescent="0.25">
      <c r="D4374" s="6" t="s">
        <v>34</v>
      </c>
      <c r="E4374">
        <v>2016</v>
      </c>
      <c r="F4374" s="6" t="s">
        <v>38</v>
      </c>
      <c r="G4374">
        <v>3</v>
      </c>
      <c r="H4374">
        <v>27</v>
      </c>
      <c r="I4374" s="6" t="s">
        <v>36</v>
      </c>
      <c r="J4374" s="6" t="s">
        <v>37</v>
      </c>
      <c r="K4374">
        <v>5</v>
      </c>
      <c r="M4374" s="1" t="b">
        <f>Employee__2[[#This Row],[Experience]]&gt;1</f>
        <v>1</v>
      </c>
      <c r="N4374" s="1" t="str">
        <f>IF(Employee__2[[#This Row],[City]]="Pune","Yes","No")</f>
        <v>Yes</v>
      </c>
      <c r="O4374" s="1" t="str">
        <f>IF(AND(Employee__2[[#This Row],[Education]]="Bachelors",Employee__2[[#This Row],[City]]="Pune"),"Yes","No")</f>
        <v>Yes</v>
      </c>
      <c r="P4374" s="1" t="str">
        <f>IF(OR(Employee__2[[#This Row],[Age]]&gt;=30,Employee__2[[#This Row],[Gender]]="Male"),"Mached","Not mached")</f>
        <v>Mached</v>
      </c>
    </row>
    <row r="4375" spans="4:16" x14ac:dyDescent="0.25">
      <c r="D4375" s="6" t="s">
        <v>34</v>
      </c>
      <c r="E4375">
        <v>2012</v>
      </c>
      <c r="F4375" s="6" t="s">
        <v>40</v>
      </c>
      <c r="G4375">
        <v>3</v>
      </c>
      <c r="H4375">
        <v>36</v>
      </c>
      <c r="I4375" s="6" t="s">
        <v>36</v>
      </c>
      <c r="J4375" s="6" t="s">
        <v>37</v>
      </c>
      <c r="K4375">
        <v>3</v>
      </c>
      <c r="M4375" s="1" t="b">
        <f>Employee__2[[#This Row],[Experience]]&gt;1</f>
        <v>1</v>
      </c>
      <c r="N4375" s="1" t="str">
        <f>IF(Employee__2[[#This Row],[City]]="Pune","Yes","No")</f>
        <v>No</v>
      </c>
      <c r="O4375" s="1" t="str">
        <f>IF(AND(Employee__2[[#This Row],[Education]]="Bachelors",Employee__2[[#This Row],[City]]="Pune"),"Yes","No")</f>
        <v>No</v>
      </c>
      <c r="P4375" s="1" t="str">
        <f>IF(OR(Employee__2[[#This Row],[Age]]&gt;=30,Employee__2[[#This Row],[Gender]]="Male"),"Mached","Not mached")</f>
        <v>Mached</v>
      </c>
    </row>
    <row r="4376" spans="4:16" x14ac:dyDescent="0.25">
      <c r="D4376" s="6" t="s">
        <v>34</v>
      </c>
      <c r="E4376">
        <v>2013</v>
      </c>
      <c r="F4376" s="6" t="s">
        <v>35</v>
      </c>
      <c r="G4376">
        <v>3</v>
      </c>
      <c r="H4376">
        <v>30</v>
      </c>
      <c r="I4376" s="6" t="s">
        <v>39</v>
      </c>
      <c r="J4376" s="6" t="s">
        <v>37</v>
      </c>
      <c r="K4376">
        <v>4</v>
      </c>
      <c r="M4376" s="1" t="b">
        <f>Employee__2[[#This Row],[Experience]]&gt;1</f>
        <v>1</v>
      </c>
      <c r="N4376" s="1" t="str">
        <f>IF(Employee__2[[#This Row],[City]]="Pune","Yes","No")</f>
        <v>No</v>
      </c>
      <c r="O4376" s="1" t="str">
        <f>IF(AND(Employee__2[[#This Row],[Education]]="Bachelors",Employee__2[[#This Row],[City]]="Pune"),"Yes","No")</f>
        <v>No</v>
      </c>
      <c r="P4376" s="1" t="str">
        <f>IF(OR(Employee__2[[#This Row],[Age]]&gt;=30,Employee__2[[#This Row],[Gender]]="Male"),"Mached","Not mached")</f>
        <v>Mached</v>
      </c>
    </row>
    <row r="4377" spans="4:16" x14ac:dyDescent="0.25">
      <c r="D4377" s="6" t="s">
        <v>41</v>
      </c>
      <c r="E4377">
        <v>2017</v>
      </c>
      <c r="F4377" s="6" t="s">
        <v>38</v>
      </c>
      <c r="G4377">
        <v>2</v>
      </c>
      <c r="H4377">
        <v>26</v>
      </c>
      <c r="I4377" s="6" t="s">
        <v>39</v>
      </c>
      <c r="J4377" s="6" t="s">
        <v>37</v>
      </c>
      <c r="K4377">
        <v>4</v>
      </c>
      <c r="M4377" s="1" t="b">
        <f>Employee__2[[#This Row],[Experience]]&gt;1</f>
        <v>1</v>
      </c>
      <c r="N4377" s="1" t="str">
        <f>IF(Employee__2[[#This Row],[City]]="Pune","Yes","No")</f>
        <v>Yes</v>
      </c>
      <c r="O4377" s="1" t="str">
        <f>IF(AND(Employee__2[[#This Row],[Education]]="Bachelors",Employee__2[[#This Row],[City]]="Pune"),"Yes","No")</f>
        <v>No</v>
      </c>
      <c r="P4377" s="1" t="str">
        <f>IF(OR(Employee__2[[#This Row],[Age]]&gt;=30,Employee__2[[#This Row],[Gender]]="Male"),"Mached","Not mached")</f>
        <v>Not mached</v>
      </c>
    </row>
    <row r="4378" spans="4:16" x14ac:dyDescent="0.25">
      <c r="D4378" s="6" t="s">
        <v>34</v>
      </c>
      <c r="E4378">
        <v>2012</v>
      </c>
      <c r="F4378" s="6" t="s">
        <v>35</v>
      </c>
      <c r="G4378">
        <v>3</v>
      </c>
      <c r="H4378">
        <v>23</v>
      </c>
      <c r="I4378" s="6" t="s">
        <v>36</v>
      </c>
      <c r="J4378" s="6" t="s">
        <v>42</v>
      </c>
      <c r="K4378">
        <v>1</v>
      </c>
      <c r="M4378" s="1" t="b">
        <f>Employee__2[[#This Row],[Experience]]&gt;1</f>
        <v>0</v>
      </c>
      <c r="N4378" s="1" t="str">
        <f>IF(Employee__2[[#This Row],[City]]="Pune","Yes","No")</f>
        <v>No</v>
      </c>
      <c r="O4378" s="1" t="str">
        <f>IF(AND(Employee__2[[#This Row],[Education]]="Bachelors",Employee__2[[#This Row],[City]]="Pune"),"Yes","No")</f>
        <v>No</v>
      </c>
      <c r="P4378" s="1" t="str">
        <f>IF(OR(Employee__2[[#This Row],[Age]]&gt;=30,Employee__2[[#This Row],[Gender]]="Male"),"Mached","Not mached")</f>
        <v>Mached</v>
      </c>
    </row>
    <row r="4379" spans="4:16" x14ac:dyDescent="0.25">
      <c r="D4379" s="6" t="s">
        <v>41</v>
      </c>
      <c r="E4379">
        <v>2015</v>
      </c>
      <c r="F4379" s="6" t="s">
        <v>38</v>
      </c>
      <c r="G4379">
        <v>2</v>
      </c>
      <c r="H4379">
        <v>31</v>
      </c>
      <c r="I4379" s="6" t="s">
        <v>39</v>
      </c>
      <c r="J4379" s="6" t="s">
        <v>37</v>
      </c>
      <c r="K4379">
        <v>2</v>
      </c>
      <c r="M4379" s="1" t="b">
        <f>Employee__2[[#This Row],[Experience]]&gt;1</f>
        <v>1</v>
      </c>
      <c r="N4379" s="1" t="str">
        <f>IF(Employee__2[[#This Row],[City]]="Pune","Yes","No")</f>
        <v>Yes</v>
      </c>
      <c r="O4379" s="1" t="str">
        <f>IF(AND(Employee__2[[#This Row],[Education]]="Bachelors",Employee__2[[#This Row],[City]]="Pune"),"Yes","No")</f>
        <v>No</v>
      </c>
      <c r="P4379" s="1" t="str">
        <f>IF(OR(Employee__2[[#This Row],[Age]]&gt;=30,Employee__2[[#This Row],[Gender]]="Male"),"Mached","Not mached")</f>
        <v>Mached</v>
      </c>
    </row>
    <row r="4380" spans="4:16" x14ac:dyDescent="0.25">
      <c r="D4380" s="6" t="s">
        <v>34</v>
      </c>
      <c r="E4380">
        <v>2013</v>
      </c>
      <c r="F4380" s="6" t="s">
        <v>35</v>
      </c>
      <c r="G4380">
        <v>3</v>
      </c>
      <c r="H4380">
        <v>22</v>
      </c>
      <c r="I4380" s="6" t="s">
        <v>36</v>
      </c>
      <c r="J4380" s="6" t="s">
        <v>42</v>
      </c>
      <c r="K4380">
        <v>0</v>
      </c>
      <c r="M4380" s="1" t="b">
        <f>Employee__2[[#This Row],[Experience]]&gt;1</f>
        <v>0</v>
      </c>
      <c r="N4380" s="1" t="str">
        <f>IF(Employee__2[[#This Row],[City]]="Pune","Yes","No")</f>
        <v>No</v>
      </c>
      <c r="O4380" s="1" t="str">
        <f>IF(AND(Employee__2[[#This Row],[Education]]="Bachelors",Employee__2[[#This Row],[City]]="Pune"),"Yes","No")</f>
        <v>No</v>
      </c>
      <c r="P4380" s="1" t="str">
        <f>IF(OR(Employee__2[[#This Row],[Age]]&gt;=30,Employee__2[[#This Row],[Gender]]="Male"),"Mached","Not mached")</f>
        <v>Mached</v>
      </c>
    </row>
    <row r="4381" spans="4:16" x14ac:dyDescent="0.25">
      <c r="D4381" s="6" t="s">
        <v>41</v>
      </c>
      <c r="E4381">
        <v>2017</v>
      </c>
      <c r="F4381" s="6" t="s">
        <v>40</v>
      </c>
      <c r="G4381">
        <v>2</v>
      </c>
      <c r="H4381">
        <v>24</v>
      </c>
      <c r="I4381" s="6" t="s">
        <v>39</v>
      </c>
      <c r="J4381" s="6" t="s">
        <v>37</v>
      </c>
      <c r="K4381">
        <v>2</v>
      </c>
      <c r="M4381" s="1" t="b">
        <f>Employee__2[[#This Row],[Experience]]&gt;1</f>
        <v>1</v>
      </c>
      <c r="N4381" s="1" t="str">
        <f>IF(Employee__2[[#This Row],[City]]="Pune","Yes","No")</f>
        <v>No</v>
      </c>
      <c r="O4381" s="1" t="str">
        <f>IF(AND(Employee__2[[#This Row],[Education]]="Bachelors",Employee__2[[#This Row],[City]]="Pune"),"Yes","No")</f>
        <v>No</v>
      </c>
      <c r="P4381" s="1" t="str">
        <f>IF(OR(Employee__2[[#This Row],[Age]]&gt;=30,Employee__2[[#This Row],[Gender]]="Male"),"Mached","Not mached")</f>
        <v>Not mached</v>
      </c>
    </row>
    <row r="4382" spans="4:16" x14ac:dyDescent="0.25">
      <c r="D4382" s="6" t="s">
        <v>34</v>
      </c>
      <c r="E4382">
        <v>2016</v>
      </c>
      <c r="F4382" s="6" t="s">
        <v>35</v>
      </c>
      <c r="G4382">
        <v>3</v>
      </c>
      <c r="H4382">
        <v>37</v>
      </c>
      <c r="I4382" s="6" t="s">
        <v>39</v>
      </c>
      <c r="J4382" s="6" t="s">
        <v>42</v>
      </c>
      <c r="K4382">
        <v>4</v>
      </c>
      <c r="M4382" s="1" t="b">
        <f>Employee__2[[#This Row],[Experience]]&gt;1</f>
        <v>1</v>
      </c>
      <c r="N4382" s="1" t="str">
        <f>IF(Employee__2[[#This Row],[City]]="Pune","Yes","No")</f>
        <v>No</v>
      </c>
      <c r="O4382" s="1" t="str">
        <f>IF(AND(Employee__2[[#This Row],[Education]]="Bachelors",Employee__2[[#This Row],[City]]="Pune"),"Yes","No")</f>
        <v>No</v>
      </c>
      <c r="P4382" s="1" t="str">
        <f>IF(OR(Employee__2[[#This Row],[Age]]&gt;=30,Employee__2[[#This Row],[Gender]]="Male"),"Mached","Not mached")</f>
        <v>Mached</v>
      </c>
    </row>
    <row r="4383" spans="4:16" x14ac:dyDescent="0.25">
      <c r="D4383" s="6" t="s">
        <v>41</v>
      </c>
      <c r="E4383">
        <v>2018</v>
      </c>
      <c r="F4383" s="6" t="s">
        <v>40</v>
      </c>
      <c r="G4383">
        <v>3</v>
      </c>
      <c r="H4383">
        <v>35</v>
      </c>
      <c r="I4383" s="6" t="s">
        <v>36</v>
      </c>
      <c r="J4383" s="6" t="s">
        <v>37</v>
      </c>
      <c r="K4383">
        <v>2</v>
      </c>
      <c r="M4383" s="1" t="b">
        <f>Employee__2[[#This Row],[Experience]]&gt;1</f>
        <v>1</v>
      </c>
      <c r="N4383" s="1" t="str">
        <f>IF(Employee__2[[#This Row],[City]]="Pune","Yes","No")</f>
        <v>No</v>
      </c>
      <c r="O4383" s="1" t="str">
        <f>IF(AND(Employee__2[[#This Row],[Education]]="Bachelors",Employee__2[[#This Row],[City]]="Pune"),"Yes","No")</f>
        <v>No</v>
      </c>
      <c r="P4383" s="1" t="str">
        <f>IF(OR(Employee__2[[#This Row],[Age]]&gt;=30,Employee__2[[#This Row],[Gender]]="Male"),"Mached","Not mached")</f>
        <v>Mached</v>
      </c>
    </row>
    <row r="4384" spans="4:16" x14ac:dyDescent="0.25">
      <c r="D4384" s="6" t="s">
        <v>34</v>
      </c>
      <c r="E4384">
        <v>2013</v>
      </c>
      <c r="F4384" s="6" t="s">
        <v>35</v>
      </c>
      <c r="G4384">
        <v>3</v>
      </c>
      <c r="H4384">
        <v>22</v>
      </c>
      <c r="I4384" s="6" t="s">
        <v>36</v>
      </c>
      <c r="J4384" s="6" t="s">
        <v>37</v>
      </c>
      <c r="K4384">
        <v>0</v>
      </c>
      <c r="M4384" s="1" t="b">
        <f>Employee__2[[#This Row],[Experience]]&gt;1</f>
        <v>0</v>
      </c>
      <c r="N4384" s="1" t="str">
        <f>IF(Employee__2[[#This Row],[City]]="Pune","Yes","No")</f>
        <v>No</v>
      </c>
      <c r="O4384" s="1" t="str">
        <f>IF(AND(Employee__2[[#This Row],[Education]]="Bachelors",Employee__2[[#This Row],[City]]="Pune"),"Yes","No")</f>
        <v>No</v>
      </c>
      <c r="P4384" s="1" t="str">
        <f>IF(OR(Employee__2[[#This Row],[Age]]&gt;=30,Employee__2[[#This Row],[Gender]]="Male"),"Mached","Not mached")</f>
        <v>Mached</v>
      </c>
    </row>
    <row r="4385" spans="4:16" x14ac:dyDescent="0.25">
      <c r="D4385" s="6" t="s">
        <v>34</v>
      </c>
      <c r="E4385">
        <v>2012</v>
      </c>
      <c r="F4385" s="6" t="s">
        <v>38</v>
      </c>
      <c r="G4385">
        <v>3</v>
      </c>
      <c r="H4385">
        <v>35</v>
      </c>
      <c r="I4385" s="6" t="s">
        <v>36</v>
      </c>
      <c r="J4385" s="6" t="s">
        <v>37</v>
      </c>
      <c r="K4385">
        <v>5</v>
      </c>
      <c r="M4385" s="1" t="b">
        <f>Employee__2[[#This Row],[Experience]]&gt;1</f>
        <v>1</v>
      </c>
      <c r="N4385" s="1" t="str">
        <f>IF(Employee__2[[#This Row],[City]]="Pune","Yes","No")</f>
        <v>Yes</v>
      </c>
      <c r="O4385" s="1" t="str">
        <f>IF(AND(Employee__2[[#This Row],[Education]]="Bachelors",Employee__2[[#This Row],[City]]="Pune"),"Yes","No")</f>
        <v>Yes</v>
      </c>
      <c r="P4385" s="1" t="str">
        <f>IF(OR(Employee__2[[#This Row],[Age]]&gt;=30,Employee__2[[#This Row],[Gender]]="Male"),"Mached","Not mached")</f>
        <v>Mached</v>
      </c>
    </row>
    <row r="4386" spans="4:16" x14ac:dyDescent="0.25">
      <c r="D4386" s="6" t="s">
        <v>34</v>
      </c>
      <c r="E4386">
        <v>2014</v>
      </c>
      <c r="F4386" s="6" t="s">
        <v>40</v>
      </c>
      <c r="G4386">
        <v>3</v>
      </c>
      <c r="H4386">
        <v>30</v>
      </c>
      <c r="I4386" s="6" t="s">
        <v>39</v>
      </c>
      <c r="J4386" s="6" t="s">
        <v>37</v>
      </c>
      <c r="K4386">
        <v>3</v>
      </c>
      <c r="M4386" s="1" t="b">
        <f>Employee__2[[#This Row],[Experience]]&gt;1</f>
        <v>1</v>
      </c>
      <c r="N4386" s="1" t="str">
        <f>IF(Employee__2[[#This Row],[City]]="Pune","Yes","No")</f>
        <v>No</v>
      </c>
      <c r="O4386" s="1" t="str">
        <f>IF(AND(Employee__2[[#This Row],[Education]]="Bachelors",Employee__2[[#This Row],[City]]="Pune"),"Yes","No")</f>
        <v>No</v>
      </c>
      <c r="P4386" s="1" t="str">
        <f>IF(OR(Employee__2[[#This Row],[Age]]&gt;=30,Employee__2[[#This Row],[Gender]]="Male"),"Mached","Not mached")</f>
        <v>Mached</v>
      </c>
    </row>
    <row r="4387" spans="4:16" x14ac:dyDescent="0.25">
      <c r="D4387" s="6" t="s">
        <v>34</v>
      </c>
      <c r="E4387">
        <v>2014</v>
      </c>
      <c r="F4387" s="6" t="s">
        <v>35</v>
      </c>
      <c r="G4387">
        <v>3</v>
      </c>
      <c r="H4387">
        <v>30</v>
      </c>
      <c r="I4387" s="6" t="s">
        <v>36</v>
      </c>
      <c r="J4387" s="6" t="s">
        <v>37</v>
      </c>
      <c r="K4387">
        <v>0</v>
      </c>
      <c r="M4387" s="1" t="b">
        <f>Employee__2[[#This Row],[Experience]]&gt;1</f>
        <v>0</v>
      </c>
      <c r="N4387" s="1" t="str">
        <f>IF(Employee__2[[#This Row],[City]]="Pune","Yes","No")</f>
        <v>No</v>
      </c>
      <c r="O4387" s="1" t="str">
        <f>IF(AND(Employee__2[[#This Row],[Education]]="Bachelors",Employee__2[[#This Row],[City]]="Pune"),"Yes","No")</f>
        <v>No</v>
      </c>
      <c r="P4387" s="1" t="str">
        <f>IF(OR(Employee__2[[#This Row],[Age]]&gt;=30,Employee__2[[#This Row],[Gender]]="Male"),"Mached","Not mached")</f>
        <v>Mached</v>
      </c>
    </row>
    <row r="4388" spans="4:16" x14ac:dyDescent="0.25">
      <c r="D4388" s="6" t="s">
        <v>34</v>
      </c>
      <c r="E4388">
        <v>2014</v>
      </c>
      <c r="F4388" s="6" t="s">
        <v>38</v>
      </c>
      <c r="G4388">
        <v>3</v>
      </c>
      <c r="H4388">
        <v>29</v>
      </c>
      <c r="I4388" s="6" t="s">
        <v>36</v>
      </c>
      <c r="J4388" s="6" t="s">
        <v>37</v>
      </c>
      <c r="K4388">
        <v>3</v>
      </c>
      <c r="M4388" s="1" t="b">
        <f>Employee__2[[#This Row],[Experience]]&gt;1</f>
        <v>1</v>
      </c>
      <c r="N4388" s="1" t="str">
        <f>IF(Employee__2[[#This Row],[City]]="Pune","Yes","No")</f>
        <v>Yes</v>
      </c>
      <c r="O4388" s="1" t="str">
        <f>IF(AND(Employee__2[[#This Row],[Education]]="Bachelors",Employee__2[[#This Row],[City]]="Pune"),"Yes","No")</f>
        <v>Yes</v>
      </c>
      <c r="P4388" s="1" t="str">
        <f>IF(OR(Employee__2[[#This Row],[Age]]&gt;=30,Employee__2[[#This Row],[Gender]]="Male"),"Mached","Not mached")</f>
        <v>Mached</v>
      </c>
    </row>
    <row r="4389" spans="4:16" x14ac:dyDescent="0.25">
      <c r="D4389" s="6" t="s">
        <v>41</v>
      </c>
      <c r="E4389">
        <v>2017</v>
      </c>
      <c r="F4389" s="6" t="s">
        <v>35</v>
      </c>
      <c r="G4389">
        <v>3</v>
      </c>
      <c r="H4389">
        <v>36</v>
      </c>
      <c r="I4389" s="6" t="s">
        <v>36</v>
      </c>
      <c r="J4389" s="6" t="s">
        <v>37</v>
      </c>
      <c r="K4389">
        <v>4</v>
      </c>
      <c r="M4389" s="1" t="b">
        <f>Employee__2[[#This Row],[Experience]]&gt;1</f>
        <v>1</v>
      </c>
      <c r="N4389" s="1" t="str">
        <f>IF(Employee__2[[#This Row],[City]]="Pune","Yes","No")</f>
        <v>No</v>
      </c>
      <c r="O4389" s="1" t="str">
        <f>IF(AND(Employee__2[[#This Row],[Education]]="Bachelors",Employee__2[[#This Row],[City]]="Pune"),"Yes","No")</f>
        <v>No</v>
      </c>
      <c r="P4389" s="1" t="str">
        <f>IF(OR(Employee__2[[#This Row],[Age]]&gt;=30,Employee__2[[#This Row],[Gender]]="Male"),"Mached","Not mached")</f>
        <v>Mached</v>
      </c>
    </row>
    <row r="4390" spans="4:16" x14ac:dyDescent="0.25">
      <c r="D4390" s="6" t="s">
        <v>34</v>
      </c>
      <c r="E4390">
        <v>2014</v>
      </c>
      <c r="F4390" s="6" t="s">
        <v>35</v>
      </c>
      <c r="G4390">
        <v>3</v>
      </c>
      <c r="H4390">
        <v>37</v>
      </c>
      <c r="I4390" s="6" t="s">
        <v>36</v>
      </c>
      <c r="J4390" s="6" t="s">
        <v>37</v>
      </c>
      <c r="K4390">
        <v>4</v>
      </c>
      <c r="M4390" s="1" t="b">
        <f>Employee__2[[#This Row],[Experience]]&gt;1</f>
        <v>1</v>
      </c>
      <c r="N4390" s="1" t="str">
        <f>IF(Employee__2[[#This Row],[City]]="Pune","Yes","No")</f>
        <v>No</v>
      </c>
      <c r="O4390" s="1" t="str">
        <f>IF(AND(Employee__2[[#This Row],[Education]]="Bachelors",Employee__2[[#This Row],[City]]="Pune"),"Yes","No")</f>
        <v>No</v>
      </c>
      <c r="P4390" s="1" t="str">
        <f>IF(OR(Employee__2[[#This Row],[Age]]&gt;=30,Employee__2[[#This Row],[Gender]]="Male"),"Mached","Not mached")</f>
        <v>Mached</v>
      </c>
    </row>
    <row r="4391" spans="4:16" x14ac:dyDescent="0.25">
      <c r="D4391" s="6" t="s">
        <v>34</v>
      </c>
      <c r="E4391">
        <v>2016</v>
      </c>
      <c r="F4391" s="6" t="s">
        <v>38</v>
      </c>
      <c r="G4391">
        <v>3</v>
      </c>
      <c r="H4391">
        <v>40</v>
      </c>
      <c r="I4391" s="6" t="s">
        <v>36</v>
      </c>
      <c r="J4391" s="6" t="s">
        <v>37</v>
      </c>
      <c r="K4391">
        <v>2</v>
      </c>
      <c r="M4391" s="1" t="b">
        <f>Employee__2[[#This Row],[Experience]]&gt;1</f>
        <v>1</v>
      </c>
      <c r="N4391" s="1" t="str">
        <f>IF(Employee__2[[#This Row],[City]]="Pune","Yes","No")</f>
        <v>Yes</v>
      </c>
      <c r="O4391" s="1" t="str">
        <f>IF(AND(Employee__2[[#This Row],[Education]]="Bachelors",Employee__2[[#This Row],[City]]="Pune"),"Yes","No")</f>
        <v>Yes</v>
      </c>
      <c r="P4391" s="1" t="str">
        <f>IF(OR(Employee__2[[#This Row],[Age]]&gt;=30,Employee__2[[#This Row],[Gender]]="Male"),"Mached","Not mached")</f>
        <v>Mached</v>
      </c>
    </row>
    <row r="4392" spans="4:16" x14ac:dyDescent="0.25">
      <c r="D4392" s="6" t="s">
        <v>34</v>
      </c>
      <c r="E4392">
        <v>2015</v>
      </c>
      <c r="F4392" s="6" t="s">
        <v>38</v>
      </c>
      <c r="G4392">
        <v>2</v>
      </c>
      <c r="H4392">
        <v>26</v>
      </c>
      <c r="I4392" s="6" t="s">
        <v>39</v>
      </c>
      <c r="J4392" s="6" t="s">
        <v>37</v>
      </c>
      <c r="K4392">
        <v>4</v>
      </c>
      <c r="M4392" s="1" t="b">
        <f>Employee__2[[#This Row],[Experience]]&gt;1</f>
        <v>1</v>
      </c>
      <c r="N4392" s="1" t="str">
        <f>IF(Employee__2[[#This Row],[City]]="Pune","Yes","No")</f>
        <v>Yes</v>
      </c>
      <c r="O4392" s="1" t="str">
        <f>IF(AND(Employee__2[[#This Row],[Education]]="Bachelors",Employee__2[[#This Row],[City]]="Pune"),"Yes","No")</f>
        <v>Yes</v>
      </c>
      <c r="P4392" s="1" t="str">
        <f>IF(OR(Employee__2[[#This Row],[Age]]&gt;=30,Employee__2[[#This Row],[Gender]]="Male"),"Mached","Not mached")</f>
        <v>Not mached</v>
      </c>
    </row>
    <row r="4393" spans="4:16" x14ac:dyDescent="0.25">
      <c r="D4393" s="6" t="s">
        <v>41</v>
      </c>
      <c r="E4393">
        <v>2017</v>
      </c>
      <c r="F4393" s="6" t="s">
        <v>40</v>
      </c>
      <c r="G4393">
        <v>2</v>
      </c>
      <c r="H4393">
        <v>26</v>
      </c>
      <c r="I4393" s="6" t="s">
        <v>39</v>
      </c>
      <c r="J4393" s="6" t="s">
        <v>37</v>
      </c>
      <c r="K4393">
        <v>4</v>
      </c>
      <c r="M4393" s="1" t="b">
        <f>Employee__2[[#This Row],[Experience]]&gt;1</f>
        <v>1</v>
      </c>
      <c r="N4393" s="1" t="str">
        <f>IF(Employee__2[[#This Row],[City]]="Pune","Yes","No")</f>
        <v>No</v>
      </c>
      <c r="O4393" s="1" t="str">
        <f>IF(AND(Employee__2[[#This Row],[Education]]="Bachelors",Employee__2[[#This Row],[City]]="Pune"),"Yes","No")</f>
        <v>No</v>
      </c>
      <c r="P4393" s="1" t="str">
        <f>IF(OR(Employee__2[[#This Row],[Age]]&gt;=30,Employee__2[[#This Row],[Gender]]="Male"),"Mached","Not mached")</f>
        <v>Not mached</v>
      </c>
    </row>
    <row r="4394" spans="4:16" x14ac:dyDescent="0.25">
      <c r="D4394" s="6" t="s">
        <v>34</v>
      </c>
      <c r="E4394">
        <v>2017</v>
      </c>
      <c r="F4394" s="6" t="s">
        <v>35</v>
      </c>
      <c r="G4394">
        <v>3</v>
      </c>
      <c r="H4394">
        <v>38</v>
      </c>
      <c r="I4394" s="6" t="s">
        <v>36</v>
      </c>
      <c r="J4394" s="6" t="s">
        <v>37</v>
      </c>
      <c r="K4394">
        <v>3</v>
      </c>
      <c r="M4394" s="1" t="b">
        <f>Employee__2[[#This Row],[Experience]]&gt;1</f>
        <v>1</v>
      </c>
      <c r="N4394" s="1" t="str">
        <f>IF(Employee__2[[#This Row],[City]]="Pune","Yes","No")</f>
        <v>No</v>
      </c>
      <c r="O4394" s="1" t="str">
        <f>IF(AND(Employee__2[[#This Row],[Education]]="Bachelors",Employee__2[[#This Row],[City]]="Pune"),"Yes","No")</f>
        <v>No</v>
      </c>
      <c r="P4394" s="1" t="str">
        <f>IF(OR(Employee__2[[#This Row],[Age]]&gt;=30,Employee__2[[#This Row],[Gender]]="Male"),"Mached","Not mached")</f>
        <v>Mached</v>
      </c>
    </row>
    <row r="4395" spans="4:16" x14ac:dyDescent="0.25">
      <c r="D4395" s="6" t="s">
        <v>34</v>
      </c>
      <c r="E4395">
        <v>2014</v>
      </c>
      <c r="F4395" s="6" t="s">
        <v>35</v>
      </c>
      <c r="G4395">
        <v>3</v>
      </c>
      <c r="H4395">
        <v>31</v>
      </c>
      <c r="I4395" s="6" t="s">
        <v>36</v>
      </c>
      <c r="J4395" s="6" t="s">
        <v>37</v>
      </c>
      <c r="K4395">
        <v>3</v>
      </c>
      <c r="M4395" s="1" t="b">
        <f>Employee__2[[#This Row],[Experience]]&gt;1</f>
        <v>1</v>
      </c>
      <c r="N4395" s="1" t="str">
        <f>IF(Employee__2[[#This Row],[City]]="Pune","Yes","No")</f>
        <v>No</v>
      </c>
      <c r="O4395" s="1" t="str">
        <f>IF(AND(Employee__2[[#This Row],[Education]]="Bachelors",Employee__2[[#This Row],[City]]="Pune"),"Yes","No")</f>
        <v>No</v>
      </c>
      <c r="P4395" s="1" t="str">
        <f>IF(OR(Employee__2[[#This Row],[Age]]&gt;=30,Employee__2[[#This Row],[Gender]]="Male"),"Mached","Not mached")</f>
        <v>Mached</v>
      </c>
    </row>
    <row r="4396" spans="4:16" x14ac:dyDescent="0.25">
      <c r="D4396" s="6" t="s">
        <v>34</v>
      </c>
      <c r="E4396">
        <v>2014</v>
      </c>
      <c r="F4396" s="6" t="s">
        <v>35</v>
      </c>
      <c r="G4396">
        <v>3</v>
      </c>
      <c r="H4396">
        <v>22</v>
      </c>
      <c r="I4396" s="6" t="s">
        <v>39</v>
      </c>
      <c r="J4396" s="6" t="s">
        <v>37</v>
      </c>
      <c r="K4396">
        <v>0</v>
      </c>
      <c r="M4396" s="1" t="b">
        <f>Employee__2[[#This Row],[Experience]]&gt;1</f>
        <v>0</v>
      </c>
      <c r="N4396" s="1" t="str">
        <f>IF(Employee__2[[#This Row],[City]]="Pune","Yes","No")</f>
        <v>No</v>
      </c>
      <c r="O4396" s="1" t="str">
        <f>IF(AND(Employee__2[[#This Row],[Education]]="Bachelors",Employee__2[[#This Row],[City]]="Pune"),"Yes","No")</f>
        <v>No</v>
      </c>
      <c r="P4396" s="1" t="str">
        <f>IF(OR(Employee__2[[#This Row],[Age]]&gt;=30,Employee__2[[#This Row],[Gender]]="Male"),"Mached","Not mached")</f>
        <v>Not mached</v>
      </c>
    </row>
    <row r="4397" spans="4:16" x14ac:dyDescent="0.25">
      <c r="D4397" s="6" t="s">
        <v>34</v>
      </c>
      <c r="E4397">
        <v>2012</v>
      </c>
      <c r="F4397" s="6" t="s">
        <v>38</v>
      </c>
      <c r="G4397">
        <v>3</v>
      </c>
      <c r="H4397">
        <v>34</v>
      </c>
      <c r="I4397" s="6" t="s">
        <v>36</v>
      </c>
      <c r="J4397" s="6" t="s">
        <v>37</v>
      </c>
      <c r="K4397">
        <v>0</v>
      </c>
      <c r="M4397" s="1" t="b">
        <f>Employee__2[[#This Row],[Experience]]&gt;1</f>
        <v>0</v>
      </c>
      <c r="N4397" s="1" t="str">
        <f>IF(Employee__2[[#This Row],[City]]="Pune","Yes","No")</f>
        <v>Yes</v>
      </c>
      <c r="O4397" s="1" t="str">
        <f>IF(AND(Employee__2[[#This Row],[Education]]="Bachelors",Employee__2[[#This Row],[City]]="Pune"),"Yes","No")</f>
        <v>Yes</v>
      </c>
      <c r="P4397" s="1" t="str">
        <f>IF(OR(Employee__2[[#This Row],[Age]]&gt;=30,Employee__2[[#This Row],[Gender]]="Male"),"Mached","Not mached")</f>
        <v>Mached</v>
      </c>
    </row>
    <row r="4398" spans="4:16" x14ac:dyDescent="0.25">
      <c r="D4398" s="6" t="s">
        <v>34</v>
      </c>
      <c r="E4398">
        <v>2015</v>
      </c>
      <c r="F4398" s="6" t="s">
        <v>40</v>
      </c>
      <c r="G4398">
        <v>3</v>
      </c>
      <c r="H4398">
        <v>31</v>
      </c>
      <c r="I4398" s="6" t="s">
        <v>39</v>
      </c>
      <c r="J4398" s="6" t="s">
        <v>37</v>
      </c>
      <c r="K4398">
        <v>0</v>
      </c>
      <c r="M4398" s="1" t="b">
        <f>Employee__2[[#This Row],[Experience]]&gt;1</f>
        <v>0</v>
      </c>
      <c r="N4398" s="1" t="str">
        <f>IF(Employee__2[[#This Row],[City]]="Pune","Yes","No")</f>
        <v>No</v>
      </c>
      <c r="O4398" s="1" t="str">
        <f>IF(AND(Employee__2[[#This Row],[Education]]="Bachelors",Employee__2[[#This Row],[City]]="Pune"),"Yes","No")</f>
        <v>No</v>
      </c>
      <c r="P4398" s="1" t="str">
        <f>IF(OR(Employee__2[[#This Row],[Age]]&gt;=30,Employee__2[[#This Row],[Gender]]="Male"),"Mached","Not mached")</f>
        <v>Mached</v>
      </c>
    </row>
    <row r="4399" spans="4:16" x14ac:dyDescent="0.25">
      <c r="D4399" s="6" t="s">
        <v>34</v>
      </c>
      <c r="E4399">
        <v>2012</v>
      </c>
      <c r="F4399" s="6" t="s">
        <v>35</v>
      </c>
      <c r="G4399">
        <v>3</v>
      </c>
      <c r="H4399">
        <v>39</v>
      </c>
      <c r="I4399" s="6" t="s">
        <v>39</v>
      </c>
      <c r="J4399" s="6" t="s">
        <v>37</v>
      </c>
      <c r="K4399">
        <v>3</v>
      </c>
      <c r="M4399" s="1" t="b">
        <f>Employee__2[[#This Row],[Experience]]&gt;1</f>
        <v>1</v>
      </c>
      <c r="N4399" s="1" t="str">
        <f>IF(Employee__2[[#This Row],[City]]="Pune","Yes","No")</f>
        <v>No</v>
      </c>
      <c r="O4399" s="1" t="str">
        <f>IF(AND(Employee__2[[#This Row],[Education]]="Bachelors",Employee__2[[#This Row],[City]]="Pune"),"Yes","No")</f>
        <v>No</v>
      </c>
      <c r="P4399" s="1" t="str">
        <f>IF(OR(Employee__2[[#This Row],[Age]]&gt;=30,Employee__2[[#This Row],[Gender]]="Male"),"Mached","Not mached")</f>
        <v>Mached</v>
      </c>
    </row>
    <row r="4400" spans="4:16" x14ac:dyDescent="0.25">
      <c r="D4400" s="6" t="s">
        <v>41</v>
      </c>
      <c r="E4400">
        <v>2018</v>
      </c>
      <c r="F4400" s="6" t="s">
        <v>40</v>
      </c>
      <c r="G4400">
        <v>3</v>
      </c>
      <c r="H4400">
        <v>33</v>
      </c>
      <c r="I4400" s="6" t="s">
        <v>39</v>
      </c>
      <c r="J4400" s="6" t="s">
        <v>37</v>
      </c>
      <c r="K4400">
        <v>2</v>
      </c>
      <c r="M4400" s="1" t="b">
        <f>Employee__2[[#This Row],[Experience]]&gt;1</f>
        <v>1</v>
      </c>
      <c r="N4400" s="1" t="str">
        <f>IF(Employee__2[[#This Row],[City]]="Pune","Yes","No")</f>
        <v>No</v>
      </c>
      <c r="O4400" s="1" t="str">
        <f>IF(AND(Employee__2[[#This Row],[Education]]="Bachelors",Employee__2[[#This Row],[City]]="Pune"),"Yes","No")</f>
        <v>No</v>
      </c>
      <c r="P4400" s="1" t="str">
        <f>IF(OR(Employee__2[[#This Row],[Age]]&gt;=30,Employee__2[[#This Row],[Gender]]="Male"),"Mached","Not mached")</f>
        <v>Mached</v>
      </c>
    </row>
    <row r="4401" spans="4:16" x14ac:dyDescent="0.25">
      <c r="D4401" s="6" t="s">
        <v>34</v>
      </c>
      <c r="E4401">
        <v>2015</v>
      </c>
      <c r="F4401" s="6" t="s">
        <v>35</v>
      </c>
      <c r="G4401">
        <v>3</v>
      </c>
      <c r="H4401">
        <v>33</v>
      </c>
      <c r="I4401" s="6" t="s">
        <v>36</v>
      </c>
      <c r="J4401" s="6" t="s">
        <v>37</v>
      </c>
      <c r="K4401">
        <v>4</v>
      </c>
      <c r="M4401" s="1" t="b">
        <f>Employee__2[[#This Row],[Experience]]&gt;1</f>
        <v>1</v>
      </c>
      <c r="N4401" s="1" t="str">
        <f>IF(Employee__2[[#This Row],[City]]="Pune","Yes","No")</f>
        <v>No</v>
      </c>
      <c r="O4401" s="1" t="str">
        <f>IF(AND(Employee__2[[#This Row],[Education]]="Bachelors",Employee__2[[#This Row],[City]]="Pune"),"Yes","No")</f>
        <v>No</v>
      </c>
      <c r="P4401" s="1" t="str">
        <f>IF(OR(Employee__2[[#This Row],[Age]]&gt;=30,Employee__2[[#This Row],[Gender]]="Male"),"Mached","Not mached")</f>
        <v>Mached</v>
      </c>
    </row>
    <row r="4402" spans="4:16" x14ac:dyDescent="0.25">
      <c r="D4402" s="6" t="s">
        <v>34</v>
      </c>
      <c r="E4402">
        <v>2012</v>
      </c>
      <c r="F4402" s="6" t="s">
        <v>35</v>
      </c>
      <c r="G4402">
        <v>3</v>
      </c>
      <c r="H4402">
        <v>38</v>
      </c>
      <c r="I4402" s="6" t="s">
        <v>36</v>
      </c>
      <c r="J4402" s="6" t="s">
        <v>37</v>
      </c>
      <c r="K4402">
        <v>4</v>
      </c>
      <c r="M4402" s="1" t="b">
        <f>Employee__2[[#This Row],[Experience]]&gt;1</f>
        <v>1</v>
      </c>
      <c r="N4402" s="1" t="str">
        <f>IF(Employee__2[[#This Row],[City]]="Pune","Yes","No")</f>
        <v>No</v>
      </c>
      <c r="O4402" s="1" t="str">
        <f>IF(AND(Employee__2[[#This Row],[Education]]="Bachelors",Employee__2[[#This Row],[City]]="Pune"),"Yes","No")</f>
        <v>No</v>
      </c>
      <c r="P4402" s="1" t="str">
        <f>IF(OR(Employee__2[[#This Row],[Age]]&gt;=30,Employee__2[[#This Row],[Gender]]="Male"),"Mached","Not mached")</f>
        <v>Mached</v>
      </c>
    </row>
    <row r="4403" spans="4:16" x14ac:dyDescent="0.25">
      <c r="D4403" s="6" t="s">
        <v>34</v>
      </c>
      <c r="E4403">
        <v>2017</v>
      </c>
      <c r="F4403" s="6" t="s">
        <v>38</v>
      </c>
      <c r="G4403">
        <v>2</v>
      </c>
      <c r="H4403">
        <v>22</v>
      </c>
      <c r="I4403" s="6" t="s">
        <v>39</v>
      </c>
      <c r="J4403" s="6" t="s">
        <v>37</v>
      </c>
      <c r="K4403">
        <v>0</v>
      </c>
      <c r="M4403" s="1" t="b">
        <f>Employee__2[[#This Row],[Experience]]&gt;1</f>
        <v>0</v>
      </c>
      <c r="N4403" s="1" t="str">
        <f>IF(Employee__2[[#This Row],[City]]="Pune","Yes","No")</f>
        <v>Yes</v>
      </c>
      <c r="O4403" s="1" t="str">
        <f>IF(AND(Employee__2[[#This Row],[Education]]="Bachelors",Employee__2[[#This Row],[City]]="Pune"),"Yes","No")</f>
        <v>Yes</v>
      </c>
      <c r="P4403" s="1" t="str">
        <f>IF(OR(Employee__2[[#This Row],[Age]]&gt;=30,Employee__2[[#This Row],[Gender]]="Male"),"Mached","Not mached")</f>
        <v>Not mached</v>
      </c>
    </row>
    <row r="4404" spans="4:16" x14ac:dyDescent="0.25">
      <c r="D4404" s="6" t="s">
        <v>34</v>
      </c>
      <c r="E4404">
        <v>2014</v>
      </c>
      <c r="F4404" s="6" t="s">
        <v>38</v>
      </c>
      <c r="G4404">
        <v>2</v>
      </c>
      <c r="H4404">
        <v>32</v>
      </c>
      <c r="I4404" s="6" t="s">
        <v>39</v>
      </c>
      <c r="J4404" s="6" t="s">
        <v>37</v>
      </c>
      <c r="K4404">
        <v>0</v>
      </c>
      <c r="M4404" s="1" t="b">
        <f>Employee__2[[#This Row],[Experience]]&gt;1</f>
        <v>0</v>
      </c>
      <c r="N4404" s="1" t="str">
        <f>IF(Employee__2[[#This Row],[City]]="Pune","Yes","No")</f>
        <v>Yes</v>
      </c>
      <c r="O4404" s="1" t="str">
        <f>IF(AND(Employee__2[[#This Row],[Education]]="Bachelors",Employee__2[[#This Row],[City]]="Pune"),"Yes","No")</f>
        <v>Yes</v>
      </c>
      <c r="P4404" s="1" t="str">
        <f>IF(OR(Employee__2[[#This Row],[Age]]&gt;=30,Employee__2[[#This Row],[Gender]]="Male"),"Mached","Not mached")</f>
        <v>Mached</v>
      </c>
    </row>
    <row r="4405" spans="4:16" x14ac:dyDescent="0.25">
      <c r="D4405" s="6" t="s">
        <v>34</v>
      </c>
      <c r="E4405">
        <v>2014</v>
      </c>
      <c r="F4405" s="6" t="s">
        <v>38</v>
      </c>
      <c r="G4405">
        <v>3</v>
      </c>
      <c r="H4405">
        <v>34</v>
      </c>
      <c r="I4405" s="6" t="s">
        <v>36</v>
      </c>
      <c r="J4405" s="6" t="s">
        <v>37</v>
      </c>
      <c r="K4405">
        <v>5</v>
      </c>
      <c r="M4405" s="1" t="b">
        <f>Employee__2[[#This Row],[Experience]]&gt;1</f>
        <v>1</v>
      </c>
      <c r="N4405" s="1" t="str">
        <f>IF(Employee__2[[#This Row],[City]]="Pune","Yes","No")</f>
        <v>Yes</v>
      </c>
      <c r="O4405" s="1" t="str">
        <f>IF(AND(Employee__2[[#This Row],[Education]]="Bachelors",Employee__2[[#This Row],[City]]="Pune"),"Yes","No")</f>
        <v>Yes</v>
      </c>
      <c r="P4405" s="1" t="str">
        <f>IF(OR(Employee__2[[#This Row],[Age]]&gt;=30,Employee__2[[#This Row],[Gender]]="Male"),"Mached","Not mached")</f>
        <v>Mached</v>
      </c>
    </row>
    <row r="4406" spans="4:16" x14ac:dyDescent="0.25">
      <c r="D4406" s="6" t="s">
        <v>34</v>
      </c>
      <c r="E4406">
        <v>2014</v>
      </c>
      <c r="F4406" s="6" t="s">
        <v>35</v>
      </c>
      <c r="G4406">
        <v>1</v>
      </c>
      <c r="H4406">
        <v>31</v>
      </c>
      <c r="I4406" s="6" t="s">
        <v>39</v>
      </c>
      <c r="J4406" s="6" t="s">
        <v>37</v>
      </c>
      <c r="K4406">
        <v>5</v>
      </c>
      <c r="M4406" s="1" t="b">
        <f>Employee__2[[#This Row],[Experience]]&gt;1</f>
        <v>1</v>
      </c>
      <c r="N4406" s="1" t="str">
        <f>IF(Employee__2[[#This Row],[City]]="Pune","Yes","No")</f>
        <v>No</v>
      </c>
      <c r="O4406" s="1" t="str">
        <f>IF(AND(Employee__2[[#This Row],[Education]]="Bachelors",Employee__2[[#This Row],[City]]="Pune"),"Yes","No")</f>
        <v>No</v>
      </c>
      <c r="P4406" s="1" t="str">
        <f>IF(OR(Employee__2[[#This Row],[Age]]&gt;=30,Employee__2[[#This Row],[Gender]]="Male"),"Mached","Not mached")</f>
        <v>Mached</v>
      </c>
    </row>
    <row r="4407" spans="4:16" x14ac:dyDescent="0.25">
      <c r="D4407" s="6" t="s">
        <v>34</v>
      </c>
      <c r="E4407">
        <v>2016</v>
      </c>
      <c r="F4407" s="6" t="s">
        <v>35</v>
      </c>
      <c r="G4407">
        <v>3</v>
      </c>
      <c r="H4407">
        <v>23</v>
      </c>
      <c r="I4407" s="6" t="s">
        <v>36</v>
      </c>
      <c r="J4407" s="6" t="s">
        <v>37</v>
      </c>
      <c r="K4407">
        <v>1</v>
      </c>
      <c r="M4407" s="1" t="b">
        <f>Employee__2[[#This Row],[Experience]]&gt;1</f>
        <v>0</v>
      </c>
      <c r="N4407" s="1" t="str">
        <f>IF(Employee__2[[#This Row],[City]]="Pune","Yes","No")</f>
        <v>No</v>
      </c>
      <c r="O4407" s="1" t="str">
        <f>IF(AND(Employee__2[[#This Row],[Education]]="Bachelors",Employee__2[[#This Row],[City]]="Pune"),"Yes","No")</f>
        <v>No</v>
      </c>
      <c r="P4407" s="1" t="str">
        <f>IF(OR(Employee__2[[#This Row],[Age]]&gt;=30,Employee__2[[#This Row],[Gender]]="Male"),"Mached","Not mached")</f>
        <v>Mached</v>
      </c>
    </row>
    <row r="4408" spans="4:16" x14ac:dyDescent="0.25">
      <c r="D4408" s="6" t="s">
        <v>34</v>
      </c>
      <c r="E4408">
        <v>2013</v>
      </c>
      <c r="F4408" s="6" t="s">
        <v>38</v>
      </c>
      <c r="G4408">
        <v>2</v>
      </c>
      <c r="H4408">
        <v>39</v>
      </c>
      <c r="I4408" s="6" t="s">
        <v>39</v>
      </c>
      <c r="J4408" s="6" t="s">
        <v>37</v>
      </c>
      <c r="K4408">
        <v>1</v>
      </c>
      <c r="M4408" s="1" t="b">
        <f>Employee__2[[#This Row],[Experience]]&gt;1</f>
        <v>0</v>
      </c>
      <c r="N4408" s="1" t="str">
        <f>IF(Employee__2[[#This Row],[City]]="Pune","Yes","No")</f>
        <v>Yes</v>
      </c>
      <c r="O4408" s="1" t="str">
        <f>IF(AND(Employee__2[[#This Row],[Education]]="Bachelors",Employee__2[[#This Row],[City]]="Pune"),"Yes","No")</f>
        <v>Yes</v>
      </c>
      <c r="P4408" s="1" t="str">
        <f>IF(OR(Employee__2[[#This Row],[Age]]&gt;=30,Employee__2[[#This Row],[Gender]]="Male"),"Mached","Not mached")</f>
        <v>Mached</v>
      </c>
    </row>
    <row r="4409" spans="4:16" x14ac:dyDescent="0.25">
      <c r="D4409" s="6" t="s">
        <v>34</v>
      </c>
      <c r="E4409">
        <v>2017</v>
      </c>
      <c r="F4409" s="6" t="s">
        <v>40</v>
      </c>
      <c r="G4409">
        <v>3</v>
      </c>
      <c r="H4409">
        <v>26</v>
      </c>
      <c r="I4409" s="6" t="s">
        <v>36</v>
      </c>
      <c r="J4409" s="6" t="s">
        <v>37</v>
      </c>
      <c r="K4409">
        <v>4</v>
      </c>
      <c r="M4409" s="1" t="b">
        <f>Employee__2[[#This Row],[Experience]]&gt;1</f>
        <v>1</v>
      </c>
      <c r="N4409" s="1" t="str">
        <f>IF(Employee__2[[#This Row],[City]]="Pune","Yes","No")</f>
        <v>No</v>
      </c>
      <c r="O4409" s="1" t="str">
        <f>IF(AND(Employee__2[[#This Row],[Education]]="Bachelors",Employee__2[[#This Row],[City]]="Pune"),"Yes","No")</f>
        <v>No</v>
      </c>
      <c r="P4409" s="1" t="str">
        <f>IF(OR(Employee__2[[#This Row],[Age]]&gt;=30,Employee__2[[#This Row],[Gender]]="Male"),"Mached","Not mached")</f>
        <v>Mached</v>
      </c>
    </row>
    <row r="4410" spans="4:16" x14ac:dyDescent="0.25">
      <c r="D4410" s="6" t="s">
        <v>34</v>
      </c>
      <c r="E4410">
        <v>2013</v>
      </c>
      <c r="F4410" s="6" t="s">
        <v>38</v>
      </c>
      <c r="G4410">
        <v>2</v>
      </c>
      <c r="H4410">
        <v>33</v>
      </c>
      <c r="I4410" s="6" t="s">
        <v>39</v>
      </c>
      <c r="J4410" s="6" t="s">
        <v>42</v>
      </c>
      <c r="K4410">
        <v>4</v>
      </c>
      <c r="M4410" s="1" t="b">
        <f>Employee__2[[#This Row],[Experience]]&gt;1</f>
        <v>1</v>
      </c>
      <c r="N4410" s="1" t="str">
        <f>IF(Employee__2[[#This Row],[City]]="Pune","Yes","No")</f>
        <v>Yes</v>
      </c>
      <c r="O4410" s="1" t="str">
        <f>IF(AND(Employee__2[[#This Row],[Education]]="Bachelors",Employee__2[[#This Row],[City]]="Pune"),"Yes","No")</f>
        <v>Yes</v>
      </c>
      <c r="P4410" s="1" t="str">
        <f>IF(OR(Employee__2[[#This Row],[Age]]&gt;=30,Employee__2[[#This Row],[Gender]]="Male"),"Mached","Not mached")</f>
        <v>Mached</v>
      </c>
    </row>
    <row r="4411" spans="4:16" x14ac:dyDescent="0.25">
      <c r="D4411" s="6" t="s">
        <v>34</v>
      </c>
      <c r="E4411">
        <v>2013</v>
      </c>
      <c r="F4411" s="6" t="s">
        <v>35</v>
      </c>
      <c r="G4411">
        <v>3</v>
      </c>
      <c r="H4411">
        <v>27</v>
      </c>
      <c r="I4411" s="6" t="s">
        <v>39</v>
      </c>
      <c r="J4411" s="6" t="s">
        <v>37</v>
      </c>
      <c r="K4411">
        <v>5</v>
      </c>
      <c r="M4411" s="1" t="b">
        <f>Employee__2[[#This Row],[Experience]]&gt;1</f>
        <v>1</v>
      </c>
      <c r="N4411" s="1" t="str">
        <f>IF(Employee__2[[#This Row],[City]]="Pune","Yes","No")</f>
        <v>No</v>
      </c>
      <c r="O4411" s="1" t="str">
        <f>IF(AND(Employee__2[[#This Row],[Education]]="Bachelors",Employee__2[[#This Row],[City]]="Pune"),"Yes","No")</f>
        <v>No</v>
      </c>
      <c r="P4411" s="1" t="str">
        <f>IF(OR(Employee__2[[#This Row],[Age]]&gt;=30,Employee__2[[#This Row],[Gender]]="Male"),"Mached","Not mached")</f>
        <v>Not mached</v>
      </c>
    </row>
    <row r="4412" spans="4:16" x14ac:dyDescent="0.25">
      <c r="D4412" s="6" t="s">
        <v>43</v>
      </c>
      <c r="E4412">
        <v>2018</v>
      </c>
      <c r="F4412" s="6" t="s">
        <v>40</v>
      </c>
      <c r="G4412">
        <v>3</v>
      </c>
      <c r="H4412">
        <v>24</v>
      </c>
      <c r="I4412" s="6" t="s">
        <v>36</v>
      </c>
      <c r="J4412" s="6" t="s">
        <v>37</v>
      </c>
      <c r="K4412">
        <v>2</v>
      </c>
      <c r="M4412" s="1" t="b">
        <f>Employee__2[[#This Row],[Experience]]&gt;1</f>
        <v>1</v>
      </c>
      <c r="N4412" s="1" t="str">
        <f>IF(Employee__2[[#This Row],[City]]="Pune","Yes","No")</f>
        <v>No</v>
      </c>
      <c r="O4412" s="1" t="str">
        <f>IF(AND(Employee__2[[#This Row],[Education]]="Bachelors",Employee__2[[#This Row],[City]]="Pune"),"Yes","No")</f>
        <v>No</v>
      </c>
      <c r="P4412" s="1" t="str">
        <f>IF(OR(Employee__2[[#This Row],[Age]]&gt;=30,Employee__2[[#This Row],[Gender]]="Male"),"Mached","Not mached")</f>
        <v>Mached</v>
      </c>
    </row>
    <row r="4413" spans="4:16" x14ac:dyDescent="0.25">
      <c r="D4413" s="6" t="s">
        <v>34</v>
      </c>
      <c r="E4413">
        <v>2017</v>
      </c>
      <c r="F4413" s="6" t="s">
        <v>35</v>
      </c>
      <c r="G4413">
        <v>3</v>
      </c>
      <c r="H4413">
        <v>38</v>
      </c>
      <c r="I4413" s="6" t="s">
        <v>36</v>
      </c>
      <c r="J4413" s="6" t="s">
        <v>37</v>
      </c>
      <c r="K4413">
        <v>1</v>
      </c>
      <c r="M4413" s="1" t="b">
        <f>Employee__2[[#This Row],[Experience]]&gt;1</f>
        <v>0</v>
      </c>
      <c r="N4413" s="1" t="str">
        <f>IF(Employee__2[[#This Row],[City]]="Pune","Yes","No")</f>
        <v>No</v>
      </c>
      <c r="O4413" s="1" t="str">
        <f>IF(AND(Employee__2[[#This Row],[Education]]="Bachelors",Employee__2[[#This Row],[City]]="Pune"),"Yes","No")</f>
        <v>No</v>
      </c>
      <c r="P4413" s="1" t="str">
        <f>IF(OR(Employee__2[[#This Row],[Age]]&gt;=30,Employee__2[[#This Row],[Gender]]="Male"),"Mached","Not mached")</f>
        <v>Mached</v>
      </c>
    </row>
    <row r="4414" spans="4:16" x14ac:dyDescent="0.25">
      <c r="D4414" s="6" t="s">
        <v>34</v>
      </c>
      <c r="E4414">
        <v>2017</v>
      </c>
      <c r="F4414" s="6" t="s">
        <v>35</v>
      </c>
      <c r="G4414">
        <v>3</v>
      </c>
      <c r="H4414">
        <v>27</v>
      </c>
      <c r="I4414" s="6" t="s">
        <v>36</v>
      </c>
      <c r="J4414" s="6" t="s">
        <v>37</v>
      </c>
      <c r="K4414">
        <v>5</v>
      </c>
      <c r="M4414" s="1" t="b">
        <f>Employee__2[[#This Row],[Experience]]&gt;1</f>
        <v>1</v>
      </c>
      <c r="N4414" s="1" t="str">
        <f>IF(Employee__2[[#This Row],[City]]="Pune","Yes","No")</f>
        <v>No</v>
      </c>
      <c r="O4414" s="1" t="str">
        <f>IF(AND(Employee__2[[#This Row],[Education]]="Bachelors",Employee__2[[#This Row],[City]]="Pune"),"Yes","No")</f>
        <v>No</v>
      </c>
      <c r="P4414" s="1" t="str">
        <f>IF(OR(Employee__2[[#This Row],[Age]]&gt;=30,Employee__2[[#This Row],[Gender]]="Male"),"Mached","Not mached")</f>
        <v>Mached</v>
      </c>
    </row>
    <row r="4415" spans="4:16" x14ac:dyDescent="0.25">
      <c r="D4415" s="6" t="s">
        <v>34</v>
      </c>
      <c r="E4415">
        <v>2014</v>
      </c>
      <c r="F4415" s="6" t="s">
        <v>35</v>
      </c>
      <c r="G4415">
        <v>3</v>
      </c>
      <c r="H4415">
        <v>27</v>
      </c>
      <c r="I4415" s="6" t="s">
        <v>39</v>
      </c>
      <c r="J4415" s="6" t="s">
        <v>37</v>
      </c>
      <c r="K4415">
        <v>5</v>
      </c>
      <c r="M4415" s="1" t="b">
        <f>Employee__2[[#This Row],[Experience]]&gt;1</f>
        <v>1</v>
      </c>
      <c r="N4415" s="1" t="str">
        <f>IF(Employee__2[[#This Row],[City]]="Pune","Yes","No")</f>
        <v>No</v>
      </c>
      <c r="O4415" s="1" t="str">
        <f>IF(AND(Employee__2[[#This Row],[Education]]="Bachelors",Employee__2[[#This Row],[City]]="Pune"),"Yes","No")</f>
        <v>No</v>
      </c>
      <c r="P4415" s="1" t="str">
        <f>IF(OR(Employee__2[[#This Row],[Age]]&gt;=30,Employee__2[[#This Row],[Gender]]="Male"),"Mached","Not mached")</f>
        <v>Not mached</v>
      </c>
    </row>
    <row r="4416" spans="4:16" x14ac:dyDescent="0.25">
      <c r="D4416" s="6" t="s">
        <v>34</v>
      </c>
      <c r="E4416">
        <v>2015</v>
      </c>
      <c r="F4416" s="6" t="s">
        <v>35</v>
      </c>
      <c r="G4416">
        <v>3</v>
      </c>
      <c r="H4416">
        <v>23</v>
      </c>
      <c r="I4416" s="6" t="s">
        <v>36</v>
      </c>
      <c r="J4416" s="6" t="s">
        <v>37</v>
      </c>
      <c r="K4416">
        <v>1</v>
      </c>
      <c r="M4416" s="1" t="b">
        <f>Employee__2[[#This Row],[Experience]]&gt;1</f>
        <v>0</v>
      </c>
      <c r="N4416" s="1" t="str">
        <f>IF(Employee__2[[#This Row],[City]]="Pune","Yes","No")</f>
        <v>No</v>
      </c>
      <c r="O4416" s="1" t="str">
        <f>IF(AND(Employee__2[[#This Row],[Education]]="Bachelors",Employee__2[[#This Row],[City]]="Pune"),"Yes","No")</f>
        <v>No</v>
      </c>
      <c r="P4416" s="1" t="str">
        <f>IF(OR(Employee__2[[#This Row],[Age]]&gt;=30,Employee__2[[#This Row],[Gender]]="Male"),"Mached","Not mached")</f>
        <v>Mached</v>
      </c>
    </row>
    <row r="4417" spans="4:16" x14ac:dyDescent="0.25">
      <c r="D4417" s="6" t="s">
        <v>34</v>
      </c>
      <c r="E4417">
        <v>2014</v>
      </c>
      <c r="F4417" s="6" t="s">
        <v>40</v>
      </c>
      <c r="G4417">
        <v>3</v>
      </c>
      <c r="H4417">
        <v>26</v>
      </c>
      <c r="I4417" s="6" t="s">
        <v>39</v>
      </c>
      <c r="J4417" s="6" t="s">
        <v>37</v>
      </c>
      <c r="K4417">
        <v>4</v>
      </c>
      <c r="M4417" s="1" t="b">
        <f>Employee__2[[#This Row],[Experience]]&gt;1</f>
        <v>1</v>
      </c>
      <c r="N4417" s="1" t="str">
        <f>IF(Employee__2[[#This Row],[City]]="Pune","Yes","No")</f>
        <v>No</v>
      </c>
      <c r="O4417" s="1" t="str">
        <f>IF(AND(Employee__2[[#This Row],[Education]]="Bachelors",Employee__2[[#This Row],[City]]="Pune"),"Yes","No")</f>
        <v>No</v>
      </c>
      <c r="P4417" s="1" t="str">
        <f>IF(OR(Employee__2[[#This Row],[Age]]&gt;=30,Employee__2[[#This Row],[Gender]]="Male"),"Mached","Not mached")</f>
        <v>Not mached</v>
      </c>
    </row>
    <row r="4418" spans="4:16" x14ac:dyDescent="0.25">
      <c r="D4418" s="6" t="s">
        <v>34</v>
      </c>
      <c r="E4418">
        <v>2016</v>
      </c>
      <c r="F4418" s="6" t="s">
        <v>35</v>
      </c>
      <c r="G4418">
        <v>3</v>
      </c>
      <c r="H4418">
        <v>31</v>
      </c>
      <c r="I4418" s="6" t="s">
        <v>36</v>
      </c>
      <c r="J4418" s="6" t="s">
        <v>37</v>
      </c>
      <c r="K4418">
        <v>5</v>
      </c>
      <c r="M4418" s="1" t="b">
        <f>Employee__2[[#This Row],[Experience]]&gt;1</f>
        <v>1</v>
      </c>
      <c r="N4418" s="1" t="str">
        <f>IF(Employee__2[[#This Row],[City]]="Pune","Yes","No")</f>
        <v>No</v>
      </c>
      <c r="O4418" s="1" t="str">
        <f>IF(AND(Employee__2[[#This Row],[Education]]="Bachelors",Employee__2[[#This Row],[City]]="Pune"),"Yes","No")</f>
        <v>No</v>
      </c>
      <c r="P4418" s="1" t="str">
        <f>IF(OR(Employee__2[[#This Row],[Age]]&gt;=30,Employee__2[[#This Row],[Gender]]="Male"),"Mached","Not mached")</f>
        <v>Mached</v>
      </c>
    </row>
    <row r="4419" spans="4:16" x14ac:dyDescent="0.25">
      <c r="D4419" s="6" t="s">
        <v>34</v>
      </c>
      <c r="E4419">
        <v>2017</v>
      </c>
      <c r="F4419" s="6" t="s">
        <v>35</v>
      </c>
      <c r="G4419">
        <v>3</v>
      </c>
      <c r="H4419">
        <v>32</v>
      </c>
      <c r="I4419" s="6" t="s">
        <v>39</v>
      </c>
      <c r="J4419" s="6" t="s">
        <v>37</v>
      </c>
      <c r="K4419">
        <v>3</v>
      </c>
      <c r="M4419" s="1" t="b">
        <f>Employee__2[[#This Row],[Experience]]&gt;1</f>
        <v>1</v>
      </c>
      <c r="N4419" s="1" t="str">
        <f>IF(Employee__2[[#This Row],[City]]="Pune","Yes","No")</f>
        <v>No</v>
      </c>
      <c r="O4419" s="1" t="str">
        <f>IF(AND(Employee__2[[#This Row],[Education]]="Bachelors",Employee__2[[#This Row],[City]]="Pune"),"Yes","No")</f>
        <v>No</v>
      </c>
      <c r="P4419" s="1" t="str">
        <f>IF(OR(Employee__2[[#This Row],[Age]]&gt;=30,Employee__2[[#This Row],[Gender]]="Male"),"Mached","Not mached")</f>
        <v>Mached</v>
      </c>
    </row>
    <row r="4420" spans="4:16" x14ac:dyDescent="0.25">
      <c r="D4420" s="6" t="s">
        <v>34</v>
      </c>
      <c r="E4420">
        <v>2015</v>
      </c>
      <c r="F4420" s="6" t="s">
        <v>38</v>
      </c>
      <c r="G4420">
        <v>2</v>
      </c>
      <c r="H4420">
        <v>36</v>
      </c>
      <c r="I4420" s="6" t="s">
        <v>39</v>
      </c>
      <c r="J4420" s="6" t="s">
        <v>37</v>
      </c>
      <c r="K4420">
        <v>3</v>
      </c>
      <c r="M4420" s="1" t="b">
        <f>Employee__2[[#This Row],[Experience]]&gt;1</f>
        <v>1</v>
      </c>
      <c r="N4420" s="1" t="str">
        <f>IF(Employee__2[[#This Row],[City]]="Pune","Yes","No")</f>
        <v>Yes</v>
      </c>
      <c r="O4420" s="1" t="str">
        <f>IF(AND(Employee__2[[#This Row],[Education]]="Bachelors",Employee__2[[#This Row],[City]]="Pune"),"Yes","No")</f>
        <v>Yes</v>
      </c>
      <c r="P4420" s="1" t="str">
        <f>IF(OR(Employee__2[[#This Row],[Age]]&gt;=30,Employee__2[[#This Row],[Gender]]="Male"),"Mached","Not mached")</f>
        <v>Mached</v>
      </c>
    </row>
    <row r="4421" spans="4:16" x14ac:dyDescent="0.25">
      <c r="D4421" s="6" t="s">
        <v>34</v>
      </c>
      <c r="E4421">
        <v>2017</v>
      </c>
      <c r="F4421" s="6" t="s">
        <v>35</v>
      </c>
      <c r="G4421">
        <v>3</v>
      </c>
      <c r="H4421">
        <v>28</v>
      </c>
      <c r="I4421" s="6" t="s">
        <v>36</v>
      </c>
      <c r="J4421" s="6" t="s">
        <v>37</v>
      </c>
      <c r="K4421">
        <v>0</v>
      </c>
      <c r="M4421" s="1" t="b">
        <f>Employee__2[[#This Row],[Experience]]&gt;1</f>
        <v>0</v>
      </c>
      <c r="N4421" s="1" t="str">
        <f>IF(Employee__2[[#This Row],[City]]="Pune","Yes","No")</f>
        <v>No</v>
      </c>
      <c r="O4421" s="1" t="str">
        <f>IF(AND(Employee__2[[#This Row],[Education]]="Bachelors",Employee__2[[#This Row],[City]]="Pune"),"Yes","No")</f>
        <v>No</v>
      </c>
      <c r="P4421" s="1" t="str">
        <f>IF(OR(Employee__2[[#This Row],[Age]]&gt;=30,Employee__2[[#This Row],[Gender]]="Male"),"Mached","Not mached")</f>
        <v>Mached</v>
      </c>
    </row>
    <row r="4422" spans="4:16" x14ac:dyDescent="0.25">
      <c r="D4422" s="6" t="s">
        <v>34</v>
      </c>
      <c r="E4422">
        <v>2017</v>
      </c>
      <c r="F4422" s="6" t="s">
        <v>40</v>
      </c>
      <c r="G4422">
        <v>2</v>
      </c>
      <c r="H4422">
        <v>31</v>
      </c>
      <c r="I4422" s="6" t="s">
        <v>36</v>
      </c>
      <c r="J4422" s="6" t="s">
        <v>37</v>
      </c>
      <c r="K4422">
        <v>3</v>
      </c>
      <c r="M4422" s="1" t="b">
        <f>Employee__2[[#This Row],[Experience]]&gt;1</f>
        <v>1</v>
      </c>
      <c r="N4422" s="1" t="str">
        <f>IF(Employee__2[[#This Row],[City]]="Pune","Yes","No")</f>
        <v>No</v>
      </c>
      <c r="O4422" s="1" t="str">
        <f>IF(AND(Employee__2[[#This Row],[Education]]="Bachelors",Employee__2[[#This Row],[City]]="Pune"),"Yes","No")</f>
        <v>No</v>
      </c>
      <c r="P4422" s="1" t="str">
        <f>IF(OR(Employee__2[[#This Row],[Age]]&gt;=30,Employee__2[[#This Row],[Gender]]="Male"),"Mached","Not mached")</f>
        <v>Mached</v>
      </c>
    </row>
    <row r="4423" spans="4:16" x14ac:dyDescent="0.25">
      <c r="D4423" s="6" t="s">
        <v>41</v>
      </c>
      <c r="E4423">
        <v>2017</v>
      </c>
      <c r="F4423" s="6" t="s">
        <v>40</v>
      </c>
      <c r="G4423">
        <v>2</v>
      </c>
      <c r="H4423">
        <v>36</v>
      </c>
      <c r="I4423" s="6" t="s">
        <v>39</v>
      </c>
      <c r="J4423" s="6" t="s">
        <v>37</v>
      </c>
      <c r="K4423">
        <v>3</v>
      </c>
      <c r="M4423" s="1" t="b">
        <f>Employee__2[[#This Row],[Experience]]&gt;1</f>
        <v>1</v>
      </c>
      <c r="N4423" s="1" t="str">
        <f>IF(Employee__2[[#This Row],[City]]="Pune","Yes","No")</f>
        <v>No</v>
      </c>
      <c r="O4423" s="1" t="str">
        <f>IF(AND(Employee__2[[#This Row],[Education]]="Bachelors",Employee__2[[#This Row],[City]]="Pune"),"Yes","No")</f>
        <v>No</v>
      </c>
      <c r="P4423" s="1" t="str">
        <f>IF(OR(Employee__2[[#This Row],[Age]]&gt;=30,Employee__2[[#This Row],[Gender]]="Male"),"Mached","Not mached")</f>
        <v>Mached</v>
      </c>
    </row>
    <row r="4424" spans="4:16" x14ac:dyDescent="0.25">
      <c r="D4424" s="6" t="s">
        <v>34</v>
      </c>
      <c r="E4424">
        <v>2014</v>
      </c>
      <c r="F4424" s="6" t="s">
        <v>35</v>
      </c>
      <c r="G4424">
        <v>3</v>
      </c>
      <c r="H4424">
        <v>24</v>
      </c>
      <c r="I4424" s="6" t="s">
        <v>36</v>
      </c>
      <c r="J4424" s="6" t="s">
        <v>37</v>
      </c>
      <c r="K4424">
        <v>2</v>
      </c>
      <c r="M4424" s="1" t="b">
        <f>Employee__2[[#This Row],[Experience]]&gt;1</f>
        <v>1</v>
      </c>
      <c r="N4424" s="1" t="str">
        <f>IF(Employee__2[[#This Row],[City]]="Pune","Yes","No")</f>
        <v>No</v>
      </c>
      <c r="O4424" s="1" t="str">
        <f>IF(AND(Employee__2[[#This Row],[Education]]="Bachelors",Employee__2[[#This Row],[City]]="Pune"),"Yes","No")</f>
        <v>No</v>
      </c>
      <c r="P4424" s="1" t="str">
        <f>IF(OR(Employee__2[[#This Row],[Age]]&gt;=30,Employee__2[[#This Row],[Gender]]="Male"),"Mached","Not mached")</f>
        <v>Mached</v>
      </c>
    </row>
    <row r="4425" spans="4:16" x14ac:dyDescent="0.25">
      <c r="D4425" s="6" t="s">
        <v>34</v>
      </c>
      <c r="E4425">
        <v>2012</v>
      </c>
      <c r="F4425" s="6" t="s">
        <v>35</v>
      </c>
      <c r="G4425">
        <v>3</v>
      </c>
      <c r="H4425">
        <v>27</v>
      </c>
      <c r="I4425" s="6" t="s">
        <v>36</v>
      </c>
      <c r="J4425" s="6" t="s">
        <v>37</v>
      </c>
      <c r="K4425">
        <v>5</v>
      </c>
      <c r="M4425" s="1" t="b">
        <f>Employee__2[[#This Row],[Experience]]&gt;1</f>
        <v>1</v>
      </c>
      <c r="N4425" s="1" t="str">
        <f>IF(Employee__2[[#This Row],[City]]="Pune","Yes","No")</f>
        <v>No</v>
      </c>
      <c r="O4425" s="1" t="str">
        <f>IF(AND(Employee__2[[#This Row],[Education]]="Bachelors",Employee__2[[#This Row],[City]]="Pune"),"Yes","No")</f>
        <v>No</v>
      </c>
      <c r="P4425" s="1" t="str">
        <f>IF(OR(Employee__2[[#This Row],[Age]]&gt;=30,Employee__2[[#This Row],[Gender]]="Male"),"Mached","Not mached")</f>
        <v>Mached</v>
      </c>
    </row>
    <row r="4426" spans="4:16" x14ac:dyDescent="0.25">
      <c r="D4426" s="6" t="s">
        <v>34</v>
      </c>
      <c r="E4426">
        <v>2017</v>
      </c>
      <c r="F4426" s="6" t="s">
        <v>35</v>
      </c>
      <c r="G4426">
        <v>3</v>
      </c>
      <c r="H4426">
        <v>28</v>
      </c>
      <c r="I4426" s="6" t="s">
        <v>36</v>
      </c>
      <c r="J4426" s="6" t="s">
        <v>37</v>
      </c>
      <c r="K4426">
        <v>3</v>
      </c>
      <c r="M4426" s="1" t="b">
        <f>Employee__2[[#This Row],[Experience]]&gt;1</f>
        <v>1</v>
      </c>
      <c r="N4426" s="1" t="str">
        <f>IF(Employee__2[[#This Row],[City]]="Pune","Yes","No")</f>
        <v>No</v>
      </c>
      <c r="O4426" s="1" t="str">
        <f>IF(AND(Employee__2[[#This Row],[Education]]="Bachelors",Employee__2[[#This Row],[City]]="Pune"),"Yes","No")</f>
        <v>No</v>
      </c>
      <c r="P4426" s="1" t="str">
        <f>IF(OR(Employee__2[[#This Row],[Age]]&gt;=30,Employee__2[[#This Row],[Gender]]="Male"),"Mached","Not mached")</f>
        <v>Mached</v>
      </c>
    </row>
    <row r="4427" spans="4:16" x14ac:dyDescent="0.25">
      <c r="D4427" s="6" t="s">
        <v>34</v>
      </c>
      <c r="E4427">
        <v>2015</v>
      </c>
      <c r="F4427" s="6" t="s">
        <v>38</v>
      </c>
      <c r="G4427">
        <v>3</v>
      </c>
      <c r="H4427">
        <v>39</v>
      </c>
      <c r="I4427" s="6" t="s">
        <v>39</v>
      </c>
      <c r="J4427" s="6" t="s">
        <v>37</v>
      </c>
      <c r="K4427">
        <v>2</v>
      </c>
      <c r="M4427" s="1" t="b">
        <f>Employee__2[[#This Row],[Experience]]&gt;1</f>
        <v>1</v>
      </c>
      <c r="N4427" s="1" t="str">
        <f>IF(Employee__2[[#This Row],[City]]="Pune","Yes","No")</f>
        <v>Yes</v>
      </c>
      <c r="O4427" s="1" t="str">
        <f>IF(AND(Employee__2[[#This Row],[Education]]="Bachelors",Employee__2[[#This Row],[City]]="Pune"),"Yes","No")</f>
        <v>Yes</v>
      </c>
      <c r="P4427" s="1" t="str">
        <f>IF(OR(Employee__2[[#This Row],[Age]]&gt;=30,Employee__2[[#This Row],[Gender]]="Male"),"Mached","Not mached")</f>
        <v>Mached</v>
      </c>
    </row>
    <row r="4428" spans="4:16" x14ac:dyDescent="0.25">
      <c r="D4428" s="6" t="s">
        <v>34</v>
      </c>
      <c r="E4428">
        <v>2013</v>
      </c>
      <c r="F4428" s="6" t="s">
        <v>35</v>
      </c>
      <c r="G4428">
        <v>3</v>
      </c>
      <c r="H4428">
        <v>23</v>
      </c>
      <c r="I4428" s="6" t="s">
        <v>39</v>
      </c>
      <c r="J4428" s="6" t="s">
        <v>37</v>
      </c>
      <c r="K4428">
        <v>1</v>
      </c>
      <c r="M4428" s="1" t="b">
        <f>Employee__2[[#This Row],[Experience]]&gt;1</f>
        <v>0</v>
      </c>
      <c r="N4428" s="1" t="str">
        <f>IF(Employee__2[[#This Row],[City]]="Pune","Yes","No")</f>
        <v>No</v>
      </c>
      <c r="O4428" s="1" t="str">
        <f>IF(AND(Employee__2[[#This Row],[Education]]="Bachelors",Employee__2[[#This Row],[City]]="Pune"),"Yes","No")</f>
        <v>No</v>
      </c>
      <c r="P4428" s="1" t="str">
        <f>IF(OR(Employee__2[[#This Row],[Age]]&gt;=30,Employee__2[[#This Row],[Gender]]="Male"),"Mached","Not mached")</f>
        <v>Not mached</v>
      </c>
    </row>
    <row r="4429" spans="4:16" x14ac:dyDescent="0.25">
      <c r="D4429" s="6" t="s">
        <v>34</v>
      </c>
      <c r="E4429">
        <v>2014</v>
      </c>
      <c r="F4429" s="6" t="s">
        <v>35</v>
      </c>
      <c r="G4429">
        <v>3</v>
      </c>
      <c r="H4429">
        <v>32</v>
      </c>
      <c r="I4429" s="6" t="s">
        <v>36</v>
      </c>
      <c r="J4429" s="6" t="s">
        <v>37</v>
      </c>
      <c r="K4429">
        <v>1</v>
      </c>
      <c r="M4429" s="1" t="b">
        <f>Employee__2[[#This Row],[Experience]]&gt;1</f>
        <v>0</v>
      </c>
      <c r="N4429" s="1" t="str">
        <f>IF(Employee__2[[#This Row],[City]]="Pune","Yes","No")</f>
        <v>No</v>
      </c>
      <c r="O4429" s="1" t="str">
        <f>IF(AND(Employee__2[[#This Row],[Education]]="Bachelors",Employee__2[[#This Row],[City]]="Pune"),"Yes","No")</f>
        <v>No</v>
      </c>
      <c r="P4429" s="1" t="str">
        <f>IF(OR(Employee__2[[#This Row],[Age]]&gt;=30,Employee__2[[#This Row],[Gender]]="Male"),"Mached","Not mached")</f>
        <v>Mached</v>
      </c>
    </row>
    <row r="4430" spans="4:16" x14ac:dyDescent="0.25">
      <c r="D4430" s="6" t="s">
        <v>41</v>
      </c>
      <c r="E4430">
        <v>2013</v>
      </c>
      <c r="F4430" s="6" t="s">
        <v>40</v>
      </c>
      <c r="G4430">
        <v>3</v>
      </c>
      <c r="H4430">
        <v>33</v>
      </c>
      <c r="I4430" s="6" t="s">
        <v>39</v>
      </c>
      <c r="J4430" s="6" t="s">
        <v>37</v>
      </c>
      <c r="K4430">
        <v>2</v>
      </c>
      <c r="M4430" s="1" t="b">
        <f>Employee__2[[#This Row],[Experience]]&gt;1</f>
        <v>1</v>
      </c>
      <c r="N4430" s="1" t="str">
        <f>IF(Employee__2[[#This Row],[City]]="Pune","Yes","No")</f>
        <v>No</v>
      </c>
      <c r="O4430" s="1" t="str">
        <f>IF(AND(Employee__2[[#This Row],[Education]]="Bachelors",Employee__2[[#This Row],[City]]="Pune"),"Yes","No")</f>
        <v>No</v>
      </c>
      <c r="P4430" s="1" t="str">
        <f>IF(OR(Employee__2[[#This Row],[Age]]&gt;=30,Employee__2[[#This Row],[Gender]]="Male"),"Mached","Not mached")</f>
        <v>Mached</v>
      </c>
    </row>
    <row r="4431" spans="4:16" x14ac:dyDescent="0.25">
      <c r="D4431" s="6" t="s">
        <v>34</v>
      </c>
      <c r="E4431">
        <v>2017</v>
      </c>
      <c r="F4431" s="6" t="s">
        <v>40</v>
      </c>
      <c r="G4431">
        <v>3</v>
      </c>
      <c r="H4431">
        <v>39</v>
      </c>
      <c r="I4431" s="6" t="s">
        <v>39</v>
      </c>
      <c r="J4431" s="6" t="s">
        <v>37</v>
      </c>
      <c r="K4431">
        <v>4</v>
      </c>
      <c r="M4431" s="1" t="b">
        <f>Employee__2[[#This Row],[Experience]]&gt;1</f>
        <v>1</v>
      </c>
      <c r="N4431" s="1" t="str">
        <f>IF(Employee__2[[#This Row],[City]]="Pune","Yes","No")</f>
        <v>No</v>
      </c>
      <c r="O4431" s="1" t="str">
        <f>IF(AND(Employee__2[[#This Row],[Education]]="Bachelors",Employee__2[[#This Row],[City]]="Pune"),"Yes","No")</f>
        <v>No</v>
      </c>
      <c r="P4431" s="1" t="str">
        <f>IF(OR(Employee__2[[#This Row],[Age]]&gt;=30,Employee__2[[#This Row],[Gender]]="Male"),"Mached","Not mached")</f>
        <v>Mached</v>
      </c>
    </row>
    <row r="4432" spans="4:16" x14ac:dyDescent="0.25">
      <c r="D4432" s="6" t="s">
        <v>41</v>
      </c>
      <c r="E4432">
        <v>2017</v>
      </c>
      <c r="F4432" s="6" t="s">
        <v>35</v>
      </c>
      <c r="G4432">
        <v>2</v>
      </c>
      <c r="H4432">
        <v>24</v>
      </c>
      <c r="I4432" s="6" t="s">
        <v>39</v>
      </c>
      <c r="J4432" s="6" t="s">
        <v>37</v>
      </c>
      <c r="K4432">
        <v>2</v>
      </c>
      <c r="M4432" s="1" t="b">
        <f>Employee__2[[#This Row],[Experience]]&gt;1</f>
        <v>1</v>
      </c>
      <c r="N4432" s="1" t="str">
        <f>IF(Employee__2[[#This Row],[City]]="Pune","Yes","No")</f>
        <v>No</v>
      </c>
      <c r="O4432" s="1" t="str">
        <f>IF(AND(Employee__2[[#This Row],[Education]]="Bachelors",Employee__2[[#This Row],[City]]="Pune"),"Yes","No")</f>
        <v>No</v>
      </c>
      <c r="P4432" s="1" t="str">
        <f>IF(OR(Employee__2[[#This Row],[Age]]&gt;=30,Employee__2[[#This Row],[Gender]]="Male"),"Mached","Not mached")</f>
        <v>Not mached</v>
      </c>
    </row>
    <row r="4433" spans="4:16" x14ac:dyDescent="0.25">
      <c r="D4433" s="6" t="s">
        <v>34</v>
      </c>
      <c r="E4433">
        <v>2016</v>
      </c>
      <c r="F4433" s="6" t="s">
        <v>38</v>
      </c>
      <c r="G4433">
        <v>3</v>
      </c>
      <c r="H4433">
        <v>33</v>
      </c>
      <c r="I4433" s="6" t="s">
        <v>36</v>
      </c>
      <c r="J4433" s="6" t="s">
        <v>37</v>
      </c>
      <c r="K4433">
        <v>2</v>
      </c>
      <c r="M4433" s="1" t="b">
        <f>Employee__2[[#This Row],[Experience]]&gt;1</f>
        <v>1</v>
      </c>
      <c r="N4433" s="1" t="str">
        <f>IF(Employee__2[[#This Row],[City]]="Pune","Yes","No")</f>
        <v>Yes</v>
      </c>
      <c r="O4433" s="1" t="str">
        <f>IF(AND(Employee__2[[#This Row],[Education]]="Bachelors",Employee__2[[#This Row],[City]]="Pune"),"Yes","No")</f>
        <v>Yes</v>
      </c>
      <c r="P4433" s="1" t="str">
        <f>IF(OR(Employee__2[[#This Row],[Age]]&gt;=30,Employee__2[[#This Row],[Gender]]="Male"),"Mached","Not mached")</f>
        <v>Mached</v>
      </c>
    </row>
    <row r="4434" spans="4:16" x14ac:dyDescent="0.25">
      <c r="D4434" s="6" t="s">
        <v>34</v>
      </c>
      <c r="E4434">
        <v>2016</v>
      </c>
      <c r="F4434" s="6" t="s">
        <v>38</v>
      </c>
      <c r="G4434">
        <v>2</v>
      </c>
      <c r="H4434">
        <v>29</v>
      </c>
      <c r="I4434" s="6" t="s">
        <v>39</v>
      </c>
      <c r="J4434" s="6" t="s">
        <v>37</v>
      </c>
      <c r="K4434">
        <v>4</v>
      </c>
      <c r="M4434" s="1" t="b">
        <f>Employee__2[[#This Row],[Experience]]&gt;1</f>
        <v>1</v>
      </c>
      <c r="N4434" s="1" t="str">
        <f>IF(Employee__2[[#This Row],[City]]="Pune","Yes","No")</f>
        <v>Yes</v>
      </c>
      <c r="O4434" s="1" t="str">
        <f>IF(AND(Employee__2[[#This Row],[Education]]="Bachelors",Employee__2[[#This Row],[City]]="Pune"),"Yes","No")</f>
        <v>Yes</v>
      </c>
      <c r="P4434" s="1" t="str">
        <f>IF(OR(Employee__2[[#This Row],[Age]]&gt;=30,Employee__2[[#This Row],[Gender]]="Male"),"Mached","Not mached")</f>
        <v>Not mached</v>
      </c>
    </row>
    <row r="4435" spans="4:16" x14ac:dyDescent="0.25">
      <c r="D4435" s="6" t="s">
        <v>41</v>
      </c>
      <c r="E4435">
        <v>2017</v>
      </c>
      <c r="F4435" s="6" t="s">
        <v>38</v>
      </c>
      <c r="G4435">
        <v>3</v>
      </c>
      <c r="H4435">
        <v>24</v>
      </c>
      <c r="I4435" s="6" t="s">
        <v>39</v>
      </c>
      <c r="J4435" s="6" t="s">
        <v>37</v>
      </c>
      <c r="K4435">
        <v>2</v>
      </c>
      <c r="M4435" s="1" t="b">
        <f>Employee__2[[#This Row],[Experience]]&gt;1</f>
        <v>1</v>
      </c>
      <c r="N4435" s="1" t="str">
        <f>IF(Employee__2[[#This Row],[City]]="Pune","Yes","No")</f>
        <v>Yes</v>
      </c>
      <c r="O4435" s="1" t="str">
        <f>IF(AND(Employee__2[[#This Row],[Education]]="Bachelors",Employee__2[[#This Row],[City]]="Pune"),"Yes","No")</f>
        <v>No</v>
      </c>
      <c r="P4435" s="1" t="str">
        <f>IF(OR(Employee__2[[#This Row],[Age]]&gt;=30,Employee__2[[#This Row],[Gender]]="Male"),"Mached","Not mached")</f>
        <v>Not mached</v>
      </c>
    </row>
    <row r="4436" spans="4:16" x14ac:dyDescent="0.25">
      <c r="D4436" s="6" t="s">
        <v>41</v>
      </c>
      <c r="E4436">
        <v>2015</v>
      </c>
      <c r="F4436" s="6" t="s">
        <v>38</v>
      </c>
      <c r="G4436">
        <v>3</v>
      </c>
      <c r="H4436">
        <v>27</v>
      </c>
      <c r="I4436" s="6" t="s">
        <v>39</v>
      </c>
      <c r="J4436" s="6" t="s">
        <v>37</v>
      </c>
      <c r="K4436">
        <v>5</v>
      </c>
      <c r="M4436" s="1" t="b">
        <f>Employee__2[[#This Row],[Experience]]&gt;1</f>
        <v>1</v>
      </c>
      <c r="N4436" s="1" t="str">
        <f>IF(Employee__2[[#This Row],[City]]="Pune","Yes","No")</f>
        <v>Yes</v>
      </c>
      <c r="O4436" s="1" t="str">
        <f>IF(AND(Employee__2[[#This Row],[Education]]="Bachelors",Employee__2[[#This Row],[City]]="Pune"),"Yes","No")</f>
        <v>No</v>
      </c>
      <c r="P4436" s="1" t="str">
        <f>IF(OR(Employee__2[[#This Row],[Age]]&gt;=30,Employee__2[[#This Row],[Gender]]="Male"),"Mached","Not mached")</f>
        <v>Not mached</v>
      </c>
    </row>
    <row r="4437" spans="4:16" x14ac:dyDescent="0.25">
      <c r="D4437" s="6" t="s">
        <v>41</v>
      </c>
      <c r="E4437">
        <v>2013</v>
      </c>
      <c r="F4437" s="6" t="s">
        <v>40</v>
      </c>
      <c r="G4437">
        <v>2</v>
      </c>
      <c r="H4437">
        <v>35</v>
      </c>
      <c r="I4437" s="6" t="s">
        <v>39</v>
      </c>
      <c r="J4437" s="6" t="s">
        <v>37</v>
      </c>
      <c r="K4437">
        <v>2</v>
      </c>
      <c r="M4437" s="1" t="b">
        <f>Employee__2[[#This Row],[Experience]]&gt;1</f>
        <v>1</v>
      </c>
      <c r="N4437" s="1" t="str">
        <f>IF(Employee__2[[#This Row],[City]]="Pune","Yes","No")</f>
        <v>No</v>
      </c>
      <c r="O4437" s="1" t="str">
        <f>IF(AND(Employee__2[[#This Row],[Education]]="Bachelors",Employee__2[[#This Row],[City]]="Pune"),"Yes","No")</f>
        <v>No</v>
      </c>
      <c r="P4437" s="1" t="str">
        <f>IF(OR(Employee__2[[#This Row],[Age]]&gt;=30,Employee__2[[#This Row],[Gender]]="Male"),"Mached","Not mached")</f>
        <v>Mached</v>
      </c>
    </row>
    <row r="4438" spans="4:16" x14ac:dyDescent="0.25">
      <c r="D4438" s="6" t="s">
        <v>34</v>
      </c>
      <c r="E4438">
        <v>2015</v>
      </c>
      <c r="F4438" s="6" t="s">
        <v>38</v>
      </c>
      <c r="G4438">
        <v>2</v>
      </c>
      <c r="H4438">
        <v>28</v>
      </c>
      <c r="I4438" s="6" t="s">
        <v>39</v>
      </c>
      <c r="J4438" s="6" t="s">
        <v>37</v>
      </c>
      <c r="K4438">
        <v>2</v>
      </c>
      <c r="M4438" s="1" t="b">
        <f>Employee__2[[#This Row],[Experience]]&gt;1</f>
        <v>1</v>
      </c>
      <c r="N4438" s="1" t="str">
        <f>IF(Employee__2[[#This Row],[City]]="Pune","Yes","No")</f>
        <v>Yes</v>
      </c>
      <c r="O4438" s="1" t="str">
        <f>IF(AND(Employee__2[[#This Row],[Education]]="Bachelors",Employee__2[[#This Row],[City]]="Pune"),"Yes","No")</f>
        <v>Yes</v>
      </c>
      <c r="P4438" s="1" t="str">
        <f>IF(OR(Employee__2[[#This Row],[Age]]&gt;=30,Employee__2[[#This Row],[Gender]]="Male"),"Mached","Not mached")</f>
        <v>Not mached</v>
      </c>
    </row>
    <row r="4439" spans="4:16" x14ac:dyDescent="0.25">
      <c r="D4439" s="6" t="s">
        <v>34</v>
      </c>
      <c r="E4439">
        <v>2016</v>
      </c>
      <c r="F4439" s="6" t="s">
        <v>35</v>
      </c>
      <c r="G4439">
        <v>3</v>
      </c>
      <c r="H4439">
        <v>22</v>
      </c>
      <c r="I4439" s="6" t="s">
        <v>36</v>
      </c>
      <c r="J4439" s="6" t="s">
        <v>37</v>
      </c>
      <c r="K4439">
        <v>0</v>
      </c>
      <c r="M4439" s="1" t="b">
        <f>Employee__2[[#This Row],[Experience]]&gt;1</f>
        <v>0</v>
      </c>
      <c r="N4439" s="1" t="str">
        <f>IF(Employee__2[[#This Row],[City]]="Pune","Yes","No")</f>
        <v>No</v>
      </c>
      <c r="O4439" s="1" t="str">
        <f>IF(AND(Employee__2[[#This Row],[Education]]="Bachelors",Employee__2[[#This Row],[City]]="Pune"),"Yes","No")</f>
        <v>No</v>
      </c>
      <c r="P4439" s="1" t="str">
        <f>IF(OR(Employee__2[[#This Row],[Age]]&gt;=30,Employee__2[[#This Row],[Gender]]="Male"),"Mached","Not mached")</f>
        <v>Mached</v>
      </c>
    </row>
    <row r="4440" spans="4:16" x14ac:dyDescent="0.25">
      <c r="D4440" s="6" t="s">
        <v>34</v>
      </c>
      <c r="E4440">
        <v>2013</v>
      </c>
      <c r="F4440" s="6" t="s">
        <v>35</v>
      </c>
      <c r="G4440">
        <v>3</v>
      </c>
      <c r="H4440">
        <v>39</v>
      </c>
      <c r="I4440" s="6" t="s">
        <v>36</v>
      </c>
      <c r="J4440" s="6" t="s">
        <v>37</v>
      </c>
      <c r="K4440">
        <v>5</v>
      </c>
      <c r="M4440" s="1" t="b">
        <f>Employee__2[[#This Row],[Experience]]&gt;1</f>
        <v>1</v>
      </c>
      <c r="N4440" s="1" t="str">
        <f>IF(Employee__2[[#This Row],[City]]="Pune","Yes","No")</f>
        <v>No</v>
      </c>
      <c r="O4440" s="1" t="str">
        <f>IF(AND(Employee__2[[#This Row],[Education]]="Bachelors",Employee__2[[#This Row],[City]]="Pune"),"Yes","No")</f>
        <v>No</v>
      </c>
      <c r="P4440" s="1" t="str">
        <f>IF(OR(Employee__2[[#This Row],[Age]]&gt;=30,Employee__2[[#This Row],[Gender]]="Male"),"Mached","Not mached")</f>
        <v>Mached</v>
      </c>
    </row>
    <row r="4441" spans="4:16" x14ac:dyDescent="0.25">
      <c r="D4441" s="6" t="s">
        <v>34</v>
      </c>
      <c r="E4441">
        <v>2014</v>
      </c>
      <c r="F4441" s="6" t="s">
        <v>35</v>
      </c>
      <c r="G4441">
        <v>3</v>
      </c>
      <c r="H4441">
        <v>36</v>
      </c>
      <c r="I4441" s="6" t="s">
        <v>39</v>
      </c>
      <c r="J4441" s="6" t="s">
        <v>37</v>
      </c>
      <c r="K4441">
        <v>3</v>
      </c>
      <c r="M4441" s="1" t="b">
        <f>Employee__2[[#This Row],[Experience]]&gt;1</f>
        <v>1</v>
      </c>
      <c r="N4441" s="1" t="str">
        <f>IF(Employee__2[[#This Row],[City]]="Pune","Yes","No")</f>
        <v>No</v>
      </c>
      <c r="O4441" s="1" t="str">
        <f>IF(AND(Employee__2[[#This Row],[Education]]="Bachelors",Employee__2[[#This Row],[City]]="Pune"),"Yes","No")</f>
        <v>No</v>
      </c>
      <c r="P4441" s="1" t="str">
        <f>IF(OR(Employee__2[[#This Row],[Age]]&gt;=30,Employee__2[[#This Row],[Gender]]="Male"),"Mached","Not mached")</f>
        <v>Mached</v>
      </c>
    </row>
    <row r="4442" spans="4:16" x14ac:dyDescent="0.25">
      <c r="D4442" s="6" t="s">
        <v>34</v>
      </c>
      <c r="E4442">
        <v>2017</v>
      </c>
      <c r="F4442" s="6" t="s">
        <v>40</v>
      </c>
      <c r="G4442">
        <v>2</v>
      </c>
      <c r="H4442">
        <v>40</v>
      </c>
      <c r="I4442" s="6" t="s">
        <v>39</v>
      </c>
      <c r="J4442" s="6" t="s">
        <v>37</v>
      </c>
      <c r="K4442">
        <v>3</v>
      </c>
      <c r="M4442" s="1" t="b">
        <f>Employee__2[[#This Row],[Experience]]&gt;1</f>
        <v>1</v>
      </c>
      <c r="N4442" s="1" t="str">
        <f>IF(Employee__2[[#This Row],[City]]="Pune","Yes","No")</f>
        <v>No</v>
      </c>
      <c r="O4442" s="1" t="str">
        <f>IF(AND(Employee__2[[#This Row],[Education]]="Bachelors",Employee__2[[#This Row],[City]]="Pune"),"Yes","No")</f>
        <v>No</v>
      </c>
      <c r="P4442" s="1" t="str">
        <f>IF(OR(Employee__2[[#This Row],[Age]]&gt;=30,Employee__2[[#This Row],[Gender]]="Male"),"Mached","Not mached")</f>
        <v>Mached</v>
      </c>
    </row>
    <row r="4443" spans="4:16" x14ac:dyDescent="0.25">
      <c r="D4443" s="6" t="s">
        <v>34</v>
      </c>
      <c r="E4443">
        <v>2012</v>
      </c>
      <c r="F4443" s="6" t="s">
        <v>40</v>
      </c>
      <c r="G4443">
        <v>3</v>
      </c>
      <c r="H4443">
        <v>35</v>
      </c>
      <c r="I4443" s="6" t="s">
        <v>39</v>
      </c>
      <c r="J4443" s="6" t="s">
        <v>37</v>
      </c>
      <c r="K4443">
        <v>5</v>
      </c>
      <c r="M4443" s="1" t="b">
        <f>Employee__2[[#This Row],[Experience]]&gt;1</f>
        <v>1</v>
      </c>
      <c r="N4443" s="1" t="str">
        <f>IF(Employee__2[[#This Row],[City]]="Pune","Yes","No")</f>
        <v>No</v>
      </c>
      <c r="O4443" s="1" t="str">
        <f>IF(AND(Employee__2[[#This Row],[Education]]="Bachelors",Employee__2[[#This Row],[City]]="Pune"),"Yes","No")</f>
        <v>No</v>
      </c>
      <c r="P4443" s="1" t="str">
        <f>IF(OR(Employee__2[[#This Row],[Age]]&gt;=30,Employee__2[[#This Row],[Gender]]="Male"),"Mached","Not mached")</f>
        <v>Mached</v>
      </c>
    </row>
    <row r="4444" spans="4:16" x14ac:dyDescent="0.25">
      <c r="D4444" s="6" t="s">
        <v>34</v>
      </c>
      <c r="E4444">
        <v>2016</v>
      </c>
      <c r="F4444" s="6" t="s">
        <v>35</v>
      </c>
      <c r="G4444">
        <v>3</v>
      </c>
      <c r="H4444">
        <v>33</v>
      </c>
      <c r="I4444" s="6" t="s">
        <v>36</v>
      </c>
      <c r="J4444" s="6" t="s">
        <v>37</v>
      </c>
      <c r="K4444">
        <v>4</v>
      </c>
      <c r="M4444" s="1" t="b">
        <f>Employee__2[[#This Row],[Experience]]&gt;1</f>
        <v>1</v>
      </c>
      <c r="N4444" s="1" t="str">
        <f>IF(Employee__2[[#This Row],[City]]="Pune","Yes","No")</f>
        <v>No</v>
      </c>
      <c r="O4444" s="1" t="str">
        <f>IF(AND(Employee__2[[#This Row],[Education]]="Bachelors",Employee__2[[#This Row],[City]]="Pune"),"Yes","No")</f>
        <v>No</v>
      </c>
      <c r="P4444" s="1" t="str">
        <f>IF(OR(Employee__2[[#This Row],[Age]]&gt;=30,Employee__2[[#This Row],[Gender]]="Male"),"Mached","Not mached")</f>
        <v>Mached</v>
      </c>
    </row>
    <row r="4445" spans="4:16" x14ac:dyDescent="0.25">
      <c r="D4445" s="6" t="s">
        <v>43</v>
      </c>
      <c r="E4445">
        <v>2018</v>
      </c>
      <c r="F4445" s="6" t="s">
        <v>35</v>
      </c>
      <c r="G4445">
        <v>3</v>
      </c>
      <c r="H4445">
        <v>33</v>
      </c>
      <c r="I4445" s="6" t="s">
        <v>36</v>
      </c>
      <c r="J4445" s="6" t="s">
        <v>37</v>
      </c>
      <c r="K4445">
        <v>2</v>
      </c>
      <c r="M4445" s="1" t="b">
        <f>Employee__2[[#This Row],[Experience]]&gt;1</f>
        <v>1</v>
      </c>
      <c r="N4445" s="1" t="str">
        <f>IF(Employee__2[[#This Row],[City]]="Pune","Yes","No")</f>
        <v>No</v>
      </c>
      <c r="O4445" s="1" t="str">
        <f>IF(AND(Employee__2[[#This Row],[Education]]="Bachelors",Employee__2[[#This Row],[City]]="Pune"),"Yes","No")</f>
        <v>No</v>
      </c>
      <c r="P4445" s="1" t="str">
        <f>IF(OR(Employee__2[[#This Row],[Age]]&gt;=30,Employee__2[[#This Row],[Gender]]="Male"),"Mached","Not mached")</f>
        <v>Mached</v>
      </c>
    </row>
    <row r="4446" spans="4:16" x14ac:dyDescent="0.25">
      <c r="D4446" s="6" t="s">
        <v>34</v>
      </c>
      <c r="E4446">
        <v>2012</v>
      </c>
      <c r="F4446" s="6" t="s">
        <v>35</v>
      </c>
      <c r="G4446">
        <v>3</v>
      </c>
      <c r="H4446">
        <v>23</v>
      </c>
      <c r="I4446" s="6" t="s">
        <v>36</v>
      </c>
      <c r="J4446" s="6" t="s">
        <v>37</v>
      </c>
      <c r="K4446">
        <v>1</v>
      </c>
      <c r="M4446" s="1" t="b">
        <f>Employee__2[[#This Row],[Experience]]&gt;1</f>
        <v>0</v>
      </c>
      <c r="N4446" s="1" t="str">
        <f>IF(Employee__2[[#This Row],[City]]="Pune","Yes","No")</f>
        <v>No</v>
      </c>
      <c r="O4446" s="1" t="str">
        <f>IF(AND(Employee__2[[#This Row],[Education]]="Bachelors",Employee__2[[#This Row],[City]]="Pune"),"Yes","No")</f>
        <v>No</v>
      </c>
      <c r="P4446" s="1" t="str">
        <f>IF(OR(Employee__2[[#This Row],[Age]]&gt;=30,Employee__2[[#This Row],[Gender]]="Male"),"Mached","Not mached")</f>
        <v>Mached</v>
      </c>
    </row>
    <row r="4447" spans="4:16" x14ac:dyDescent="0.25">
      <c r="D4447" s="6" t="s">
        <v>34</v>
      </c>
      <c r="E4447">
        <v>2014</v>
      </c>
      <c r="F4447" s="6" t="s">
        <v>35</v>
      </c>
      <c r="G4447">
        <v>3</v>
      </c>
      <c r="H4447">
        <v>28</v>
      </c>
      <c r="I4447" s="6" t="s">
        <v>36</v>
      </c>
      <c r="J4447" s="6" t="s">
        <v>37</v>
      </c>
      <c r="K4447">
        <v>2</v>
      </c>
      <c r="M4447" s="1" t="b">
        <f>Employee__2[[#This Row],[Experience]]&gt;1</f>
        <v>1</v>
      </c>
      <c r="N4447" s="1" t="str">
        <f>IF(Employee__2[[#This Row],[City]]="Pune","Yes","No")</f>
        <v>No</v>
      </c>
      <c r="O4447" s="1" t="str">
        <f>IF(AND(Employee__2[[#This Row],[Education]]="Bachelors",Employee__2[[#This Row],[City]]="Pune"),"Yes","No")</f>
        <v>No</v>
      </c>
      <c r="P4447" s="1" t="str">
        <f>IF(OR(Employee__2[[#This Row],[Age]]&gt;=30,Employee__2[[#This Row],[Gender]]="Male"),"Mached","Not mached")</f>
        <v>Mached</v>
      </c>
    </row>
    <row r="4448" spans="4:16" x14ac:dyDescent="0.25">
      <c r="D4448" s="6" t="s">
        <v>34</v>
      </c>
      <c r="E4448">
        <v>2016</v>
      </c>
      <c r="F4448" s="6" t="s">
        <v>35</v>
      </c>
      <c r="G4448">
        <v>3</v>
      </c>
      <c r="H4448">
        <v>27</v>
      </c>
      <c r="I4448" s="6" t="s">
        <v>36</v>
      </c>
      <c r="J4448" s="6" t="s">
        <v>37</v>
      </c>
      <c r="K4448">
        <v>5</v>
      </c>
      <c r="M4448" s="1" t="b">
        <f>Employee__2[[#This Row],[Experience]]&gt;1</f>
        <v>1</v>
      </c>
      <c r="N4448" s="1" t="str">
        <f>IF(Employee__2[[#This Row],[City]]="Pune","Yes","No")</f>
        <v>No</v>
      </c>
      <c r="O4448" s="1" t="str">
        <f>IF(AND(Employee__2[[#This Row],[Education]]="Bachelors",Employee__2[[#This Row],[City]]="Pune"),"Yes","No")</f>
        <v>No</v>
      </c>
      <c r="P4448" s="1" t="str">
        <f>IF(OR(Employee__2[[#This Row],[Age]]&gt;=30,Employee__2[[#This Row],[Gender]]="Male"),"Mached","Not mached")</f>
        <v>Mached</v>
      </c>
    </row>
    <row r="4449" spans="4:16" x14ac:dyDescent="0.25">
      <c r="D4449" s="6" t="s">
        <v>34</v>
      </c>
      <c r="E4449">
        <v>2017</v>
      </c>
      <c r="F4449" s="6" t="s">
        <v>35</v>
      </c>
      <c r="G4449">
        <v>3</v>
      </c>
      <c r="H4449">
        <v>26</v>
      </c>
      <c r="I4449" s="6" t="s">
        <v>39</v>
      </c>
      <c r="J4449" s="6" t="s">
        <v>37</v>
      </c>
      <c r="K4449">
        <v>4</v>
      </c>
      <c r="M4449" s="1" t="b">
        <f>Employee__2[[#This Row],[Experience]]&gt;1</f>
        <v>1</v>
      </c>
      <c r="N4449" s="1" t="str">
        <f>IF(Employee__2[[#This Row],[City]]="Pune","Yes","No")</f>
        <v>No</v>
      </c>
      <c r="O4449" s="1" t="str">
        <f>IF(AND(Employee__2[[#This Row],[Education]]="Bachelors",Employee__2[[#This Row],[City]]="Pune"),"Yes","No")</f>
        <v>No</v>
      </c>
      <c r="P4449" s="1" t="str">
        <f>IF(OR(Employee__2[[#This Row],[Age]]&gt;=30,Employee__2[[#This Row],[Gender]]="Male"),"Mached","Not mached")</f>
        <v>Not mached</v>
      </c>
    </row>
    <row r="4450" spans="4:16" x14ac:dyDescent="0.25">
      <c r="D4450" s="6" t="s">
        <v>34</v>
      </c>
      <c r="E4450">
        <v>2014</v>
      </c>
      <c r="F4450" s="6" t="s">
        <v>35</v>
      </c>
      <c r="G4450">
        <v>3</v>
      </c>
      <c r="H4450">
        <v>33</v>
      </c>
      <c r="I4450" s="6" t="s">
        <v>36</v>
      </c>
      <c r="J4450" s="6" t="s">
        <v>37</v>
      </c>
      <c r="K4450">
        <v>3</v>
      </c>
      <c r="M4450" s="1" t="b">
        <f>Employee__2[[#This Row],[Experience]]&gt;1</f>
        <v>1</v>
      </c>
      <c r="N4450" s="1" t="str">
        <f>IF(Employee__2[[#This Row],[City]]="Pune","Yes","No")</f>
        <v>No</v>
      </c>
      <c r="O4450" s="1" t="str">
        <f>IF(AND(Employee__2[[#This Row],[Education]]="Bachelors",Employee__2[[#This Row],[City]]="Pune"),"Yes","No")</f>
        <v>No</v>
      </c>
      <c r="P4450" s="1" t="str">
        <f>IF(OR(Employee__2[[#This Row],[Age]]&gt;=30,Employee__2[[#This Row],[Gender]]="Male"),"Mached","Not mached")</f>
        <v>Mached</v>
      </c>
    </row>
    <row r="4451" spans="4:16" x14ac:dyDescent="0.25">
      <c r="D4451" s="6" t="s">
        <v>34</v>
      </c>
      <c r="E4451">
        <v>2016</v>
      </c>
      <c r="F4451" s="6" t="s">
        <v>35</v>
      </c>
      <c r="G4451">
        <v>3</v>
      </c>
      <c r="H4451">
        <v>35</v>
      </c>
      <c r="I4451" s="6" t="s">
        <v>36</v>
      </c>
      <c r="J4451" s="6" t="s">
        <v>37</v>
      </c>
      <c r="K4451">
        <v>3</v>
      </c>
      <c r="M4451" s="1" t="b">
        <f>Employee__2[[#This Row],[Experience]]&gt;1</f>
        <v>1</v>
      </c>
      <c r="N4451" s="1" t="str">
        <f>IF(Employee__2[[#This Row],[City]]="Pune","Yes","No")</f>
        <v>No</v>
      </c>
      <c r="O4451" s="1" t="str">
        <f>IF(AND(Employee__2[[#This Row],[Education]]="Bachelors",Employee__2[[#This Row],[City]]="Pune"),"Yes","No")</f>
        <v>No</v>
      </c>
      <c r="P4451" s="1" t="str">
        <f>IF(OR(Employee__2[[#This Row],[Age]]&gt;=30,Employee__2[[#This Row],[Gender]]="Male"),"Mached","Not mached")</f>
        <v>Mached</v>
      </c>
    </row>
    <row r="4452" spans="4:16" x14ac:dyDescent="0.25">
      <c r="D4452" s="6" t="s">
        <v>34</v>
      </c>
      <c r="E4452">
        <v>2013</v>
      </c>
      <c r="F4452" s="6" t="s">
        <v>35</v>
      </c>
      <c r="G4452">
        <v>3</v>
      </c>
      <c r="H4452">
        <v>33</v>
      </c>
      <c r="I4452" s="6" t="s">
        <v>36</v>
      </c>
      <c r="J4452" s="6" t="s">
        <v>37</v>
      </c>
      <c r="K4452">
        <v>3</v>
      </c>
      <c r="M4452" s="1" t="b">
        <f>Employee__2[[#This Row],[Experience]]&gt;1</f>
        <v>1</v>
      </c>
      <c r="N4452" s="1" t="str">
        <f>IF(Employee__2[[#This Row],[City]]="Pune","Yes","No")</f>
        <v>No</v>
      </c>
      <c r="O4452" s="1" t="str">
        <f>IF(AND(Employee__2[[#This Row],[Education]]="Bachelors",Employee__2[[#This Row],[City]]="Pune"),"Yes","No")</f>
        <v>No</v>
      </c>
      <c r="P4452" s="1" t="str">
        <f>IF(OR(Employee__2[[#This Row],[Age]]&gt;=30,Employee__2[[#This Row],[Gender]]="Male"),"Mached","Not mached")</f>
        <v>Mached</v>
      </c>
    </row>
    <row r="4453" spans="4:16" x14ac:dyDescent="0.25">
      <c r="D4453" s="6" t="s">
        <v>34</v>
      </c>
      <c r="E4453">
        <v>2013</v>
      </c>
      <c r="F4453" s="6" t="s">
        <v>38</v>
      </c>
      <c r="G4453">
        <v>3</v>
      </c>
      <c r="H4453">
        <v>36</v>
      </c>
      <c r="I4453" s="6" t="s">
        <v>39</v>
      </c>
      <c r="J4453" s="6" t="s">
        <v>37</v>
      </c>
      <c r="K4453">
        <v>0</v>
      </c>
      <c r="M4453" s="1" t="b">
        <f>Employee__2[[#This Row],[Experience]]&gt;1</f>
        <v>0</v>
      </c>
      <c r="N4453" s="1" t="str">
        <f>IF(Employee__2[[#This Row],[City]]="Pune","Yes","No")</f>
        <v>Yes</v>
      </c>
      <c r="O4453" s="1" t="str">
        <f>IF(AND(Employee__2[[#This Row],[Education]]="Bachelors",Employee__2[[#This Row],[City]]="Pune"),"Yes","No")</f>
        <v>Yes</v>
      </c>
      <c r="P4453" s="1" t="str">
        <f>IF(OR(Employee__2[[#This Row],[Age]]&gt;=30,Employee__2[[#This Row],[Gender]]="Male"),"Mached","Not mached")</f>
        <v>Mached</v>
      </c>
    </row>
    <row r="4454" spans="4:16" x14ac:dyDescent="0.25">
      <c r="D4454" s="6" t="s">
        <v>34</v>
      </c>
      <c r="E4454">
        <v>2015</v>
      </c>
      <c r="F4454" s="6" t="s">
        <v>40</v>
      </c>
      <c r="G4454">
        <v>3</v>
      </c>
      <c r="H4454">
        <v>26</v>
      </c>
      <c r="I4454" s="6" t="s">
        <v>36</v>
      </c>
      <c r="J4454" s="6" t="s">
        <v>37</v>
      </c>
      <c r="K4454">
        <v>4</v>
      </c>
      <c r="M4454" s="1" t="b">
        <f>Employee__2[[#This Row],[Experience]]&gt;1</f>
        <v>1</v>
      </c>
      <c r="N4454" s="1" t="str">
        <f>IF(Employee__2[[#This Row],[City]]="Pune","Yes","No")</f>
        <v>No</v>
      </c>
      <c r="O4454" s="1" t="str">
        <f>IF(AND(Employee__2[[#This Row],[Education]]="Bachelors",Employee__2[[#This Row],[City]]="Pune"),"Yes","No")</f>
        <v>No</v>
      </c>
      <c r="P4454" s="1" t="str">
        <f>IF(OR(Employee__2[[#This Row],[Age]]&gt;=30,Employee__2[[#This Row],[Gender]]="Male"),"Mached","Not mached")</f>
        <v>Mached</v>
      </c>
    </row>
    <row r="4455" spans="4:16" x14ac:dyDescent="0.25">
      <c r="D4455" s="6" t="s">
        <v>34</v>
      </c>
      <c r="E4455">
        <v>2012</v>
      </c>
      <c r="F4455" s="6" t="s">
        <v>35</v>
      </c>
      <c r="G4455">
        <v>3</v>
      </c>
      <c r="H4455">
        <v>26</v>
      </c>
      <c r="I4455" s="6" t="s">
        <v>36</v>
      </c>
      <c r="J4455" s="6" t="s">
        <v>37</v>
      </c>
      <c r="K4455">
        <v>4</v>
      </c>
      <c r="M4455" s="1" t="b">
        <f>Employee__2[[#This Row],[Experience]]&gt;1</f>
        <v>1</v>
      </c>
      <c r="N4455" s="1" t="str">
        <f>IF(Employee__2[[#This Row],[City]]="Pune","Yes","No")</f>
        <v>No</v>
      </c>
      <c r="O4455" s="1" t="str">
        <f>IF(AND(Employee__2[[#This Row],[Education]]="Bachelors",Employee__2[[#This Row],[City]]="Pune"),"Yes","No")</f>
        <v>No</v>
      </c>
      <c r="P4455" s="1" t="str">
        <f>IF(OR(Employee__2[[#This Row],[Age]]&gt;=30,Employee__2[[#This Row],[Gender]]="Male"),"Mached","Not mached")</f>
        <v>Mached</v>
      </c>
    </row>
    <row r="4456" spans="4:16" x14ac:dyDescent="0.25">
      <c r="D4456" s="6" t="s">
        <v>34</v>
      </c>
      <c r="E4456">
        <v>2014</v>
      </c>
      <c r="F4456" s="6" t="s">
        <v>35</v>
      </c>
      <c r="G4456">
        <v>3</v>
      </c>
      <c r="H4456">
        <v>39</v>
      </c>
      <c r="I4456" s="6" t="s">
        <v>39</v>
      </c>
      <c r="J4456" s="6" t="s">
        <v>37</v>
      </c>
      <c r="K4456">
        <v>5</v>
      </c>
      <c r="M4456" s="1" t="b">
        <f>Employee__2[[#This Row],[Experience]]&gt;1</f>
        <v>1</v>
      </c>
      <c r="N4456" s="1" t="str">
        <f>IF(Employee__2[[#This Row],[City]]="Pune","Yes","No")</f>
        <v>No</v>
      </c>
      <c r="O4456" s="1" t="str">
        <f>IF(AND(Employee__2[[#This Row],[Education]]="Bachelors",Employee__2[[#This Row],[City]]="Pune"),"Yes","No")</f>
        <v>No</v>
      </c>
      <c r="P4456" s="1" t="str">
        <f>IF(OR(Employee__2[[#This Row],[Age]]&gt;=30,Employee__2[[#This Row],[Gender]]="Male"),"Mached","Not mached")</f>
        <v>Mached</v>
      </c>
    </row>
    <row r="4457" spans="4:16" x14ac:dyDescent="0.25">
      <c r="D4457" s="6" t="s">
        <v>34</v>
      </c>
      <c r="E4457">
        <v>2013</v>
      </c>
      <c r="F4457" s="6" t="s">
        <v>35</v>
      </c>
      <c r="G4457">
        <v>3</v>
      </c>
      <c r="H4457">
        <v>28</v>
      </c>
      <c r="I4457" s="6" t="s">
        <v>36</v>
      </c>
      <c r="J4457" s="6" t="s">
        <v>37</v>
      </c>
      <c r="K4457">
        <v>5</v>
      </c>
      <c r="M4457" s="1" t="b">
        <f>Employee__2[[#This Row],[Experience]]&gt;1</f>
        <v>1</v>
      </c>
      <c r="N4457" s="1" t="str">
        <f>IF(Employee__2[[#This Row],[City]]="Pune","Yes","No")</f>
        <v>No</v>
      </c>
      <c r="O4457" s="1" t="str">
        <f>IF(AND(Employee__2[[#This Row],[Education]]="Bachelors",Employee__2[[#This Row],[City]]="Pune"),"Yes","No")</f>
        <v>No</v>
      </c>
      <c r="P4457" s="1" t="str">
        <f>IF(OR(Employee__2[[#This Row],[Age]]&gt;=30,Employee__2[[#This Row],[Gender]]="Male"),"Mached","Not mached")</f>
        <v>Mached</v>
      </c>
    </row>
    <row r="4458" spans="4:16" x14ac:dyDescent="0.25">
      <c r="D4458" s="6" t="s">
        <v>34</v>
      </c>
      <c r="E4458">
        <v>2018</v>
      </c>
      <c r="F4458" s="6" t="s">
        <v>35</v>
      </c>
      <c r="G4458">
        <v>3</v>
      </c>
      <c r="H4458">
        <v>24</v>
      </c>
      <c r="I4458" s="6" t="s">
        <v>36</v>
      </c>
      <c r="J4458" s="6" t="s">
        <v>37</v>
      </c>
      <c r="K4458">
        <v>2</v>
      </c>
      <c r="M4458" s="1" t="b">
        <f>Employee__2[[#This Row],[Experience]]&gt;1</f>
        <v>1</v>
      </c>
      <c r="N4458" s="1" t="str">
        <f>IF(Employee__2[[#This Row],[City]]="Pune","Yes","No")</f>
        <v>No</v>
      </c>
      <c r="O4458" s="1" t="str">
        <f>IF(AND(Employee__2[[#This Row],[Education]]="Bachelors",Employee__2[[#This Row],[City]]="Pune"),"Yes","No")</f>
        <v>No</v>
      </c>
      <c r="P4458" s="1" t="str">
        <f>IF(OR(Employee__2[[#This Row],[Age]]&gt;=30,Employee__2[[#This Row],[Gender]]="Male"),"Mached","Not mached")</f>
        <v>Mached</v>
      </c>
    </row>
    <row r="4459" spans="4:16" x14ac:dyDescent="0.25">
      <c r="D4459" s="6" t="s">
        <v>34</v>
      </c>
      <c r="E4459">
        <v>2012</v>
      </c>
      <c r="F4459" s="6" t="s">
        <v>35</v>
      </c>
      <c r="G4459">
        <v>3</v>
      </c>
      <c r="H4459">
        <v>36</v>
      </c>
      <c r="I4459" s="6" t="s">
        <v>39</v>
      </c>
      <c r="J4459" s="6" t="s">
        <v>37</v>
      </c>
      <c r="K4459">
        <v>4</v>
      </c>
      <c r="M4459" s="1" t="b">
        <f>Employee__2[[#This Row],[Experience]]&gt;1</f>
        <v>1</v>
      </c>
      <c r="N4459" s="1" t="str">
        <f>IF(Employee__2[[#This Row],[City]]="Pune","Yes","No")</f>
        <v>No</v>
      </c>
      <c r="O4459" s="1" t="str">
        <f>IF(AND(Employee__2[[#This Row],[Education]]="Bachelors",Employee__2[[#This Row],[City]]="Pune"),"Yes","No")</f>
        <v>No</v>
      </c>
      <c r="P4459" s="1" t="str">
        <f>IF(OR(Employee__2[[#This Row],[Age]]&gt;=30,Employee__2[[#This Row],[Gender]]="Male"),"Mached","Not mached")</f>
        <v>Mached</v>
      </c>
    </row>
    <row r="4460" spans="4:16" x14ac:dyDescent="0.25">
      <c r="D4460" s="6" t="s">
        <v>34</v>
      </c>
      <c r="E4460">
        <v>2016</v>
      </c>
      <c r="F4460" s="6" t="s">
        <v>35</v>
      </c>
      <c r="G4460">
        <v>3</v>
      </c>
      <c r="H4460">
        <v>33</v>
      </c>
      <c r="I4460" s="6" t="s">
        <v>36</v>
      </c>
      <c r="J4460" s="6" t="s">
        <v>37</v>
      </c>
      <c r="K4460">
        <v>0</v>
      </c>
      <c r="M4460" s="1" t="b">
        <f>Employee__2[[#This Row],[Experience]]&gt;1</f>
        <v>0</v>
      </c>
      <c r="N4460" s="1" t="str">
        <f>IF(Employee__2[[#This Row],[City]]="Pune","Yes","No")</f>
        <v>No</v>
      </c>
      <c r="O4460" s="1" t="str">
        <f>IF(AND(Employee__2[[#This Row],[Education]]="Bachelors",Employee__2[[#This Row],[City]]="Pune"),"Yes","No")</f>
        <v>No</v>
      </c>
      <c r="P4460" s="1" t="str">
        <f>IF(OR(Employee__2[[#This Row],[Age]]&gt;=30,Employee__2[[#This Row],[Gender]]="Male"),"Mached","Not mached")</f>
        <v>Mached</v>
      </c>
    </row>
    <row r="4461" spans="4:16" x14ac:dyDescent="0.25">
      <c r="D4461" s="6" t="s">
        <v>34</v>
      </c>
      <c r="E4461">
        <v>2013</v>
      </c>
      <c r="F4461" s="6" t="s">
        <v>38</v>
      </c>
      <c r="G4461">
        <v>1</v>
      </c>
      <c r="H4461">
        <v>33</v>
      </c>
      <c r="I4461" s="6" t="s">
        <v>39</v>
      </c>
      <c r="J4461" s="6" t="s">
        <v>37</v>
      </c>
      <c r="K4461">
        <v>0</v>
      </c>
      <c r="M4461" s="1" t="b">
        <f>Employee__2[[#This Row],[Experience]]&gt;1</f>
        <v>0</v>
      </c>
      <c r="N4461" s="1" t="str">
        <f>IF(Employee__2[[#This Row],[City]]="Pune","Yes","No")</f>
        <v>Yes</v>
      </c>
      <c r="O4461" s="1" t="str">
        <f>IF(AND(Employee__2[[#This Row],[Education]]="Bachelors",Employee__2[[#This Row],[City]]="Pune"),"Yes","No")</f>
        <v>Yes</v>
      </c>
      <c r="P4461" s="1" t="str">
        <f>IF(OR(Employee__2[[#This Row],[Age]]&gt;=30,Employee__2[[#This Row],[Gender]]="Male"),"Mached","Not mached")</f>
        <v>Mached</v>
      </c>
    </row>
    <row r="4462" spans="4:16" x14ac:dyDescent="0.25">
      <c r="D4462" s="6" t="s">
        <v>41</v>
      </c>
      <c r="E4462">
        <v>2017</v>
      </c>
      <c r="F4462" s="6" t="s">
        <v>38</v>
      </c>
      <c r="G4462">
        <v>2</v>
      </c>
      <c r="H4462">
        <v>30</v>
      </c>
      <c r="I4462" s="6" t="s">
        <v>36</v>
      </c>
      <c r="J4462" s="6" t="s">
        <v>42</v>
      </c>
      <c r="K4462">
        <v>2</v>
      </c>
      <c r="M4462" s="1" t="b">
        <f>Employee__2[[#This Row],[Experience]]&gt;1</f>
        <v>1</v>
      </c>
      <c r="N4462" s="1" t="str">
        <f>IF(Employee__2[[#This Row],[City]]="Pune","Yes","No")</f>
        <v>Yes</v>
      </c>
      <c r="O4462" s="1" t="str">
        <f>IF(AND(Employee__2[[#This Row],[Education]]="Bachelors",Employee__2[[#This Row],[City]]="Pune"),"Yes","No")</f>
        <v>No</v>
      </c>
      <c r="P4462" s="1" t="str">
        <f>IF(OR(Employee__2[[#This Row],[Age]]&gt;=30,Employee__2[[#This Row],[Gender]]="Male"),"Mached","Not mached")</f>
        <v>Mached</v>
      </c>
    </row>
    <row r="4463" spans="4:16" x14ac:dyDescent="0.25">
      <c r="D4463" s="6" t="s">
        <v>41</v>
      </c>
      <c r="E4463">
        <v>2012</v>
      </c>
      <c r="F4463" s="6" t="s">
        <v>40</v>
      </c>
      <c r="G4463">
        <v>3</v>
      </c>
      <c r="H4463">
        <v>27</v>
      </c>
      <c r="I4463" s="6" t="s">
        <v>36</v>
      </c>
      <c r="J4463" s="6" t="s">
        <v>37</v>
      </c>
      <c r="K4463">
        <v>5</v>
      </c>
      <c r="M4463" s="1" t="b">
        <f>Employee__2[[#This Row],[Experience]]&gt;1</f>
        <v>1</v>
      </c>
      <c r="N4463" s="1" t="str">
        <f>IF(Employee__2[[#This Row],[City]]="Pune","Yes","No")</f>
        <v>No</v>
      </c>
      <c r="O4463" s="1" t="str">
        <f>IF(AND(Employee__2[[#This Row],[Education]]="Bachelors",Employee__2[[#This Row],[City]]="Pune"),"Yes","No")</f>
        <v>No</v>
      </c>
      <c r="P4463" s="1" t="str">
        <f>IF(OR(Employee__2[[#This Row],[Age]]&gt;=30,Employee__2[[#This Row],[Gender]]="Male"),"Mached","Not mached")</f>
        <v>Mached</v>
      </c>
    </row>
    <row r="4464" spans="4:16" x14ac:dyDescent="0.25">
      <c r="D4464" s="6" t="s">
        <v>34</v>
      </c>
      <c r="E4464">
        <v>2015</v>
      </c>
      <c r="F4464" s="6" t="s">
        <v>35</v>
      </c>
      <c r="G4464">
        <v>3</v>
      </c>
      <c r="H4464">
        <v>33</v>
      </c>
      <c r="I4464" s="6" t="s">
        <v>36</v>
      </c>
      <c r="J4464" s="6" t="s">
        <v>42</v>
      </c>
      <c r="K4464">
        <v>4</v>
      </c>
      <c r="M4464" s="1" t="b">
        <f>Employee__2[[#This Row],[Experience]]&gt;1</f>
        <v>1</v>
      </c>
      <c r="N4464" s="1" t="str">
        <f>IF(Employee__2[[#This Row],[City]]="Pune","Yes","No")</f>
        <v>No</v>
      </c>
      <c r="O4464" s="1" t="str">
        <f>IF(AND(Employee__2[[#This Row],[Education]]="Bachelors",Employee__2[[#This Row],[City]]="Pune"),"Yes","No")</f>
        <v>No</v>
      </c>
      <c r="P4464" s="1" t="str">
        <f>IF(OR(Employee__2[[#This Row],[Age]]&gt;=30,Employee__2[[#This Row],[Gender]]="Male"),"Mached","Not mached")</f>
        <v>Mached</v>
      </c>
    </row>
    <row r="4465" spans="4:16" x14ac:dyDescent="0.25">
      <c r="D4465" s="6" t="s">
        <v>34</v>
      </c>
      <c r="E4465">
        <v>2016</v>
      </c>
      <c r="F4465" s="6" t="s">
        <v>38</v>
      </c>
      <c r="G4465">
        <v>2</v>
      </c>
      <c r="H4465">
        <v>35</v>
      </c>
      <c r="I4465" s="6" t="s">
        <v>39</v>
      </c>
      <c r="J4465" s="6" t="s">
        <v>37</v>
      </c>
      <c r="K4465">
        <v>4</v>
      </c>
      <c r="M4465" s="1" t="b">
        <f>Employee__2[[#This Row],[Experience]]&gt;1</f>
        <v>1</v>
      </c>
      <c r="N4465" s="1" t="str">
        <f>IF(Employee__2[[#This Row],[City]]="Pune","Yes","No")</f>
        <v>Yes</v>
      </c>
      <c r="O4465" s="1" t="str">
        <f>IF(AND(Employee__2[[#This Row],[Education]]="Bachelors",Employee__2[[#This Row],[City]]="Pune"),"Yes","No")</f>
        <v>Yes</v>
      </c>
      <c r="P4465" s="1" t="str">
        <f>IF(OR(Employee__2[[#This Row],[Age]]&gt;=30,Employee__2[[#This Row],[Gender]]="Male"),"Mached","Not mached")</f>
        <v>Mached</v>
      </c>
    </row>
    <row r="4466" spans="4:16" x14ac:dyDescent="0.25">
      <c r="D4466" s="6" t="s">
        <v>34</v>
      </c>
      <c r="E4466">
        <v>2014</v>
      </c>
      <c r="F4466" s="6" t="s">
        <v>38</v>
      </c>
      <c r="G4466">
        <v>2</v>
      </c>
      <c r="H4466">
        <v>40</v>
      </c>
      <c r="I4466" s="6" t="s">
        <v>39</v>
      </c>
      <c r="J4466" s="6" t="s">
        <v>37</v>
      </c>
      <c r="K4466">
        <v>0</v>
      </c>
      <c r="M4466" s="1" t="b">
        <f>Employee__2[[#This Row],[Experience]]&gt;1</f>
        <v>0</v>
      </c>
      <c r="N4466" s="1" t="str">
        <f>IF(Employee__2[[#This Row],[City]]="Pune","Yes","No")</f>
        <v>Yes</v>
      </c>
      <c r="O4466" s="1" t="str">
        <f>IF(AND(Employee__2[[#This Row],[Education]]="Bachelors",Employee__2[[#This Row],[City]]="Pune"),"Yes","No")</f>
        <v>Yes</v>
      </c>
      <c r="P4466" s="1" t="str">
        <f>IF(OR(Employee__2[[#This Row],[Age]]&gt;=30,Employee__2[[#This Row],[Gender]]="Male"),"Mached","Not mached")</f>
        <v>Mached</v>
      </c>
    </row>
    <row r="4467" spans="4:16" x14ac:dyDescent="0.25">
      <c r="D4467" s="6" t="s">
        <v>34</v>
      </c>
      <c r="E4467">
        <v>2017</v>
      </c>
      <c r="F4467" s="6" t="s">
        <v>38</v>
      </c>
      <c r="G4467">
        <v>2</v>
      </c>
      <c r="H4467">
        <v>25</v>
      </c>
      <c r="I4467" s="6" t="s">
        <v>36</v>
      </c>
      <c r="J4467" s="6" t="s">
        <v>37</v>
      </c>
      <c r="K4467">
        <v>3</v>
      </c>
      <c r="M4467" s="1" t="b">
        <f>Employee__2[[#This Row],[Experience]]&gt;1</f>
        <v>1</v>
      </c>
      <c r="N4467" s="1" t="str">
        <f>IF(Employee__2[[#This Row],[City]]="Pune","Yes","No")</f>
        <v>Yes</v>
      </c>
      <c r="O4467" s="1" t="str">
        <f>IF(AND(Employee__2[[#This Row],[Education]]="Bachelors",Employee__2[[#This Row],[City]]="Pune"),"Yes","No")</f>
        <v>Yes</v>
      </c>
      <c r="P4467" s="1" t="str">
        <f>IF(OR(Employee__2[[#This Row],[Age]]&gt;=30,Employee__2[[#This Row],[Gender]]="Male"),"Mached","Not mached")</f>
        <v>Mached</v>
      </c>
    </row>
    <row r="4468" spans="4:16" x14ac:dyDescent="0.25">
      <c r="D4468" s="6" t="s">
        <v>34</v>
      </c>
      <c r="E4468">
        <v>2014</v>
      </c>
      <c r="F4468" s="6" t="s">
        <v>35</v>
      </c>
      <c r="G4468">
        <v>3</v>
      </c>
      <c r="H4468">
        <v>38</v>
      </c>
      <c r="I4468" s="6" t="s">
        <v>36</v>
      </c>
      <c r="J4468" s="6" t="s">
        <v>37</v>
      </c>
      <c r="K4468">
        <v>2</v>
      </c>
      <c r="M4468" s="1" t="b">
        <f>Employee__2[[#This Row],[Experience]]&gt;1</f>
        <v>1</v>
      </c>
      <c r="N4468" s="1" t="str">
        <f>IF(Employee__2[[#This Row],[City]]="Pune","Yes","No")</f>
        <v>No</v>
      </c>
      <c r="O4468" s="1" t="str">
        <f>IF(AND(Employee__2[[#This Row],[Education]]="Bachelors",Employee__2[[#This Row],[City]]="Pune"),"Yes","No")</f>
        <v>No</v>
      </c>
      <c r="P4468" s="1" t="str">
        <f>IF(OR(Employee__2[[#This Row],[Age]]&gt;=30,Employee__2[[#This Row],[Gender]]="Male"),"Mached","Not mached")</f>
        <v>Mached</v>
      </c>
    </row>
    <row r="4469" spans="4:16" x14ac:dyDescent="0.25">
      <c r="D4469" s="6" t="s">
        <v>34</v>
      </c>
      <c r="E4469">
        <v>2017</v>
      </c>
      <c r="F4469" s="6" t="s">
        <v>40</v>
      </c>
      <c r="G4469">
        <v>2</v>
      </c>
      <c r="H4469">
        <v>40</v>
      </c>
      <c r="I4469" s="6" t="s">
        <v>36</v>
      </c>
      <c r="J4469" s="6" t="s">
        <v>37</v>
      </c>
      <c r="K4469">
        <v>5</v>
      </c>
      <c r="M4469" s="1" t="b">
        <f>Employee__2[[#This Row],[Experience]]&gt;1</f>
        <v>1</v>
      </c>
      <c r="N4469" s="1" t="str">
        <f>IF(Employee__2[[#This Row],[City]]="Pune","Yes","No")</f>
        <v>No</v>
      </c>
      <c r="O4469" s="1" t="str">
        <f>IF(AND(Employee__2[[#This Row],[Education]]="Bachelors",Employee__2[[#This Row],[City]]="Pune"),"Yes","No")</f>
        <v>No</v>
      </c>
      <c r="P4469" s="1" t="str">
        <f>IF(OR(Employee__2[[#This Row],[Age]]&gt;=30,Employee__2[[#This Row],[Gender]]="Male"),"Mached","Not mached")</f>
        <v>Mached</v>
      </c>
    </row>
    <row r="4470" spans="4:16" x14ac:dyDescent="0.25">
      <c r="D4470" s="6" t="s">
        <v>34</v>
      </c>
      <c r="E4470">
        <v>2014</v>
      </c>
      <c r="F4470" s="6" t="s">
        <v>35</v>
      </c>
      <c r="G4470">
        <v>3</v>
      </c>
      <c r="H4470">
        <v>29</v>
      </c>
      <c r="I4470" s="6" t="s">
        <v>36</v>
      </c>
      <c r="J4470" s="6" t="s">
        <v>42</v>
      </c>
      <c r="K4470">
        <v>0</v>
      </c>
      <c r="M4470" s="1" t="b">
        <f>Employee__2[[#This Row],[Experience]]&gt;1</f>
        <v>0</v>
      </c>
      <c r="N4470" s="1" t="str">
        <f>IF(Employee__2[[#This Row],[City]]="Pune","Yes","No")</f>
        <v>No</v>
      </c>
      <c r="O4470" s="1" t="str">
        <f>IF(AND(Employee__2[[#This Row],[Education]]="Bachelors",Employee__2[[#This Row],[City]]="Pune"),"Yes","No")</f>
        <v>No</v>
      </c>
      <c r="P4470" s="1" t="str">
        <f>IF(OR(Employee__2[[#This Row],[Age]]&gt;=30,Employee__2[[#This Row],[Gender]]="Male"),"Mached","Not mached")</f>
        <v>Mached</v>
      </c>
    </row>
    <row r="4471" spans="4:16" x14ac:dyDescent="0.25">
      <c r="D4471" s="6" t="s">
        <v>34</v>
      </c>
      <c r="E4471">
        <v>2012</v>
      </c>
      <c r="F4471" s="6" t="s">
        <v>35</v>
      </c>
      <c r="G4471">
        <v>3</v>
      </c>
      <c r="H4471">
        <v>27</v>
      </c>
      <c r="I4471" s="6" t="s">
        <v>36</v>
      </c>
      <c r="J4471" s="6" t="s">
        <v>37</v>
      </c>
      <c r="K4471">
        <v>5</v>
      </c>
      <c r="M4471" s="1" t="b">
        <f>Employee__2[[#This Row],[Experience]]&gt;1</f>
        <v>1</v>
      </c>
      <c r="N4471" s="1" t="str">
        <f>IF(Employee__2[[#This Row],[City]]="Pune","Yes","No")</f>
        <v>No</v>
      </c>
      <c r="O4471" s="1" t="str">
        <f>IF(AND(Employee__2[[#This Row],[Education]]="Bachelors",Employee__2[[#This Row],[City]]="Pune"),"Yes","No")</f>
        <v>No</v>
      </c>
      <c r="P4471" s="1" t="str">
        <f>IF(OR(Employee__2[[#This Row],[Age]]&gt;=30,Employee__2[[#This Row],[Gender]]="Male"),"Mached","Not mached")</f>
        <v>Mached</v>
      </c>
    </row>
    <row r="4472" spans="4:16" x14ac:dyDescent="0.25">
      <c r="D4472" s="6" t="s">
        <v>34</v>
      </c>
      <c r="E4472">
        <v>2015</v>
      </c>
      <c r="F4472" s="6" t="s">
        <v>35</v>
      </c>
      <c r="G4472">
        <v>3</v>
      </c>
      <c r="H4472">
        <v>40</v>
      </c>
      <c r="I4472" s="6" t="s">
        <v>36</v>
      </c>
      <c r="J4472" s="6" t="s">
        <v>37</v>
      </c>
      <c r="K4472">
        <v>4</v>
      </c>
      <c r="M4472" s="1" t="b">
        <f>Employee__2[[#This Row],[Experience]]&gt;1</f>
        <v>1</v>
      </c>
      <c r="N4472" s="1" t="str">
        <f>IF(Employee__2[[#This Row],[City]]="Pune","Yes","No")</f>
        <v>No</v>
      </c>
      <c r="O4472" s="1" t="str">
        <f>IF(AND(Employee__2[[#This Row],[Education]]="Bachelors",Employee__2[[#This Row],[City]]="Pune"),"Yes","No")</f>
        <v>No</v>
      </c>
      <c r="P4472" s="1" t="str">
        <f>IF(OR(Employee__2[[#This Row],[Age]]&gt;=30,Employee__2[[#This Row],[Gender]]="Male"),"Mached","Not mached")</f>
        <v>Mached</v>
      </c>
    </row>
    <row r="4473" spans="4:16" x14ac:dyDescent="0.25">
      <c r="D4473" s="6" t="s">
        <v>41</v>
      </c>
      <c r="E4473">
        <v>2017</v>
      </c>
      <c r="F4473" s="6" t="s">
        <v>40</v>
      </c>
      <c r="G4473">
        <v>2</v>
      </c>
      <c r="H4473">
        <v>25</v>
      </c>
      <c r="I4473" s="6" t="s">
        <v>39</v>
      </c>
      <c r="J4473" s="6" t="s">
        <v>37</v>
      </c>
      <c r="K4473">
        <v>3</v>
      </c>
      <c r="M4473" s="1" t="b">
        <f>Employee__2[[#This Row],[Experience]]&gt;1</f>
        <v>1</v>
      </c>
      <c r="N4473" s="1" t="str">
        <f>IF(Employee__2[[#This Row],[City]]="Pune","Yes","No")</f>
        <v>No</v>
      </c>
      <c r="O4473" s="1" t="str">
        <f>IF(AND(Employee__2[[#This Row],[Education]]="Bachelors",Employee__2[[#This Row],[City]]="Pune"),"Yes","No")</f>
        <v>No</v>
      </c>
      <c r="P4473" s="1" t="str">
        <f>IF(OR(Employee__2[[#This Row],[Age]]&gt;=30,Employee__2[[#This Row],[Gender]]="Male"),"Mached","Not mached")</f>
        <v>Not mached</v>
      </c>
    </row>
    <row r="4474" spans="4:16" x14ac:dyDescent="0.25">
      <c r="D4474" s="6" t="s">
        <v>34</v>
      </c>
      <c r="E4474">
        <v>2016</v>
      </c>
      <c r="F4474" s="6" t="s">
        <v>38</v>
      </c>
      <c r="G4474">
        <v>2</v>
      </c>
      <c r="H4474">
        <v>39</v>
      </c>
      <c r="I4474" s="6" t="s">
        <v>39</v>
      </c>
      <c r="J4474" s="6" t="s">
        <v>37</v>
      </c>
      <c r="K4474">
        <v>3</v>
      </c>
      <c r="M4474" s="1" t="b">
        <f>Employee__2[[#This Row],[Experience]]&gt;1</f>
        <v>1</v>
      </c>
      <c r="N4474" s="1" t="str">
        <f>IF(Employee__2[[#This Row],[City]]="Pune","Yes","No")</f>
        <v>Yes</v>
      </c>
      <c r="O4474" s="1" t="str">
        <f>IF(AND(Employee__2[[#This Row],[Education]]="Bachelors",Employee__2[[#This Row],[City]]="Pune"),"Yes","No")</f>
        <v>Yes</v>
      </c>
      <c r="P4474" s="1" t="str">
        <f>IF(OR(Employee__2[[#This Row],[Age]]&gt;=30,Employee__2[[#This Row],[Gender]]="Male"),"Mached","Not mached")</f>
        <v>Mached</v>
      </c>
    </row>
    <row r="4475" spans="4:16" x14ac:dyDescent="0.25">
      <c r="D4475" s="6" t="s">
        <v>34</v>
      </c>
      <c r="E4475">
        <v>2017</v>
      </c>
      <c r="F4475" s="6" t="s">
        <v>40</v>
      </c>
      <c r="G4475">
        <v>2</v>
      </c>
      <c r="H4475">
        <v>22</v>
      </c>
      <c r="I4475" s="6" t="s">
        <v>36</v>
      </c>
      <c r="J4475" s="6" t="s">
        <v>37</v>
      </c>
      <c r="K4475">
        <v>0</v>
      </c>
      <c r="M4475" s="1" t="b">
        <f>Employee__2[[#This Row],[Experience]]&gt;1</f>
        <v>0</v>
      </c>
      <c r="N4475" s="1" t="str">
        <f>IF(Employee__2[[#This Row],[City]]="Pune","Yes","No")</f>
        <v>No</v>
      </c>
      <c r="O4475" s="1" t="str">
        <f>IF(AND(Employee__2[[#This Row],[Education]]="Bachelors",Employee__2[[#This Row],[City]]="Pune"),"Yes","No")</f>
        <v>No</v>
      </c>
      <c r="P4475" s="1" t="str">
        <f>IF(OR(Employee__2[[#This Row],[Age]]&gt;=30,Employee__2[[#This Row],[Gender]]="Male"),"Mached","Not mached")</f>
        <v>Mached</v>
      </c>
    </row>
    <row r="4476" spans="4:16" x14ac:dyDescent="0.25">
      <c r="D4476" s="6" t="s">
        <v>43</v>
      </c>
      <c r="E4476">
        <v>2015</v>
      </c>
      <c r="F4476" s="6" t="s">
        <v>38</v>
      </c>
      <c r="G4476">
        <v>2</v>
      </c>
      <c r="H4476">
        <v>35</v>
      </c>
      <c r="I4476" s="6" t="s">
        <v>39</v>
      </c>
      <c r="J4476" s="6" t="s">
        <v>37</v>
      </c>
      <c r="K4476">
        <v>0</v>
      </c>
      <c r="M4476" s="1" t="b">
        <f>Employee__2[[#This Row],[Experience]]&gt;1</f>
        <v>0</v>
      </c>
      <c r="N4476" s="1" t="str">
        <f>IF(Employee__2[[#This Row],[City]]="Pune","Yes","No")</f>
        <v>Yes</v>
      </c>
      <c r="O4476" s="1" t="str">
        <f>IF(AND(Employee__2[[#This Row],[Education]]="Bachelors",Employee__2[[#This Row],[City]]="Pune"),"Yes","No")</f>
        <v>No</v>
      </c>
      <c r="P4476" s="1" t="str">
        <f>IF(OR(Employee__2[[#This Row],[Age]]&gt;=30,Employee__2[[#This Row],[Gender]]="Male"),"Mached","Not mached")</f>
        <v>Mached</v>
      </c>
    </row>
    <row r="4477" spans="4:16" x14ac:dyDescent="0.25">
      <c r="D4477" s="6" t="s">
        <v>34</v>
      </c>
      <c r="E4477">
        <v>2012</v>
      </c>
      <c r="F4477" s="6" t="s">
        <v>35</v>
      </c>
      <c r="G4477">
        <v>3</v>
      </c>
      <c r="H4477">
        <v>25</v>
      </c>
      <c r="I4477" s="6" t="s">
        <v>36</v>
      </c>
      <c r="J4477" s="6" t="s">
        <v>37</v>
      </c>
      <c r="K4477">
        <v>3</v>
      </c>
      <c r="M4477" s="1" t="b">
        <f>Employee__2[[#This Row],[Experience]]&gt;1</f>
        <v>1</v>
      </c>
      <c r="N4477" s="1" t="str">
        <f>IF(Employee__2[[#This Row],[City]]="Pune","Yes","No")</f>
        <v>No</v>
      </c>
      <c r="O4477" s="1" t="str">
        <f>IF(AND(Employee__2[[#This Row],[Education]]="Bachelors",Employee__2[[#This Row],[City]]="Pune"),"Yes","No")</f>
        <v>No</v>
      </c>
      <c r="P4477" s="1" t="str">
        <f>IF(OR(Employee__2[[#This Row],[Age]]&gt;=30,Employee__2[[#This Row],[Gender]]="Male"),"Mached","Not mached")</f>
        <v>Mached</v>
      </c>
    </row>
    <row r="4478" spans="4:16" x14ac:dyDescent="0.25">
      <c r="D4478" s="6" t="s">
        <v>34</v>
      </c>
      <c r="E4478">
        <v>2014</v>
      </c>
      <c r="F4478" s="6" t="s">
        <v>40</v>
      </c>
      <c r="G4478">
        <v>2</v>
      </c>
      <c r="H4478">
        <v>25</v>
      </c>
      <c r="I4478" s="6" t="s">
        <v>39</v>
      </c>
      <c r="J4478" s="6" t="s">
        <v>37</v>
      </c>
      <c r="K4478">
        <v>3</v>
      </c>
      <c r="M4478" s="1" t="b">
        <f>Employee__2[[#This Row],[Experience]]&gt;1</f>
        <v>1</v>
      </c>
      <c r="N4478" s="1" t="str">
        <f>IF(Employee__2[[#This Row],[City]]="Pune","Yes","No")</f>
        <v>No</v>
      </c>
      <c r="O4478" s="1" t="str">
        <f>IF(AND(Employee__2[[#This Row],[Education]]="Bachelors",Employee__2[[#This Row],[City]]="Pune"),"Yes","No")</f>
        <v>No</v>
      </c>
      <c r="P4478" s="1" t="str">
        <f>IF(OR(Employee__2[[#This Row],[Age]]&gt;=30,Employee__2[[#This Row],[Gender]]="Male"),"Mached","Not mached")</f>
        <v>Not mached</v>
      </c>
    </row>
    <row r="4479" spans="4:16" x14ac:dyDescent="0.25">
      <c r="D4479" s="6" t="s">
        <v>34</v>
      </c>
      <c r="E4479">
        <v>2015</v>
      </c>
      <c r="F4479" s="6" t="s">
        <v>35</v>
      </c>
      <c r="G4479">
        <v>3</v>
      </c>
      <c r="H4479">
        <v>29</v>
      </c>
      <c r="I4479" s="6" t="s">
        <v>39</v>
      </c>
      <c r="J4479" s="6" t="s">
        <v>37</v>
      </c>
      <c r="K4479">
        <v>1</v>
      </c>
      <c r="M4479" s="1" t="b">
        <f>Employee__2[[#This Row],[Experience]]&gt;1</f>
        <v>0</v>
      </c>
      <c r="N4479" s="1" t="str">
        <f>IF(Employee__2[[#This Row],[City]]="Pune","Yes","No")</f>
        <v>No</v>
      </c>
      <c r="O4479" s="1" t="str">
        <f>IF(AND(Employee__2[[#This Row],[Education]]="Bachelors",Employee__2[[#This Row],[City]]="Pune"),"Yes","No")</f>
        <v>No</v>
      </c>
      <c r="P4479" s="1" t="str">
        <f>IF(OR(Employee__2[[#This Row],[Age]]&gt;=30,Employee__2[[#This Row],[Gender]]="Male"),"Mached","Not mached")</f>
        <v>Not mached</v>
      </c>
    </row>
    <row r="4480" spans="4:16" x14ac:dyDescent="0.25">
      <c r="D4480" s="6" t="s">
        <v>41</v>
      </c>
      <c r="E4480">
        <v>2017</v>
      </c>
      <c r="F4480" s="6" t="s">
        <v>40</v>
      </c>
      <c r="G4480">
        <v>1</v>
      </c>
      <c r="H4480">
        <v>37</v>
      </c>
      <c r="I4480" s="6" t="s">
        <v>36</v>
      </c>
      <c r="J4480" s="6" t="s">
        <v>37</v>
      </c>
      <c r="K4480">
        <v>0</v>
      </c>
      <c r="M4480" s="1" t="b">
        <f>Employee__2[[#This Row],[Experience]]&gt;1</f>
        <v>0</v>
      </c>
      <c r="N4480" s="1" t="str">
        <f>IF(Employee__2[[#This Row],[City]]="Pune","Yes","No")</f>
        <v>No</v>
      </c>
      <c r="O4480" s="1" t="str">
        <f>IF(AND(Employee__2[[#This Row],[Education]]="Bachelors",Employee__2[[#This Row],[City]]="Pune"),"Yes","No")</f>
        <v>No</v>
      </c>
      <c r="P4480" s="1" t="str">
        <f>IF(OR(Employee__2[[#This Row],[Age]]&gt;=30,Employee__2[[#This Row],[Gender]]="Male"),"Mached","Not mached")</f>
        <v>Mached</v>
      </c>
    </row>
    <row r="4481" spans="4:16" x14ac:dyDescent="0.25">
      <c r="D4481" s="6" t="s">
        <v>34</v>
      </c>
      <c r="E4481">
        <v>2014</v>
      </c>
      <c r="F4481" s="6" t="s">
        <v>35</v>
      </c>
      <c r="G4481">
        <v>3</v>
      </c>
      <c r="H4481">
        <v>35</v>
      </c>
      <c r="I4481" s="6" t="s">
        <v>36</v>
      </c>
      <c r="J4481" s="6" t="s">
        <v>37</v>
      </c>
      <c r="K4481">
        <v>1</v>
      </c>
      <c r="M4481" s="1" t="b">
        <f>Employee__2[[#This Row],[Experience]]&gt;1</f>
        <v>0</v>
      </c>
      <c r="N4481" s="1" t="str">
        <f>IF(Employee__2[[#This Row],[City]]="Pune","Yes","No")</f>
        <v>No</v>
      </c>
      <c r="O4481" s="1" t="str">
        <f>IF(AND(Employee__2[[#This Row],[Education]]="Bachelors",Employee__2[[#This Row],[City]]="Pune"),"Yes","No")</f>
        <v>No</v>
      </c>
      <c r="P4481" s="1" t="str">
        <f>IF(OR(Employee__2[[#This Row],[Age]]&gt;=30,Employee__2[[#This Row],[Gender]]="Male"),"Mached","Not mached")</f>
        <v>Mached</v>
      </c>
    </row>
    <row r="4482" spans="4:16" x14ac:dyDescent="0.25">
      <c r="D4482" s="6" t="s">
        <v>34</v>
      </c>
      <c r="E4482">
        <v>2012</v>
      </c>
      <c r="F4482" s="6" t="s">
        <v>35</v>
      </c>
      <c r="G4482">
        <v>3</v>
      </c>
      <c r="H4482">
        <v>26</v>
      </c>
      <c r="I4482" s="6" t="s">
        <v>36</v>
      </c>
      <c r="J4482" s="6" t="s">
        <v>37</v>
      </c>
      <c r="K4482">
        <v>4</v>
      </c>
      <c r="M4482" s="1" t="b">
        <f>Employee__2[[#This Row],[Experience]]&gt;1</f>
        <v>1</v>
      </c>
      <c r="N4482" s="1" t="str">
        <f>IF(Employee__2[[#This Row],[City]]="Pune","Yes","No")</f>
        <v>No</v>
      </c>
      <c r="O4482" s="1" t="str">
        <f>IF(AND(Employee__2[[#This Row],[Education]]="Bachelors",Employee__2[[#This Row],[City]]="Pune"),"Yes","No")</f>
        <v>No</v>
      </c>
      <c r="P4482" s="1" t="str">
        <f>IF(OR(Employee__2[[#This Row],[Age]]&gt;=30,Employee__2[[#This Row],[Gender]]="Male"),"Mached","Not mached")</f>
        <v>Mached</v>
      </c>
    </row>
    <row r="4483" spans="4:16" x14ac:dyDescent="0.25">
      <c r="D4483" s="6" t="s">
        <v>41</v>
      </c>
      <c r="E4483">
        <v>2018</v>
      </c>
      <c r="F4483" s="6" t="s">
        <v>40</v>
      </c>
      <c r="G4483">
        <v>3</v>
      </c>
      <c r="H4483">
        <v>26</v>
      </c>
      <c r="I4483" s="6" t="s">
        <v>36</v>
      </c>
      <c r="J4483" s="6" t="s">
        <v>37</v>
      </c>
      <c r="K4483">
        <v>4</v>
      </c>
      <c r="M4483" s="1" t="b">
        <f>Employee__2[[#This Row],[Experience]]&gt;1</f>
        <v>1</v>
      </c>
      <c r="N4483" s="1" t="str">
        <f>IF(Employee__2[[#This Row],[City]]="Pune","Yes","No")</f>
        <v>No</v>
      </c>
      <c r="O4483" s="1" t="str">
        <f>IF(AND(Employee__2[[#This Row],[Education]]="Bachelors",Employee__2[[#This Row],[City]]="Pune"),"Yes","No")</f>
        <v>No</v>
      </c>
      <c r="P4483" s="1" t="str">
        <f>IF(OR(Employee__2[[#This Row],[Age]]&gt;=30,Employee__2[[#This Row],[Gender]]="Male"),"Mached","Not mached")</f>
        <v>Mached</v>
      </c>
    </row>
    <row r="4484" spans="4:16" x14ac:dyDescent="0.25">
      <c r="D4484" s="6" t="s">
        <v>34</v>
      </c>
      <c r="E4484">
        <v>2013</v>
      </c>
      <c r="F4484" s="6" t="s">
        <v>35</v>
      </c>
      <c r="G4484">
        <v>3</v>
      </c>
      <c r="H4484">
        <v>24</v>
      </c>
      <c r="I4484" s="6" t="s">
        <v>36</v>
      </c>
      <c r="J4484" s="6" t="s">
        <v>37</v>
      </c>
      <c r="K4484">
        <v>2</v>
      </c>
      <c r="M4484" s="1" t="b">
        <f>Employee__2[[#This Row],[Experience]]&gt;1</f>
        <v>1</v>
      </c>
      <c r="N4484" s="1" t="str">
        <f>IF(Employee__2[[#This Row],[City]]="Pune","Yes","No")</f>
        <v>No</v>
      </c>
      <c r="O4484" s="1" t="str">
        <f>IF(AND(Employee__2[[#This Row],[Education]]="Bachelors",Employee__2[[#This Row],[City]]="Pune"),"Yes","No")</f>
        <v>No</v>
      </c>
      <c r="P4484" s="1" t="str">
        <f>IF(OR(Employee__2[[#This Row],[Age]]&gt;=30,Employee__2[[#This Row],[Gender]]="Male"),"Mached","Not mached")</f>
        <v>Mached</v>
      </c>
    </row>
    <row r="4485" spans="4:16" x14ac:dyDescent="0.25">
      <c r="D4485" s="6" t="s">
        <v>34</v>
      </c>
      <c r="E4485">
        <v>2014</v>
      </c>
      <c r="F4485" s="6" t="s">
        <v>35</v>
      </c>
      <c r="G4485">
        <v>3</v>
      </c>
      <c r="H4485">
        <v>31</v>
      </c>
      <c r="I4485" s="6" t="s">
        <v>36</v>
      </c>
      <c r="J4485" s="6" t="s">
        <v>37</v>
      </c>
      <c r="K4485">
        <v>0</v>
      </c>
      <c r="M4485" s="1" t="b">
        <f>Employee__2[[#This Row],[Experience]]&gt;1</f>
        <v>0</v>
      </c>
      <c r="N4485" s="1" t="str">
        <f>IF(Employee__2[[#This Row],[City]]="Pune","Yes","No")</f>
        <v>No</v>
      </c>
      <c r="O4485" s="1" t="str">
        <f>IF(AND(Employee__2[[#This Row],[Education]]="Bachelors",Employee__2[[#This Row],[City]]="Pune"),"Yes","No")</f>
        <v>No</v>
      </c>
      <c r="P4485" s="1" t="str">
        <f>IF(OR(Employee__2[[#This Row],[Age]]&gt;=30,Employee__2[[#This Row],[Gender]]="Male"),"Mached","Not mached")</f>
        <v>Mached</v>
      </c>
    </row>
    <row r="4486" spans="4:16" x14ac:dyDescent="0.25">
      <c r="D4486" s="6" t="s">
        <v>34</v>
      </c>
      <c r="E4486">
        <v>2014</v>
      </c>
      <c r="F4486" s="6" t="s">
        <v>35</v>
      </c>
      <c r="G4486">
        <v>3</v>
      </c>
      <c r="H4486">
        <v>34</v>
      </c>
      <c r="I4486" s="6" t="s">
        <v>36</v>
      </c>
      <c r="J4486" s="6" t="s">
        <v>37</v>
      </c>
      <c r="K4486">
        <v>5</v>
      </c>
      <c r="M4486" s="1" t="b">
        <f>Employee__2[[#This Row],[Experience]]&gt;1</f>
        <v>1</v>
      </c>
      <c r="N4486" s="1" t="str">
        <f>IF(Employee__2[[#This Row],[City]]="Pune","Yes","No")</f>
        <v>No</v>
      </c>
      <c r="O4486" s="1" t="str">
        <f>IF(AND(Employee__2[[#This Row],[Education]]="Bachelors",Employee__2[[#This Row],[City]]="Pune"),"Yes","No")</f>
        <v>No</v>
      </c>
      <c r="P4486" s="1" t="str">
        <f>IF(OR(Employee__2[[#This Row],[Age]]&gt;=30,Employee__2[[#This Row],[Gender]]="Male"),"Mached","Not mached")</f>
        <v>Mached</v>
      </c>
    </row>
    <row r="4487" spans="4:16" x14ac:dyDescent="0.25">
      <c r="D4487" s="6" t="s">
        <v>41</v>
      </c>
      <c r="E4487">
        <v>2018</v>
      </c>
      <c r="F4487" s="6" t="s">
        <v>40</v>
      </c>
      <c r="G4487">
        <v>3</v>
      </c>
      <c r="H4487">
        <v>27</v>
      </c>
      <c r="I4487" s="6" t="s">
        <v>39</v>
      </c>
      <c r="J4487" s="6" t="s">
        <v>42</v>
      </c>
      <c r="K4487">
        <v>5</v>
      </c>
      <c r="M4487" s="1" t="b">
        <f>Employee__2[[#This Row],[Experience]]&gt;1</f>
        <v>1</v>
      </c>
      <c r="N4487" s="1" t="str">
        <f>IF(Employee__2[[#This Row],[City]]="Pune","Yes","No")</f>
        <v>No</v>
      </c>
      <c r="O4487" s="1" t="str">
        <f>IF(AND(Employee__2[[#This Row],[Education]]="Bachelors",Employee__2[[#This Row],[City]]="Pune"),"Yes","No")</f>
        <v>No</v>
      </c>
      <c r="P4487" s="1" t="str">
        <f>IF(OR(Employee__2[[#This Row],[Age]]&gt;=30,Employee__2[[#This Row],[Gender]]="Male"),"Mached","Not mached")</f>
        <v>Not mached</v>
      </c>
    </row>
    <row r="4488" spans="4:16" x14ac:dyDescent="0.25">
      <c r="D4488" s="6" t="s">
        <v>34</v>
      </c>
      <c r="E4488">
        <v>2016</v>
      </c>
      <c r="F4488" s="6" t="s">
        <v>38</v>
      </c>
      <c r="G4488">
        <v>3</v>
      </c>
      <c r="H4488">
        <v>35</v>
      </c>
      <c r="I4488" s="6" t="s">
        <v>36</v>
      </c>
      <c r="J4488" s="6" t="s">
        <v>37</v>
      </c>
      <c r="K4488">
        <v>1</v>
      </c>
      <c r="M4488" s="1" t="b">
        <f>Employee__2[[#This Row],[Experience]]&gt;1</f>
        <v>0</v>
      </c>
      <c r="N4488" s="1" t="str">
        <f>IF(Employee__2[[#This Row],[City]]="Pune","Yes","No")</f>
        <v>Yes</v>
      </c>
      <c r="O4488" s="1" t="str">
        <f>IF(AND(Employee__2[[#This Row],[Education]]="Bachelors",Employee__2[[#This Row],[City]]="Pune"),"Yes","No")</f>
        <v>Yes</v>
      </c>
      <c r="P4488" s="1" t="str">
        <f>IF(OR(Employee__2[[#This Row],[Age]]&gt;=30,Employee__2[[#This Row],[Gender]]="Male"),"Mached","Not mached")</f>
        <v>Mached</v>
      </c>
    </row>
    <row r="4489" spans="4:16" x14ac:dyDescent="0.25">
      <c r="D4489" s="6" t="s">
        <v>34</v>
      </c>
      <c r="E4489">
        <v>2017</v>
      </c>
      <c r="F4489" s="6" t="s">
        <v>38</v>
      </c>
      <c r="G4489">
        <v>3</v>
      </c>
      <c r="H4489">
        <v>27</v>
      </c>
      <c r="I4489" s="6" t="s">
        <v>36</v>
      </c>
      <c r="J4489" s="6" t="s">
        <v>37</v>
      </c>
      <c r="K4489">
        <v>5</v>
      </c>
      <c r="M4489" s="1" t="b">
        <f>Employee__2[[#This Row],[Experience]]&gt;1</f>
        <v>1</v>
      </c>
      <c r="N4489" s="1" t="str">
        <f>IF(Employee__2[[#This Row],[City]]="Pune","Yes","No")</f>
        <v>Yes</v>
      </c>
      <c r="O4489" s="1" t="str">
        <f>IF(AND(Employee__2[[#This Row],[Education]]="Bachelors",Employee__2[[#This Row],[City]]="Pune"),"Yes","No")</f>
        <v>Yes</v>
      </c>
      <c r="P4489" s="1" t="str">
        <f>IF(OR(Employee__2[[#This Row],[Age]]&gt;=30,Employee__2[[#This Row],[Gender]]="Male"),"Mached","Not mached")</f>
        <v>Mached</v>
      </c>
    </row>
    <row r="4490" spans="4:16" x14ac:dyDescent="0.25">
      <c r="D4490" s="6" t="s">
        <v>41</v>
      </c>
      <c r="E4490">
        <v>2017</v>
      </c>
      <c r="F4490" s="6" t="s">
        <v>40</v>
      </c>
      <c r="G4490">
        <v>3</v>
      </c>
      <c r="H4490">
        <v>34</v>
      </c>
      <c r="I4490" s="6" t="s">
        <v>36</v>
      </c>
      <c r="J4490" s="6" t="s">
        <v>37</v>
      </c>
      <c r="K4490">
        <v>1</v>
      </c>
      <c r="M4490" s="1" t="b">
        <f>Employee__2[[#This Row],[Experience]]&gt;1</f>
        <v>0</v>
      </c>
      <c r="N4490" s="1" t="str">
        <f>IF(Employee__2[[#This Row],[City]]="Pune","Yes","No")</f>
        <v>No</v>
      </c>
      <c r="O4490" s="1" t="str">
        <f>IF(AND(Employee__2[[#This Row],[Education]]="Bachelors",Employee__2[[#This Row],[City]]="Pune"),"Yes","No")</f>
        <v>No</v>
      </c>
      <c r="P4490" s="1" t="str">
        <f>IF(OR(Employee__2[[#This Row],[Age]]&gt;=30,Employee__2[[#This Row],[Gender]]="Male"),"Mached","Not mached")</f>
        <v>Mached</v>
      </c>
    </row>
    <row r="4491" spans="4:16" x14ac:dyDescent="0.25">
      <c r="D4491" s="6" t="s">
        <v>34</v>
      </c>
      <c r="E4491">
        <v>2018</v>
      </c>
      <c r="F4491" s="6" t="s">
        <v>35</v>
      </c>
      <c r="G4491">
        <v>3</v>
      </c>
      <c r="H4491">
        <v>40</v>
      </c>
      <c r="I4491" s="6" t="s">
        <v>39</v>
      </c>
      <c r="J4491" s="6" t="s">
        <v>37</v>
      </c>
      <c r="K4491">
        <v>4</v>
      </c>
      <c r="M4491" s="1" t="b">
        <f>Employee__2[[#This Row],[Experience]]&gt;1</f>
        <v>1</v>
      </c>
      <c r="N4491" s="1" t="str">
        <f>IF(Employee__2[[#This Row],[City]]="Pune","Yes","No")</f>
        <v>No</v>
      </c>
      <c r="O4491" s="1" t="str">
        <f>IF(AND(Employee__2[[#This Row],[Education]]="Bachelors",Employee__2[[#This Row],[City]]="Pune"),"Yes","No")</f>
        <v>No</v>
      </c>
      <c r="P4491" s="1" t="str">
        <f>IF(OR(Employee__2[[#This Row],[Age]]&gt;=30,Employee__2[[#This Row],[Gender]]="Male"),"Mached","Not mached")</f>
        <v>Mached</v>
      </c>
    </row>
    <row r="4492" spans="4:16" x14ac:dyDescent="0.25">
      <c r="D4492" s="6" t="s">
        <v>34</v>
      </c>
      <c r="E4492">
        <v>2012</v>
      </c>
      <c r="F4492" s="6" t="s">
        <v>38</v>
      </c>
      <c r="G4492">
        <v>3</v>
      </c>
      <c r="H4492">
        <v>39</v>
      </c>
      <c r="I4492" s="6" t="s">
        <v>36</v>
      </c>
      <c r="J4492" s="6" t="s">
        <v>37</v>
      </c>
      <c r="K4492">
        <v>4</v>
      </c>
      <c r="M4492" s="1" t="b">
        <f>Employee__2[[#This Row],[Experience]]&gt;1</f>
        <v>1</v>
      </c>
      <c r="N4492" s="1" t="str">
        <f>IF(Employee__2[[#This Row],[City]]="Pune","Yes","No")</f>
        <v>Yes</v>
      </c>
      <c r="O4492" s="1" t="str">
        <f>IF(AND(Employee__2[[#This Row],[Education]]="Bachelors",Employee__2[[#This Row],[City]]="Pune"),"Yes","No")</f>
        <v>Yes</v>
      </c>
      <c r="P4492" s="1" t="str">
        <f>IF(OR(Employee__2[[#This Row],[Age]]&gt;=30,Employee__2[[#This Row],[Gender]]="Male"),"Mached","Not mached")</f>
        <v>Mached</v>
      </c>
    </row>
    <row r="4493" spans="4:16" x14ac:dyDescent="0.25">
      <c r="D4493" s="6" t="s">
        <v>34</v>
      </c>
      <c r="E4493">
        <v>2013</v>
      </c>
      <c r="F4493" s="6" t="s">
        <v>38</v>
      </c>
      <c r="G4493">
        <v>1</v>
      </c>
      <c r="H4493">
        <v>39</v>
      </c>
      <c r="I4493" s="6" t="s">
        <v>39</v>
      </c>
      <c r="J4493" s="6" t="s">
        <v>42</v>
      </c>
      <c r="K4493">
        <v>0</v>
      </c>
      <c r="M4493" s="1" t="b">
        <f>Employee__2[[#This Row],[Experience]]&gt;1</f>
        <v>0</v>
      </c>
      <c r="N4493" s="1" t="str">
        <f>IF(Employee__2[[#This Row],[City]]="Pune","Yes","No")</f>
        <v>Yes</v>
      </c>
      <c r="O4493" s="1" t="str">
        <f>IF(AND(Employee__2[[#This Row],[Education]]="Bachelors",Employee__2[[#This Row],[City]]="Pune"),"Yes","No")</f>
        <v>Yes</v>
      </c>
      <c r="P4493" s="1" t="str">
        <f>IF(OR(Employee__2[[#This Row],[Age]]&gt;=30,Employee__2[[#This Row],[Gender]]="Male"),"Mached","Not mached")</f>
        <v>Mached</v>
      </c>
    </row>
    <row r="4494" spans="4:16" x14ac:dyDescent="0.25">
      <c r="D4494" s="6" t="s">
        <v>34</v>
      </c>
      <c r="E4494">
        <v>2015</v>
      </c>
      <c r="F4494" s="6" t="s">
        <v>35</v>
      </c>
      <c r="G4494">
        <v>3</v>
      </c>
      <c r="H4494">
        <v>22</v>
      </c>
      <c r="I4494" s="6" t="s">
        <v>36</v>
      </c>
      <c r="J4494" s="6" t="s">
        <v>37</v>
      </c>
      <c r="K4494">
        <v>0</v>
      </c>
      <c r="M4494" s="1" t="b">
        <f>Employee__2[[#This Row],[Experience]]&gt;1</f>
        <v>0</v>
      </c>
      <c r="N4494" s="1" t="str">
        <f>IF(Employee__2[[#This Row],[City]]="Pune","Yes","No")</f>
        <v>No</v>
      </c>
      <c r="O4494" s="1" t="str">
        <f>IF(AND(Employee__2[[#This Row],[Education]]="Bachelors",Employee__2[[#This Row],[City]]="Pune"),"Yes","No")</f>
        <v>No</v>
      </c>
      <c r="P4494" s="1" t="str">
        <f>IF(OR(Employee__2[[#This Row],[Age]]&gt;=30,Employee__2[[#This Row],[Gender]]="Male"),"Mached","Not mached")</f>
        <v>Mached</v>
      </c>
    </row>
    <row r="4495" spans="4:16" x14ac:dyDescent="0.25">
      <c r="D4495" s="6" t="s">
        <v>41</v>
      </c>
      <c r="E4495">
        <v>2017</v>
      </c>
      <c r="F4495" s="6" t="s">
        <v>38</v>
      </c>
      <c r="G4495">
        <v>2</v>
      </c>
      <c r="H4495">
        <v>33</v>
      </c>
      <c r="I4495" s="6" t="s">
        <v>36</v>
      </c>
      <c r="J4495" s="6" t="s">
        <v>42</v>
      </c>
      <c r="K4495">
        <v>2</v>
      </c>
      <c r="M4495" s="1" t="b">
        <f>Employee__2[[#This Row],[Experience]]&gt;1</f>
        <v>1</v>
      </c>
      <c r="N4495" s="1" t="str">
        <f>IF(Employee__2[[#This Row],[City]]="Pune","Yes","No")</f>
        <v>Yes</v>
      </c>
      <c r="O4495" s="1" t="str">
        <f>IF(AND(Employee__2[[#This Row],[Education]]="Bachelors",Employee__2[[#This Row],[City]]="Pune"),"Yes","No")</f>
        <v>No</v>
      </c>
      <c r="P4495" s="1" t="str">
        <f>IF(OR(Employee__2[[#This Row],[Age]]&gt;=30,Employee__2[[#This Row],[Gender]]="Male"),"Mached","Not mached")</f>
        <v>Mached</v>
      </c>
    </row>
    <row r="4496" spans="4:16" x14ac:dyDescent="0.25">
      <c r="D4496" s="6" t="s">
        <v>34</v>
      </c>
      <c r="E4496">
        <v>2014</v>
      </c>
      <c r="F4496" s="6" t="s">
        <v>35</v>
      </c>
      <c r="G4496">
        <v>3</v>
      </c>
      <c r="H4496">
        <v>39</v>
      </c>
      <c r="I4496" s="6" t="s">
        <v>36</v>
      </c>
      <c r="J4496" s="6" t="s">
        <v>37</v>
      </c>
      <c r="K4496">
        <v>0</v>
      </c>
      <c r="M4496" s="1" t="b">
        <f>Employee__2[[#This Row],[Experience]]&gt;1</f>
        <v>0</v>
      </c>
      <c r="N4496" s="1" t="str">
        <f>IF(Employee__2[[#This Row],[City]]="Pune","Yes","No")</f>
        <v>No</v>
      </c>
      <c r="O4496" s="1" t="str">
        <f>IF(AND(Employee__2[[#This Row],[Education]]="Bachelors",Employee__2[[#This Row],[City]]="Pune"),"Yes","No")</f>
        <v>No</v>
      </c>
      <c r="P4496" s="1" t="str">
        <f>IF(OR(Employee__2[[#This Row],[Age]]&gt;=30,Employee__2[[#This Row],[Gender]]="Male"),"Mached","Not mached")</f>
        <v>Mached</v>
      </c>
    </row>
    <row r="4497" spans="4:16" x14ac:dyDescent="0.25">
      <c r="D4497" s="6" t="s">
        <v>34</v>
      </c>
      <c r="E4497">
        <v>2017</v>
      </c>
      <c r="F4497" s="6" t="s">
        <v>35</v>
      </c>
      <c r="G4497">
        <v>3</v>
      </c>
      <c r="H4497">
        <v>39</v>
      </c>
      <c r="I4497" s="6" t="s">
        <v>36</v>
      </c>
      <c r="J4497" s="6" t="s">
        <v>37</v>
      </c>
      <c r="K4497">
        <v>3</v>
      </c>
      <c r="M4497" s="1" t="b">
        <f>Employee__2[[#This Row],[Experience]]&gt;1</f>
        <v>1</v>
      </c>
      <c r="N4497" s="1" t="str">
        <f>IF(Employee__2[[#This Row],[City]]="Pune","Yes","No")</f>
        <v>No</v>
      </c>
      <c r="O4497" s="1" t="str">
        <f>IF(AND(Employee__2[[#This Row],[Education]]="Bachelors",Employee__2[[#This Row],[City]]="Pune"),"Yes","No")</f>
        <v>No</v>
      </c>
      <c r="P4497" s="1" t="str">
        <f>IF(OR(Employee__2[[#This Row],[Age]]&gt;=30,Employee__2[[#This Row],[Gender]]="Male"),"Mached","Not mached")</f>
        <v>Mached</v>
      </c>
    </row>
    <row r="4498" spans="4:16" x14ac:dyDescent="0.25">
      <c r="D4498" s="6" t="s">
        <v>34</v>
      </c>
      <c r="E4498">
        <v>2017</v>
      </c>
      <c r="F4498" s="6" t="s">
        <v>35</v>
      </c>
      <c r="G4498">
        <v>3</v>
      </c>
      <c r="H4498">
        <v>40</v>
      </c>
      <c r="I4498" s="6" t="s">
        <v>39</v>
      </c>
      <c r="J4498" s="6" t="s">
        <v>37</v>
      </c>
      <c r="K4498">
        <v>3</v>
      </c>
      <c r="M4498" s="1" t="b">
        <f>Employee__2[[#This Row],[Experience]]&gt;1</f>
        <v>1</v>
      </c>
      <c r="N4498" s="1" t="str">
        <f>IF(Employee__2[[#This Row],[City]]="Pune","Yes","No")</f>
        <v>No</v>
      </c>
      <c r="O4498" s="1" t="str">
        <f>IF(AND(Employee__2[[#This Row],[Education]]="Bachelors",Employee__2[[#This Row],[City]]="Pune"),"Yes","No")</f>
        <v>No</v>
      </c>
      <c r="P4498" s="1" t="str">
        <f>IF(OR(Employee__2[[#This Row],[Age]]&gt;=30,Employee__2[[#This Row],[Gender]]="Male"),"Mached","Not mached")</f>
        <v>Mached</v>
      </c>
    </row>
    <row r="4499" spans="4:16" x14ac:dyDescent="0.25">
      <c r="D4499" s="6" t="s">
        <v>34</v>
      </c>
      <c r="E4499">
        <v>2014</v>
      </c>
      <c r="F4499" s="6" t="s">
        <v>35</v>
      </c>
      <c r="G4499">
        <v>3</v>
      </c>
      <c r="H4499">
        <v>38</v>
      </c>
      <c r="I4499" s="6" t="s">
        <v>39</v>
      </c>
      <c r="J4499" s="6" t="s">
        <v>37</v>
      </c>
      <c r="K4499">
        <v>1</v>
      </c>
      <c r="M4499" s="1" t="b">
        <f>Employee__2[[#This Row],[Experience]]&gt;1</f>
        <v>0</v>
      </c>
      <c r="N4499" s="1" t="str">
        <f>IF(Employee__2[[#This Row],[City]]="Pune","Yes","No")</f>
        <v>No</v>
      </c>
      <c r="O4499" s="1" t="str">
        <f>IF(AND(Employee__2[[#This Row],[Education]]="Bachelors",Employee__2[[#This Row],[City]]="Pune"),"Yes","No")</f>
        <v>No</v>
      </c>
      <c r="P4499" s="1" t="str">
        <f>IF(OR(Employee__2[[#This Row],[Age]]&gt;=30,Employee__2[[#This Row],[Gender]]="Male"),"Mached","Not mached")</f>
        <v>Mached</v>
      </c>
    </row>
    <row r="4500" spans="4:16" x14ac:dyDescent="0.25">
      <c r="D4500" s="6" t="s">
        <v>34</v>
      </c>
      <c r="E4500">
        <v>2018</v>
      </c>
      <c r="F4500" s="6" t="s">
        <v>40</v>
      </c>
      <c r="G4500">
        <v>3</v>
      </c>
      <c r="H4500">
        <v>36</v>
      </c>
      <c r="I4500" s="6" t="s">
        <v>39</v>
      </c>
      <c r="J4500" s="6" t="s">
        <v>42</v>
      </c>
      <c r="K4500">
        <v>2</v>
      </c>
      <c r="M4500" s="1" t="b">
        <f>Employee__2[[#This Row],[Experience]]&gt;1</f>
        <v>1</v>
      </c>
      <c r="N4500" s="1" t="str">
        <f>IF(Employee__2[[#This Row],[City]]="Pune","Yes","No")</f>
        <v>No</v>
      </c>
      <c r="O4500" s="1" t="str">
        <f>IF(AND(Employee__2[[#This Row],[Education]]="Bachelors",Employee__2[[#This Row],[City]]="Pune"),"Yes","No")</f>
        <v>No</v>
      </c>
      <c r="P4500" s="1" t="str">
        <f>IF(OR(Employee__2[[#This Row],[Age]]&gt;=30,Employee__2[[#This Row],[Gender]]="Male"),"Mached","Not mached")</f>
        <v>Mached</v>
      </c>
    </row>
    <row r="4501" spans="4:16" x14ac:dyDescent="0.25">
      <c r="D4501" s="6" t="s">
        <v>34</v>
      </c>
      <c r="E4501">
        <v>2013</v>
      </c>
      <c r="F4501" s="6" t="s">
        <v>38</v>
      </c>
      <c r="G4501">
        <v>2</v>
      </c>
      <c r="H4501">
        <v>37</v>
      </c>
      <c r="I4501" s="6" t="s">
        <v>36</v>
      </c>
      <c r="J4501" s="6" t="s">
        <v>42</v>
      </c>
      <c r="K4501">
        <v>5</v>
      </c>
      <c r="M4501" s="1" t="b">
        <f>Employee__2[[#This Row],[Experience]]&gt;1</f>
        <v>1</v>
      </c>
      <c r="N4501" s="1" t="str">
        <f>IF(Employee__2[[#This Row],[City]]="Pune","Yes","No")</f>
        <v>Yes</v>
      </c>
      <c r="O4501" s="1" t="str">
        <f>IF(AND(Employee__2[[#This Row],[Education]]="Bachelors",Employee__2[[#This Row],[City]]="Pune"),"Yes","No")</f>
        <v>Yes</v>
      </c>
      <c r="P4501" s="1" t="str">
        <f>IF(OR(Employee__2[[#This Row],[Age]]&gt;=30,Employee__2[[#This Row],[Gender]]="Male"),"Mached","Not mached")</f>
        <v>Mached</v>
      </c>
    </row>
    <row r="4502" spans="4:16" x14ac:dyDescent="0.25">
      <c r="D4502" s="6" t="s">
        <v>34</v>
      </c>
      <c r="E4502">
        <v>2017</v>
      </c>
      <c r="F4502" s="6" t="s">
        <v>38</v>
      </c>
      <c r="G4502">
        <v>2</v>
      </c>
      <c r="H4502">
        <v>33</v>
      </c>
      <c r="I4502" s="6" t="s">
        <v>39</v>
      </c>
      <c r="J4502" s="6" t="s">
        <v>37</v>
      </c>
      <c r="K4502">
        <v>2</v>
      </c>
      <c r="M4502" s="1" t="b">
        <f>Employee__2[[#This Row],[Experience]]&gt;1</f>
        <v>1</v>
      </c>
      <c r="N4502" s="1" t="str">
        <f>IF(Employee__2[[#This Row],[City]]="Pune","Yes","No")</f>
        <v>Yes</v>
      </c>
      <c r="O4502" s="1" t="str">
        <f>IF(AND(Employee__2[[#This Row],[Education]]="Bachelors",Employee__2[[#This Row],[City]]="Pune"),"Yes","No")</f>
        <v>Yes</v>
      </c>
      <c r="P4502" s="1" t="str">
        <f>IF(OR(Employee__2[[#This Row],[Age]]&gt;=30,Employee__2[[#This Row],[Gender]]="Male"),"Mached","Not mached")</f>
        <v>Mached</v>
      </c>
    </row>
    <row r="4503" spans="4:16" x14ac:dyDescent="0.25">
      <c r="D4503" s="6" t="s">
        <v>34</v>
      </c>
      <c r="E4503">
        <v>2013</v>
      </c>
      <c r="F4503" s="6" t="s">
        <v>35</v>
      </c>
      <c r="G4503">
        <v>3</v>
      </c>
      <c r="H4503">
        <v>37</v>
      </c>
      <c r="I4503" s="6" t="s">
        <v>39</v>
      </c>
      <c r="J4503" s="6" t="s">
        <v>37</v>
      </c>
      <c r="K4503">
        <v>2</v>
      </c>
      <c r="M4503" s="1" t="b">
        <f>Employee__2[[#This Row],[Experience]]&gt;1</f>
        <v>1</v>
      </c>
      <c r="N4503" s="1" t="str">
        <f>IF(Employee__2[[#This Row],[City]]="Pune","Yes","No")</f>
        <v>No</v>
      </c>
      <c r="O4503" s="1" t="str">
        <f>IF(AND(Employee__2[[#This Row],[Education]]="Bachelors",Employee__2[[#This Row],[City]]="Pune"),"Yes","No")</f>
        <v>No</v>
      </c>
      <c r="P4503" s="1" t="str">
        <f>IF(OR(Employee__2[[#This Row],[Age]]&gt;=30,Employee__2[[#This Row],[Gender]]="Male"),"Mached","Not mached")</f>
        <v>Mached</v>
      </c>
    </row>
    <row r="4504" spans="4:16" x14ac:dyDescent="0.25">
      <c r="D4504" s="6" t="s">
        <v>34</v>
      </c>
      <c r="E4504">
        <v>2013</v>
      </c>
      <c r="F4504" s="6" t="s">
        <v>38</v>
      </c>
      <c r="G4504">
        <v>3</v>
      </c>
      <c r="H4504">
        <v>34</v>
      </c>
      <c r="I4504" s="6" t="s">
        <v>36</v>
      </c>
      <c r="J4504" s="6" t="s">
        <v>37</v>
      </c>
      <c r="K4504">
        <v>5</v>
      </c>
      <c r="M4504" s="1" t="b">
        <f>Employee__2[[#This Row],[Experience]]&gt;1</f>
        <v>1</v>
      </c>
      <c r="N4504" s="1" t="str">
        <f>IF(Employee__2[[#This Row],[City]]="Pune","Yes","No")</f>
        <v>Yes</v>
      </c>
      <c r="O4504" s="1" t="str">
        <f>IF(AND(Employee__2[[#This Row],[Education]]="Bachelors",Employee__2[[#This Row],[City]]="Pune"),"Yes","No")</f>
        <v>Yes</v>
      </c>
      <c r="P4504" s="1" t="str">
        <f>IF(OR(Employee__2[[#This Row],[Age]]&gt;=30,Employee__2[[#This Row],[Gender]]="Male"),"Mached","Not mached")</f>
        <v>Mached</v>
      </c>
    </row>
    <row r="4505" spans="4:16" x14ac:dyDescent="0.25">
      <c r="D4505" s="6" t="s">
        <v>34</v>
      </c>
      <c r="E4505">
        <v>2015</v>
      </c>
      <c r="F4505" s="6" t="s">
        <v>35</v>
      </c>
      <c r="G4505">
        <v>3</v>
      </c>
      <c r="H4505">
        <v>28</v>
      </c>
      <c r="I4505" s="6" t="s">
        <v>36</v>
      </c>
      <c r="J4505" s="6" t="s">
        <v>37</v>
      </c>
      <c r="K4505">
        <v>2</v>
      </c>
      <c r="M4505" s="1" t="b">
        <f>Employee__2[[#This Row],[Experience]]&gt;1</f>
        <v>1</v>
      </c>
      <c r="N4505" s="1" t="str">
        <f>IF(Employee__2[[#This Row],[City]]="Pune","Yes","No")</f>
        <v>No</v>
      </c>
      <c r="O4505" s="1" t="str">
        <f>IF(AND(Employee__2[[#This Row],[Education]]="Bachelors",Employee__2[[#This Row],[City]]="Pune"),"Yes","No")</f>
        <v>No</v>
      </c>
      <c r="P4505" s="1" t="str">
        <f>IF(OR(Employee__2[[#This Row],[Age]]&gt;=30,Employee__2[[#This Row],[Gender]]="Male"),"Mached","Not mached")</f>
        <v>Mached</v>
      </c>
    </row>
    <row r="4506" spans="4:16" x14ac:dyDescent="0.25">
      <c r="D4506" s="6" t="s">
        <v>34</v>
      </c>
      <c r="E4506">
        <v>2018</v>
      </c>
      <c r="F4506" s="6" t="s">
        <v>35</v>
      </c>
      <c r="G4506">
        <v>3</v>
      </c>
      <c r="H4506">
        <v>31</v>
      </c>
      <c r="I4506" s="6" t="s">
        <v>36</v>
      </c>
      <c r="J4506" s="6" t="s">
        <v>42</v>
      </c>
      <c r="K4506">
        <v>0</v>
      </c>
      <c r="M4506" s="1" t="b">
        <f>Employee__2[[#This Row],[Experience]]&gt;1</f>
        <v>0</v>
      </c>
      <c r="N4506" s="1" t="str">
        <f>IF(Employee__2[[#This Row],[City]]="Pune","Yes","No")</f>
        <v>No</v>
      </c>
      <c r="O4506" s="1" t="str">
        <f>IF(AND(Employee__2[[#This Row],[Education]]="Bachelors",Employee__2[[#This Row],[City]]="Pune"),"Yes","No")</f>
        <v>No</v>
      </c>
      <c r="P4506" s="1" t="str">
        <f>IF(OR(Employee__2[[#This Row],[Age]]&gt;=30,Employee__2[[#This Row],[Gender]]="Male"),"Mached","Not mached")</f>
        <v>Mached</v>
      </c>
    </row>
    <row r="4507" spans="4:16" x14ac:dyDescent="0.25">
      <c r="D4507" s="6" t="s">
        <v>41</v>
      </c>
      <c r="E4507">
        <v>2012</v>
      </c>
      <c r="F4507" s="6" t="s">
        <v>40</v>
      </c>
      <c r="G4507">
        <v>3</v>
      </c>
      <c r="H4507">
        <v>37</v>
      </c>
      <c r="I4507" s="6" t="s">
        <v>36</v>
      </c>
      <c r="J4507" s="6" t="s">
        <v>37</v>
      </c>
      <c r="K4507">
        <v>4</v>
      </c>
      <c r="M4507" s="1" t="b">
        <f>Employee__2[[#This Row],[Experience]]&gt;1</f>
        <v>1</v>
      </c>
      <c r="N4507" s="1" t="str">
        <f>IF(Employee__2[[#This Row],[City]]="Pune","Yes","No")</f>
        <v>No</v>
      </c>
      <c r="O4507" s="1" t="str">
        <f>IF(AND(Employee__2[[#This Row],[Education]]="Bachelors",Employee__2[[#This Row],[City]]="Pune"),"Yes","No")</f>
        <v>No</v>
      </c>
      <c r="P4507" s="1" t="str">
        <f>IF(OR(Employee__2[[#This Row],[Age]]&gt;=30,Employee__2[[#This Row],[Gender]]="Male"),"Mached","Not mached")</f>
        <v>Mached</v>
      </c>
    </row>
    <row r="4508" spans="4:16" x14ac:dyDescent="0.25">
      <c r="D4508" s="6" t="s">
        <v>34</v>
      </c>
      <c r="E4508">
        <v>2018</v>
      </c>
      <c r="F4508" s="6" t="s">
        <v>38</v>
      </c>
      <c r="G4508">
        <v>3</v>
      </c>
      <c r="H4508">
        <v>26</v>
      </c>
      <c r="I4508" s="6" t="s">
        <v>36</v>
      </c>
      <c r="J4508" s="6" t="s">
        <v>37</v>
      </c>
      <c r="K4508">
        <v>4</v>
      </c>
      <c r="M4508" s="1" t="b">
        <f>Employee__2[[#This Row],[Experience]]&gt;1</f>
        <v>1</v>
      </c>
      <c r="N4508" s="1" t="str">
        <f>IF(Employee__2[[#This Row],[City]]="Pune","Yes","No")</f>
        <v>Yes</v>
      </c>
      <c r="O4508" s="1" t="str">
        <f>IF(AND(Employee__2[[#This Row],[Education]]="Bachelors",Employee__2[[#This Row],[City]]="Pune"),"Yes","No")</f>
        <v>Yes</v>
      </c>
      <c r="P4508" s="1" t="str">
        <f>IF(OR(Employee__2[[#This Row],[Age]]&gt;=30,Employee__2[[#This Row],[Gender]]="Male"),"Mached","Not mached")</f>
        <v>Mached</v>
      </c>
    </row>
    <row r="4509" spans="4:16" x14ac:dyDescent="0.25">
      <c r="D4509" s="6" t="s">
        <v>41</v>
      </c>
      <c r="E4509">
        <v>2014</v>
      </c>
      <c r="F4509" s="6" t="s">
        <v>40</v>
      </c>
      <c r="G4509">
        <v>3</v>
      </c>
      <c r="H4509">
        <v>34</v>
      </c>
      <c r="I4509" s="6" t="s">
        <v>39</v>
      </c>
      <c r="J4509" s="6" t="s">
        <v>37</v>
      </c>
      <c r="K4509">
        <v>1</v>
      </c>
      <c r="M4509" s="1" t="b">
        <f>Employee__2[[#This Row],[Experience]]&gt;1</f>
        <v>0</v>
      </c>
      <c r="N4509" s="1" t="str">
        <f>IF(Employee__2[[#This Row],[City]]="Pune","Yes","No")</f>
        <v>No</v>
      </c>
      <c r="O4509" s="1" t="str">
        <f>IF(AND(Employee__2[[#This Row],[Education]]="Bachelors",Employee__2[[#This Row],[City]]="Pune"),"Yes","No")</f>
        <v>No</v>
      </c>
      <c r="P4509" s="1" t="str">
        <f>IF(OR(Employee__2[[#This Row],[Age]]&gt;=30,Employee__2[[#This Row],[Gender]]="Male"),"Mached","Not mached")</f>
        <v>Mached</v>
      </c>
    </row>
    <row r="4510" spans="4:16" x14ac:dyDescent="0.25">
      <c r="D4510" s="6" t="s">
        <v>34</v>
      </c>
      <c r="E4510">
        <v>2015</v>
      </c>
      <c r="F4510" s="6" t="s">
        <v>38</v>
      </c>
      <c r="G4510">
        <v>3</v>
      </c>
      <c r="H4510">
        <v>39</v>
      </c>
      <c r="I4510" s="6" t="s">
        <v>36</v>
      </c>
      <c r="J4510" s="6" t="s">
        <v>37</v>
      </c>
      <c r="K4510">
        <v>1</v>
      </c>
      <c r="M4510" s="1" t="b">
        <f>Employee__2[[#This Row],[Experience]]&gt;1</f>
        <v>0</v>
      </c>
      <c r="N4510" s="1" t="str">
        <f>IF(Employee__2[[#This Row],[City]]="Pune","Yes","No")</f>
        <v>Yes</v>
      </c>
      <c r="O4510" s="1" t="str">
        <f>IF(AND(Employee__2[[#This Row],[Education]]="Bachelors",Employee__2[[#This Row],[City]]="Pune"),"Yes","No")</f>
        <v>Yes</v>
      </c>
      <c r="P4510" s="1" t="str">
        <f>IF(OR(Employee__2[[#This Row],[Age]]&gt;=30,Employee__2[[#This Row],[Gender]]="Male"),"Mached","Not mached")</f>
        <v>Mached</v>
      </c>
    </row>
    <row r="4511" spans="4:16" x14ac:dyDescent="0.25">
      <c r="D4511" s="6" t="s">
        <v>34</v>
      </c>
      <c r="E4511">
        <v>2017</v>
      </c>
      <c r="F4511" s="6" t="s">
        <v>38</v>
      </c>
      <c r="G4511">
        <v>2</v>
      </c>
      <c r="H4511">
        <v>23</v>
      </c>
      <c r="I4511" s="6" t="s">
        <v>39</v>
      </c>
      <c r="J4511" s="6" t="s">
        <v>37</v>
      </c>
      <c r="K4511">
        <v>1</v>
      </c>
      <c r="M4511" s="1" t="b">
        <f>Employee__2[[#This Row],[Experience]]&gt;1</f>
        <v>0</v>
      </c>
      <c r="N4511" s="1" t="str">
        <f>IF(Employee__2[[#This Row],[City]]="Pune","Yes","No")</f>
        <v>Yes</v>
      </c>
      <c r="O4511" s="1" t="str">
        <f>IF(AND(Employee__2[[#This Row],[Education]]="Bachelors",Employee__2[[#This Row],[City]]="Pune"),"Yes","No")</f>
        <v>Yes</v>
      </c>
      <c r="P4511" s="1" t="str">
        <f>IF(OR(Employee__2[[#This Row],[Age]]&gt;=30,Employee__2[[#This Row],[Gender]]="Male"),"Mached","Not mached")</f>
        <v>Not mached</v>
      </c>
    </row>
    <row r="4512" spans="4:16" x14ac:dyDescent="0.25">
      <c r="D4512" s="6" t="s">
        <v>34</v>
      </c>
      <c r="E4512">
        <v>2013</v>
      </c>
      <c r="F4512" s="6" t="s">
        <v>35</v>
      </c>
      <c r="G4512">
        <v>3</v>
      </c>
      <c r="H4512">
        <v>35</v>
      </c>
      <c r="I4512" s="6" t="s">
        <v>39</v>
      </c>
      <c r="J4512" s="6" t="s">
        <v>37</v>
      </c>
      <c r="K4512">
        <v>4</v>
      </c>
      <c r="M4512" s="1" t="b">
        <f>Employee__2[[#This Row],[Experience]]&gt;1</f>
        <v>1</v>
      </c>
      <c r="N4512" s="1" t="str">
        <f>IF(Employee__2[[#This Row],[City]]="Pune","Yes","No")</f>
        <v>No</v>
      </c>
      <c r="O4512" s="1" t="str">
        <f>IF(AND(Employee__2[[#This Row],[Education]]="Bachelors",Employee__2[[#This Row],[City]]="Pune"),"Yes","No")</f>
        <v>No</v>
      </c>
      <c r="P4512" s="1" t="str">
        <f>IF(OR(Employee__2[[#This Row],[Age]]&gt;=30,Employee__2[[#This Row],[Gender]]="Male"),"Mached","Not mached")</f>
        <v>Mached</v>
      </c>
    </row>
    <row r="4513" spans="4:16" x14ac:dyDescent="0.25">
      <c r="D4513" s="6" t="s">
        <v>34</v>
      </c>
      <c r="E4513">
        <v>2015</v>
      </c>
      <c r="F4513" s="6" t="s">
        <v>38</v>
      </c>
      <c r="G4513">
        <v>3</v>
      </c>
      <c r="H4513">
        <v>25</v>
      </c>
      <c r="I4513" s="6" t="s">
        <v>36</v>
      </c>
      <c r="J4513" s="6" t="s">
        <v>37</v>
      </c>
      <c r="K4513">
        <v>3</v>
      </c>
      <c r="M4513" s="1" t="b">
        <f>Employee__2[[#This Row],[Experience]]&gt;1</f>
        <v>1</v>
      </c>
      <c r="N4513" s="1" t="str">
        <f>IF(Employee__2[[#This Row],[City]]="Pune","Yes","No")</f>
        <v>Yes</v>
      </c>
      <c r="O4513" s="1" t="str">
        <f>IF(AND(Employee__2[[#This Row],[Education]]="Bachelors",Employee__2[[#This Row],[City]]="Pune"),"Yes","No")</f>
        <v>Yes</v>
      </c>
      <c r="P4513" s="1" t="str">
        <f>IF(OR(Employee__2[[#This Row],[Age]]&gt;=30,Employee__2[[#This Row],[Gender]]="Male"),"Mached","Not mached")</f>
        <v>Mached</v>
      </c>
    </row>
    <row r="4514" spans="4:16" x14ac:dyDescent="0.25">
      <c r="D4514" s="6" t="s">
        <v>34</v>
      </c>
      <c r="E4514">
        <v>2013</v>
      </c>
      <c r="F4514" s="6" t="s">
        <v>38</v>
      </c>
      <c r="G4514">
        <v>2</v>
      </c>
      <c r="H4514">
        <v>38</v>
      </c>
      <c r="I4514" s="6" t="s">
        <v>36</v>
      </c>
      <c r="J4514" s="6" t="s">
        <v>37</v>
      </c>
      <c r="K4514">
        <v>0</v>
      </c>
      <c r="M4514" s="1" t="b">
        <f>Employee__2[[#This Row],[Experience]]&gt;1</f>
        <v>0</v>
      </c>
      <c r="N4514" s="1" t="str">
        <f>IF(Employee__2[[#This Row],[City]]="Pune","Yes","No")</f>
        <v>Yes</v>
      </c>
      <c r="O4514" s="1" t="str">
        <f>IF(AND(Employee__2[[#This Row],[Education]]="Bachelors",Employee__2[[#This Row],[City]]="Pune"),"Yes","No")</f>
        <v>Yes</v>
      </c>
      <c r="P4514" s="1" t="str">
        <f>IF(OR(Employee__2[[#This Row],[Age]]&gt;=30,Employee__2[[#This Row],[Gender]]="Male"),"Mached","Not mached")</f>
        <v>Mached</v>
      </c>
    </row>
    <row r="4515" spans="4:16" x14ac:dyDescent="0.25">
      <c r="D4515" s="6" t="s">
        <v>41</v>
      </c>
      <c r="E4515">
        <v>2017</v>
      </c>
      <c r="F4515" s="6" t="s">
        <v>40</v>
      </c>
      <c r="G4515">
        <v>1</v>
      </c>
      <c r="H4515">
        <v>23</v>
      </c>
      <c r="I4515" s="6" t="s">
        <v>36</v>
      </c>
      <c r="J4515" s="6" t="s">
        <v>37</v>
      </c>
      <c r="K4515">
        <v>1</v>
      </c>
      <c r="M4515" s="1" t="b">
        <f>Employee__2[[#This Row],[Experience]]&gt;1</f>
        <v>0</v>
      </c>
      <c r="N4515" s="1" t="str">
        <f>IF(Employee__2[[#This Row],[City]]="Pune","Yes","No")</f>
        <v>No</v>
      </c>
      <c r="O4515" s="1" t="str">
        <f>IF(AND(Employee__2[[#This Row],[Education]]="Bachelors",Employee__2[[#This Row],[City]]="Pune"),"Yes","No")</f>
        <v>No</v>
      </c>
      <c r="P4515" s="1" t="str">
        <f>IF(OR(Employee__2[[#This Row],[Age]]&gt;=30,Employee__2[[#This Row],[Gender]]="Male"),"Mached","Not mached")</f>
        <v>Mached</v>
      </c>
    </row>
    <row r="4516" spans="4:16" x14ac:dyDescent="0.25">
      <c r="D4516" s="6" t="s">
        <v>41</v>
      </c>
      <c r="E4516">
        <v>2017</v>
      </c>
      <c r="F4516" s="6" t="s">
        <v>40</v>
      </c>
      <c r="G4516">
        <v>3</v>
      </c>
      <c r="H4516">
        <v>26</v>
      </c>
      <c r="I4516" s="6" t="s">
        <v>36</v>
      </c>
      <c r="J4516" s="6" t="s">
        <v>37</v>
      </c>
      <c r="K4516">
        <v>4</v>
      </c>
      <c r="M4516" s="1" t="b">
        <f>Employee__2[[#This Row],[Experience]]&gt;1</f>
        <v>1</v>
      </c>
      <c r="N4516" s="1" t="str">
        <f>IF(Employee__2[[#This Row],[City]]="Pune","Yes","No")</f>
        <v>No</v>
      </c>
      <c r="O4516" s="1" t="str">
        <f>IF(AND(Employee__2[[#This Row],[Education]]="Bachelors",Employee__2[[#This Row],[City]]="Pune"),"Yes","No")</f>
        <v>No</v>
      </c>
      <c r="P4516" s="1" t="str">
        <f>IF(OR(Employee__2[[#This Row],[Age]]&gt;=30,Employee__2[[#This Row],[Gender]]="Male"),"Mached","Not mached")</f>
        <v>Mached</v>
      </c>
    </row>
    <row r="4517" spans="4:16" x14ac:dyDescent="0.25">
      <c r="D4517" s="6" t="s">
        <v>41</v>
      </c>
      <c r="E4517">
        <v>2018</v>
      </c>
      <c r="F4517" s="6" t="s">
        <v>40</v>
      </c>
      <c r="G4517">
        <v>3</v>
      </c>
      <c r="H4517">
        <v>33</v>
      </c>
      <c r="I4517" s="6" t="s">
        <v>39</v>
      </c>
      <c r="J4517" s="6" t="s">
        <v>37</v>
      </c>
      <c r="K4517">
        <v>2</v>
      </c>
      <c r="M4517" s="1" t="b">
        <f>Employee__2[[#This Row],[Experience]]&gt;1</f>
        <v>1</v>
      </c>
      <c r="N4517" s="1" t="str">
        <f>IF(Employee__2[[#This Row],[City]]="Pune","Yes","No")</f>
        <v>No</v>
      </c>
      <c r="O4517" s="1" t="str">
        <f>IF(AND(Employee__2[[#This Row],[Education]]="Bachelors",Employee__2[[#This Row],[City]]="Pune"),"Yes","No")</f>
        <v>No</v>
      </c>
      <c r="P4517" s="1" t="str">
        <f>IF(OR(Employee__2[[#This Row],[Age]]&gt;=30,Employee__2[[#This Row],[Gender]]="Male"),"Mached","Not mached")</f>
        <v>Mached</v>
      </c>
    </row>
    <row r="4518" spans="4:16" x14ac:dyDescent="0.25">
      <c r="D4518" s="6" t="s">
        <v>34</v>
      </c>
      <c r="E4518">
        <v>2015</v>
      </c>
      <c r="F4518" s="6" t="s">
        <v>38</v>
      </c>
      <c r="G4518">
        <v>2</v>
      </c>
      <c r="H4518">
        <v>37</v>
      </c>
      <c r="I4518" s="6" t="s">
        <v>39</v>
      </c>
      <c r="J4518" s="6" t="s">
        <v>37</v>
      </c>
      <c r="K4518">
        <v>4</v>
      </c>
      <c r="M4518" s="1" t="b">
        <f>Employee__2[[#This Row],[Experience]]&gt;1</f>
        <v>1</v>
      </c>
      <c r="N4518" s="1" t="str">
        <f>IF(Employee__2[[#This Row],[City]]="Pune","Yes","No")</f>
        <v>Yes</v>
      </c>
      <c r="O4518" s="1" t="str">
        <f>IF(AND(Employee__2[[#This Row],[Education]]="Bachelors",Employee__2[[#This Row],[City]]="Pune"),"Yes","No")</f>
        <v>Yes</v>
      </c>
      <c r="P4518" s="1" t="str">
        <f>IF(OR(Employee__2[[#This Row],[Age]]&gt;=30,Employee__2[[#This Row],[Gender]]="Male"),"Mached","Not mached")</f>
        <v>Mached</v>
      </c>
    </row>
    <row r="4519" spans="4:16" x14ac:dyDescent="0.25">
      <c r="D4519" s="6" t="s">
        <v>34</v>
      </c>
      <c r="E4519">
        <v>2013</v>
      </c>
      <c r="F4519" s="6" t="s">
        <v>35</v>
      </c>
      <c r="G4519">
        <v>3</v>
      </c>
      <c r="H4519">
        <v>35</v>
      </c>
      <c r="I4519" s="6" t="s">
        <v>36</v>
      </c>
      <c r="J4519" s="6" t="s">
        <v>37</v>
      </c>
      <c r="K4519">
        <v>5</v>
      </c>
      <c r="M4519" s="1" t="b">
        <f>Employee__2[[#This Row],[Experience]]&gt;1</f>
        <v>1</v>
      </c>
      <c r="N4519" s="1" t="str">
        <f>IF(Employee__2[[#This Row],[City]]="Pune","Yes","No")</f>
        <v>No</v>
      </c>
      <c r="O4519" s="1" t="str">
        <f>IF(AND(Employee__2[[#This Row],[Education]]="Bachelors",Employee__2[[#This Row],[City]]="Pune"),"Yes","No")</f>
        <v>No</v>
      </c>
      <c r="P4519" s="1" t="str">
        <f>IF(OR(Employee__2[[#This Row],[Age]]&gt;=30,Employee__2[[#This Row],[Gender]]="Male"),"Mached","Not mached")</f>
        <v>Mached</v>
      </c>
    </row>
    <row r="4520" spans="4:16" x14ac:dyDescent="0.25">
      <c r="D4520" s="6" t="s">
        <v>34</v>
      </c>
      <c r="E4520">
        <v>2013</v>
      </c>
      <c r="F4520" s="6" t="s">
        <v>35</v>
      </c>
      <c r="G4520">
        <v>3</v>
      </c>
      <c r="H4520">
        <v>23</v>
      </c>
      <c r="I4520" s="6" t="s">
        <v>39</v>
      </c>
      <c r="J4520" s="6" t="s">
        <v>42</v>
      </c>
      <c r="K4520">
        <v>1</v>
      </c>
      <c r="M4520" s="1" t="b">
        <f>Employee__2[[#This Row],[Experience]]&gt;1</f>
        <v>0</v>
      </c>
      <c r="N4520" s="1" t="str">
        <f>IF(Employee__2[[#This Row],[City]]="Pune","Yes","No")</f>
        <v>No</v>
      </c>
      <c r="O4520" s="1" t="str">
        <f>IF(AND(Employee__2[[#This Row],[Education]]="Bachelors",Employee__2[[#This Row],[City]]="Pune"),"Yes","No")</f>
        <v>No</v>
      </c>
      <c r="P4520" s="1" t="str">
        <f>IF(OR(Employee__2[[#This Row],[Age]]&gt;=30,Employee__2[[#This Row],[Gender]]="Male"),"Mached","Not mached")</f>
        <v>Not mached</v>
      </c>
    </row>
    <row r="4521" spans="4:16" x14ac:dyDescent="0.25">
      <c r="D4521" s="6" t="s">
        <v>34</v>
      </c>
      <c r="E4521">
        <v>2013</v>
      </c>
      <c r="F4521" s="6" t="s">
        <v>38</v>
      </c>
      <c r="G4521">
        <v>3</v>
      </c>
      <c r="H4521">
        <v>31</v>
      </c>
      <c r="I4521" s="6" t="s">
        <v>36</v>
      </c>
      <c r="J4521" s="6" t="s">
        <v>37</v>
      </c>
      <c r="K4521">
        <v>2</v>
      </c>
      <c r="M4521" s="1" t="b">
        <f>Employee__2[[#This Row],[Experience]]&gt;1</f>
        <v>1</v>
      </c>
      <c r="N4521" s="1" t="str">
        <f>IF(Employee__2[[#This Row],[City]]="Pune","Yes","No")</f>
        <v>Yes</v>
      </c>
      <c r="O4521" s="1" t="str">
        <f>IF(AND(Employee__2[[#This Row],[Education]]="Bachelors",Employee__2[[#This Row],[City]]="Pune"),"Yes","No")</f>
        <v>Yes</v>
      </c>
      <c r="P4521" s="1" t="str">
        <f>IF(OR(Employee__2[[#This Row],[Age]]&gt;=30,Employee__2[[#This Row],[Gender]]="Male"),"Mached","Not mached")</f>
        <v>Mached</v>
      </c>
    </row>
    <row r="4522" spans="4:16" x14ac:dyDescent="0.25">
      <c r="D4522" s="6" t="s">
        <v>34</v>
      </c>
      <c r="E4522">
        <v>2017</v>
      </c>
      <c r="F4522" s="6" t="s">
        <v>35</v>
      </c>
      <c r="G4522">
        <v>3</v>
      </c>
      <c r="H4522">
        <v>24</v>
      </c>
      <c r="I4522" s="6" t="s">
        <v>36</v>
      </c>
      <c r="J4522" s="6" t="s">
        <v>42</v>
      </c>
      <c r="K4522">
        <v>2</v>
      </c>
      <c r="M4522" s="1" t="b">
        <f>Employee__2[[#This Row],[Experience]]&gt;1</f>
        <v>1</v>
      </c>
      <c r="N4522" s="1" t="str">
        <f>IF(Employee__2[[#This Row],[City]]="Pune","Yes","No")</f>
        <v>No</v>
      </c>
      <c r="O4522" s="1" t="str">
        <f>IF(AND(Employee__2[[#This Row],[Education]]="Bachelors",Employee__2[[#This Row],[City]]="Pune"),"Yes","No")</f>
        <v>No</v>
      </c>
      <c r="P4522" s="1" t="str">
        <f>IF(OR(Employee__2[[#This Row],[Age]]&gt;=30,Employee__2[[#This Row],[Gender]]="Male"),"Mached","Not mached")</f>
        <v>Mached</v>
      </c>
    </row>
    <row r="4523" spans="4:16" x14ac:dyDescent="0.25">
      <c r="D4523" s="6" t="s">
        <v>34</v>
      </c>
      <c r="E4523">
        <v>2015</v>
      </c>
      <c r="F4523" s="6" t="s">
        <v>35</v>
      </c>
      <c r="G4523">
        <v>3</v>
      </c>
      <c r="H4523">
        <v>28</v>
      </c>
      <c r="I4523" s="6" t="s">
        <v>36</v>
      </c>
      <c r="J4523" s="6" t="s">
        <v>37</v>
      </c>
      <c r="K4523">
        <v>3</v>
      </c>
      <c r="M4523" s="1" t="b">
        <f>Employee__2[[#This Row],[Experience]]&gt;1</f>
        <v>1</v>
      </c>
      <c r="N4523" s="1" t="str">
        <f>IF(Employee__2[[#This Row],[City]]="Pune","Yes","No")</f>
        <v>No</v>
      </c>
      <c r="O4523" s="1" t="str">
        <f>IF(AND(Employee__2[[#This Row],[Education]]="Bachelors",Employee__2[[#This Row],[City]]="Pune"),"Yes","No")</f>
        <v>No</v>
      </c>
      <c r="P4523" s="1" t="str">
        <f>IF(OR(Employee__2[[#This Row],[Age]]&gt;=30,Employee__2[[#This Row],[Gender]]="Male"),"Mached","Not mached")</f>
        <v>Mached</v>
      </c>
    </row>
    <row r="4524" spans="4:16" x14ac:dyDescent="0.25">
      <c r="D4524" s="6" t="s">
        <v>34</v>
      </c>
      <c r="E4524">
        <v>2013</v>
      </c>
      <c r="F4524" s="6" t="s">
        <v>38</v>
      </c>
      <c r="G4524">
        <v>2</v>
      </c>
      <c r="H4524">
        <v>37</v>
      </c>
      <c r="I4524" s="6" t="s">
        <v>39</v>
      </c>
      <c r="J4524" s="6" t="s">
        <v>37</v>
      </c>
      <c r="K4524">
        <v>0</v>
      </c>
      <c r="M4524" s="1" t="b">
        <f>Employee__2[[#This Row],[Experience]]&gt;1</f>
        <v>0</v>
      </c>
      <c r="N4524" s="1" t="str">
        <f>IF(Employee__2[[#This Row],[City]]="Pune","Yes","No")</f>
        <v>Yes</v>
      </c>
      <c r="O4524" s="1" t="str">
        <f>IF(AND(Employee__2[[#This Row],[Education]]="Bachelors",Employee__2[[#This Row],[City]]="Pune"),"Yes","No")</f>
        <v>Yes</v>
      </c>
      <c r="P4524" s="1" t="str">
        <f>IF(OR(Employee__2[[#This Row],[Age]]&gt;=30,Employee__2[[#This Row],[Gender]]="Male"),"Mached","Not mached")</f>
        <v>Mached</v>
      </c>
    </row>
    <row r="4525" spans="4:16" x14ac:dyDescent="0.25">
      <c r="D4525" s="6" t="s">
        <v>34</v>
      </c>
      <c r="E4525">
        <v>2012</v>
      </c>
      <c r="F4525" s="6" t="s">
        <v>35</v>
      </c>
      <c r="G4525">
        <v>3</v>
      </c>
      <c r="H4525">
        <v>36</v>
      </c>
      <c r="I4525" s="6" t="s">
        <v>39</v>
      </c>
      <c r="J4525" s="6" t="s">
        <v>37</v>
      </c>
      <c r="K4525">
        <v>1</v>
      </c>
      <c r="M4525" s="1" t="b">
        <f>Employee__2[[#This Row],[Experience]]&gt;1</f>
        <v>0</v>
      </c>
      <c r="N4525" s="1" t="str">
        <f>IF(Employee__2[[#This Row],[City]]="Pune","Yes","No")</f>
        <v>No</v>
      </c>
      <c r="O4525" s="1" t="str">
        <f>IF(AND(Employee__2[[#This Row],[Education]]="Bachelors",Employee__2[[#This Row],[City]]="Pune"),"Yes","No")</f>
        <v>No</v>
      </c>
      <c r="P4525" s="1" t="str">
        <f>IF(OR(Employee__2[[#This Row],[Age]]&gt;=30,Employee__2[[#This Row],[Gender]]="Male"),"Mached","Not mached")</f>
        <v>Mached</v>
      </c>
    </row>
    <row r="4526" spans="4:16" x14ac:dyDescent="0.25">
      <c r="D4526" s="6" t="s">
        <v>34</v>
      </c>
      <c r="E4526">
        <v>2015</v>
      </c>
      <c r="F4526" s="6" t="s">
        <v>35</v>
      </c>
      <c r="G4526">
        <v>3</v>
      </c>
      <c r="H4526">
        <v>28</v>
      </c>
      <c r="I4526" s="6" t="s">
        <v>36</v>
      </c>
      <c r="J4526" s="6" t="s">
        <v>37</v>
      </c>
      <c r="K4526">
        <v>1</v>
      </c>
      <c r="M4526" s="1" t="b">
        <f>Employee__2[[#This Row],[Experience]]&gt;1</f>
        <v>0</v>
      </c>
      <c r="N4526" s="1" t="str">
        <f>IF(Employee__2[[#This Row],[City]]="Pune","Yes","No")</f>
        <v>No</v>
      </c>
      <c r="O4526" s="1" t="str">
        <f>IF(AND(Employee__2[[#This Row],[Education]]="Bachelors",Employee__2[[#This Row],[City]]="Pune"),"Yes","No")</f>
        <v>No</v>
      </c>
      <c r="P4526" s="1" t="str">
        <f>IF(OR(Employee__2[[#This Row],[Age]]&gt;=30,Employee__2[[#This Row],[Gender]]="Male"),"Mached","Not mached")</f>
        <v>Mached</v>
      </c>
    </row>
    <row r="4527" spans="4:16" x14ac:dyDescent="0.25">
      <c r="D4527" s="6" t="s">
        <v>34</v>
      </c>
      <c r="E4527">
        <v>2017</v>
      </c>
      <c r="F4527" s="6" t="s">
        <v>40</v>
      </c>
      <c r="G4527">
        <v>2</v>
      </c>
      <c r="H4527">
        <v>30</v>
      </c>
      <c r="I4527" s="6" t="s">
        <v>36</v>
      </c>
      <c r="J4527" s="6" t="s">
        <v>37</v>
      </c>
      <c r="K4527">
        <v>5</v>
      </c>
      <c r="M4527" s="1" t="b">
        <f>Employee__2[[#This Row],[Experience]]&gt;1</f>
        <v>1</v>
      </c>
      <c r="N4527" s="1" t="str">
        <f>IF(Employee__2[[#This Row],[City]]="Pune","Yes","No")</f>
        <v>No</v>
      </c>
      <c r="O4527" s="1" t="str">
        <f>IF(AND(Employee__2[[#This Row],[Education]]="Bachelors",Employee__2[[#This Row],[City]]="Pune"),"Yes","No")</f>
        <v>No</v>
      </c>
      <c r="P4527" s="1" t="str">
        <f>IF(OR(Employee__2[[#This Row],[Age]]&gt;=30,Employee__2[[#This Row],[Gender]]="Male"),"Mached","Not mached")</f>
        <v>Mached</v>
      </c>
    </row>
    <row r="4528" spans="4:16" x14ac:dyDescent="0.25">
      <c r="D4528" s="6" t="s">
        <v>34</v>
      </c>
      <c r="E4528">
        <v>2014</v>
      </c>
      <c r="F4528" s="6" t="s">
        <v>35</v>
      </c>
      <c r="G4528">
        <v>3</v>
      </c>
      <c r="H4528">
        <v>26</v>
      </c>
      <c r="I4528" s="6" t="s">
        <v>36</v>
      </c>
      <c r="J4528" s="6" t="s">
        <v>37</v>
      </c>
      <c r="K4528">
        <v>4</v>
      </c>
      <c r="M4528" s="1" t="b">
        <f>Employee__2[[#This Row],[Experience]]&gt;1</f>
        <v>1</v>
      </c>
      <c r="N4528" s="1" t="str">
        <f>IF(Employee__2[[#This Row],[City]]="Pune","Yes","No")</f>
        <v>No</v>
      </c>
      <c r="O4528" s="1" t="str">
        <f>IF(AND(Employee__2[[#This Row],[Education]]="Bachelors",Employee__2[[#This Row],[City]]="Pune"),"Yes","No")</f>
        <v>No</v>
      </c>
      <c r="P4528" s="1" t="str">
        <f>IF(OR(Employee__2[[#This Row],[Age]]&gt;=30,Employee__2[[#This Row],[Gender]]="Male"),"Mached","Not mached")</f>
        <v>Mached</v>
      </c>
    </row>
    <row r="4529" spans="4:16" x14ac:dyDescent="0.25">
      <c r="D4529" s="6" t="s">
        <v>41</v>
      </c>
      <c r="E4529">
        <v>2015</v>
      </c>
      <c r="F4529" s="6" t="s">
        <v>38</v>
      </c>
      <c r="G4529">
        <v>2</v>
      </c>
      <c r="H4529">
        <v>29</v>
      </c>
      <c r="I4529" s="6" t="s">
        <v>39</v>
      </c>
      <c r="J4529" s="6" t="s">
        <v>37</v>
      </c>
      <c r="K4529">
        <v>1</v>
      </c>
      <c r="M4529" s="1" t="b">
        <f>Employee__2[[#This Row],[Experience]]&gt;1</f>
        <v>0</v>
      </c>
      <c r="N4529" s="1" t="str">
        <f>IF(Employee__2[[#This Row],[City]]="Pune","Yes","No")</f>
        <v>Yes</v>
      </c>
      <c r="O4529" s="1" t="str">
        <f>IF(AND(Employee__2[[#This Row],[Education]]="Bachelors",Employee__2[[#This Row],[City]]="Pune"),"Yes","No")</f>
        <v>No</v>
      </c>
      <c r="P4529" s="1" t="str">
        <f>IF(OR(Employee__2[[#This Row],[Age]]&gt;=30,Employee__2[[#This Row],[Gender]]="Male"),"Mached","Not mached")</f>
        <v>Not mached</v>
      </c>
    </row>
    <row r="4530" spans="4:16" x14ac:dyDescent="0.25">
      <c r="D4530" s="6" t="s">
        <v>41</v>
      </c>
      <c r="E4530">
        <v>2018</v>
      </c>
      <c r="F4530" s="6" t="s">
        <v>40</v>
      </c>
      <c r="G4530">
        <v>3</v>
      </c>
      <c r="H4530">
        <v>39</v>
      </c>
      <c r="I4530" s="6" t="s">
        <v>39</v>
      </c>
      <c r="J4530" s="6" t="s">
        <v>37</v>
      </c>
      <c r="K4530">
        <v>2</v>
      </c>
      <c r="M4530" s="1" t="b">
        <f>Employee__2[[#This Row],[Experience]]&gt;1</f>
        <v>1</v>
      </c>
      <c r="N4530" s="1" t="str">
        <f>IF(Employee__2[[#This Row],[City]]="Pune","Yes","No")</f>
        <v>No</v>
      </c>
      <c r="O4530" s="1" t="str">
        <f>IF(AND(Employee__2[[#This Row],[Education]]="Bachelors",Employee__2[[#This Row],[City]]="Pune"),"Yes","No")</f>
        <v>No</v>
      </c>
      <c r="P4530" s="1" t="str">
        <f>IF(OR(Employee__2[[#This Row],[Age]]&gt;=30,Employee__2[[#This Row],[Gender]]="Male"),"Mached","Not mached")</f>
        <v>Mached</v>
      </c>
    </row>
    <row r="4531" spans="4:16" x14ac:dyDescent="0.25">
      <c r="D4531" s="6" t="s">
        <v>34</v>
      </c>
      <c r="E4531">
        <v>2013</v>
      </c>
      <c r="F4531" s="6" t="s">
        <v>38</v>
      </c>
      <c r="G4531">
        <v>2</v>
      </c>
      <c r="H4531">
        <v>36</v>
      </c>
      <c r="I4531" s="6" t="s">
        <v>36</v>
      </c>
      <c r="J4531" s="6" t="s">
        <v>37</v>
      </c>
      <c r="K4531">
        <v>4</v>
      </c>
      <c r="M4531" s="1" t="b">
        <f>Employee__2[[#This Row],[Experience]]&gt;1</f>
        <v>1</v>
      </c>
      <c r="N4531" s="1" t="str">
        <f>IF(Employee__2[[#This Row],[City]]="Pune","Yes","No")</f>
        <v>Yes</v>
      </c>
      <c r="O4531" s="1" t="str">
        <f>IF(AND(Employee__2[[#This Row],[Education]]="Bachelors",Employee__2[[#This Row],[City]]="Pune"),"Yes","No")</f>
        <v>Yes</v>
      </c>
      <c r="P4531" s="1" t="str">
        <f>IF(OR(Employee__2[[#This Row],[Age]]&gt;=30,Employee__2[[#This Row],[Gender]]="Male"),"Mached","Not mached")</f>
        <v>Mached</v>
      </c>
    </row>
    <row r="4532" spans="4:16" x14ac:dyDescent="0.25">
      <c r="D4532" s="6" t="s">
        <v>34</v>
      </c>
      <c r="E4532">
        <v>2015</v>
      </c>
      <c r="F4532" s="6" t="s">
        <v>38</v>
      </c>
      <c r="G4532">
        <v>3</v>
      </c>
      <c r="H4532">
        <v>36</v>
      </c>
      <c r="I4532" s="6" t="s">
        <v>36</v>
      </c>
      <c r="J4532" s="6" t="s">
        <v>37</v>
      </c>
      <c r="K4532">
        <v>3</v>
      </c>
      <c r="M4532" s="1" t="b">
        <f>Employee__2[[#This Row],[Experience]]&gt;1</f>
        <v>1</v>
      </c>
      <c r="N4532" s="1" t="str">
        <f>IF(Employee__2[[#This Row],[City]]="Pune","Yes","No")</f>
        <v>Yes</v>
      </c>
      <c r="O4532" s="1" t="str">
        <f>IF(AND(Employee__2[[#This Row],[Education]]="Bachelors",Employee__2[[#This Row],[City]]="Pune"),"Yes","No")</f>
        <v>Yes</v>
      </c>
      <c r="P4532" s="1" t="str">
        <f>IF(OR(Employee__2[[#This Row],[Age]]&gt;=30,Employee__2[[#This Row],[Gender]]="Male"),"Mached","Not mached")</f>
        <v>Mached</v>
      </c>
    </row>
    <row r="4533" spans="4:16" x14ac:dyDescent="0.25">
      <c r="D4533" s="6" t="s">
        <v>34</v>
      </c>
      <c r="E4533">
        <v>2012</v>
      </c>
      <c r="F4533" s="6" t="s">
        <v>35</v>
      </c>
      <c r="G4533">
        <v>3</v>
      </c>
      <c r="H4533">
        <v>22</v>
      </c>
      <c r="I4533" s="6" t="s">
        <v>36</v>
      </c>
      <c r="J4533" s="6" t="s">
        <v>37</v>
      </c>
      <c r="K4533">
        <v>0</v>
      </c>
      <c r="M4533" s="1" t="b">
        <f>Employee__2[[#This Row],[Experience]]&gt;1</f>
        <v>0</v>
      </c>
      <c r="N4533" s="1" t="str">
        <f>IF(Employee__2[[#This Row],[City]]="Pune","Yes","No")</f>
        <v>No</v>
      </c>
      <c r="O4533" s="1" t="str">
        <f>IF(AND(Employee__2[[#This Row],[Education]]="Bachelors",Employee__2[[#This Row],[City]]="Pune"),"Yes","No")</f>
        <v>No</v>
      </c>
      <c r="P4533" s="1" t="str">
        <f>IF(OR(Employee__2[[#This Row],[Age]]&gt;=30,Employee__2[[#This Row],[Gender]]="Male"),"Mached","Not mached")</f>
        <v>Mached</v>
      </c>
    </row>
    <row r="4534" spans="4:16" x14ac:dyDescent="0.25">
      <c r="D4534" s="6" t="s">
        <v>41</v>
      </c>
      <c r="E4534">
        <v>2017</v>
      </c>
      <c r="F4534" s="6" t="s">
        <v>40</v>
      </c>
      <c r="G4534">
        <v>3</v>
      </c>
      <c r="H4534">
        <v>31</v>
      </c>
      <c r="I4534" s="6" t="s">
        <v>36</v>
      </c>
      <c r="J4534" s="6" t="s">
        <v>37</v>
      </c>
      <c r="K4534">
        <v>2</v>
      </c>
      <c r="M4534" s="1" t="b">
        <f>Employee__2[[#This Row],[Experience]]&gt;1</f>
        <v>1</v>
      </c>
      <c r="N4534" s="1" t="str">
        <f>IF(Employee__2[[#This Row],[City]]="Pune","Yes","No")</f>
        <v>No</v>
      </c>
      <c r="O4534" s="1" t="str">
        <f>IF(AND(Employee__2[[#This Row],[Education]]="Bachelors",Employee__2[[#This Row],[City]]="Pune"),"Yes","No")</f>
        <v>No</v>
      </c>
      <c r="P4534" s="1" t="str">
        <f>IF(OR(Employee__2[[#This Row],[Age]]&gt;=30,Employee__2[[#This Row],[Gender]]="Male"),"Mached","Not mached")</f>
        <v>Mached</v>
      </c>
    </row>
    <row r="4535" spans="4:16" x14ac:dyDescent="0.25">
      <c r="D4535" s="6" t="s">
        <v>43</v>
      </c>
      <c r="E4535">
        <v>2017</v>
      </c>
      <c r="F4535" s="6" t="s">
        <v>40</v>
      </c>
      <c r="G4535">
        <v>3</v>
      </c>
      <c r="H4535">
        <v>29</v>
      </c>
      <c r="I4535" s="6" t="s">
        <v>36</v>
      </c>
      <c r="J4535" s="6" t="s">
        <v>37</v>
      </c>
      <c r="K4535">
        <v>3</v>
      </c>
      <c r="M4535" s="1" t="b">
        <f>Employee__2[[#This Row],[Experience]]&gt;1</f>
        <v>1</v>
      </c>
      <c r="N4535" s="1" t="str">
        <f>IF(Employee__2[[#This Row],[City]]="Pune","Yes","No")</f>
        <v>No</v>
      </c>
      <c r="O4535" s="1" t="str">
        <f>IF(AND(Employee__2[[#This Row],[Education]]="Bachelors",Employee__2[[#This Row],[City]]="Pune"),"Yes","No")</f>
        <v>No</v>
      </c>
      <c r="P4535" s="1" t="str">
        <f>IF(OR(Employee__2[[#This Row],[Age]]&gt;=30,Employee__2[[#This Row],[Gender]]="Male"),"Mached","Not mached")</f>
        <v>Mached</v>
      </c>
    </row>
    <row r="4536" spans="4:16" x14ac:dyDescent="0.25">
      <c r="D4536" s="6" t="s">
        <v>34</v>
      </c>
      <c r="E4536">
        <v>2014</v>
      </c>
      <c r="F4536" s="6" t="s">
        <v>38</v>
      </c>
      <c r="G4536">
        <v>3</v>
      </c>
      <c r="H4536">
        <v>37</v>
      </c>
      <c r="I4536" s="6" t="s">
        <v>39</v>
      </c>
      <c r="J4536" s="6" t="s">
        <v>37</v>
      </c>
      <c r="K4536">
        <v>4</v>
      </c>
      <c r="M4536" s="1" t="b">
        <f>Employee__2[[#This Row],[Experience]]&gt;1</f>
        <v>1</v>
      </c>
      <c r="N4536" s="1" t="str">
        <f>IF(Employee__2[[#This Row],[City]]="Pune","Yes","No")</f>
        <v>Yes</v>
      </c>
      <c r="O4536" s="1" t="str">
        <f>IF(AND(Employee__2[[#This Row],[Education]]="Bachelors",Employee__2[[#This Row],[City]]="Pune"),"Yes","No")</f>
        <v>Yes</v>
      </c>
      <c r="P4536" s="1" t="str">
        <f>IF(OR(Employee__2[[#This Row],[Age]]&gt;=30,Employee__2[[#This Row],[Gender]]="Male"),"Mached","Not mached")</f>
        <v>Mached</v>
      </c>
    </row>
    <row r="4537" spans="4:16" x14ac:dyDescent="0.25">
      <c r="D4537" s="6" t="s">
        <v>34</v>
      </c>
      <c r="E4537">
        <v>2012</v>
      </c>
      <c r="F4537" s="6" t="s">
        <v>35</v>
      </c>
      <c r="G4537">
        <v>3</v>
      </c>
      <c r="H4537">
        <v>24</v>
      </c>
      <c r="I4537" s="6" t="s">
        <v>36</v>
      </c>
      <c r="J4537" s="6" t="s">
        <v>37</v>
      </c>
      <c r="K4537">
        <v>2</v>
      </c>
      <c r="M4537" s="1" t="b">
        <f>Employee__2[[#This Row],[Experience]]&gt;1</f>
        <v>1</v>
      </c>
      <c r="N4537" s="1" t="str">
        <f>IF(Employee__2[[#This Row],[City]]="Pune","Yes","No")</f>
        <v>No</v>
      </c>
      <c r="O4537" s="1" t="str">
        <f>IF(AND(Employee__2[[#This Row],[Education]]="Bachelors",Employee__2[[#This Row],[City]]="Pune"),"Yes","No")</f>
        <v>No</v>
      </c>
      <c r="P4537" s="1" t="str">
        <f>IF(OR(Employee__2[[#This Row],[Age]]&gt;=30,Employee__2[[#This Row],[Gender]]="Male"),"Mached","Not mached")</f>
        <v>Mached</v>
      </c>
    </row>
    <row r="4538" spans="4:16" x14ac:dyDescent="0.25">
      <c r="D4538" s="6" t="s">
        <v>34</v>
      </c>
      <c r="E4538">
        <v>2015</v>
      </c>
      <c r="F4538" s="6" t="s">
        <v>38</v>
      </c>
      <c r="G4538">
        <v>2</v>
      </c>
      <c r="H4538">
        <v>28</v>
      </c>
      <c r="I4538" s="6" t="s">
        <v>39</v>
      </c>
      <c r="J4538" s="6" t="s">
        <v>42</v>
      </c>
      <c r="K4538">
        <v>2</v>
      </c>
      <c r="M4538" s="1" t="b">
        <f>Employee__2[[#This Row],[Experience]]&gt;1</f>
        <v>1</v>
      </c>
      <c r="N4538" s="1" t="str">
        <f>IF(Employee__2[[#This Row],[City]]="Pune","Yes","No")</f>
        <v>Yes</v>
      </c>
      <c r="O4538" s="1" t="str">
        <f>IF(AND(Employee__2[[#This Row],[Education]]="Bachelors",Employee__2[[#This Row],[City]]="Pune"),"Yes","No")</f>
        <v>Yes</v>
      </c>
      <c r="P4538" s="1" t="str">
        <f>IF(OR(Employee__2[[#This Row],[Age]]&gt;=30,Employee__2[[#This Row],[Gender]]="Male"),"Mached","Not mached")</f>
        <v>Not mached</v>
      </c>
    </row>
    <row r="4539" spans="4:16" x14ac:dyDescent="0.25">
      <c r="D4539" s="6" t="s">
        <v>43</v>
      </c>
      <c r="E4539">
        <v>2016</v>
      </c>
      <c r="F4539" s="6" t="s">
        <v>40</v>
      </c>
      <c r="G4539">
        <v>3</v>
      </c>
      <c r="H4539">
        <v>22</v>
      </c>
      <c r="I4539" s="6" t="s">
        <v>36</v>
      </c>
      <c r="J4539" s="6" t="s">
        <v>37</v>
      </c>
      <c r="K4539">
        <v>0</v>
      </c>
      <c r="M4539" s="1" t="b">
        <f>Employee__2[[#This Row],[Experience]]&gt;1</f>
        <v>0</v>
      </c>
      <c r="N4539" s="1" t="str">
        <f>IF(Employee__2[[#This Row],[City]]="Pune","Yes","No")</f>
        <v>No</v>
      </c>
      <c r="O4539" s="1" t="str">
        <f>IF(AND(Employee__2[[#This Row],[Education]]="Bachelors",Employee__2[[#This Row],[City]]="Pune"),"Yes","No")</f>
        <v>No</v>
      </c>
      <c r="P4539" s="1" t="str">
        <f>IF(OR(Employee__2[[#This Row],[Age]]&gt;=30,Employee__2[[#This Row],[Gender]]="Male"),"Mached","Not mached")</f>
        <v>Mached</v>
      </c>
    </row>
    <row r="4540" spans="4:16" x14ac:dyDescent="0.25">
      <c r="D4540" s="6" t="s">
        <v>34</v>
      </c>
      <c r="E4540">
        <v>2015</v>
      </c>
      <c r="F4540" s="6" t="s">
        <v>35</v>
      </c>
      <c r="G4540">
        <v>3</v>
      </c>
      <c r="H4540">
        <v>31</v>
      </c>
      <c r="I4540" s="6" t="s">
        <v>36</v>
      </c>
      <c r="J4540" s="6" t="s">
        <v>37</v>
      </c>
      <c r="K4540">
        <v>2</v>
      </c>
      <c r="M4540" s="1" t="b">
        <f>Employee__2[[#This Row],[Experience]]&gt;1</f>
        <v>1</v>
      </c>
      <c r="N4540" s="1" t="str">
        <f>IF(Employee__2[[#This Row],[City]]="Pune","Yes","No")</f>
        <v>No</v>
      </c>
      <c r="O4540" s="1" t="str">
        <f>IF(AND(Employee__2[[#This Row],[Education]]="Bachelors",Employee__2[[#This Row],[City]]="Pune"),"Yes","No")</f>
        <v>No</v>
      </c>
      <c r="P4540" s="1" t="str">
        <f>IF(OR(Employee__2[[#This Row],[Age]]&gt;=30,Employee__2[[#This Row],[Gender]]="Male"),"Mached","Not mached")</f>
        <v>Mached</v>
      </c>
    </row>
    <row r="4541" spans="4:16" x14ac:dyDescent="0.25">
      <c r="D4541" s="6" t="s">
        <v>34</v>
      </c>
      <c r="E4541">
        <v>2013</v>
      </c>
      <c r="F4541" s="6" t="s">
        <v>38</v>
      </c>
      <c r="G4541">
        <v>2</v>
      </c>
      <c r="H4541">
        <v>28</v>
      </c>
      <c r="I4541" s="6" t="s">
        <v>39</v>
      </c>
      <c r="J4541" s="6" t="s">
        <v>37</v>
      </c>
      <c r="K4541">
        <v>3</v>
      </c>
      <c r="M4541" s="1" t="b">
        <f>Employee__2[[#This Row],[Experience]]&gt;1</f>
        <v>1</v>
      </c>
      <c r="N4541" s="1" t="str">
        <f>IF(Employee__2[[#This Row],[City]]="Pune","Yes","No")</f>
        <v>Yes</v>
      </c>
      <c r="O4541" s="1" t="str">
        <f>IF(AND(Employee__2[[#This Row],[Education]]="Bachelors",Employee__2[[#This Row],[City]]="Pune"),"Yes","No")</f>
        <v>Yes</v>
      </c>
      <c r="P4541" s="1" t="str">
        <f>IF(OR(Employee__2[[#This Row],[Age]]&gt;=30,Employee__2[[#This Row],[Gender]]="Male"),"Mached","Not mached")</f>
        <v>Not mached</v>
      </c>
    </row>
    <row r="4542" spans="4:16" x14ac:dyDescent="0.25">
      <c r="D4542" s="6" t="s">
        <v>34</v>
      </c>
      <c r="E4542">
        <v>2014</v>
      </c>
      <c r="F4542" s="6" t="s">
        <v>35</v>
      </c>
      <c r="G4542">
        <v>3</v>
      </c>
      <c r="H4542">
        <v>22</v>
      </c>
      <c r="I4542" s="6" t="s">
        <v>39</v>
      </c>
      <c r="J4542" s="6" t="s">
        <v>37</v>
      </c>
      <c r="K4542">
        <v>0</v>
      </c>
      <c r="M4542" s="1" t="b">
        <f>Employee__2[[#This Row],[Experience]]&gt;1</f>
        <v>0</v>
      </c>
      <c r="N4542" s="1" t="str">
        <f>IF(Employee__2[[#This Row],[City]]="Pune","Yes","No")</f>
        <v>No</v>
      </c>
      <c r="O4542" s="1" t="str">
        <f>IF(AND(Employee__2[[#This Row],[Education]]="Bachelors",Employee__2[[#This Row],[City]]="Pune"),"Yes","No")</f>
        <v>No</v>
      </c>
      <c r="P4542" s="1" t="str">
        <f>IF(OR(Employee__2[[#This Row],[Age]]&gt;=30,Employee__2[[#This Row],[Gender]]="Male"),"Mached","Not mached")</f>
        <v>Not mached</v>
      </c>
    </row>
    <row r="4543" spans="4:16" x14ac:dyDescent="0.25">
      <c r="D4543" s="6" t="s">
        <v>34</v>
      </c>
      <c r="E4543">
        <v>2016</v>
      </c>
      <c r="F4543" s="6" t="s">
        <v>35</v>
      </c>
      <c r="G4543">
        <v>3</v>
      </c>
      <c r="H4543">
        <v>23</v>
      </c>
      <c r="I4543" s="6" t="s">
        <v>36</v>
      </c>
      <c r="J4543" s="6" t="s">
        <v>37</v>
      </c>
      <c r="K4543">
        <v>1</v>
      </c>
      <c r="M4543" s="1" t="b">
        <f>Employee__2[[#This Row],[Experience]]&gt;1</f>
        <v>0</v>
      </c>
      <c r="N4543" s="1" t="str">
        <f>IF(Employee__2[[#This Row],[City]]="Pune","Yes","No")</f>
        <v>No</v>
      </c>
      <c r="O4543" s="1" t="str">
        <f>IF(AND(Employee__2[[#This Row],[Education]]="Bachelors",Employee__2[[#This Row],[City]]="Pune"),"Yes","No")</f>
        <v>No</v>
      </c>
      <c r="P4543" s="1" t="str">
        <f>IF(OR(Employee__2[[#This Row],[Age]]&gt;=30,Employee__2[[#This Row],[Gender]]="Male"),"Mached","Not mached")</f>
        <v>Mached</v>
      </c>
    </row>
    <row r="4544" spans="4:16" x14ac:dyDescent="0.25">
      <c r="D4544" s="6" t="s">
        <v>34</v>
      </c>
      <c r="E4544">
        <v>2016</v>
      </c>
      <c r="F4544" s="6" t="s">
        <v>40</v>
      </c>
      <c r="G4544">
        <v>1</v>
      </c>
      <c r="H4544">
        <v>25</v>
      </c>
      <c r="I4544" s="6" t="s">
        <v>39</v>
      </c>
      <c r="J4544" s="6" t="s">
        <v>42</v>
      </c>
      <c r="K4544">
        <v>3</v>
      </c>
      <c r="M4544" s="1" t="b">
        <f>Employee__2[[#This Row],[Experience]]&gt;1</f>
        <v>1</v>
      </c>
      <c r="N4544" s="1" t="str">
        <f>IF(Employee__2[[#This Row],[City]]="Pune","Yes","No")</f>
        <v>No</v>
      </c>
      <c r="O4544" s="1" t="str">
        <f>IF(AND(Employee__2[[#This Row],[Education]]="Bachelors",Employee__2[[#This Row],[City]]="Pune"),"Yes","No")</f>
        <v>No</v>
      </c>
      <c r="P4544" s="1" t="str">
        <f>IF(OR(Employee__2[[#This Row],[Age]]&gt;=30,Employee__2[[#This Row],[Gender]]="Male"),"Mached","Not mached")</f>
        <v>Not mached</v>
      </c>
    </row>
    <row r="4545" spans="4:16" x14ac:dyDescent="0.25">
      <c r="D4545" s="6" t="s">
        <v>34</v>
      </c>
      <c r="E4545">
        <v>2013</v>
      </c>
      <c r="F4545" s="6" t="s">
        <v>38</v>
      </c>
      <c r="G4545">
        <v>1</v>
      </c>
      <c r="H4545">
        <v>23</v>
      </c>
      <c r="I4545" s="6" t="s">
        <v>39</v>
      </c>
      <c r="J4545" s="6" t="s">
        <v>37</v>
      </c>
      <c r="K4545">
        <v>1</v>
      </c>
      <c r="M4545" s="1" t="b">
        <f>Employee__2[[#This Row],[Experience]]&gt;1</f>
        <v>0</v>
      </c>
      <c r="N4545" s="1" t="str">
        <f>IF(Employee__2[[#This Row],[City]]="Pune","Yes","No")</f>
        <v>Yes</v>
      </c>
      <c r="O4545" s="1" t="str">
        <f>IF(AND(Employee__2[[#This Row],[Education]]="Bachelors",Employee__2[[#This Row],[City]]="Pune"),"Yes","No")</f>
        <v>Yes</v>
      </c>
      <c r="P4545" s="1" t="str">
        <f>IF(OR(Employee__2[[#This Row],[Age]]&gt;=30,Employee__2[[#This Row],[Gender]]="Male"),"Mached","Not mached")</f>
        <v>Not mached</v>
      </c>
    </row>
    <row r="4546" spans="4:16" x14ac:dyDescent="0.25">
      <c r="D4546" s="6" t="s">
        <v>34</v>
      </c>
      <c r="E4546">
        <v>2017</v>
      </c>
      <c r="F4546" s="6" t="s">
        <v>40</v>
      </c>
      <c r="G4546">
        <v>2</v>
      </c>
      <c r="H4546">
        <v>26</v>
      </c>
      <c r="I4546" s="6" t="s">
        <v>39</v>
      </c>
      <c r="J4546" s="6" t="s">
        <v>37</v>
      </c>
      <c r="K4546">
        <v>4</v>
      </c>
      <c r="M4546" s="1" t="b">
        <f>Employee__2[[#This Row],[Experience]]&gt;1</f>
        <v>1</v>
      </c>
      <c r="N4546" s="1" t="str">
        <f>IF(Employee__2[[#This Row],[City]]="Pune","Yes","No")</f>
        <v>No</v>
      </c>
      <c r="O4546" s="1" t="str">
        <f>IF(AND(Employee__2[[#This Row],[Education]]="Bachelors",Employee__2[[#This Row],[City]]="Pune"),"Yes","No")</f>
        <v>No</v>
      </c>
      <c r="P4546" s="1" t="str">
        <f>IF(OR(Employee__2[[#This Row],[Age]]&gt;=30,Employee__2[[#This Row],[Gender]]="Male"),"Mached","Not mached")</f>
        <v>Not mached</v>
      </c>
    </row>
    <row r="4547" spans="4:16" x14ac:dyDescent="0.25">
      <c r="D4547" s="6" t="s">
        <v>34</v>
      </c>
      <c r="E4547">
        <v>2015</v>
      </c>
      <c r="F4547" s="6" t="s">
        <v>38</v>
      </c>
      <c r="G4547">
        <v>2</v>
      </c>
      <c r="H4547">
        <v>22</v>
      </c>
      <c r="I4547" s="6" t="s">
        <v>39</v>
      </c>
      <c r="J4547" s="6" t="s">
        <v>37</v>
      </c>
      <c r="K4547">
        <v>0</v>
      </c>
      <c r="M4547" s="1" t="b">
        <f>Employee__2[[#This Row],[Experience]]&gt;1</f>
        <v>0</v>
      </c>
      <c r="N4547" s="1" t="str">
        <f>IF(Employee__2[[#This Row],[City]]="Pune","Yes","No")</f>
        <v>Yes</v>
      </c>
      <c r="O4547" s="1" t="str">
        <f>IF(AND(Employee__2[[#This Row],[Education]]="Bachelors",Employee__2[[#This Row],[City]]="Pune"),"Yes","No")</f>
        <v>Yes</v>
      </c>
      <c r="P4547" s="1" t="str">
        <f>IF(OR(Employee__2[[#This Row],[Age]]&gt;=30,Employee__2[[#This Row],[Gender]]="Male"),"Mached","Not mached")</f>
        <v>Not mached</v>
      </c>
    </row>
    <row r="4548" spans="4:16" x14ac:dyDescent="0.25">
      <c r="D4548" s="6" t="s">
        <v>34</v>
      </c>
      <c r="E4548">
        <v>2015</v>
      </c>
      <c r="F4548" s="6" t="s">
        <v>35</v>
      </c>
      <c r="G4548">
        <v>3</v>
      </c>
      <c r="H4548">
        <v>38</v>
      </c>
      <c r="I4548" s="6" t="s">
        <v>39</v>
      </c>
      <c r="J4548" s="6" t="s">
        <v>37</v>
      </c>
      <c r="K4548">
        <v>2</v>
      </c>
      <c r="M4548" s="1" t="b">
        <f>Employee__2[[#This Row],[Experience]]&gt;1</f>
        <v>1</v>
      </c>
      <c r="N4548" s="1" t="str">
        <f>IF(Employee__2[[#This Row],[City]]="Pune","Yes","No")</f>
        <v>No</v>
      </c>
      <c r="O4548" s="1" t="str">
        <f>IF(AND(Employee__2[[#This Row],[Education]]="Bachelors",Employee__2[[#This Row],[City]]="Pune"),"Yes","No")</f>
        <v>No</v>
      </c>
      <c r="P4548" s="1" t="str">
        <f>IF(OR(Employee__2[[#This Row],[Age]]&gt;=30,Employee__2[[#This Row],[Gender]]="Male"),"Mached","Not mached")</f>
        <v>Mached</v>
      </c>
    </row>
    <row r="4549" spans="4:16" x14ac:dyDescent="0.25">
      <c r="D4549" s="6" t="s">
        <v>34</v>
      </c>
      <c r="E4549">
        <v>2017</v>
      </c>
      <c r="F4549" s="6" t="s">
        <v>35</v>
      </c>
      <c r="G4549">
        <v>3</v>
      </c>
      <c r="H4549">
        <v>25</v>
      </c>
      <c r="I4549" s="6" t="s">
        <v>39</v>
      </c>
      <c r="J4549" s="6" t="s">
        <v>37</v>
      </c>
      <c r="K4549">
        <v>3</v>
      </c>
      <c r="M4549" s="1" t="b">
        <f>Employee__2[[#This Row],[Experience]]&gt;1</f>
        <v>1</v>
      </c>
      <c r="N4549" s="1" t="str">
        <f>IF(Employee__2[[#This Row],[City]]="Pune","Yes","No")</f>
        <v>No</v>
      </c>
      <c r="O4549" s="1" t="str">
        <f>IF(AND(Employee__2[[#This Row],[Education]]="Bachelors",Employee__2[[#This Row],[City]]="Pune"),"Yes","No")</f>
        <v>No</v>
      </c>
      <c r="P4549" s="1" t="str">
        <f>IF(OR(Employee__2[[#This Row],[Age]]&gt;=30,Employee__2[[#This Row],[Gender]]="Male"),"Mached","Not mached")</f>
        <v>Not mached</v>
      </c>
    </row>
    <row r="4550" spans="4:16" x14ac:dyDescent="0.25">
      <c r="D4550" s="6" t="s">
        <v>34</v>
      </c>
      <c r="E4550">
        <v>2017</v>
      </c>
      <c r="F4550" s="6" t="s">
        <v>40</v>
      </c>
      <c r="G4550">
        <v>3</v>
      </c>
      <c r="H4550">
        <v>37</v>
      </c>
      <c r="I4550" s="6" t="s">
        <v>39</v>
      </c>
      <c r="J4550" s="6" t="s">
        <v>37</v>
      </c>
      <c r="K4550">
        <v>1</v>
      </c>
      <c r="M4550" s="1" t="b">
        <f>Employee__2[[#This Row],[Experience]]&gt;1</f>
        <v>0</v>
      </c>
      <c r="N4550" s="1" t="str">
        <f>IF(Employee__2[[#This Row],[City]]="Pune","Yes","No")</f>
        <v>No</v>
      </c>
      <c r="O4550" s="1" t="str">
        <f>IF(AND(Employee__2[[#This Row],[Education]]="Bachelors",Employee__2[[#This Row],[City]]="Pune"),"Yes","No")</f>
        <v>No</v>
      </c>
      <c r="P4550" s="1" t="str">
        <f>IF(OR(Employee__2[[#This Row],[Age]]&gt;=30,Employee__2[[#This Row],[Gender]]="Male"),"Mached","Not mached")</f>
        <v>Mached</v>
      </c>
    </row>
    <row r="4551" spans="4:16" x14ac:dyDescent="0.25">
      <c r="D4551" s="6" t="s">
        <v>43</v>
      </c>
      <c r="E4551">
        <v>2012</v>
      </c>
      <c r="F4551" s="6" t="s">
        <v>40</v>
      </c>
      <c r="G4551">
        <v>3</v>
      </c>
      <c r="H4551">
        <v>30</v>
      </c>
      <c r="I4551" s="6" t="s">
        <v>36</v>
      </c>
      <c r="J4551" s="6" t="s">
        <v>37</v>
      </c>
      <c r="K4551">
        <v>4</v>
      </c>
      <c r="M4551" s="1" t="b">
        <f>Employee__2[[#This Row],[Experience]]&gt;1</f>
        <v>1</v>
      </c>
      <c r="N4551" s="1" t="str">
        <f>IF(Employee__2[[#This Row],[City]]="Pune","Yes","No")</f>
        <v>No</v>
      </c>
      <c r="O4551" s="1" t="str">
        <f>IF(AND(Employee__2[[#This Row],[Education]]="Bachelors",Employee__2[[#This Row],[City]]="Pune"),"Yes","No")</f>
        <v>No</v>
      </c>
      <c r="P4551" s="1" t="str">
        <f>IF(OR(Employee__2[[#This Row],[Age]]&gt;=30,Employee__2[[#This Row],[Gender]]="Male"),"Mached","Not mached")</f>
        <v>Mached</v>
      </c>
    </row>
    <row r="4552" spans="4:16" x14ac:dyDescent="0.25">
      <c r="D4552" s="6" t="s">
        <v>34</v>
      </c>
      <c r="E4552">
        <v>2012</v>
      </c>
      <c r="F4552" s="6" t="s">
        <v>35</v>
      </c>
      <c r="G4552">
        <v>3</v>
      </c>
      <c r="H4552">
        <v>35</v>
      </c>
      <c r="I4552" s="6" t="s">
        <v>39</v>
      </c>
      <c r="J4552" s="6" t="s">
        <v>37</v>
      </c>
      <c r="K4552">
        <v>2</v>
      </c>
      <c r="M4552" s="1" t="b">
        <f>Employee__2[[#This Row],[Experience]]&gt;1</f>
        <v>1</v>
      </c>
      <c r="N4552" s="1" t="str">
        <f>IF(Employee__2[[#This Row],[City]]="Pune","Yes","No")</f>
        <v>No</v>
      </c>
      <c r="O4552" s="1" t="str">
        <f>IF(AND(Employee__2[[#This Row],[Education]]="Bachelors",Employee__2[[#This Row],[City]]="Pune"),"Yes","No")</f>
        <v>No</v>
      </c>
      <c r="P4552" s="1" t="str">
        <f>IF(OR(Employee__2[[#This Row],[Age]]&gt;=30,Employee__2[[#This Row],[Gender]]="Male"),"Mached","Not mached")</f>
        <v>Mached</v>
      </c>
    </row>
    <row r="4553" spans="4:16" x14ac:dyDescent="0.25">
      <c r="D4553" s="6" t="s">
        <v>43</v>
      </c>
      <c r="E4553">
        <v>2014</v>
      </c>
      <c r="F4553" s="6" t="s">
        <v>35</v>
      </c>
      <c r="G4553">
        <v>3</v>
      </c>
      <c r="H4553">
        <v>23</v>
      </c>
      <c r="I4553" s="6" t="s">
        <v>36</v>
      </c>
      <c r="J4553" s="6" t="s">
        <v>37</v>
      </c>
      <c r="K4553">
        <v>1</v>
      </c>
      <c r="M4553" s="1" t="b">
        <f>Employee__2[[#This Row],[Experience]]&gt;1</f>
        <v>0</v>
      </c>
      <c r="N4553" s="1" t="str">
        <f>IF(Employee__2[[#This Row],[City]]="Pune","Yes","No")</f>
        <v>No</v>
      </c>
      <c r="O4553" s="1" t="str">
        <f>IF(AND(Employee__2[[#This Row],[Education]]="Bachelors",Employee__2[[#This Row],[City]]="Pune"),"Yes","No")</f>
        <v>No</v>
      </c>
      <c r="P4553" s="1" t="str">
        <f>IF(OR(Employee__2[[#This Row],[Age]]&gt;=30,Employee__2[[#This Row],[Gender]]="Male"),"Mached","Not mached")</f>
        <v>Mached</v>
      </c>
    </row>
    <row r="4554" spans="4:16" x14ac:dyDescent="0.25">
      <c r="D4554" s="6" t="s">
        <v>41</v>
      </c>
      <c r="E4554">
        <v>2017</v>
      </c>
      <c r="F4554" s="6" t="s">
        <v>40</v>
      </c>
      <c r="G4554">
        <v>2</v>
      </c>
      <c r="H4554">
        <v>25</v>
      </c>
      <c r="I4554" s="6" t="s">
        <v>39</v>
      </c>
      <c r="J4554" s="6" t="s">
        <v>37</v>
      </c>
      <c r="K4554">
        <v>3</v>
      </c>
      <c r="M4554" s="1" t="b">
        <f>Employee__2[[#This Row],[Experience]]&gt;1</f>
        <v>1</v>
      </c>
      <c r="N4554" s="1" t="str">
        <f>IF(Employee__2[[#This Row],[City]]="Pune","Yes","No")</f>
        <v>No</v>
      </c>
      <c r="O4554" s="1" t="str">
        <f>IF(AND(Employee__2[[#This Row],[Education]]="Bachelors",Employee__2[[#This Row],[City]]="Pune"),"Yes","No")</f>
        <v>No</v>
      </c>
      <c r="P4554" s="1" t="str">
        <f>IF(OR(Employee__2[[#This Row],[Age]]&gt;=30,Employee__2[[#This Row],[Gender]]="Male"),"Mached","Not mached")</f>
        <v>Not mached</v>
      </c>
    </row>
    <row r="4555" spans="4:16" x14ac:dyDescent="0.25">
      <c r="D4555" s="6" t="s">
        <v>34</v>
      </c>
      <c r="E4555">
        <v>2015</v>
      </c>
      <c r="F4555" s="6" t="s">
        <v>35</v>
      </c>
      <c r="G4555">
        <v>3</v>
      </c>
      <c r="H4555">
        <v>39</v>
      </c>
      <c r="I4555" s="6" t="s">
        <v>39</v>
      </c>
      <c r="J4555" s="6" t="s">
        <v>37</v>
      </c>
      <c r="K4555">
        <v>0</v>
      </c>
      <c r="M4555" s="1" t="b">
        <f>Employee__2[[#This Row],[Experience]]&gt;1</f>
        <v>0</v>
      </c>
      <c r="N4555" s="1" t="str">
        <f>IF(Employee__2[[#This Row],[City]]="Pune","Yes","No")</f>
        <v>No</v>
      </c>
      <c r="O4555" s="1" t="str">
        <f>IF(AND(Employee__2[[#This Row],[Education]]="Bachelors",Employee__2[[#This Row],[City]]="Pune"),"Yes","No")</f>
        <v>No</v>
      </c>
      <c r="P4555" s="1" t="str">
        <f>IF(OR(Employee__2[[#This Row],[Age]]&gt;=30,Employee__2[[#This Row],[Gender]]="Male"),"Mached","Not mached")</f>
        <v>Mached</v>
      </c>
    </row>
    <row r="4556" spans="4:16" x14ac:dyDescent="0.25">
      <c r="D4556" s="6" t="s">
        <v>43</v>
      </c>
      <c r="E4556">
        <v>2013</v>
      </c>
      <c r="F4556" s="6" t="s">
        <v>38</v>
      </c>
      <c r="G4556">
        <v>1</v>
      </c>
      <c r="H4556">
        <v>32</v>
      </c>
      <c r="I4556" s="6" t="s">
        <v>39</v>
      </c>
      <c r="J4556" s="6" t="s">
        <v>37</v>
      </c>
      <c r="K4556">
        <v>0</v>
      </c>
      <c r="M4556" s="1" t="b">
        <f>Employee__2[[#This Row],[Experience]]&gt;1</f>
        <v>0</v>
      </c>
      <c r="N4556" s="1" t="str">
        <f>IF(Employee__2[[#This Row],[City]]="Pune","Yes","No")</f>
        <v>Yes</v>
      </c>
      <c r="O4556" s="1" t="str">
        <f>IF(AND(Employee__2[[#This Row],[Education]]="Bachelors",Employee__2[[#This Row],[City]]="Pune"),"Yes","No")</f>
        <v>No</v>
      </c>
      <c r="P4556" s="1" t="str">
        <f>IF(OR(Employee__2[[#This Row],[Age]]&gt;=30,Employee__2[[#This Row],[Gender]]="Male"),"Mached","Not mached")</f>
        <v>Mached</v>
      </c>
    </row>
    <row r="4557" spans="4:16" x14ac:dyDescent="0.25">
      <c r="D4557" s="6" t="s">
        <v>34</v>
      </c>
      <c r="E4557">
        <v>2015</v>
      </c>
      <c r="F4557" s="6" t="s">
        <v>38</v>
      </c>
      <c r="G4557">
        <v>3</v>
      </c>
      <c r="H4557">
        <v>28</v>
      </c>
      <c r="I4557" s="6" t="s">
        <v>39</v>
      </c>
      <c r="J4557" s="6" t="s">
        <v>37</v>
      </c>
      <c r="K4557">
        <v>1</v>
      </c>
      <c r="M4557" s="1" t="b">
        <f>Employee__2[[#This Row],[Experience]]&gt;1</f>
        <v>0</v>
      </c>
      <c r="N4557" s="1" t="str">
        <f>IF(Employee__2[[#This Row],[City]]="Pune","Yes","No")</f>
        <v>Yes</v>
      </c>
      <c r="O4557" s="1" t="str">
        <f>IF(AND(Employee__2[[#This Row],[Education]]="Bachelors",Employee__2[[#This Row],[City]]="Pune"),"Yes","No")</f>
        <v>Yes</v>
      </c>
      <c r="P4557" s="1" t="str">
        <f>IF(OR(Employee__2[[#This Row],[Age]]&gt;=30,Employee__2[[#This Row],[Gender]]="Male"),"Mached","Not mached")</f>
        <v>Not mached</v>
      </c>
    </row>
    <row r="4558" spans="4:16" x14ac:dyDescent="0.25">
      <c r="D4558" s="6" t="s">
        <v>34</v>
      </c>
      <c r="E4558">
        <v>2015</v>
      </c>
      <c r="F4558" s="6" t="s">
        <v>40</v>
      </c>
      <c r="G4558">
        <v>3</v>
      </c>
      <c r="H4558">
        <v>23</v>
      </c>
      <c r="I4558" s="6" t="s">
        <v>39</v>
      </c>
      <c r="J4558" s="6" t="s">
        <v>37</v>
      </c>
      <c r="K4558">
        <v>1</v>
      </c>
      <c r="M4558" s="1" t="b">
        <f>Employee__2[[#This Row],[Experience]]&gt;1</f>
        <v>0</v>
      </c>
      <c r="N4558" s="1" t="str">
        <f>IF(Employee__2[[#This Row],[City]]="Pune","Yes","No")</f>
        <v>No</v>
      </c>
      <c r="O4558" s="1" t="str">
        <f>IF(AND(Employee__2[[#This Row],[Education]]="Bachelors",Employee__2[[#This Row],[City]]="Pune"),"Yes","No")</f>
        <v>No</v>
      </c>
      <c r="P4558" s="1" t="str">
        <f>IF(OR(Employee__2[[#This Row],[Age]]&gt;=30,Employee__2[[#This Row],[Gender]]="Male"),"Mached","Not mached")</f>
        <v>Not mached</v>
      </c>
    </row>
    <row r="4559" spans="4:16" x14ac:dyDescent="0.25">
      <c r="D4559" s="6" t="s">
        <v>43</v>
      </c>
      <c r="E4559">
        <v>2014</v>
      </c>
      <c r="F4559" s="6" t="s">
        <v>35</v>
      </c>
      <c r="G4559">
        <v>1</v>
      </c>
      <c r="H4559">
        <v>34</v>
      </c>
      <c r="I4559" s="6" t="s">
        <v>39</v>
      </c>
      <c r="J4559" s="6" t="s">
        <v>37</v>
      </c>
      <c r="K4559">
        <v>3</v>
      </c>
      <c r="M4559" s="1" t="b">
        <f>Employee__2[[#This Row],[Experience]]&gt;1</f>
        <v>1</v>
      </c>
      <c r="N4559" s="1" t="str">
        <f>IF(Employee__2[[#This Row],[City]]="Pune","Yes","No")</f>
        <v>No</v>
      </c>
      <c r="O4559" s="1" t="str">
        <f>IF(AND(Employee__2[[#This Row],[Education]]="Bachelors",Employee__2[[#This Row],[City]]="Pune"),"Yes","No")</f>
        <v>No</v>
      </c>
      <c r="P4559" s="1" t="str">
        <f>IF(OR(Employee__2[[#This Row],[Age]]&gt;=30,Employee__2[[#This Row],[Gender]]="Male"),"Mached","Not mached")</f>
        <v>Mached</v>
      </c>
    </row>
    <row r="4560" spans="4:16" x14ac:dyDescent="0.25">
      <c r="D4560" s="6" t="s">
        <v>34</v>
      </c>
      <c r="E4560">
        <v>2014</v>
      </c>
      <c r="F4560" s="6" t="s">
        <v>35</v>
      </c>
      <c r="G4560">
        <v>1</v>
      </c>
      <c r="H4560">
        <v>36</v>
      </c>
      <c r="I4560" s="6" t="s">
        <v>39</v>
      </c>
      <c r="J4560" s="6" t="s">
        <v>37</v>
      </c>
      <c r="K4560">
        <v>1</v>
      </c>
      <c r="M4560" s="1" t="b">
        <f>Employee__2[[#This Row],[Experience]]&gt;1</f>
        <v>0</v>
      </c>
      <c r="N4560" s="1" t="str">
        <f>IF(Employee__2[[#This Row],[City]]="Pune","Yes","No")</f>
        <v>No</v>
      </c>
      <c r="O4560" s="1" t="str">
        <f>IF(AND(Employee__2[[#This Row],[Education]]="Bachelors",Employee__2[[#This Row],[City]]="Pune"),"Yes","No")</f>
        <v>No</v>
      </c>
      <c r="P4560" s="1" t="str">
        <f>IF(OR(Employee__2[[#This Row],[Age]]&gt;=30,Employee__2[[#This Row],[Gender]]="Male"),"Mached","Not mached")</f>
        <v>Mached</v>
      </c>
    </row>
    <row r="4561" spans="4:16" x14ac:dyDescent="0.25">
      <c r="D4561" s="6" t="s">
        <v>34</v>
      </c>
      <c r="E4561">
        <v>2017</v>
      </c>
      <c r="F4561" s="6" t="s">
        <v>35</v>
      </c>
      <c r="G4561">
        <v>3</v>
      </c>
      <c r="H4561">
        <v>40</v>
      </c>
      <c r="I4561" s="6" t="s">
        <v>36</v>
      </c>
      <c r="J4561" s="6" t="s">
        <v>37</v>
      </c>
      <c r="K4561">
        <v>5</v>
      </c>
      <c r="M4561" s="1" t="b">
        <f>Employee__2[[#This Row],[Experience]]&gt;1</f>
        <v>1</v>
      </c>
      <c r="N4561" s="1" t="str">
        <f>IF(Employee__2[[#This Row],[City]]="Pune","Yes","No")</f>
        <v>No</v>
      </c>
      <c r="O4561" s="1" t="str">
        <f>IF(AND(Employee__2[[#This Row],[Education]]="Bachelors",Employee__2[[#This Row],[City]]="Pune"),"Yes","No")</f>
        <v>No</v>
      </c>
      <c r="P4561" s="1" t="str">
        <f>IF(OR(Employee__2[[#This Row],[Age]]&gt;=30,Employee__2[[#This Row],[Gender]]="Male"),"Mached","Not mached")</f>
        <v>Mached</v>
      </c>
    </row>
    <row r="4562" spans="4:16" x14ac:dyDescent="0.25">
      <c r="D4562" s="6" t="s">
        <v>34</v>
      </c>
      <c r="E4562">
        <v>2016</v>
      </c>
      <c r="F4562" s="6" t="s">
        <v>35</v>
      </c>
      <c r="G4562">
        <v>3</v>
      </c>
      <c r="H4562">
        <v>40</v>
      </c>
      <c r="I4562" s="6" t="s">
        <v>36</v>
      </c>
      <c r="J4562" s="6" t="s">
        <v>37</v>
      </c>
      <c r="K4562">
        <v>3</v>
      </c>
      <c r="M4562" s="1" t="b">
        <f>Employee__2[[#This Row],[Experience]]&gt;1</f>
        <v>1</v>
      </c>
      <c r="N4562" s="1" t="str">
        <f>IF(Employee__2[[#This Row],[City]]="Pune","Yes","No")</f>
        <v>No</v>
      </c>
      <c r="O4562" s="1" t="str">
        <f>IF(AND(Employee__2[[#This Row],[Education]]="Bachelors",Employee__2[[#This Row],[City]]="Pune"),"Yes","No")</f>
        <v>No</v>
      </c>
      <c r="P4562" s="1" t="str">
        <f>IF(OR(Employee__2[[#This Row],[Age]]&gt;=30,Employee__2[[#This Row],[Gender]]="Male"),"Mached","Not mached")</f>
        <v>Mached</v>
      </c>
    </row>
    <row r="4563" spans="4:16" x14ac:dyDescent="0.25">
      <c r="D4563" s="6" t="s">
        <v>34</v>
      </c>
      <c r="E4563">
        <v>2015</v>
      </c>
      <c r="F4563" s="6" t="s">
        <v>35</v>
      </c>
      <c r="G4563">
        <v>3</v>
      </c>
      <c r="H4563">
        <v>25</v>
      </c>
      <c r="I4563" s="6" t="s">
        <v>39</v>
      </c>
      <c r="J4563" s="6" t="s">
        <v>37</v>
      </c>
      <c r="K4563">
        <v>3</v>
      </c>
      <c r="M4563" s="1" t="b">
        <f>Employee__2[[#This Row],[Experience]]&gt;1</f>
        <v>1</v>
      </c>
      <c r="N4563" s="1" t="str">
        <f>IF(Employee__2[[#This Row],[City]]="Pune","Yes","No")</f>
        <v>No</v>
      </c>
      <c r="O4563" s="1" t="str">
        <f>IF(AND(Employee__2[[#This Row],[Education]]="Bachelors",Employee__2[[#This Row],[City]]="Pune"),"Yes","No")</f>
        <v>No</v>
      </c>
      <c r="P4563" s="1" t="str">
        <f>IF(OR(Employee__2[[#This Row],[Age]]&gt;=30,Employee__2[[#This Row],[Gender]]="Male"),"Mached","Not mached")</f>
        <v>Not mached</v>
      </c>
    </row>
    <row r="4564" spans="4:16" x14ac:dyDescent="0.25">
      <c r="D4564" s="6" t="s">
        <v>34</v>
      </c>
      <c r="E4564">
        <v>2013</v>
      </c>
      <c r="F4564" s="6" t="s">
        <v>35</v>
      </c>
      <c r="G4564">
        <v>3</v>
      </c>
      <c r="H4564">
        <v>22</v>
      </c>
      <c r="I4564" s="6" t="s">
        <v>36</v>
      </c>
      <c r="J4564" s="6" t="s">
        <v>37</v>
      </c>
      <c r="K4564">
        <v>0</v>
      </c>
      <c r="M4564" s="1" t="b">
        <f>Employee__2[[#This Row],[Experience]]&gt;1</f>
        <v>0</v>
      </c>
      <c r="N4564" s="1" t="str">
        <f>IF(Employee__2[[#This Row],[City]]="Pune","Yes","No")</f>
        <v>No</v>
      </c>
      <c r="O4564" s="1" t="str">
        <f>IF(AND(Employee__2[[#This Row],[Education]]="Bachelors",Employee__2[[#This Row],[City]]="Pune"),"Yes","No")</f>
        <v>No</v>
      </c>
      <c r="P4564" s="1" t="str">
        <f>IF(OR(Employee__2[[#This Row],[Age]]&gt;=30,Employee__2[[#This Row],[Gender]]="Male"),"Mached","Not mached")</f>
        <v>Mached</v>
      </c>
    </row>
    <row r="4565" spans="4:16" x14ac:dyDescent="0.25">
      <c r="D4565" s="6" t="s">
        <v>34</v>
      </c>
      <c r="E4565">
        <v>2015</v>
      </c>
      <c r="F4565" s="6" t="s">
        <v>35</v>
      </c>
      <c r="G4565">
        <v>3</v>
      </c>
      <c r="H4565">
        <v>34</v>
      </c>
      <c r="I4565" s="6" t="s">
        <v>36</v>
      </c>
      <c r="J4565" s="6" t="s">
        <v>37</v>
      </c>
      <c r="K4565">
        <v>4</v>
      </c>
      <c r="M4565" s="1" t="b">
        <f>Employee__2[[#This Row],[Experience]]&gt;1</f>
        <v>1</v>
      </c>
      <c r="N4565" s="1" t="str">
        <f>IF(Employee__2[[#This Row],[City]]="Pune","Yes","No")</f>
        <v>No</v>
      </c>
      <c r="O4565" s="1" t="str">
        <f>IF(AND(Employee__2[[#This Row],[Education]]="Bachelors",Employee__2[[#This Row],[City]]="Pune"),"Yes","No")</f>
        <v>No</v>
      </c>
      <c r="P4565" s="1" t="str">
        <f>IF(OR(Employee__2[[#This Row],[Age]]&gt;=30,Employee__2[[#This Row],[Gender]]="Male"),"Mached","Not mached")</f>
        <v>Mached</v>
      </c>
    </row>
    <row r="4566" spans="4:16" x14ac:dyDescent="0.25">
      <c r="D4566" s="6" t="s">
        <v>34</v>
      </c>
      <c r="E4566">
        <v>2017</v>
      </c>
      <c r="F4566" s="6" t="s">
        <v>35</v>
      </c>
      <c r="G4566">
        <v>3</v>
      </c>
      <c r="H4566">
        <v>23</v>
      </c>
      <c r="I4566" s="6" t="s">
        <v>36</v>
      </c>
      <c r="J4566" s="6" t="s">
        <v>37</v>
      </c>
      <c r="K4566">
        <v>1</v>
      </c>
      <c r="M4566" s="1" t="b">
        <f>Employee__2[[#This Row],[Experience]]&gt;1</f>
        <v>0</v>
      </c>
      <c r="N4566" s="1" t="str">
        <f>IF(Employee__2[[#This Row],[City]]="Pune","Yes","No")</f>
        <v>No</v>
      </c>
      <c r="O4566" s="1" t="str">
        <f>IF(AND(Employee__2[[#This Row],[Education]]="Bachelors",Employee__2[[#This Row],[City]]="Pune"),"Yes","No")</f>
        <v>No</v>
      </c>
      <c r="P4566" s="1" t="str">
        <f>IF(OR(Employee__2[[#This Row],[Age]]&gt;=30,Employee__2[[#This Row],[Gender]]="Male"),"Mached","Not mached")</f>
        <v>Mached</v>
      </c>
    </row>
    <row r="4567" spans="4:16" x14ac:dyDescent="0.25">
      <c r="D4567" s="6" t="s">
        <v>34</v>
      </c>
      <c r="E4567">
        <v>2017</v>
      </c>
      <c r="F4567" s="6" t="s">
        <v>35</v>
      </c>
      <c r="G4567">
        <v>3</v>
      </c>
      <c r="H4567">
        <v>24</v>
      </c>
      <c r="I4567" s="6" t="s">
        <v>39</v>
      </c>
      <c r="J4567" s="6" t="s">
        <v>37</v>
      </c>
      <c r="K4567">
        <v>2</v>
      </c>
      <c r="M4567" s="1" t="b">
        <f>Employee__2[[#This Row],[Experience]]&gt;1</f>
        <v>1</v>
      </c>
      <c r="N4567" s="1" t="str">
        <f>IF(Employee__2[[#This Row],[City]]="Pune","Yes","No")</f>
        <v>No</v>
      </c>
      <c r="O4567" s="1" t="str">
        <f>IF(AND(Employee__2[[#This Row],[Education]]="Bachelors",Employee__2[[#This Row],[City]]="Pune"),"Yes","No")</f>
        <v>No</v>
      </c>
      <c r="P4567" s="1" t="str">
        <f>IF(OR(Employee__2[[#This Row],[Age]]&gt;=30,Employee__2[[#This Row],[Gender]]="Male"),"Mached","Not mached")</f>
        <v>Not mached</v>
      </c>
    </row>
    <row r="4568" spans="4:16" x14ac:dyDescent="0.25">
      <c r="D4568" s="6" t="s">
        <v>34</v>
      </c>
      <c r="E4568">
        <v>2015</v>
      </c>
      <c r="F4568" s="6" t="s">
        <v>35</v>
      </c>
      <c r="G4568">
        <v>1</v>
      </c>
      <c r="H4568">
        <v>35</v>
      </c>
      <c r="I4568" s="6" t="s">
        <v>36</v>
      </c>
      <c r="J4568" s="6" t="s">
        <v>37</v>
      </c>
      <c r="K4568">
        <v>3</v>
      </c>
      <c r="M4568" s="1" t="b">
        <f>Employee__2[[#This Row],[Experience]]&gt;1</f>
        <v>1</v>
      </c>
      <c r="N4568" s="1" t="str">
        <f>IF(Employee__2[[#This Row],[City]]="Pune","Yes","No")</f>
        <v>No</v>
      </c>
      <c r="O4568" s="1" t="str">
        <f>IF(AND(Employee__2[[#This Row],[Education]]="Bachelors",Employee__2[[#This Row],[City]]="Pune"),"Yes","No")</f>
        <v>No</v>
      </c>
      <c r="P4568" s="1" t="str">
        <f>IF(OR(Employee__2[[#This Row],[Age]]&gt;=30,Employee__2[[#This Row],[Gender]]="Male"),"Mached","Not mached")</f>
        <v>Mached</v>
      </c>
    </row>
    <row r="4569" spans="4:16" x14ac:dyDescent="0.25">
      <c r="D4569" s="6" t="s">
        <v>34</v>
      </c>
      <c r="E4569">
        <v>2014</v>
      </c>
      <c r="F4569" s="6" t="s">
        <v>35</v>
      </c>
      <c r="G4569">
        <v>3</v>
      </c>
      <c r="H4569">
        <v>24</v>
      </c>
      <c r="I4569" s="6" t="s">
        <v>36</v>
      </c>
      <c r="J4569" s="6" t="s">
        <v>37</v>
      </c>
      <c r="K4569">
        <v>2</v>
      </c>
      <c r="M4569" s="1" t="b">
        <f>Employee__2[[#This Row],[Experience]]&gt;1</f>
        <v>1</v>
      </c>
      <c r="N4569" s="1" t="str">
        <f>IF(Employee__2[[#This Row],[City]]="Pune","Yes","No")</f>
        <v>No</v>
      </c>
      <c r="O4569" s="1" t="str">
        <f>IF(AND(Employee__2[[#This Row],[Education]]="Bachelors",Employee__2[[#This Row],[City]]="Pune"),"Yes","No")</f>
        <v>No</v>
      </c>
      <c r="P4569" s="1" t="str">
        <f>IF(OR(Employee__2[[#This Row],[Age]]&gt;=30,Employee__2[[#This Row],[Gender]]="Male"),"Mached","Not mached")</f>
        <v>Mached</v>
      </c>
    </row>
    <row r="4570" spans="4:16" x14ac:dyDescent="0.25">
      <c r="D4570" s="6" t="s">
        <v>34</v>
      </c>
      <c r="E4570">
        <v>2017</v>
      </c>
      <c r="F4570" s="6" t="s">
        <v>38</v>
      </c>
      <c r="G4570">
        <v>3</v>
      </c>
      <c r="H4570">
        <v>28</v>
      </c>
      <c r="I4570" s="6" t="s">
        <v>36</v>
      </c>
      <c r="J4570" s="6" t="s">
        <v>37</v>
      </c>
      <c r="K4570">
        <v>3</v>
      </c>
      <c r="M4570" s="1" t="b">
        <f>Employee__2[[#This Row],[Experience]]&gt;1</f>
        <v>1</v>
      </c>
      <c r="N4570" s="1" t="str">
        <f>IF(Employee__2[[#This Row],[City]]="Pune","Yes","No")</f>
        <v>Yes</v>
      </c>
      <c r="O4570" s="1" t="str">
        <f>IF(AND(Employee__2[[#This Row],[Education]]="Bachelors",Employee__2[[#This Row],[City]]="Pune"),"Yes","No")</f>
        <v>Yes</v>
      </c>
      <c r="P4570" s="1" t="str">
        <f>IF(OR(Employee__2[[#This Row],[Age]]&gt;=30,Employee__2[[#This Row],[Gender]]="Male"),"Mached","Not mached")</f>
        <v>Mached</v>
      </c>
    </row>
    <row r="4571" spans="4:16" x14ac:dyDescent="0.25">
      <c r="D4571" s="6" t="s">
        <v>41</v>
      </c>
      <c r="E4571">
        <v>2017</v>
      </c>
      <c r="F4571" s="6" t="s">
        <v>40</v>
      </c>
      <c r="G4571">
        <v>2</v>
      </c>
      <c r="H4571">
        <v>39</v>
      </c>
      <c r="I4571" s="6" t="s">
        <v>39</v>
      </c>
      <c r="J4571" s="6" t="s">
        <v>37</v>
      </c>
      <c r="K4571">
        <v>4</v>
      </c>
      <c r="M4571" s="1" t="b">
        <f>Employee__2[[#This Row],[Experience]]&gt;1</f>
        <v>1</v>
      </c>
      <c r="N4571" s="1" t="str">
        <f>IF(Employee__2[[#This Row],[City]]="Pune","Yes","No")</f>
        <v>No</v>
      </c>
      <c r="O4571" s="1" t="str">
        <f>IF(AND(Employee__2[[#This Row],[Education]]="Bachelors",Employee__2[[#This Row],[City]]="Pune"),"Yes","No")</f>
        <v>No</v>
      </c>
      <c r="P4571" s="1" t="str">
        <f>IF(OR(Employee__2[[#This Row],[Age]]&gt;=30,Employee__2[[#This Row],[Gender]]="Male"),"Mached","Not mached")</f>
        <v>Mached</v>
      </c>
    </row>
    <row r="4572" spans="4:16" x14ac:dyDescent="0.25">
      <c r="D4572" s="6" t="s">
        <v>43</v>
      </c>
      <c r="E4572">
        <v>2017</v>
      </c>
      <c r="F4572" s="6" t="s">
        <v>40</v>
      </c>
      <c r="G4572">
        <v>3</v>
      </c>
      <c r="H4572">
        <v>31</v>
      </c>
      <c r="I4572" s="6" t="s">
        <v>39</v>
      </c>
      <c r="J4572" s="6" t="s">
        <v>37</v>
      </c>
      <c r="K4572">
        <v>5</v>
      </c>
      <c r="M4572" s="1" t="b">
        <f>Employee__2[[#This Row],[Experience]]&gt;1</f>
        <v>1</v>
      </c>
      <c r="N4572" s="1" t="str">
        <f>IF(Employee__2[[#This Row],[City]]="Pune","Yes","No")</f>
        <v>No</v>
      </c>
      <c r="O4572" s="1" t="str">
        <f>IF(AND(Employee__2[[#This Row],[Education]]="Bachelors",Employee__2[[#This Row],[City]]="Pune"),"Yes","No")</f>
        <v>No</v>
      </c>
      <c r="P4572" s="1" t="str">
        <f>IF(OR(Employee__2[[#This Row],[Age]]&gt;=30,Employee__2[[#This Row],[Gender]]="Male"),"Mached","Not mached")</f>
        <v>Mached</v>
      </c>
    </row>
    <row r="4573" spans="4:16" x14ac:dyDescent="0.25">
      <c r="D4573" s="6" t="s">
        <v>34</v>
      </c>
      <c r="E4573">
        <v>2014</v>
      </c>
      <c r="F4573" s="6" t="s">
        <v>35</v>
      </c>
      <c r="G4573">
        <v>3</v>
      </c>
      <c r="H4573">
        <v>32</v>
      </c>
      <c r="I4573" s="6" t="s">
        <v>36</v>
      </c>
      <c r="J4573" s="6" t="s">
        <v>37</v>
      </c>
      <c r="K4573">
        <v>2</v>
      </c>
      <c r="M4573" s="1" t="b">
        <f>Employee__2[[#This Row],[Experience]]&gt;1</f>
        <v>1</v>
      </c>
      <c r="N4573" s="1" t="str">
        <f>IF(Employee__2[[#This Row],[City]]="Pune","Yes","No")</f>
        <v>No</v>
      </c>
      <c r="O4573" s="1" t="str">
        <f>IF(AND(Employee__2[[#This Row],[Education]]="Bachelors",Employee__2[[#This Row],[City]]="Pune"),"Yes","No")</f>
        <v>No</v>
      </c>
      <c r="P4573" s="1" t="str">
        <f>IF(OR(Employee__2[[#This Row],[Age]]&gt;=30,Employee__2[[#This Row],[Gender]]="Male"),"Mached","Not mached")</f>
        <v>Mached</v>
      </c>
    </row>
    <row r="4574" spans="4:16" x14ac:dyDescent="0.25">
      <c r="D4574" s="6" t="s">
        <v>34</v>
      </c>
      <c r="E4574">
        <v>2017</v>
      </c>
      <c r="F4574" s="6" t="s">
        <v>40</v>
      </c>
      <c r="G4574">
        <v>2</v>
      </c>
      <c r="H4574">
        <v>37</v>
      </c>
      <c r="I4574" s="6" t="s">
        <v>39</v>
      </c>
      <c r="J4574" s="6" t="s">
        <v>37</v>
      </c>
      <c r="K4574">
        <v>3</v>
      </c>
      <c r="M4574" s="1" t="b">
        <f>Employee__2[[#This Row],[Experience]]&gt;1</f>
        <v>1</v>
      </c>
      <c r="N4574" s="1" t="str">
        <f>IF(Employee__2[[#This Row],[City]]="Pune","Yes","No")</f>
        <v>No</v>
      </c>
      <c r="O4574" s="1" t="str">
        <f>IF(AND(Employee__2[[#This Row],[Education]]="Bachelors",Employee__2[[#This Row],[City]]="Pune"),"Yes","No")</f>
        <v>No</v>
      </c>
      <c r="P4574" s="1" t="str">
        <f>IF(OR(Employee__2[[#This Row],[Age]]&gt;=30,Employee__2[[#This Row],[Gender]]="Male"),"Mached","Not mached")</f>
        <v>Mached</v>
      </c>
    </row>
    <row r="4575" spans="4:16" x14ac:dyDescent="0.25">
      <c r="D4575" s="6" t="s">
        <v>34</v>
      </c>
      <c r="E4575">
        <v>2014</v>
      </c>
      <c r="F4575" s="6" t="s">
        <v>38</v>
      </c>
      <c r="G4575">
        <v>1</v>
      </c>
      <c r="H4575">
        <v>22</v>
      </c>
      <c r="I4575" s="6" t="s">
        <v>39</v>
      </c>
      <c r="J4575" s="6" t="s">
        <v>37</v>
      </c>
      <c r="K4575">
        <v>0</v>
      </c>
      <c r="M4575" s="1" t="b">
        <f>Employee__2[[#This Row],[Experience]]&gt;1</f>
        <v>0</v>
      </c>
      <c r="N4575" s="1" t="str">
        <f>IF(Employee__2[[#This Row],[City]]="Pune","Yes","No")</f>
        <v>Yes</v>
      </c>
      <c r="O4575" s="1" t="str">
        <f>IF(AND(Employee__2[[#This Row],[Education]]="Bachelors",Employee__2[[#This Row],[City]]="Pune"),"Yes","No")</f>
        <v>Yes</v>
      </c>
      <c r="P4575" s="1" t="str">
        <f>IF(OR(Employee__2[[#This Row],[Age]]&gt;=30,Employee__2[[#This Row],[Gender]]="Male"),"Mached","Not mached")</f>
        <v>Not mached</v>
      </c>
    </row>
    <row r="4576" spans="4:16" x14ac:dyDescent="0.25">
      <c r="D4576" s="6" t="s">
        <v>34</v>
      </c>
      <c r="E4576">
        <v>2015</v>
      </c>
      <c r="F4576" s="6" t="s">
        <v>35</v>
      </c>
      <c r="G4576">
        <v>3</v>
      </c>
      <c r="H4576">
        <v>32</v>
      </c>
      <c r="I4576" s="6" t="s">
        <v>39</v>
      </c>
      <c r="J4576" s="6" t="s">
        <v>37</v>
      </c>
      <c r="K4576">
        <v>4</v>
      </c>
      <c r="M4576" s="1" t="b">
        <f>Employee__2[[#This Row],[Experience]]&gt;1</f>
        <v>1</v>
      </c>
      <c r="N4576" s="1" t="str">
        <f>IF(Employee__2[[#This Row],[City]]="Pune","Yes","No")</f>
        <v>No</v>
      </c>
      <c r="O4576" s="1" t="str">
        <f>IF(AND(Employee__2[[#This Row],[Education]]="Bachelors",Employee__2[[#This Row],[City]]="Pune"),"Yes","No")</f>
        <v>No</v>
      </c>
      <c r="P4576" s="1" t="str">
        <f>IF(OR(Employee__2[[#This Row],[Age]]&gt;=30,Employee__2[[#This Row],[Gender]]="Male"),"Mached","Not mached")</f>
        <v>Mached</v>
      </c>
    </row>
    <row r="4577" spans="4:16" x14ac:dyDescent="0.25">
      <c r="D4577" s="6" t="s">
        <v>34</v>
      </c>
      <c r="E4577">
        <v>2016</v>
      </c>
      <c r="F4577" s="6" t="s">
        <v>35</v>
      </c>
      <c r="G4577">
        <v>3</v>
      </c>
      <c r="H4577">
        <v>37</v>
      </c>
      <c r="I4577" s="6" t="s">
        <v>36</v>
      </c>
      <c r="J4577" s="6" t="s">
        <v>37</v>
      </c>
      <c r="K4577">
        <v>2</v>
      </c>
      <c r="M4577" s="1" t="b">
        <f>Employee__2[[#This Row],[Experience]]&gt;1</f>
        <v>1</v>
      </c>
      <c r="N4577" s="1" t="str">
        <f>IF(Employee__2[[#This Row],[City]]="Pune","Yes","No")</f>
        <v>No</v>
      </c>
      <c r="O4577" s="1" t="str">
        <f>IF(AND(Employee__2[[#This Row],[Education]]="Bachelors",Employee__2[[#This Row],[City]]="Pune"),"Yes","No")</f>
        <v>No</v>
      </c>
      <c r="P4577" s="1" t="str">
        <f>IF(OR(Employee__2[[#This Row],[Age]]&gt;=30,Employee__2[[#This Row],[Gender]]="Male"),"Mached","Not mached")</f>
        <v>Mached</v>
      </c>
    </row>
    <row r="4578" spans="4:16" x14ac:dyDescent="0.25">
      <c r="D4578" s="6" t="s">
        <v>34</v>
      </c>
      <c r="E4578">
        <v>2014</v>
      </c>
      <c r="F4578" s="6" t="s">
        <v>35</v>
      </c>
      <c r="G4578">
        <v>3</v>
      </c>
      <c r="H4578">
        <v>36</v>
      </c>
      <c r="I4578" s="6" t="s">
        <v>36</v>
      </c>
      <c r="J4578" s="6" t="s">
        <v>37</v>
      </c>
      <c r="K4578">
        <v>3</v>
      </c>
      <c r="M4578" s="1" t="b">
        <f>Employee__2[[#This Row],[Experience]]&gt;1</f>
        <v>1</v>
      </c>
      <c r="N4578" s="1" t="str">
        <f>IF(Employee__2[[#This Row],[City]]="Pune","Yes","No")</f>
        <v>No</v>
      </c>
      <c r="O4578" s="1" t="str">
        <f>IF(AND(Employee__2[[#This Row],[Education]]="Bachelors",Employee__2[[#This Row],[City]]="Pune"),"Yes","No")</f>
        <v>No</v>
      </c>
      <c r="P4578" s="1" t="str">
        <f>IF(OR(Employee__2[[#This Row],[Age]]&gt;=30,Employee__2[[#This Row],[Gender]]="Male"),"Mached","Not mached")</f>
        <v>Mached</v>
      </c>
    </row>
    <row r="4579" spans="4:16" x14ac:dyDescent="0.25">
      <c r="D4579" s="6" t="s">
        <v>34</v>
      </c>
      <c r="E4579">
        <v>2013</v>
      </c>
      <c r="F4579" s="6" t="s">
        <v>38</v>
      </c>
      <c r="G4579">
        <v>3</v>
      </c>
      <c r="H4579">
        <v>24</v>
      </c>
      <c r="I4579" s="6" t="s">
        <v>36</v>
      </c>
      <c r="J4579" s="6" t="s">
        <v>42</v>
      </c>
      <c r="K4579">
        <v>2</v>
      </c>
      <c r="M4579" s="1" t="b">
        <f>Employee__2[[#This Row],[Experience]]&gt;1</f>
        <v>1</v>
      </c>
      <c r="N4579" s="1" t="str">
        <f>IF(Employee__2[[#This Row],[City]]="Pune","Yes","No")</f>
        <v>Yes</v>
      </c>
      <c r="O4579" s="1" t="str">
        <f>IF(AND(Employee__2[[#This Row],[Education]]="Bachelors",Employee__2[[#This Row],[City]]="Pune"),"Yes","No")</f>
        <v>Yes</v>
      </c>
      <c r="P4579" s="1" t="str">
        <f>IF(OR(Employee__2[[#This Row],[Age]]&gt;=30,Employee__2[[#This Row],[Gender]]="Male"),"Mached","Not mached")</f>
        <v>Mached</v>
      </c>
    </row>
    <row r="4580" spans="4:16" x14ac:dyDescent="0.25">
      <c r="D4580" s="6" t="s">
        <v>41</v>
      </c>
      <c r="E4580">
        <v>2017</v>
      </c>
      <c r="F4580" s="6" t="s">
        <v>40</v>
      </c>
      <c r="G4580">
        <v>3</v>
      </c>
      <c r="H4580">
        <v>40</v>
      </c>
      <c r="I4580" s="6" t="s">
        <v>36</v>
      </c>
      <c r="J4580" s="6" t="s">
        <v>37</v>
      </c>
      <c r="K4580">
        <v>2</v>
      </c>
      <c r="M4580" s="1" t="b">
        <f>Employee__2[[#This Row],[Experience]]&gt;1</f>
        <v>1</v>
      </c>
      <c r="N4580" s="1" t="str">
        <f>IF(Employee__2[[#This Row],[City]]="Pune","Yes","No")</f>
        <v>No</v>
      </c>
      <c r="O4580" s="1" t="str">
        <f>IF(AND(Employee__2[[#This Row],[Education]]="Bachelors",Employee__2[[#This Row],[City]]="Pune"),"Yes","No")</f>
        <v>No</v>
      </c>
      <c r="P4580" s="1" t="str">
        <f>IF(OR(Employee__2[[#This Row],[Age]]&gt;=30,Employee__2[[#This Row],[Gender]]="Male"),"Mached","Not mached")</f>
        <v>Mached</v>
      </c>
    </row>
    <row r="4581" spans="4:16" x14ac:dyDescent="0.25">
      <c r="D4581" s="6" t="s">
        <v>34</v>
      </c>
      <c r="E4581">
        <v>2014</v>
      </c>
      <c r="F4581" s="6" t="s">
        <v>35</v>
      </c>
      <c r="G4581">
        <v>3</v>
      </c>
      <c r="H4581">
        <v>39</v>
      </c>
      <c r="I4581" s="6" t="s">
        <v>36</v>
      </c>
      <c r="J4581" s="6" t="s">
        <v>37</v>
      </c>
      <c r="K4581">
        <v>3</v>
      </c>
      <c r="M4581" s="1" t="b">
        <f>Employee__2[[#This Row],[Experience]]&gt;1</f>
        <v>1</v>
      </c>
      <c r="N4581" s="1" t="str">
        <f>IF(Employee__2[[#This Row],[City]]="Pune","Yes","No")</f>
        <v>No</v>
      </c>
      <c r="O4581" s="1" t="str">
        <f>IF(AND(Employee__2[[#This Row],[Education]]="Bachelors",Employee__2[[#This Row],[City]]="Pune"),"Yes","No")</f>
        <v>No</v>
      </c>
      <c r="P4581" s="1" t="str">
        <f>IF(OR(Employee__2[[#This Row],[Age]]&gt;=30,Employee__2[[#This Row],[Gender]]="Male"),"Mached","Not mached")</f>
        <v>Mached</v>
      </c>
    </row>
    <row r="4582" spans="4:16" x14ac:dyDescent="0.25">
      <c r="D4582" s="6" t="s">
        <v>34</v>
      </c>
      <c r="E4582">
        <v>2013</v>
      </c>
      <c r="F4582" s="6" t="s">
        <v>35</v>
      </c>
      <c r="G4582">
        <v>3</v>
      </c>
      <c r="H4582">
        <v>24</v>
      </c>
      <c r="I4582" s="6" t="s">
        <v>36</v>
      </c>
      <c r="J4582" s="6" t="s">
        <v>37</v>
      </c>
      <c r="K4582">
        <v>2</v>
      </c>
      <c r="M4582" s="1" t="b">
        <f>Employee__2[[#This Row],[Experience]]&gt;1</f>
        <v>1</v>
      </c>
      <c r="N4582" s="1" t="str">
        <f>IF(Employee__2[[#This Row],[City]]="Pune","Yes","No")</f>
        <v>No</v>
      </c>
      <c r="O4582" s="1" t="str">
        <f>IF(AND(Employee__2[[#This Row],[Education]]="Bachelors",Employee__2[[#This Row],[City]]="Pune"),"Yes","No")</f>
        <v>No</v>
      </c>
      <c r="P4582" s="1" t="str">
        <f>IF(OR(Employee__2[[#This Row],[Age]]&gt;=30,Employee__2[[#This Row],[Gender]]="Male"),"Mached","Not mached")</f>
        <v>Mached</v>
      </c>
    </row>
    <row r="4583" spans="4:16" x14ac:dyDescent="0.25">
      <c r="D4583" s="6" t="s">
        <v>34</v>
      </c>
      <c r="E4583">
        <v>2016</v>
      </c>
      <c r="F4583" s="6" t="s">
        <v>35</v>
      </c>
      <c r="G4583">
        <v>3</v>
      </c>
      <c r="H4583">
        <v>25</v>
      </c>
      <c r="I4583" s="6" t="s">
        <v>36</v>
      </c>
      <c r="J4583" s="6" t="s">
        <v>37</v>
      </c>
      <c r="K4583">
        <v>3</v>
      </c>
      <c r="M4583" s="1" t="b">
        <f>Employee__2[[#This Row],[Experience]]&gt;1</f>
        <v>1</v>
      </c>
      <c r="N4583" s="1" t="str">
        <f>IF(Employee__2[[#This Row],[City]]="Pune","Yes","No")</f>
        <v>No</v>
      </c>
      <c r="O4583" s="1" t="str">
        <f>IF(AND(Employee__2[[#This Row],[Education]]="Bachelors",Employee__2[[#This Row],[City]]="Pune"),"Yes","No")</f>
        <v>No</v>
      </c>
      <c r="P4583" s="1" t="str">
        <f>IF(OR(Employee__2[[#This Row],[Age]]&gt;=30,Employee__2[[#This Row],[Gender]]="Male"),"Mached","Not mached")</f>
        <v>Mached</v>
      </c>
    </row>
    <row r="4584" spans="4:16" x14ac:dyDescent="0.25">
      <c r="D4584" s="6" t="s">
        <v>34</v>
      </c>
      <c r="E4584">
        <v>2018</v>
      </c>
      <c r="F4584" s="6" t="s">
        <v>35</v>
      </c>
      <c r="G4584">
        <v>3</v>
      </c>
      <c r="H4584">
        <v>26</v>
      </c>
      <c r="I4584" s="6" t="s">
        <v>36</v>
      </c>
      <c r="J4584" s="6" t="s">
        <v>37</v>
      </c>
      <c r="K4584">
        <v>4</v>
      </c>
      <c r="M4584" s="1" t="b">
        <f>Employee__2[[#This Row],[Experience]]&gt;1</f>
        <v>1</v>
      </c>
      <c r="N4584" s="1" t="str">
        <f>IF(Employee__2[[#This Row],[City]]="Pune","Yes","No")</f>
        <v>No</v>
      </c>
      <c r="O4584" s="1" t="str">
        <f>IF(AND(Employee__2[[#This Row],[Education]]="Bachelors",Employee__2[[#This Row],[City]]="Pune"),"Yes","No")</f>
        <v>No</v>
      </c>
      <c r="P4584" s="1" t="str">
        <f>IF(OR(Employee__2[[#This Row],[Age]]&gt;=30,Employee__2[[#This Row],[Gender]]="Male"),"Mached","Not mached")</f>
        <v>Mached</v>
      </c>
    </row>
    <row r="4585" spans="4:16" x14ac:dyDescent="0.25">
      <c r="D4585" s="6" t="s">
        <v>34</v>
      </c>
      <c r="E4585">
        <v>2017</v>
      </c>
      <c r="F4585" s="6" t="s">
        <v>40</v>
      </c>
      <c r="G4585">
        <v>2</v>
      </c>
      <c r="H4585">
        <v>33</v>
      </c>
      <c r="I4585" s="6" t="s">
        <v>36</v>
      </c>
      <c r="J4585" s="6" t="s">
        <v>37</v>
      </c>
      <c r="K4585">
        <v>3</v>
      </c>
      <c r="M4585" s="1" t="b">
        <f>Employee__2[[#This Row],[Experience]]&gt;1</f>
        <v>1</v>
      </c>
      <c r="N4585" s="1" t="str">
        <f>IF(Employee__2[[#This Row],[City]]="Pune","Yes","No")</f>
        <v>No</v>
      </c>
      <c r="O4585" s="1" t="str">
        <f>IF(AND(Employee__2[[#This Row],[Education]]="Bachelors",Employee__2[[#This Row],[City]]="Pune"),"Yes","No")</f>
        <v>No</v>
      </c>
      <c r="P4585" s="1" t="str">
        <f>IF(OR(Employee__2[[#This Row],[Age]]&gt;=30,Employee__2[[#This Row],[Gender]]="Male"),"Mached","Not mached")</f>
        <v>Mached</v>
      </c>
    </row>
    <row r="4586" spans="4:16" x14ac:dyDescent="0.25">
      <c r="D4586" s="6" t="s">
        <v>34</v>
      </c>
      <c r="E4586">
        <v>2016</v>
      </c>
      <c r="F4586" s="6" t="s">
        <v>38</v>
      </c>
      <c r="G4586">
        <v>3</v>
      </c>
      <c r="H4586">
        <v>36</v>
      </c>
      <c r="I4586" s="6" t="s">
        <v>36</v>
      </c>
      <c r="J4586" s="6" t="s">
        <v>42</v>
      </c>
      <c r="K4586">
        <v>3</v>
      </c>
      <c r="M4586" s="1" t="b">
        <f>Employee__2[[#This Row],[Experience]]&gt;1</f>
        <v>1</v>
      </c>
      <c r="N4586" s="1" t="str">
        <f>IF(Employee__2[[#This Row],[City]]="Pune","Yes","No")</f>
        <v>Yes</v>
      </c>
      <c r="O4586" s="1" t="str">
        <f>IF(AND(Employee__2[[#This Row],[Education]]="Bachelors",Employee__2[[#This Row],[City]]="Pune"),"Yes","No")</f>
        <v>Yes</v>
      </c>
      <c r="P4586" s="1" t="str">
        <f>IF(OR(Employee__2[[#This Row],[Age]]&gt;=30,Employee__2[[#This Row],[Gender]]="Male"),"Mached","Not mached")</f>
        <v>Mached</v>
      </c>
    </row>
    <row r="4587" spans="4:16" x14ac:dyDescent="0.25">
      <c r="D4587" s="6" t="s">
        <v>34</v>
      </c>
      <c r="E4587">
        <v>2015</v>
      </c>
      <c r="F4587" s="6" t="s">
        <v>38</v>
      </c>
      <c r="G4587">
        <v>1</v>
      </c>
      <c r="H4587">
        <v>39</v>
      </c>
      <c r="I4587" s="6" t="s">
        <v>36</v>
      </c>
      <c r="J4587" s="6" t="s">
        <v>37</v>
      </c>
      <c r="K4587">
        <v>1</v>
      </c>
      <c r="M4587" s="1" t="b">
        <f>Employee__2[[#This Row],[Experience]]&gt;1</f>
        <v>0</v>
      </c>
      <c r="N4587" s="1" t="str">
        <f>IF(Employee__2[[#This Row],[City]]="Pune","Yes","No")</f>
        <v>Yes</v>
      </c>
      <c r="O4587" s="1" t="str">
        <f>IF(AND(Employee__2[[#This Row],[Education]]="Bachelors",Employee__2[[#This Row],[City]]="Pune"),"Yes","No")</f>
        <v>Yes</v>
      </c>
      <c r="P4587" s="1" t="str">
        <f>IF(OR(Employee__2[[#This Row],[Age]]&gt;=30,Employee__2[[#This Row],[Gender]]="Male"),"Mached","Not mached")</f>
        <v>Mached</v>
      </c>
    </row>
    <row r="4588" spans="4:16" x14ac:dyDescent="0.25">
      <c r="D4588" s="6" t="s">
        <v>34</v>
      </c>
      <c r="E4588">
        <v>2014</v>
      </c>
      <c r="F4588" s="6" t="s">
        <v>35</v>
      </c>
      <c r="G4588">
        <v>3</v>
      </c>
      <c r="H4588">
        <v>34</v>
      </c>
      <c r="I4588" s="6" t="s">
        <v>36</v>
      </c>
      <c r="J4588" s="6" t="s">
        <v>37</v>
      </c>
      <c r="K4588">
        <v>4</v>
      </c>
      <c r="M4588" s="1" t="b">
        <f>Employee__2[[#This Row],[Experience]]&gt;1</f>
        <v>1</v>
      </c>
      <c r="N4588" s="1" t="str">
        <f>IF(Employee__2[[#This Row],[City]]="Pune","Yes","No")</f>
        <v>No</v>
      </c>
      <c r="O4588" s="1" t="str">
        <f>IF(AND(Employee__2[[#This Row],[Education]]="Bachelors",Employee__2[[#This Row],[City]]="Pune"),"Yes","No")</f>
        <v>No</v>
      </c>
      <c r="P4588" s="1" t="str">
        <f>IF(OR(Employee__2[[#This Row],[Age]]&gt;=30,Employee__2[[#This Row],[Gender]]="Male"),"Mached","Not mached")</f>
        <v>Mached</v>
      </c>
    </row>
    <row r="4589" spans="4:16" x14ac:dyDescent="0.25">
      <c r="D4589" s="6" t="s">
        <v>34</v>
      </c>
      <c r="E4589">
        <v>2014</v>
      </c>
      <c r="F4589" s="6" t="s">
        <v>40</v>
      </c>
      <c r="G4589">
        <v>2</v>
      </c>
      <c r="H4589">
        <v>23</v>
      </c>
      <c r="I4589" s="6" t="s">
        <v>39</v>
      </c>
      <c r="J4589" s="6" t="s">
        <v>37</v>
      </c>
      <c r="K4589">
        <v>1</v>
      </c>
      <c r="M4589" s="1" t="b">
        <f>Employee__2[[#This Row],[Experience]]&gt;1</f>
        <v>0</v>
      </c>
      <c r="N4589" s="1" t="str">
        <f>IF(Employee__2[[#This Row],[City]]="Pune","Yes","No")</f>
        <v>No</v>
      </c>
      <c r="O4589" s="1" t="str">
        <f>IF(AND(Employee__2[[#This Row],[Education]]="Bachelors",Employee__2[[#This Row],[City]]="Pune"),"Yes","No")</f>
        <v>No</v>
      </c>
      <c r="P4589" s="1" t="str">
        <f>IF(OR(Employee__2[[#This Row],[Age]]&gt;=30,Employee__2[[#This Row],[Gender]]="Male"),"Mached","Not mached")</f>
        <v>Not mached</v>
      </c>
    </row>
    <row r="4590" spans="4:16" x14ac:dyDescent="0.25">
      <c r="D4590" s="6" t="s">
        <v>34</v>
      </c>
      <c r="E4590">
        <v>2014</v>
      </c>
      <c r="F4590" s="6" t="s">
        <v>38</v>
      </c>
      <c r="G4590">
        <v>1</v>
      </c>
      <c r="H4590">
        <v>33</v>
      </c>
      <c r="I4590" s="6" t="s">
        <v>39</v>
      </c>
      <c r="J4590" s="6" t="s">
        <v>37</v>
      </c>
      <c r="K4590">
        <v>2</v>
      </c>
      <c r="M4590" s="1" t="b">
        <f>Employee__2[[#This Row],[Experience]]&gt;1</f>
        <v>1</v>
      </c>
      <c r="N4590" s="1" t="str">
        <f>IF(Employee__2[[#This Row],[City]]="Pune","Yes","No")</f>
        <v>Yes</v>
      </c>
      <c r="O4590" s="1" t="str">
        <f>IF(AND(Employee__2[[#This Row],[Education]]="Bachelors",Employee__2[[#This Row],[City]]="Pune"),"Yes","No")</f>
        <v>Yes</v>
      </c>
      <c r="P4590" s="1" t="str">
        <f>IF(OR(Employee__2[[#This Row],[Age]]&gt;=30,Employee__2[[#This Row],[Gender]]="Male"),"Mached","Not mached")</f>
        <v>Mached</v>
      </c>
    </row>
    <row r="4591" spans="4:16" x14ac:dyDescent="0.25">
      <c r="D4591" s="6" t="s">
        <v>34</v>
      </c>
      <c r="E4591">
        <v>2013</v>
      </c>
      <c r="F4591" s="6" t="s">
        <v>35</v>
      </c>
      <c r="G4591">
        <v>3</v>
      </c>
      <c r="H4591">
        <v>31</v>
      </c>
      <c r="I4591" s="6" t="s">
        <v>36</v>
      </c>
      <c r="J4591" s="6" t="s">
        <v>37</v>
      </c>
      <c r="K4591">
        <v>3</v>
      </c>
      <c r="M4591" s="1" t="b">
        <f>Employee__2[[#This Row],[Experience]]&gt;1</f>
        <v>1</v>
      </c>
      <c r="N4591" s="1" t="str">
        <f>IF(Employee__2[[#This Row],[City]]="Pune","Yes","No")</f>
        <v>No</v>
      </c>
      <c r="O4591" s="1" t="str">
        <f>IF(AND(Employee__2[[#This Row],[Education]]="Bachelors",Employee__2[[#This Row],[City]]="Pune"),"Yes","No")</f>
        <v>No</v>
      </c>
      <c r="P4591" s="1" t="str">
        <f>IF(OR(Employee__2[[#This Row],[Age]]&gt;=30,Employee__2[[#This Row],[Gender]]="Male"),"Mached","Not mached")</f>
        <v>Mached</v>
      </c>
    </row>
    <row r="4592" spans="4:16" x14ac:dyDescent="0.25">
      <c r="D4592" s="6" t="s">
        <v>34</v>
      </c>
      <c r="E4592">
        <v>2015</v>
      </c>
      <c r="F4592" s="6" t="s">
        <v>35</v>
      </c>
      <c r="G4592">
        <v>3</v>
      </c>
      <c r="H4592">
        <v>39</v>
      </c>
      <c r="I4592" s="6" t="s">
        <v>39</v>
      </c>
      <c r="J4592" s="6" t="s">
        <v>37</v>
      </c>
      <c r="K4592">
        <v>0</v>
      </c>
      <c r="M4592" s="1" t="b">
        <f>Employee__2[[#This Row],[Experience]]&gt;1</f>
        <v>0</v>
      </c>
      <c r="N4592" s="1" t="str">
        <f>IF(Employee__2[[#This Row],[City]]="Pune","Yes","No")</f>
        <v>No</v>
      </c>
      <c r="O4592" s="1" t="str">
        <f>IF(AND(Employee__2[[#This Row],[Education]]="Bachelors",Employee__2[[#This Row],[City]]="Pune"),"Yes","No")</f>
        <v>No</v>
      </c>
      <c r="P4592" s="1" t="str">
        <f>IF(OR(Employee__2[[#This Row],[Age]]&gt;=30,Employee__2[[#This Row],[Gender]]="Male"),"Mached","Not mached")</f>
        <v>Mached</v>
      </c>
    </row>
    <row r="4593" spans="4:16" x14ac:dyDescent="0.25">
      <c r="D4593" s="6" t="s">
        <v>34</v>
      </c>
      <c r="E4593">
        <v>2017</v>
      </c>
      <c r="F4593" s="6" t="s">
        <v>35</v>
      </c>
      <c r="G4593">
        <v>3</v>
      </c>
      <c r="H4593">
        <v>36</v>
      </c>
      <c r="I4593" s="6" t="s">
        <v>36</v>
      </c>
      <c r="J4593" s="6" t="s">
        <v>37</v>
      </c>
      <c r="K4593">
        <v>4</v>
      </c>
      <c r="M4593" s="1" t="b">
        <f>Employee__2[[#This Row],[Experience]]&gt;1</f>
        <v>1</v>
      </c>
      <c r="N4593" s="1" t="str">
        <f>IF(Employee__2[[#This Row],[City]]="Pune","Yes","No")</f>
        <v>No</v>
      </c>
      <c r="O4593" s="1" t="str">
        <f>IF(AND(Employee__2[[#This Row],[Education]]="Bachelors",Employee__2[[#This Row],[City]]="Pune"),"Yes","No")</f>
        <v>No</v>
      </c>
      <c r="P4593" s="1" t="str">
        <f>IF(OR(Employee__2[[#This Row],[Age]]&gt;=30,Employee__2[[#This Row],[Gender]]="Male"),"Mached","Not mached")</f>
        <v>Mached</v>
      </c>
    </row>
    <row r="4594" spans="4:16" x14ac:dyDescent="0.25">
      <c r="D4594" s="6" t="s">
        <v>34</v>
      </c>
      <c r="E4594">
        <v>2015</v>
      </c>
      <c r="F4594" s="6" t="s">
        <v>35</v>
      </c>
      <c r="G4594">
        <v>3</v>
      </c>
      <c r="H4594">
        <v>28</v>
      </c>
      <c r="I4594" s="6" t="s">
        <v>36</v>
      </c>
      <c r="J4594" s="6" t="s">
        <v>37</v>
      </c>
      <c r="K4594">
        <v>1</v>
      </c>
      <c r="M4594" s="1" t="b">
        <f>Employee__2[[#This Row],[Experience]]&gt;1</f>
        <v>0</v>
      </c>
      <c r="N4594" s="1" t="str">
        <f>IF(Employee__2[[#This Row],[City]]="Pune","Yes","No")</f>
        <v>No</v>
      </c>
      <c r="O4594" s="1" t="str">
        <f>IF(AND(Employee__2[[#This Row],[Education]]="Bachelors",Employee__2[[#This Row],[City]]="Pune"),"Yes","No")</f>
        <v>No</v>
      </c>
      <c r="P4594" s="1" t="str">
        <f>IF(OR(Employee__2[[#This Row],[Age]]&gt;=30,Employee__2[[#This Row],[Gender]]="Male"),"Mached","Not mached")</f>
        <v>Mached</v>
      </c>
    </row>
    <row r="4595" spans="4:16" x14ac:dyDescent="0.25">
      <c r="D4595" s="6" t="s">
        <v>34</v>
      </c>
      <c r="E4595">
        <v>2013</v>
      </c>
      <c r="F4595" s="6" t="s">
        <v>40</v>
      </c>
      <c r="G4595">
        <v>3</v>
      </c>
      <c r="H4595">
        <v>28</v>
      </c>
      <c r="I4595" s="6" t="s">
        <v>39</v>
      </c>
      <c r="J4595" s="6" t="s">
        <v>37</v>
      </c>
      <c r="K4595">
        <v>0</v>
      </c>
      <c r="M4595" s="1" t="b">
        <f>Employee__2[[#This Row],[Experience]]&gt;1</f>
        <v>0</v>
      </c>
      <c r="N4595" s="1" t="str">
        <f>IF(Employee__2[[#This Row],[City]]="Pune","Yes","No")</f>
        <v>No</v>
      </c>
      <c r="O4595" s="1" t="str">
        <f>IF(AND(Employee__2[[#This Row],[Education]]="Bachelors",Employee__2[[#This Row],[City]]="Pune"),"Yes","No")</f>
        <v>No</v>
      </c>
      <c r="P4595" s="1" t="str">
        <f>IF(OR(Employee__2[[#This Row],[Age]]&gt;=30,Employee__2[[#This Row],[Gender]]="Male"),"Mached","Not mached")</f>
        <v>Not mached</v>
      </c>
    </row>
    <row r="4596" spans="4:16" x14ac:dyDescent="0.25">
      <c r="D4596" s="6" t="s">
        <v>41</v>
      </c>
      <c r="E4596">
        <v>2017</v>
      </c>
      <c r="F4596" s="6" t="s">
        <v>40</v>
      </c>
      <c r="G4596">
        <v>2</v>
      </c>
      <c r="H4596">
        <v>24</v>
      </c>
      <c r="I4596" s="6" t="s">
        <v>36</v>
      </c>
      <c r="J4596" s="6" t="s">
        <v>37</v>
      </c>
      <c r="K4596">
        <v>2</v>
      </c>
      <c r="M4596" s="1" t="b">
        <f>Employee__2[[#This Row],[Experience]]&gt;1</f>
        <v>1</v>
      </c>
      <c r="N4596" s="1" t="str">
        <f>IF(Employee__2[[#This Row],[City]]="Pune","Yes","No")</f>
        <v>No</v>
      </c>
      <c r="O4596" s="1" t="str">
        <f>IF(AND(Employee__2[[#This Row],[Education]]="Bachelors",Employee__2[[#This Row],[City]]="Pune"),"Yes","No")</f>
        <v>No</v>
      </c>
      <c r="P4596" s="1" t="str">
        <f>IF(OR(Employee__2[[#This Row],[Age]]&gt;=30,Employee__2[[#This Row],[Gender]]="Male"),"Mached","Not mached")</f>
        <v>Mached</v>
      </c>
    </row>
    <row r="4597" spans="4:16" x14ac:dyDescent="0.25">
      <c r="D4597" s="6" t="s">
        <v>34</v>
      </c>
      <c r="E4597">
        <v>2013</v>
      </c>
      <c r="F4597" s="6" t="s">
        <v>35</v>
      </c>
      <c r="G4597">
        <v>3</v>
      </c>
      <c r="H4597">
        <v>36</v>
      </c>
      <c r="I4597" s="6" t="s">
        <v>39</v>
      </c>
      <c r="J4597" s="6" t="s">
        <v>37</v>
      </c>
      <c r="K4597">
        <v>0</v>
      </c>
      <c r="M4597" s="1" t="b">
        <f>Employee__2[[#This Row],[Experience]]&gt;1</f>
        <v>0</v>
      </c>
      <c r="N4597" s="1" t="str">
        <f>IF(Employee__2[[#This Row],[City]]="Pune","Yes","No")</f>
        <v>No</v>
      </c>
      <c r="O4597" s="1" t="str">
        <f>IF(AND(Employee__2[[#This Row],[Education]]="Bachelors",Employee__2[[#This Row],[City]]="Pune"),"Yes","No")</f>
        <v>No</v>
      </c>
      <c r="P4597" s="1" t="str">
        <f>IF(OR(Employee__2[[#This Row],[Age]]&gt;=30,Employee__2[[#This Row],[Gender]]="Male"),"Mached","Not mached")</f>
        <v>Mached</v>
      </c>
    </row>
    <row r="4598" spans="4:16" x14ac:dyDescent="0.25">
      <c r="D4598" s="6" t="s">
        <v>34</v>
      </c>
      <c r="E4598">
        <v>2014</v>
      </c>
      <c r="F4598" s="6" t="s">
        <v>35</v>
      </c>
      <c r="G4598">
        <v>3</v>
      </c>
      <c r="H4598">
        <v>30</v>
      </c>
      <c r="I4598" s="6" t="s">
        <v>36</v>
      </c>
      <c r="J4598" s="6" t="s">
        <v>37</v>
      </c>
      <c r="K4598">
        <v>1</v>
      </c>
      <c r="M4598" s="1" t="b">
        <f>Employee__2[[#This Row],[Experience]]&gt;1</f>
        <v>0</v>
      </c>
      <c r="N4598" s="1" t="str">
        <f>IF(Employee__2[[#This Row],[City]]="Pune","Yes","No")</f>
        <v>No</v>
      </c>
      <c r="O4598" s="1" t="str">
        <f>IF(AND(Employee__2[[#This Row],[Education]]="Bachelors",Employee__2[[#This Row],[City]]="Pune"),"Yes","No")</f>
        <v>No</v>
      </c>
      <c r="P4598" s="1" t="str">
        <f>IF(OR(Employee__2[[#This Row],[Age]]&gt;=30,Employee__2[[#This Row],[Gender]]="Male"),"Mached","Not mached")</f>
        <v>Mached</v>
      </c>
    </row>
    <row r="4599" spans="4:16" x14ac:dyDescent="0.25">
      <c r="D4599" s="6" t="s">
        <v>34</v>
      </c>
      <c r="E4599">
        <v>2018</v>
      </c>
      <c r="F4599" s="6" t="s">
        <v>40</v>
      </c>
      <c r="G4599">
        <v>3</v>
      </c>
      <c r="H4599">
        <v>27</v>
      </c>
      <c r="I4599" s="6" t="s">
        <v>39</v>
      </c>
      <c r="J4599" s="6" t="s">
        <v>37</v>
      </c>
      <c r="K4599">
        <v>5</v>
      </c>
      <c r="M4599" s="1" t="b">
        <f>Employee__2[[#This Row],[Experience]]&gt;1</f>
        <v>1</v>
      </c>
      <c r="N4599" s="1" t="str">
        <f>IF(Employee__2[[#This Row],[City]]="Pune","Yes","No")</f>
        <v>No</v>
      </c>
      <c r="O4599" s="1" t="str">
        <f>IF(AND(Employee__2[[#This Row],[Education]]="Bachelors",Employee__2[[#This Row],[City]]="Pune"),"Yes","No")</f>
        <v>No</v>
      </c>
      <c r="P4599" s="1" t="str">
        <f>IF(OR(Employee__2[[#This Row],[Age]]&gt;=30,Employee__2[[#This Row],[Gender]]="Male"),"Mached","Not mached")</f>
        <v>Not mached</v>
      </c>
    </row>
    <row r="4600" spans="4:16" x14ac:dyDescent="0.25">
      <c r="D4600" s="6" t="s">
        <v>34</v>
      </c>
      <c r="E4600">
        <v>2012</v>
      </c>
      <c r="F4600" s="6" t="s">
        <v>35</v>
      </c>
      <c r="G4600">
        <v>3</v>
      </c>
      <c r="H4600">
        <v>25</v>
      </c>
      <c r="I4600" s="6" t="s">
        <v>36</v>
      </c>
      <c r="J4600" s="6" t="s">
        <v>37</v>
      </c>
      <c r="K4600">
        <v>3</v>
      </c>
      <c r="M4600" s="1" t="b">
        <f>Employee__2[[#This Row],[Experience]]&gt;1</f>
        <v>1</v>
      </c>
      <c r="N4600" s="1" t="str">
        <f>IF(Employee__2[[#This Row],[City]]="Pune","Yes","No")</f>
        <v>No</v>
      </c>
      <c r="O4600" s="1" t="str">
        <f>IF(AND(Employee__2[[#This Row],[Education]]="Bachelors",Employee__2[[#This Row],[City]]="Pune"),"Yes","No")</f>
        <v>No</v>
      </c>
      <c r="P4600" s="1" t="str">
        <f>IF(OR(Employee__2[[#This Row],[Age]]&gt;=30,Employee__2[[#This Row],[Gender]]="Male"),"Mached","Not mached")</f>
        <v>Mached</v>
      </c>
    </row>
    <row r="4601" spans="4:16" x14ac:dyDescent="0.25">
      <c r="D4601" s="6" t="s">
        <v>34</v>
      </c>
      <c r="E4601">
        <v>2018</v>
      </c>
      <c r="F4601" s="6" t="s">
        <v>35</v>
      </c>
      <c r="G4601">
        <v>3</v>
      </c>
      <c r="H4601">
        <v>31</v>
      </c>
      <c r="I4601" s="6" t="s">
        <v>36</v>
      </c>
      <c r="J4601" s="6" t="s">
        <v>37</v>
      </c>
      <c r="K4601">
        <v>0</v>
      </c>
      <c r="M4601" s="1" t="b">
        <f>Employee__2[[#This Row],[Experience]]&gt;1</f>
        <v>0</v>
      </c>
      <c r="N4601" s="1" t="str">
        <f>IF(Employee__2[[#This Row],[City]]="Pune","Yes","No")</f>
        <v>No</v>
      </c>
      <c r="O4601" s="1" t="str">
        <f>IF(AND(Employee__2[[#This Row],[Education]]="Bachelors",Employee__2[[#This Row],[City]]="Pune"),"Yes","No")</f>
        <v>No</v>
      </c>
      <c r="P4601" s="1" t="str">
        <f>IF(OR(Employee__2[[#This Row],[Age]]&gt;=30,Employee__2[[#This Row],[Gender]]="Male"),"Mached","Not mached")</f>
        <v>Mached</v>
      </c>
    </row>
    <row r="4602" spans="4:16" x14ac:dyDescent="0.25">
      <c r="D4602" s="6" t="s">
        <v>34</v>
      </c>
      <c r="E4602">
        <v>2013</v>
      </c>
      <c r="F4602" s="6" t="s">
        <v>35</v>
      </c>
      <c r="G4602">
        <v>3</v>
      </c>
      <c r="H4602">
        <v>36</v>
      </c>
      <c r="I4602" s="6" t="s">
        <v>36</v>
      </c>
      <c r="J4602" s="6" t="s">
        <v>37</v>
      </c>
      <c r="K4602">
        <v>0</v>
      </c>
      <c r="M4602" s="1" t="b">
        <f>Employee__2[[#This Row],[Experience]]&gt;1</f>
        <v>0</v>
      </c>
      <c r="N4602" s="1" t="str">
        <f>IF(Employee__2[[#This Row],[City]]="Pune","Yes","No")</f>
        <v>No</v>
      </c>
      <c r="O4602" s="1" t="str">
        <f>IF(AND(Employee__2[[#This Row],[Education]]="Bachelors",Employee__2[[#This Row],[City]]="Pune"),"Yes","No")</f>
        <v>No</v>
      </c>
      <c r="P4602" s="1" t="str">
        <f>IF(OR(Employee__2[[#This Row],[Age]]&gt;=30,Employee__2[[#This Row],[Gender]]="Male"),"Mached","Not mached")</f>
        <v>Mached</v>
      </c>
    </row>
    <row r="4603" spans="4:16" x14ac:dyDescent="0.25">
      <c r="D4603" s="6" t="s">
        <v>34</v>
      </c>
      <c r="E4603">
        <v>2017</v>
      </c>
      <c r="F4603" s="6" t="s">
        <v>40</v>
      </c>
      <c r="G4603">
        <v>2</v>
      </c>
      <c r="H4603">
        <v>31</v>
      </c>
      <c r="I4603" s="6" t="s">
        <v>36</v>
      </c>
      <c r="J4603" s="6" t="s">
        <v>37</v>
      </c>
      <c r="K4603">
        <v>1</v>
      </c>
      <c r="M4603" s="1" t="b">
        <f>Employee__2[[#This Row],[Experience]]&gt;1</f>
        <v>0</v>
      </c>
      <c r="N4603" s="1" t="str">
        <f>IF(Employee__2[[#This Row],[City]]="Pune","Yes","No")</f>
        <v>No</v>
      </c>
      <c r="O4603" s="1" t="str">
        <f>IF(AND(Employee__2[[#This Row],[Education]]="Bachelors",Employee__2[[#This Row],[City]]="Pune"),"Yes","No")</f>
        <v>No</v>
      </c>
      <c r="P4603" s="1" t="str">
        <f>IF(OR(Employee__2[[#This Row],[Age]]&gt;=30,Employee__2[[#This Row],[Gender]]="Male"),"Mached","Not mached")</f>
        <v>Mached</v>
      </c>
    </row>
    <row r="4604" spans="4:16" x14ac:dyDescent="0.25">
      <c r="D4604" s="6" t="s">
        <v>34</v>
      </c>
      <c r="E4604">
        <v>2016</v>
      </c>
      <c r="F4604" s="6" t="s">
        <v>35</v>
      </c>
      <c r="G4604">
        <v>3</v>
      </c>
      <c r="H4604">
        <v>37</v>
      </c>
      <c r="I4604" s="6" t="s">
        <v>36</v>
      </c>
      <c r="J4604" s="6" t="s">
        <v>37</v>
      </c>
      <c r="K4604">
        <v>2</v>
      </c>
      <c r="M4604" s="1" t="b">
        <f>Employee__2[[#This Row],[Experience]]&gt;1</f>
        <v>1</v>
      </c>
      <c r="N4604" s="1" t="str">
        <f>IF(Employee__2[[#This Row],[City]]="Pune","Yes","No")</f>
        <v>No</v>
      </c>
      <c r="O4604" s="1" t="str">
        <f>IF(AND(Employee__2[[#This Row],[Education]]="Bachelors",Employee__2[[#This Row],[City]]="Pune"),"Yes","No")</f>
        <v>No</v>
      </c>
      <c r="P4604" s="1" t="str">
        <f>IF(OR(Employee__2[[#This Row],[Age]]&gt;=30,Employee__2[[#This Row],[Gender]]="Male"),"Mached","Not mached")</f>
        <v>Mached</v>
      </c>
    </row>
    <row r="4605" spans="4:16" x14ac:dyDescent="0.25">
      <c r="D4605" s="6" t="s">
        <v>34</v>
      </c>
      <c r="E4605">
        <v>2015</v>
      </c>
      <c r="F4605" s="6" t="s">
        <v>35</v>
      </c>
      <c r="G4605">
        <v>3</v>
      </c>
      <c r="H4605">
        <v>39</v>
      </c>
      <c r="I4605" s="6" t="s">
        <v>36</v>
      </c>
      <c r="J4605" s="6" t="s">
        <v>37</v>
      </c>
      <c r="K4605">
        <v>2</v>
      </c>
      <c r="M4605" s="1" t="b">
        <f>Employee__2[[#This Row],[Experience]]&gt;1</f>
        <v>1</v>
      </c>
      <c r="N4605" s="1" t="str">
        <f>IF(Employee__2[[#This Row],[City]]="Pune","Yes","No")</f>
        <v>No</v>
      </c>
      <c r="O4605" s="1" t="str">
        <f>IF(AND(Employee__2[[#This Row],[Education]]="Bachelors",Employee__2[[#This Row],[City]]="Pune"),"Yes","No")</f>
        <v>No</v>
      </c>
      <c r="P4605" s="1" t="str">
        <f>IF(OR(Employee__2[[#This Row],[Age]]&gt;=30,Employee__2[[#This Row],[Gender]]="Male"),"Mached","Not mached")</f>
        <v>Mached</v>
      </c>
    </row>
    <row r="4606" spans="4:16" x14ac:dyDescent="0.25">
      <c r="D4606" s="6" t="s">
        <v>34</v>
      </c>
      <c r="E4606">
        <v>2014</v>
      </c>
      <c r="F4606" s="6" t="s">
        <v>35</v>
      </c>
      <c r="G4606">
        <v>3</v>
      </c>
      <c r="H4606">
        <v>28</v>
      </c>
      <c r="I4606" s="6" t="s">
        <v>36</v>
      </c>
      <c r="J4606" s="6" t="s">
        <v>37</v>
      </c>
      <c r="K4606">
        <v>4</v>
      </c>
      <c r="M4606" s="1" t="b">
        <f>Employee__2[[#This Row],[Experience]]&gt;1</f>
        <v>1</v>
      </c>
      <c r="N4606" s="1" t="str">
        <f>IF(Employee__2[[#This Row],[City]]="Pune","Yes","No")</f>
        <v>No</v>
      </c>
      <c r="O4606" s="1" t="str">
        <f>IF(AND(Employee__2[[#This Row],[Education]]="Bachelors",Employee__2[[#This Row],[City]]="Pune"),"Yes","No")</f>
        <v>No</v>
      </c>
      <c r="P4606" s="1" t="str">
        <f>IF(OR(Employee__2[[#This Row],[Age]]&gt;=30,Employee__2[[#This Row],[Gender]]="Male"),"Mached","Not mached")</f>
        <v>Mached</v>
      </c>
    </row>
    <row r="4607" spans="4:16" x14ac:dyDescent="0.25">
      <c r="D4607" s="6" t="s">
        <v>34</v>
      </c>
      <c r="E4607">
        <v>2015</v>
      </c>
      <c r="F4607" s="6" t="s">
        <v>38</v>
      </c>
      <c r="G4607">
        <v>2</v>
      </c>
      <c r="H4607">
        <v>38</v>
      </c>
      <c r="I4607" s="6" t="s">
        <v>36</v>
      </c>
      <c r="J4607" s="6" t="s">
        <v>37</v>
      </c>
      <c r="K4607">
        <v>2</v>
      </c>
      <c r="M4607" s="1" t="b">
        <f>Employee__2[[#This Row],[Experience]]&gt;1</f>
        <v>1</v>
      </c>
      <c r="N4607" s="1" t="str">
        <f>IF(Employee__2[[#This Row],[City]]="Pune","Yes","No")</f>
        <v>Yes</v>
      </c>
      <c r="O4607" s="1" t="str">
        <f>IF(AND(Employee__2[[#This Row],[Education]]="Bachelors",Employee__2[[#This Row],[City]]="Pune"),"Yes","No")</f>
        <v>Yes</v>
      </c>
      <c r="P4607" s="1" t="str">
        <f>IF(OR(Employee__2[[#This Row],[Age]]&gt;=30,Employee__2[[#This Row],[Gender]]="Male"),"Mached","Not mached")</f>
        <v>Mached</v>
      </c>
    </row>
    <row r="4608" spans="4:16" x14ac:dyDescent="0.25">
      <c r="D4608" s="6" t="s">
        <v>41</v>
      </c>
      <c r="E4608">
        <v>2017</v>
      </c>
      <c r="F4608" s="6" t="s">
        <v>40</v>
      </c>
      <c r="G4608">
        <v>3</v>
      </c>
      <c r="H4608">
        <v>40</v>
      </c>
      <c r="I4608" s="6" t="s">
        <v>39</v>
      </c>
      <c r="J4608" s="6" t="s">
        <v>37</v>
      </c>
      <c r="K4608">
        <v>1</v>
      </c>
      <c r="M4608" s="1" t="b">
        <f>Employee__2[[#This Row],[Experience]]&gt;1</f>
        <v>0</v>
      </c>
      <c r="N4608" s="1" t="str">
        <f>IF(Employee__2[[#This Row],[City]]="Pune","Yes","No")</f>
        <v>No</v>
      </c>
      <c r="O4608" s="1" t="str">
        <f>IF(AND(Employee__2[[#This Row],[Education]]="Bachelors",Employee__2[[#This Row],[City]]="Pune"),"Yes","No")</f>
        <v>No</v>
      </c>
      <c r="P4608" s="1" t="str">
        <f>IF(OR(Employee__2[[#This Row],[Age]]&gt;=30,Employee__2[[#This Row],[Gender]]="Male"),"Mached","Not mached")</f>
        <v>Mached</v>
      </c>
    </row>
    <row r="4609" spans="4:16" x14ac:dyDescent="0.25">
      <c r="D4609" s="6" t="s">
        <v>41</v>
      </c>
      <c r="E4609">
        <v>2015</v>
      </c>
      <c r="F4609" s="6" t="s">
        <v>35</v>
      </c>
      <c r="G4609">
        <v>3</v>
      </c>
      <c r="H4609">
        <v>38</v>
      </c>
      <c r="I4609" s="6" t="s">
        <v>39</v>
      </c>
      <c r="J4609" s="6" t="s">
        <v>37</v>
      </c>
      <c r="K4609">
        <v>1</v>
      </c>
      <c r="M4609" s="1" t="b">
        <f>Employee__2[[#This Row],[Experience]]&gt;1</f>
        <v>0</v>
      </c>
      <c r="N4609" s="1" t="str">
        <f>IF(Employee__2[[#This Row],[City]]="Pune","Yes","No")</f>
        <v>No</v>
      </c>
      <c r="O4609" s="1" t="str">
        <f>IF(AND(Employee__2[[#This Row],[Education]]="Bachelors",Employee__2[[#This Row],[City]]="Pune"),"Yes","No")</f>
        <v>No</v>
      </c>
      <c r="P4609" s="1" t="str">
        <f>IF(OR(Employee__2[[#This Row],[Age]]&gt;=30,Employee__2[[#This Row],[Gender]]="Male"),"Mached","Not mached")</f>
        <v>Mached</v>
      </c>
    </row>
    <row r="4610" spans="4:16" x14ac:dyDescent="0.25">
      <c r="D4610" s="6" t="s">
        <v>43</v>
      </c>
      <c r="E4610">
        <v>2014</v>
      </c>
      <c r="F4610" s="6" t="s">
        <v>40</v>
      </c>
      <c r="G4610">
        <v>3</v>
      </c>
      <c r="H4610">
        <v>23</v>
      </c>
      <c r="I4610" s="6" t="s">
        <v>36</v>
      </c>
      <c r="J4610" s="6" t="s">
        <v>37</v>
      </c>
      <c r="K4610">
        <v>1</v>
      </c>
      <c r="M4610" s="1" t="b">
        <f>Employee__2[[#This Row],[Experience]]&gt;1</f>
        <v>0</v>
      </c>
      <c r="N4610" s="1" t="str">
        <f>IF(Employee__2[[#This Row],[City]]="Pune","Yes","No")</f>
        <v>No</v>
      </c>
      <c r="O4610" s="1" t="str">
        <f>IF(AND(Employee__2[[#This Row],[Education]]="Bachelors",Employee__2[[#This Row],[City]]="Pune"),"Yes","No")</f>
        <v>No</v>
      </c>
      <c r="P4610" s="1" t="str">
        <f>IF(OR(Employee__2[[#This Row],[Age]]&gt;=30,Employee__2[[#This Row],[Gender]]="Male"),"Mached","Not mached")</f>
        <v>Mached</v>
      </c>
    </row>
    <row r="4611" spans="4:16" x14ac:dyDescent="0.25">
      <c r="D4611" s="6" t="s">
        <v>34</v>
      </c>
      <c r="E4611">
        <v>2015</v>
      </c>
      <c r="F4611" s="6" t="s">
        <v>35</v>
      </c>
      <c r="G4611">
        <v>3</v>
      </c>
      <c r="H4611">
        <v>39</v>
      </c>
      <c r="I4611" s="6" t="s">
        <v>36</v>
      </c>
      <c r="J4611" s="6" t="s">
        <v>37</v>
      </c>
      <c r="K4611">
        <v>2</v>
      </c>
      <c r="M4611" s="1" t="b">
        <f>Employee__2[[#This Row],[Experience]]&gt;1</f>
        <v>1</v>
      </c>
      <c r="N4611" s="1" t="str">
        <f>IF(Employee__2[[#This Row],[City]]="Pune","Yes","No")</f>
        <v>No</v>
      </c>
      <c r="O4611" s="1" t="str">
        <f>IF(AND(Employee__2[[#This Row],[Education]]="Bachelors",Employee__2[[#This Row],[City]]="Pune"),"Yes","No")</f>
        <v>No</v>
      </c>
      <c r="P4611" s="1" t="str">
        <f>IF(OR(Employee__2[[#This Row],[Age]]&gt;=30,Employee__2[[#This Row],[Gender]]="Male"),"Mached","Not mached")</f>
        <v>Mached</v>
      </c>
    </row>
    <row r="4612" spans="4:16" x14ac:dyDescent="0.25">
      <c r="D4612" s="6" t="s">
        <v>34</v>
      </c>
      <c r="E4612">
        <v>2014</v>
      </c>
      <c r="F4612" s="6" t="s">
        <v>38</v>
      </c>
      <c r="G4612">
        <v>1</v>
      </c>
      <c r="H4612">
        <v>22</v>
      </c>
      <c r="I4612" s="6" t="s">
        <v>39</v>
      </c>
      <c r="J4612" s="6" t="s">
        <v>37</v>
      </c>
      <c r="K4612">
        <v>0</v>
      </c>
      <c r="M4612" s="1" t="b">
        <f>Employee__2[[#This Row],[Experience]]&gt;1</f>
        <v>0</v>
      </c>
      <c r="N4612" s="1" t="str">
        <f>IF(Employee__2[[#This Row],[City]]="Pune","Yes","No")</f>
        <v>Yes</v>
      </c>
      <c r="O4612" s="1" t="str">
        <f>IF(AND(Employee__2[[#This Row],[Education]]="Bachelors",Employee__2[[#This Row],[City]]="Pune"),"Yes","No")</f>
        <v>Yes</v>
      </c>
      <c r="P4612" s="1" t="str">
        <f>IF(OR(Employee__2[[#This Row],[Age]]&gt;=30,Employee__2[[#This Row],[Gender]]="Male"),"Mached","Not mached")</f>
        <v>Not mached</v>
      </c>
    </row>
    <row r="4613" spans="4:16" x14ac:dyDescent="0.25">
      <c r="D4613" s="6" t="s">
        <v>34</v>
      </c>
      <c r="E4613">
        <v>2015</v>
      </c>
      <c r="F4613" s="6" t="s">
        <v>38</v>
      </c>
      <c r="G4613">
        <v>3</v>
      </c>
      <c r="H4613">
        <v>24</v>
      </c>
      <c r="I4613" s="6" t="s">
        <v>39</v>
      </c>
      <c r="J4613" s="6" t="s">
        <v>37</v>
      </c>
      <c r="K4613">
        <v>2</v>
      </c>
      <c r="M4613" s="1" t="b">
        <f>Employee__2[[#This Row],[Experience]]&gt;1</f>
        <v>1</v>
      </c>
      <c r="N4613" s="1" t="str">
        <f>IF(Employee__2[[#This Row],[City]]="Pune","Yes","No")</f>
        <v>Yes</v>
      </c>
      <c r="O4613" s="1" t="str">
        <f>IF(AND(Employee__2[[#This Row],[Education]]="Bachelors",Employee__2[[#This Row],[City]]="Pune"),"Yes","No")</f>
        <v>Yes</v>
      </c>
      <c r="P4613" s="1" t="str">
        <f>IF(OR(Employee__2[[#This Row],[Age]]&gt;=30,Employee__2[[#This Row],[Gender]]="Male"),"Mached","Not mached")</f>
        <v>Not mached</v>
      </c>
    </row>
    <row r="4614" spans="4:16" x14ac:dyDescent="0.25">
      <c r="D4614" s="6" t="s">
        <v>41</v>
      </c>
      <c r="E4614">
        <v>2014</v>
      </c>
      <c r="F4614" s="6" t="s">
        <v>40</v>
      </c>
      <c r="G4614">
        <v>3</v>
      </c>
      <c r="H4614">
        <v>24</v>
      </c>
      <c r="I4614" s="6" t="s">
        <v>36</v>
      </c>
      <c r="J4614" s="6" t="s">
        <v>37</v>
      </c>
      <c r="K4614">
        <v>2</v>
      </c>
      <c r="M4614" s="1" t="b">
        <f>Employee__2[[#This Row],[Experience]]&gt;1</f>
        <v>1</v>
      </c>
      <c r="N4614" s="1" t="str">
        <f>IF(Employee__2[[#This Row],[City]]="Pune","Yes","No")</f>
        <v>No</v>
      </c>
      <c r="O4614" s="1" t="str">
        <f>IF(AND(Employee__2[[#This Row],[Education]]="Bachelors",Employee__2[[#This Row],[City]]="Pune"),"Yes","No")</f>
        <v>No</v>
      </c>
      <c r="P4614" s="1" t="str">
        <f>IF(OR(Employee__2[[#This Row],[Age]]&gt;=30,Employee__2[[#This Row],[Gender]]="Male"),"Mached","Not mached")</f>
        <v>Mached</v>
      </c>
    </row>
    <row r="4615" spans="4:16" x14ac:dyDescent="0.25">
      <c r="D4615" s="6" t="s">
        <v>34</v>
      </c>
      <c r="E4615">
        <v>2012</v>
      </c>
      <c r="F4615" s="6" t="s">
        <v>35</v>
      </c>
      <c r="G4615">
        <v>3</v>
      </c>
      <c r="H4615">
        <v>23</v>
      </c>
      <c r="I4615" s="6" t="s">
        <v>39</v>
      </c>
      <c r="J4615" s="6" t="s">
        <v>37</v>
      </c>
      <c r="K4615">
        <v>1</v>
      </c>
      <c r="M4615" s="1" t="b">
        <f>Employee__2[[#This Row],[Experience]]&gt;1</f>
        <v>0</v>
      </c>
      <c r="N4615" s="1" t="str">
        <f>IF(Employee__2[[#This Row],[City]]="Pune","Yes","No")</f>
        <v>No</v>
      </c>
      <c r="O4615" s="1" t="str">
        <f>IF(AND(Employee__2[[#This Row],[Education]]="Bachelors",Employee__2[[#This Row],[City]]="Pune"),"Yes","No")</f>
        <v>No</v>
      </c>
      <c r="P4615" s="1" t="str">
        <f>IF(OR(Employee__2[[#This Row],[Age]]&gt;=30,Employee__2[[#This Row],[Gender]]="Male"),"Mached","Not mached")</f>
        <v>Not mached</v>
      </c>
    </row>
    <row r="4616" spans="4:16" x14ac:dyDescent="0.25">
      <c r="D4616" s="6" t="s">
        <v>34</v>
      </c>
      <c r="E4616">
        <v>2014</v>
      </c>
      <c r="F4616" s="6" t="s">
        <v>35</v>
      </c>
      <c r="G4616">
        <v>3</v>
      </c>
      <c r="H4616">
        <v>30</v>
      </c>
      <c r="I4616" s="6" t="s">
        <v>36</v>
      </c>
      <c r="J4616" s="6" t="s">
        <v>37</v>
      </c>
      <c r="K4616">
        <v>4</v>
      </c>
      <c r="M4616" s="1" t="b">
        <f>Employee__2[[#This Row],[Experience]]&gt;1</f>
        <v>1</v>
      </c>
      <c r="N4616" s="1" t="str">
        <f>IF(Employee__2[[#This Row],[City]]="Pune","Yes","No")</f>
        <v>No</v>
      </c>
      <c r="O4616" s="1" t="str">
        <f>IF(AND(Employee__2[[#This Row],[Education]]="Bachelors",Employee__2[[#This Row],[City]]="Pune"),"Yes","No")</f>
        <v>No</v>
      </c>
      <c r="P4616" s="1" t="str">
        <f>IF(OR(Employee__2[[#This Row],[Age]]&gt;=30,Employee__2[[#This Row],[Gender]]="Male"),"Mached","Not mached")</f>
        <v>Mached</v>
      </c>
    </row>
    <row r="4617" spans="4:16" x14ac:dyDescent="0.25">
      <c r="D4617" s="6" t="s">
        <v>34</v>
      </c>
      <c r="E4617">
        <v>2016</v>
      </c>
      <c r="F4617" s="6" t="s">
        <v>40</v>
      </c>
      <c r="G4617">
        <v>3</v>
      </c>
      <c r="H4617">
        <v>25</v>
      </c>
      <c r="I4617" s="6" t="s">
        <v>39</v>
      </c>
      <c r="J4617" s="6" t="s">
        <v>37</v>
      </c>
      <c r="K4617">
        <v>3</v>
      </c>
      <c r="M4617" s="1" t="b">
        <f>Employee__2[[#This Row],[Experience]]&gt;1</f>
        <v>1</v>
      </c>
      <c r="N4617" s="1" t="str">
        <f>IF(Employee__2[[#This Row],[City]]="Pune","Yes","No")</f>
        <v>No</v>
      </c>
      <c r="O4617" s="1" t="str">
        <f>IF(AND(Employee__2[[#This Row],[Education]]="Bachelors",Employee__2[[#This Row],[City]]="Pune"),"Yes","No")</f>
        <v>No</v>
      </c>
      <c r="P4617" s="1" t="str">
        <f>IF(OR(Employee__2[[#This Row],[Age]]&gt;=30,Employee__2[[#This Row],[Gender]]="Male"),"Mached","Not mached")</f>
        <v>Not mached</v>
      </c>
    </row>
    <row r="4618" spans="4:16" x14ac:dyDescent="0.25">
      <c r="D4618" s="6" t="s">
        <v>34</v>
      </c>
      <c r="E4618">
        <v>2013</v>
      </c>
      <c r="F4618" s="6" t="s">
        <v>35</v>
      </c>
      <c r="G4618">
        <v>3</v>
      </c>
      <c r="H4618">
        <v>34</v>
      </c>
      <c r="I4618" s="6" t="s">
        <v>36</v>
      </c>
      <c r="J4618" s="6" t="s">
        <v>37</v>
      </c>
      <c r="K4618">
        <v>4</v>
      </c>
      <c r="M4618" s="1" t="b">
        <f>Employee__2[[#This Row],[Experience]]&gt;1</f>
        <v>1</v>
      </c>
      <c r="N4618" s="1" t="str">
        <f>IF(Employee__2[[#This Row],[City]]="Pune","Yes","No")</f>
        <v>No</v>
      </c>
      <c r="O4618" s="1" t="str">
        <f>IF(AND(Employee__2[[#This Row],[Education]]="Bachelors",Employee__2[[#This Row],[City]]="Pune"),"Yes","No")</f>
        <v>No</v>
      </c>
      <c r="P4618" s="1" t="str">
        <f>IF(OR(Employee__2[[#This Row],[Age]]&gt;=30,Employee__2[[#This Row],[Gender]]="Male"),"Mached","Not mached")</f>
        <v>Mached</v>
      </c>
    </row>
    <row r="4619" spans="4:16" x14ac:dyDescent="0.25">
      <c r="D4619" s="6" t="s">
        <v>41</v>
      </c>
      <c r="E4619">
        <v>2015</v>
      </c>
      <c r="F4619" s="6" t="s">
        <v>40</v>
      </c>
      <c r="G4619">
        <v>3</v>
      </c>
      <c r="H4619">
        <v>40</v>
      </c>
      <c r="I4619" s="6" t="s">
        <v>39</v>
      </c>
      <c r="J4619" s="6" t="s">
        <v>37</v>
      </c>
      <c r="K4619">
        <v>5</v>
      </c>
      <c r="M4619" s="1" t="b">
        <f>Employee__2[[#This Row],[Experience]]&gt;1</f>
        <v>1</v>
      </c>
      <c r="N4619" s="1" t="str">
        <f>IF(Employee__2[[#This Row],[City]]="Pune","Yes","No")</f>
        <v>No</v>
      </c>
      <c r="O4619" s="1" t="str">
        <f>IF(AND(Employee__2[[#This Row],[Education]]="Bachelors",Employee__2[[#This Row],[City]]="Pune"),"Yes","No")</f>
        <v>No</v>
      </c>
      <c r="P4619" s="1" t="str">
        <f>IF(OR(Employee__2[[#This Row],[Age]]&gt;=30,Employee__2[[#This Row],[Gender]]="Male"),"Mached","Not mached")</f>
        <v>Mached</v>
      </c>
    </row>
    <row r="4620" spans="4:16" x14ac:dyDescent="0.25">
      <c r="D4620" s="6" t="s">
        <v>34</v>
      </c>
      <c r="E4620">
        <v>2012</v>
      </c>
      <c r="F4620" s="6" t="s">
        <v>35</v>
      </c>
      <c r="G4620">
        <v>3</v>
      </c>
      <c r="H4620">
        <v>39</v>
      </c>
      <c r="I4620" s="6" t="s">
        <v>39</v>
      </c>
      <c r="J4620" s="6" t="s">
        <v>37</v>
      </c>
      <c r="K4620">
        <v>1</v>
      </c>
      <c r="M4620" s="1" t="b">
        <f>Employee__2[[#This Row],[Experience]]&gt;1</f>
        <v>0</v>
      </c>
      <c r="N4620" s="1" t="str">
        <f>IF(Employee__2[[#This Row],[City]]="Pune","Yes","No")</f>
        <v>No</v>
      </c>
      <c r="O4620" s="1" t="str">
        <f>IF(AND(Employee__2[[#This Row],[Education]]="Bachelors",Employee__2[[#This Row],[City]]="Pune"),"Yes","No")</f>
        <v>No</v>
      </c>
      <c r="P4620" s="1" t="str">
        <f>IF(OR(Employee__2[[#This Row],[Age]]&gt;=30,Employee__2[[#This Row],[Gender]]="Male"),"Mached","Not mached")</f>
        <v>Mached</v>
      </c>
    </row>
    <row r="4621" spans="4:16" x14ac:dyDescent="0.25">
      <c r="D4621" s="6" t="s">
        <v>41</v>
      </c>
      <c r="E4621">
        <v>2017</v>
      </c>
      <c r="F4621" s="6" t="s">
        <v>40</v>
      </c>
      <c r="G4621">
        <v>3</v>
      </c>
      <c r="H4621">
        <v>38</v>
      </c>
      <c r="I4621" s="6" t="s">
        <v>39</v>
      </c>
      <c r="J4621" s="6" t="s">
        <v>37</v>
      </c>
      <c r="K4621">
        <v>2</v>
      </c>
      <c r="M4621" s="1" t="b">
        <f>Employee__2[[#This Row],[Experience]]&gt;1</f>
        <v>1</v>
      </c>
      <c r="N4621" s="1" t="str">
        <f>IF(Employee__2[[#This Row],[City]]="Pune","Yes","No")</f>
        <v>No</v>
      </c>
      <c r="O4621" s="1" t="str">
        <f>IF(AND(Employee__2[[#This Row],[Education]]="Bachelors",Employee__2[[#This Row],[City]]="Pune"),"Yes","No")</f>
        <v>No</v>
      </c>
      <c r="P4621" s="1" t="str">
        <f>IF(OR(Employee__2[[#This Row],[Age]]&gt;=30,Employee__2[[#This Row],[Gender]]="Male"),"Mached","Not mached")</f>
        <v>Mached</v>
      </c>
    </row>
    <row r="4622" spans="4:16" x14ac:dyDescent="0.25">
      <c r="D4622" s="6" t="s">
        <v>34</v>
      </c>
      <c r="E4622">
        <v>2016</v>
      </c>
      <c r="F4622" s="6" t="s">
        <v>38</v>
      </c>
      <c r="G4622">
        <v>3</v>
      </c>
      <c r="H4622">
        <v>38</v>
      </c>
      <c r="I4622" s="6" t="s">
        <v>36</v>
      </c>
      <c r="J4622" s="6" t="s">
        <v>37</v>
      </c>
      <c r="K4622">
        <v>2</v>
      </c>
      <c r="M4622" s="1" t="b">
        <f>Employee__2[[#This Row],[Experience]]&gt;1</f>
        <v>1</v>
      </c>
      <c r="N4622" s="1" t="str">
        <f>IF(Employee__2[[#This Row],[City]]="Pune","Yes","No")</f>
        <v>Yes</v>
      </c>
      <c r="O4622" s="1" t="str">
        <f>IF(AND(Employee__2[[#This Row],[Education]]="Bachelors",Employee__2[[#This Row],[City]]="Pune"),"Yes","No")</f>
        <v>Yes</v>
      </c>
      <c r="P4622" s="1" t="str">
        <f>IF(OR(Employee__2[[#This Row],[Age]]&gt;=30,Employee__2[[#This Row],[Gender]]="Male"),"Mached","Not mached")</f>
        <v>Mached</v>
      </c>
    </row>
    <row r="4623" spans="4:16" x14ac:dyDescent="0.25">
      <c r="D4623" s="6" t="s">
        <v>34</v>
      </c>
      <c r="E4623">
        <v>2015</v>
      </c>
      <c r="F4623" s="6" t="s">
        <v>38</v>
      </c>
      <c r="G4623">
        <v>2</v>
      </c>
      <c r="H4623">
        <v>38</v>
      </c>
      <c r="I4623" s="6" t="s">
        <v>39</v>
      </c>
      <c r="J4623" s="6" t="s">
        <v>37</v>
      </c>
      <c r="K4623">
        <v>4</v>
      </c>
      <c r="M4623" s="1" t="b">
        <f>Employee__2[[#This Row],[Experience]]&gt;1</f>
        <v>1</v>
      </c>
      <c r="N4623" s="1" t="str">
        <f>IF(Employee__2[[#This Row],[City]]="Pune","Yes","No")</f>
        <v>Yes</v>
      </c>
      <c r="O4623" s="1" t="str">
        <f>IF(AND(Employee__2[[#This Row],[Education]]="Bachelors",Employee__2[[#This Row],[City]]="Pune"),"Yes","No")</f>
        <v>Yes</v>
      </c>
      <c r="P4623" s="1" t="str">
        <f>IF(OR(Employee__2[[#This Row],[Age]]&gt;=30,Employee__2[[#This Row],[Gender]]="Male"),"Mached","Not mached")</f>
        <v>Mached</v>
      </c>
    </row>
    <row r="4624" spans="4:16" x14ac:dyDescent="0.25">
      <c r="D4624" s="6" t="s">
        <v>34</v>
      </c>
      <c r="E4624">
        <v>2015</v>
      </c>
      <c r="F4624" s="6" t="s">
        <v>35</v>
      </c>
      <c r="G4624">
        <v>3</v>
      </c>
      <c r="H4624">
        <v>31</v>
      </c>
      <c r="I4624" s="6" t="s">
        <v>36</v>
      </c>
      <c r="J4624" s="6" t="s">
        <v>37</v>
      </c>
      <c r="K4624">
        <v>5</v>
      </c>
      <c r="M4624" s="1" t="b">
        <f>Employee__2[[#This Row],[Experience]]&gt;1</f>
        <v>1</v>
      </c>
      <c r="N4624" s="1" t="str">
        <f>IF(Employee__2[[#This Row],[City]]="Pune","Yes","No")</f>
        <v>No</v>
      </c>
      <c r="O4624" s="1" t="str">
        <f>IF(AND(Employee__2[[#This Row],[Education]]="Bachelors",Employee__2[[#This Row],[City]]="Pune"),"Yes","No")</f>
        <v>No</v>
      </c>
      <c r="P4624" s="1" t="str">
        <f>IF(OR(Employee__2[[#This Row],[Age]]&gt;=30,Employee__2[[#This Row],[Gender]]="Male"),"Mached","Not mached")</f>
        <v>Mached</v>
      </c>
    </row>
    <row r="4625" spans="4:16" x14ac:dyDescent="0.25">
      <c r="D4625" s="6" t="s">
        <v>34</v>
      </c>
      <c r="E4625">
        <v>2017</v>
      </c>
      <c r="F4625" s="6" t="s">
        <v>38</v>
      </c>
      <c r="G4625">
        <v>1</v>
      </c>
      <c r="H4625">
        <v>30</v>
      </c>
      <c r="I4625" s="6" t="s">
        <v>36</v>
      </c>
      <c r="J4625" s="6" t="s">
        <v>37</v>
      </c>
      <c r="K4625">
        <v>4</v>
      </c>
      <c r="M4625" s="1" t="b">
        <f>Employee__2[[#This Row],[Experience]]&gt;1</f>
        <v>1</v>
      </c>
      <c r="N4625" s="1" t="str">
        <f>IF(Employee__2[[#This Row],[City]]="Pune","Yes","No")</f>
        <v>Yes</v>
      </c>
      <c r="O4625" s="1" t="str">
        <f>IF(AND(Employee__2[[#This Row],[Education]]="Bachelors",Employee__2[[#This Row],[City]]="Pune"),"Yes","No")</f>
        <v>Yes</v>
      </c>
      <c r="P4625" s="1" t="str">
        <f>IF(OR(Employee__2[[#This Row],[Age]]&gt;=30,Employee__2[[#This Row],[Gender]]="Male"),"Mached","Not mached")</f>
        <v>Mached</v>
      </c>
    </row>
    <row r="4626" spans="4:16" x14ac:dyDescent="0.25">
      <c r="D4626" s="6" t="s">
        <v>43</v>
      </c>
      <c r="E4626">
        <v>2013</v>
      </c>
      <c r="F4626" s="6" t="s">
        <v>35</v>
      </c>
      <c r="G4626">
        <v>3</v>
      </c>
      <c r="H4626">
        <v>24</v>
      </c>
      <c r="I4626" s="6" t="s">
        <v>36</v>
      </c>
      <c r="J4626" s="6" t="s">
        <v>37</v>
      </c>
      <c r="K4626">
        <v>2</v>
      </c>
      <c r="M4626" s="1" t="b">
        <f>Employee__2[[#This Row],[Experience]]&gt;1</f>
        <v>1</v>
      </c>
      <c r="N4626" s="1" t="str">
        <f>IF(Employee__2[[#This Row],[City]]="Pune","Yes","No")</f>
        <v>No</v>
      </c>
      <c r="O4626" s="1" t="str">
        <f>IF(AND(Employee__2[[#This Row],[Education]]="Bachelors",Employee__2[[#This Row],[City]]="Pune"),"Yes","No")</f>
        <v>No</v>
      </c>
      <c r="P4626" s="1" t="str">
        <f>IF(OR(Employee__2[[#This Row],[Age]]&gt;=30,Employee__2[[#This Row],[Gender]]="Male"),"Mached","Not mached")</f>
        <v>Mached</v>
      </c>
    </row>
    <row r="4627" spans="4:16" x14ac:dyDescent="0.25">
      <c r="D4627" s="6" t="s">
        <v>34</v>
      </c>
      <c r="E4627">
        <v>2017</v>
      </c>
      <c r="F4627" s="6" t="s">
        <v>35</v>
      </c>
      <c r="G4627">
        <v>3</v>
      </c>
      <c r="H4627">
        <v>38</v>
      </c>
      <c r="I4627" s="6" t="s">
        <v>36</v>
      </c>
      <c r="J4627" s="6" t="s">
        <v>37</v>
      </c>
      <c r="K4627">
        <v>3</v>
      </c>
      <c r="M4627" s="1" t="b">
        <f>Employee__2[[#This Row],[Experience]]&gt;1</f>
        <v>1</v>
      </c>
      <c r="N4627" s="1" t="str">
        <f>IF(Employee__2[[#This Row],[City]]="Pune","Yes","No")</f>
        <v>No</v>
      </c>
      <c r="O4627" s="1" t="str">
        <f>IF(AND(Employee__2[[#This Row],[Education]]="Bachelors",Employee__2[[#This Row],[City]]="Pune"),"Yes","No")</f>
        <v>No</v>
      </c>
      <c r="P4627" s="1" t="str">
        <f>IF(OR(Employee__2[[#This Row],[Age]]&gt;=30,Employee__2[[#This Row],[Gender]]="Male"),"Mached","Not mached")</f>
        <v>Mached</v>
      </c>
    </row>
    <row r="4628" spans="4:16" x14ac:dyDescent="0.25">
      <c r="D4628" s="6" t="s">
        <v>34</v>
      </c>
      <c r="E4628">
        <v>2013</v>
      </c>
      <c r="F4628" s="6" t="s">
        <v>38</v>
      </c>
      <c r="G4628">
        <v>3</v>
      </c>
      <c r="H4628">
        <v>37</v>
      </c>
      <c r="I4628" s="6" t="s">
        <v>36</v>
      </c>
      <c r="J4628" s="6" t="s">
        <v>37</v>
      </c>
      <c r="K4628">
        <v>3</v>
      </c>
      <c r="M4628" s="1" t="b">
        <f>Employee__2[[#This Row],[Experience]]&gt;1</f>
        <v>1</v>
      </c>
      <c r="N4628" s="1" t="str">
        <f>IF(Employee__2[[#This Row],[City]]="Pune","Yes","No")</f>
        <v>Yes</v>
      </c>
      <c r="O4628" s="1" t="str">
        <f>IF(AND(Employee__2[[#This Row],[Education]]="Bachelors",Employee__2[[#This Row],[City]]="Pune"),"Yes","No")</f>
        <v>Yes</v>
      </c>
      <c r="P4628" s="1" t="str">
        <f>IF(OR(Employee__2[[#This Row],[Age]]&gt;=30,Employee__2[[#This Row],[Gender]]="Male"),"Mached","Not mached")</f>
        <v>Mached</v>
      </c>
    </row>
    <row r="4629" spans="4:16" x14ac:dyDescent="0.25">
      <c r="D4629" s="6" t="s">
        <v>34</v>
      </c>
      <c r="E4629">
        <v>2016</v>
      </c>
      <c r="F4629" s="6" t="s">
        <v>35</v>
      </c>
      <c r="G4629">
        <v>3</v>
      </c>
      <c r="H4629">
        <v>22</v>
      </c>
      <c r="I4629" s="6" t="s">
        <v>36</v>
      </c>
      <c r="J4629" s="6" t="s">
        <v>37</v>
      </c>
      <c r="K4629">
        <v>0</v>
      </c>
      <c r="M4629" s="1" t="b">
        <f>Employee__2[[#This Row],[Experience]]&gt;1</f>
        <v>0</v>
      </c>
      <c r="N4629" s="1" t="str">
        <f>IF(Employee__2[[#This Row],[City]]="Pune","Yes","No")</f>
        <v>No</v>
      </c>
      <c r="O4629" s="1" t="str">
        <f>IF(AND(Employee__2[[#This Row],[Education]]="Bachelors",Employee__2[[#This Row],[City]]="Pune"),"Yes","No")</f>
        <v>No</v>
      </c>
      <c r="P4629" s="1" t="str">
        <f>IF(OR(Employee__2[[#This Row],[Age]]&gt;=30,Employee__2[[#This Row],[Gender]]="Male"),"Mached","Not mached")</f>
        <v>Mached</v>
      </c>
    </row>
    <row r="4630" spans="4:16" x14ac:dyDescent="0.25">
      <c r="D4630" s="6" t="s">
        <v>43</v>
      </c>
      <c r="E4630">
        <v>2012</v>
      </c>
      <c r="F4630" s="6" t="s">
        <v>35</v>
      </c>
      <c r="G4630">
        <v>3</v>
      </c>
      <c r="H4630">
        <v>30</v>
      </c>
      <c r="I4630" s="6" t="s">
        <v>39</v>
      </c>
      <c r="J4630" s="6" t="s">
        <v>37</v>
      </c>
      <c r="K4630">
        <v>4</v>
      </c>
      <c r="M4630" s="1" t="b">
        <f>Employee__2[[#This Row],[Experience]]&gt;1</f>
        <v>1</v>
      </c>
      <c r="N4630" s="1" t="str">
        <f>IF(Employee__2[[#This Row],[City]]="Pune","Yes","No")</f>
        <v>No</v>
      </c>
      <c r="O4630" s="1" t="str">
        <f>IF(AND(Employee__2[[#This Row],[Education]]="Bachelors",Employee__2[[#This Row],[City]]="Pune"),"Yes","No")</f>
        <v>No</v>
      </c>
      <c r="P4630" s="1" t="str">
        <f>IF(OR(Employee__2[[#This Row],[Age]]&gt;=30,Employee__2[[#This Row],[Gender]]="Male"),"Mached","Not mached")</f>
        <v>Mached</v>
      </c>
    </row>
    <row r="4631" spans="4:16" x14ac:dyDescent="0.25">
      <c r="D4631" s="6" t="s">
        <v>34</v>
      </c>
      <c r="E4631">
        <v>2013</v>
      </c>
      <c r="F4631" s="6" t="s">
        <v>35</v>
      </c>
      <c r="G4631">
        <v>3</v>
      </c>
      <c r="H4631">
        <v>39</v>
      </c>
      <c r="I4631" s="6" t="s">
        <v>39</v>
      </c>
      <c r="J4631" s="6" t="s">
        <v>37</v>
      </c>
      <c r="K4631">
        <v>5</v>
      </c>
      <c r="M4631" s="1" t="b">
        <f>Employee__2[[#This Row],[Experience]]&gt;1</f>
        <v>1</v>
      </c>
      <c r="N4631" s="1" t="str">
        <f>IF(Employee__2[[#This Row],[City]]="Pune","Yes","No")</f>
        <v>No</v>
      </c>
      <c r="O4631" s="1" t="str">
        <f>IF(AND(Employee__2[[#This Row],[Education]]="Bachelors",Employee__2[[#This Row],[City]]="Pune"),"Yes","No")</f>
        <v>No</v>
      </c>
      <c r="P4631" s="1" t="str">
        <f>IF(OR(Employee__2[[#This Row],[Age]]&gt;=30,Employee__2[[#This Row],[Gender]]="Male"),"Mached","Not mached")</f>
        <v>Mached</v>
      </c>
    </row>
    <row r="4632" spans="4:16" x14ac:dyDescent="0.25">
      <c r="D4632" s="6" t="s">
        <v>34</v>
      </c>
      <c r="E4632">
        <v>2017</v>
      </c>
      <c r="F4632" s="6" t="s">
        <v>35</v>
      </c>
      <c r="G4632">
        <v>2</v>
      </c>
      <c r="H4632">
        <v>35</v>
      </c>
      <c r="I4632" s="6" t="s">
        <v>36</v>
      </c>
      <c r="J4632" s="6" t="s">
        <v>37</v>
      </c>
      <c r="K4632">
        <v>0</v>
      </c>
      <c r="M4632" s="1" t="b">
        <f>Employee__2[[#This Row],[Experience]]&gt;1</f>
        <v>0</v>
      </c>
      <c r="N4632" s="1" t="str">
        <f>IF(Employee__2[[#This Row],[City]]="Pune","Yes","No")</f>
        <v>No</v>
      </c>
      <c r="O4632" s="1" t="str">
        <f>IF(AND(Employee__2[[#This Row],[Education]]="Bachelors",Employee__2[[#This Row],[City]]="Pune"),"Yes","No")</f>
        <v>No</v>
      </c>
      <c r="P4632" s="1" t="str">
        <f>IF(OR(Employee__2[[#This Row],[Age]]&gt;=30,Employee__2[[#This Row],[Gender]]="Male"),"Mached","Not mached")</f>
        <v>Mached</v>
      </c>
    </row>
    <row r="4633" spans="4:16" x14ac:dyDescent="0.25">
      <c r="D4633" s="6" t="s">
        <v>34</v>
      </c>
      <c r="E4633">
        <v>2012</v>
      </c>
      <c r="F4633" s="6" t="s">
        <v>38</v>
      </c>
      <c r="G4633">
        <v>3</v>
      </c>
      <c r="H4633">
        <v>25</v>
      </c>
      <c r="I4633" s="6" t="s">
        <v>39</v>
      </c>
      <c r="J4633" s="6" t="s">
        <v>37</v>
      </c>
      <c r="K4633">
        <v>3</v>
      </c>
      <c r="M4633" s="1" t="b">
        <f>Employee__2[[#This Row],[Experience]]&gt;1</f>
        <v>1</v>
      </c>
      <c r="N4633" s="1" t="str">
        <f>IF(Employee__2[[#This Row],[City]]="Pune","Yes","No")</f>
        <v>Yes</v>
      </c>
      <c r="O4633" s="1" t="str">
        <f>IF(AND(Employee__2[[#This Row],[Education]]="Bachelors",Employee__2[[#This Row],[City]]="Pune"),"Yes","No")</f>
        <v>Yes</v>
      </c>
      <c r="P4633" s="1" t="str">
        <f>IF(OR(Employee__2[[#This Row],[Age]]&gt;=30,Employee__2[[#This Row],[Gender]]="Male"),"Mached","Not mached")</f>
        <v>Not mached</v>
      </c>
    </row>
    <row r="4634" spans="4:16" x14ac:dyDescent="0.25">
      <c r="D4634" s="6" t="s">
        <v>34</v>
      </c>
      <c r="E4634">
        <v>2018</v>
      </c>
      <c r="F4634" s="6" t="s">
        <v>35</v>
      </c>
      <c r="G4634">
        <v>3</v>
      </c>
      <c r="H4634">
        <v>32</v>
      </c>
      <c r="I4634" s="6" t="s">
        <v>36</v>
      </c>
      <c r="J4634" s="6" t="s">
        <v>42</v>
      </c>
      <c r="K4634">
        <v>1</v>
      </c>
      <c r="M4634" s="1" t="b">
        <f>Employee__2[[#This Row],[Experience]]&gt;1</f>
        <v>0</v>
      </c>
      <c r="N4634" s="1" t="str">
        <f>IF(Employee__2[[#This Row],[City]]="Pune","Yes","No")</f>
        <v>No</v>
      </c>
      <c r="O4634" s="1" t="str">
        <f>IF(AND(Employee__2[[#This Row],[Education]]="Bachelors",Employee__2[[#This Row],[City]]="Pune"),"Yes","No")</f>
        <v>No</v>
      </c>
      <c r="P4634" s="1" t="str">
        <f>IF(OR(Employee__2[[#This Row],[Age]]&gt;=30,Employee__2[[#This Row],[Gender]]="Male"),"Mached","Not mached")</f>
        <v>Mached</v>
      </c>
    </row>
    <row r="4635" spans="4:16" x14ac:dyDescent="0.25">
      <c r="D4635" s="6" t="s">
        <v>34</v>
      </c>
      <c r="E4635">
        <v>2018</v>
      </c>
      <c r="F4635" s="6" t="s">
        <v>35</v>
      </c>
      <c r="G4635">
        <v>3</v>
      </c>
      <c r="H4635">
        <v>31</v>
      </c>
      <c r="I4635" s="6" t="s">
        <v>39</v>
      </c>
      <c r="J4635" s="6" t="s">
        <v>37</v>
      </c>
      <c r="K4635">
        <v>2</v>
      </c>
      <c r="M4635" s="1" t="b">
        <f>Employee__2[[#This Row],[Experience]]&gt;1</f>
        <v>1</v>
      </c>
      <c r="N4635" s="1" t="str">
        <f>IF(Employee__2[[#This Row],[City]]="Pune","Yes","No")</f>
        <v>No</v>
      </c>
      <c r="O4635" s="1" t="str">
        <f>IF(AND(Employee__2[[#This Row],[Education]]="Bachelors",Employee__2[[#This Row],[City]]="Pune"),"Yes","No")</f>
        <v>No</v>
      </c>
      <c r="P4635" s="1" t="str">
        <f>IF(OR(Employee__2[[#This Row],[Age]]&gt;=30,Employee__2[[#This Row],[Gender]]="Male"),"Mached","Not mached")</f>
        <v>Mached</v>
      </c>
    </row>
    <row r="4636" spans="4:16" x14ac:dyDescent="0.25">
      <c r="D4636" s="6" t="s">
        <v>34</v>
      </c>
      <c r="E4636">
        <v>2016</v>
      </c>
      <c r="F4636" s="6" t="s">
        <v>35</v>
      </c>
      <c r="G4636">
        <v>3</v>
      </c>
      <c r="H4636">
        <v>37</v>
      </c>
      <c r="I4636" s="6" t="s">
        <v>36</v>
      </c>
      <c r="J4636" s="6" t="s">
        <v>37</v>
      </c>
      <c r="K4636">
        <v>2</v>
      </c>
      <c r="M4636" s="1" t="b">
        <f>Employee__2[[#This Row],[Experience]]&gt;1</f>
        <v>1</v>
      </c>
      <c r="N4636" s="1" t="str">
        <f>IF(Employee__2[[#This Row],[City]]="Pune","Yes","No")</f>
        <v>No</v>
      </c>
      <c r="O4636" s="1" t="str">
        <f>IF(AND(Employee__2[[#This Row],[Education]]="Bachelors",Employee__2[[#This Row],[City]]="Pune"),"Yes","No")</f>
        <v>No</v>
      </c>
      <c r="P4636" s="1" t="str">
        <f>IF(OR(Employee__2[[#This Row],[Age]]&gt;=30,Employee__2[[#This Row],[Gender]]="Male"),"Mached","Not mached")</f>
        <v>Mached</v>
      </c>
    </row>
    <row r="4637" spans="4:16" x14ac:dyDescent="0.25">
      <c r="D4637" s="6" t="s">
        <v>34</v>
      </c>
      <c r="E4637">
        <v>2016</v>
      </c>
      <c r="F4637" s="6" t="s">
        <v>40</v>
      </c>
      <c r="G4637">
        <v>1</v>
      </c>
      <c r="H4637">
        <v>38</v>
      </c>
      <c r="I4637" s="6" t="s">
        <v>39</v>
      </c>
      <c r="J4637" s="6" t="s">
        <v>37</v>
      </c>
      <c r="K4637">
        <v>2</v>
      </c>
      <c r="M4637" s="1" t="b">
        <f>Employee__2[[#This Row],[Experience]]&gt;1</f>
        <v>1</v>
      </c>
      <c r="N4637" s="1" t="str">
        <f>IF(Employee__2[[#This Row],[City]]="Pune","Yes","No")</f>
        <v>No</v>
      </c>
      <c r="O4637" s="1" t="str">
        <f>IF(AND(Employee__2[[#This Row],[Education]]="Bachelors",Employee__2[[#This Row],[City]]="Pune"),"Yes","No")</f>
        <v>No</v>
      </c>
      <c r="P4637" s="1" t="str">
        <f>IF(OR(Employee__2[[#This Row],[Age]]&gt;=30,Employee__2[[#This Row],[Gender]]="Male"),"Mached","Not mached")</f>
        <v>Mached</v>
      </c>
    </row>
    <row r="4638" spans="4:16" x14ac:dyDescent="0.25">
      <c r="D4638" s="6" t="s">
        <v>34</v>
      </c>
      <c r="E4638">
        <v>2014</v>
      </c>
      <c r="F4638" s="6" t="s">
        <v>35</v>
      </c>
      <c r="G4638">
        <v>3</v>
      </c>
      <c r="H4638">
        <v>22</v>
      </c>
      <c r="I4638" s="6" t="s">
        <v>39</v>
      </c>
      <c r="J4638" s="6" t="s">
        <v>37</v>
      </c>
      <c r="K4638">
        <v>0</v>
      </c>
      <c r="M4638" s="1" t="b">
        <f>Employee__2[[#This Row],[Experience]]&gt;1</f>
        <v>0</v>
      </c>
      <c r="N4638" s="1" t="str">
        <f>IF(Employee__2[[#This Row],[City]]="Pune","Yes","No")</f>
        <v>No</v>
      </c>
      <c r="O4638" s="1" t="str">
        <f>IF(AND(Employee__2[[#This Row],[Education]]="Bachelors",Employee__2[[#This Row],[City]]="Pune"),"Yes","No")</f>
        <v>No</v>
      </c>
      <c r="P4638" s="1" t="str">
        <f>IF(OR(Employee__2[[#This Row],[Age]]&gt;=30,Employee__2[[#This Row],[Gender]]="Male"),"Mached","Not mached")</f>
        <v>Not mached</v>
      </c>
    </row>
    <row r="4639" spans="4:16" x14ac:dyDescent="0.25">
      <c r="D4639" s="6" t="s">
        <v>41</v>
      </c>
      <c r="E4639">
        <v>2014</v>
      </c>
      <c r="F4639" s="6" t="s">
        <v>40</v>
      </c>
      <c r="G4639">
        <v>3</v>
      </c>
      <c r="H4639">
        <v>37</v>
      </c>
      <c r="I4639" s="6" t="s">
        <v>39</v>
      </c>
      <c r="J4639" s="6" t="s">
        <v>37</v>
      </c>
      <c r="K4639">
        <v>0</v>
      </c>
      <c r="M4639" s="1" t="b">
        <f>Employee__2[[#This Row],[Experience]]&gt;1</f>
        <v>0</v>
      </c>
      <c r="N4639" s="1" t="str">
        <f>IF(Employee__2[[#This Row],[City]]="Pune","Yes","No")</f>
        <v>No</v>
      </c>
      <c r="O4639" s="1" t="str">
        <f>IF(AND(Employee__2[[#This Row],[Education]]="Bachelors",Employee__2[[#This Row],[City]]="Pune"),"Yes","No")</f>
        <v>No</v>
      </c>
      <c r="P4639" s="1" t="str">
        <f>IF(OR(Employee__2[[#This Row],[Age]]&gt;=30,Employee__2[[#This Row],[Gender]]="Male"),"Mached","Not mached")</f>
        <v>Mached</v>
      </c>
    </row>
    <row r="4640" spans="4:16" x14ac:dyDescent="0.25">
      <c r="D4640" s="6" t="s">
        <v>34</v>
      </c>
      <c r="E4640">
        <v>2018</v>
      </c>
      <c r="F4640" s="6" t="s">
        <v>35</v>
      </c>
      <c r="G4640">
        <v>3</v>
      </c>
      <c r="H4640">
        <v>32</v>
      </c>
      <c r="I4640" s="6" t="s">
        <v>36</v>
      </c>
      <c r="J4640" s="6" t="s">
        <v>42</v>
      </c>
      <c r="K4640">
        <v>2</v>
      </c>
      <c r="M4640" s="1" t="b">
        <f>Employee__2[[#This Row],[Experience]]&gt;1</f>
        <v>1</v>
      </c>
      <c r="N4640" s="1" t="str">
        <f>IF(Employee__2[[#This Row],[City]]="Pune","Yes","No")</f>
        <v>No</v>
      </c>
      <c r="O4640" s="1" t="str">
        <f>IF(AND(Employee__2[[#This Row],[Education]]="Bachelors",Employee__2[[#This Row],[City]]="Pune"),"Yes","No")</f>
        <v>No</v>
      </c>
      <c r="P4640" s="1" t="str">
        <f>IF(OR(Employee__2[[#This Row],[Age]]&gt;=30,Employee__2[[#This Row],[Gender]]="Male"),"Mached","Not mached")</f>
        <v>Mached</v>
      </c>
    </row>
    <row r="4641" spans="4:16" x14ac:dyDescent="0.25">
      <c r="D4641" s="6" t="s">
        <v>34</v>
      </c>
      <c r="E4641">
        <v>2013</v>
      </c>
      <c r="F4641" s="6" t="s">
        <v>35</v>
      </c>
      <c r="G4641">
        <v>3</v>
      </c>
      <c r="H4641">
        <v>26</v>
      </c>
      <c r="I4641" s="6" t="s">
        <v>36</v>
      </c>
      <c r="J4641" s="6" t="s">
        <v>37</v>
      </c>
      <c r="K4641">
        <v>4</v>
      </c>
      <c r="M4641" s="1" t="b">
        <f>Employee__2[[#This Row],[Experience]]&gt;1</f>
        <v>1</v>
      </c>
      <c r="N4641" s="1" t="str">
        <f>IF(Employee__2[[#This Row],[City]]="Pune","Yes","No")</f>
        <v>No</v>
      </c>
      <c r="O4641" s="1" t="str">
        <f>IF(AND(Employee__2[[#This Row],[Education]]="Bachelors",Employee__2[[#This Row],[City]]="Pune"),"Yes","No")</f>
        <v>No</v>
      </c>
      <c r="P4641" s="1" t="str">
        <f>IF(OR(Employee__2[[#This Row],[Age]]&gt;=30,Employee__2[[#This Row],[Gender]]="Male"),"Mached","Not mached")</f>
        <v>Mached</v>
      </c>
    </row>
    <row r="4642" spans="4:16" x14ac:dyDescent="0.25">
      <c r="D4642" s="6" t="s">
        <v>34</v>
      </c>
      <c r="E4642">
        <v>2017</v>
      </c>
      <c r="F4642" s="6" t="s">
        <v>35</v>
      </c>
      <c r="G4642">
        <v>3</v>
      </c>
      <c r="H4642">
        <v>28</v>
      </c>
      <c r="I4642" s="6" t="s">
        <v>36</v>
      </c>
      <c r="J4642" s="6" t="s">
        <v>37</v>
      </c>
      <c r="K4642">
        <v>0</v>
      </c>
      <c r="M4642" s="1" t="b">
        <f>Employee__2[[#This Row],[Experience]]&gt;1</f>
        <v>0</v>
      </c>
      <c r="N4642" s="1" t="str">
        <f>IF(Employee__2[[#This Row],[City]]="Pune","Yes","No")</f>
        <v>No</v>
      </c>
      <c r="O4642" s="1" t="str">
        <f>IF(AND(Employee__2[[#This Row],[Education]]="Bachelors",Employee__2[[#This Row],[City]]="Pune"),"Yes","No")</f>
        <v>No</v>
      </c>
      <c r="P4642" s="1" t="str">
        <f>IF(OR(Employee__2[[#This Row],[Age]]&gt;=30,Employee__2[[#This Row],[Gender]]="Male"),"Mached","Not mached")</f>
        <v>Mached</v>
      </c>
    </row>
    <row r="4643" spans="4:16" x14ac:dyDescent="0.25">
      <c r="D4643" s="6" t="s">
        <v>34</v>
      </c>
      <c r="E4643">
        <v>2015</v>
      </c>
      <c r="F4643" s="6" t="s">
        <v>35</v>
      </c>
      <c r="G4643">
        <v>3</v>
      </c>
      <c r="H4643">
        <v>35</v>
      </c>
      <c r="I4643" s="6" t="s">
        <v>36</v>
      </c>
      <c r="J4643" s="6" t="s">
        <v>37</v>
      </c>
      <c r="K4643">
        <v>0</v>
      </c>
      <c r="M4643" s="1" t="b">
        <f>Employee__2[[#This Row],[Experience]]&gt;1</f>
        <v>0</v>
      </c>
      <c r="N4643" s="1" t="str">
        <f>IF(Employee__2[[#This Row],[City]]="Pune","Yes","No")</f>
        <v>No</v>
      </c>
      <c r="O4643" s="1" t="str">
        <f>IF(AND(Employee__2[[#This Row],[Education]]="Bachelors",Employee__2[[#This Row],[City]]="Pune"),"Yes","No")</f>
        <v>No</v>
      </c>
      <c r="P4643" s="1" t="str">
        <f>IF(OR(Employee__2[[#This Row],[Age]]&gt;=30,Employee__2[[#This Row],[Gender]]="Male"),"Mached","Not mached")</f>
        <v>Mached</v>
      </c>
    </row>
    <row r="4644" spans="4:16" x14ac:dyDescent="0.25">
      <c r="D4644" s="6" t="s">
        <v>34</v>
      </c>
      <c r="E4644">
        <v>2016</v>
      </c>
      <c r="F4644" s="6" t="s">
        <v>35</v>
      </c>
      <c r="G4644">
        <v>1</v>
      </c>
      <c r="H4644">
        <v>33</v>
      </c>
      <c r="I4644" s="6" t="s">
        <v>39</v>
      </c>
      <c r="J4644" s="6" t="s">
        <v>37</v>
      </c>
      <c r="K4644">
        <v>0</v>
      </c>
      <c r="M4644" s="1" t="b">
        <f>Employee__2[[#This Row],[Experience]]&gt;1</f>
        <v>0</v>
      </c>
      <c r="N4644" s="1" t="str">
        <f>IF(Employee__2[[#This Row],[City]]="Pune","Yes","No")</f>
        <v>No</v>
      </c>
      <c r="O4644" s="1" t="str">
        <f>IF(AND(Employee__2[[#This Row],[Education]]="Bachelors",Employee__2[[#This Row],[City]]="Pune"),"Yes","No")</f>
        <v>No</v>
      </c>
      <c r="P4644" s="1" t="str">
        <f>IF(OR(Employee__2[[#This Row],[Age]]&gt;=30,Employee__2[[#This Row],[Gender]]="Male"),"Mached","Not mached")</f>
        <v>Mached</v>
      </c>
    </row>
    <row r="4645" spans="4:16" x14ac:dyDescent="0.25">
      <c r="D4645" s="6" t="s">
        <v>34</v>
      </c>
      <c r="E4645">
        <v>2012</v>
      </c>
      <c r="F4645" s="6" t="s">
        <v>35</v>
      </c>
      <c r="G4645">
        <v>3</v>
      </c>
      <c r="H4645">
        <v>36</v>
      </c>
      <c r="I4645" s="6" t="s">
        <v>39</v>
      </c>
      <c r="J4645" s="6" t="s">
        <v>37</v>
      </c>
      <c r="K4645">
        <v>4</v>
      </c>
      <c r="M4645" s="1" t="b">
        <f>Employee__2[[#This Row],[Experience]]&gt;1</f>
        <v>1</v>
      </c>
      <c r="N4645" s="1" t="str">
        <f>IF(Employee__2[[#This Row],[City]]="Pune","Yes","No")</f>
        <v>No</v>
      </c>
      <c r="O4645" s="1" t="str">
        <f>IF(AND(Employee__2[[#This Row],[Education]]="Bachelors",Employee__2[[#This Row],[City]]="Pune"),"Yes","No")</f>
        <v>No</v>
      </c>
      <c r="P4645" s="1" t="str">
        <f>IF(OR(Employee__2[[#This Row],[Age]]&gt;=30,Employee__2[[#This Row],[Gender]]="Male"),"Mached","Not mached")</f>
        <v>Mached</v>
      </c>
    </row>
    <row r="4646" spans="4:16" x14ac:dyDescent="0.25">
      <c r="D4646" s="6" t="s">
        <v>34</v>
      </c>
      <c r="E4646">
        <v>2013</v>
      </c>
      <c r="F4646" s="6" t="s">
        <v>35</v>
      </c>
      <c r="G4646">
        <v>3</v>
      </c>
      <c r="H4646">
        <v>31</v>
      </c>
      <c r="I4646" s="6" t="s">
        <v>39</v>
      </c>
      <c r="J4646" s="6" t="s">
        <v>37</v>
      </c>
      <c r="K4646">
        <v>5</v>
      </c>
      <c r="M4646" s="1" t="b">
        <f>Employee__2[[#This Row],[Experience]]&gt;1</f>
        <v>1</v>
      </c>
      <c r="N4646" s="1" t="str">
        <f>IF(Employee__2[[#This Row],[City]]="Pune","Yes","No")</f>
        <v>No</v>
      </c>
      <c r="O4646" s="1" t="str">
        <f>IF(AND(Employee__2[[#This Row],[Education]]="Bachelors",Employee__2[[#This Row],[City]]="Pune"),"Yes","No")</f>
        <v>No</v>
      </c>
      <c r="P4646" s="1" t="str">
        <f>IF(OR(Employee__2[[#This Row],[Age]]&gt;=30,Employee__2[[#This Row],[Gender]]="Male"),"Mached","Not mached")</f>
        <v>Mached</v>
      </c>
    </row>
    <row r="4647" spans="4:16" x14ac:dyDescent="0.25">
      <c r="D4647" s="6" t="s">
        <v>34</v>
      </c>
      <c r="E4647">
        <v>2015</v>
      </c>
      <c r="F4647" s="6" t="s">
        <v>38</v>
      </c>
      <c r="G4647">
        <v>3</v>
      </c>
      <c r="H4647">
        <v>32</v>
      </c>
      <c r="I4647" s="6" t="s">
        <v>39</v>
      </c>
      <c r="J4647" s="6" t="s">
        <v>42</v>
      </c>
      <c r="K4647">
        <v>1</v>
      </c>
      <c r="M4647" s="1" t="b">
        <f>Employee__2[[#This Row],[Experience]]&gt;1</f>
        <v>0</v>
      </c>
      <c r="N4647" s="1" t="str">
        <f>IF(Employee__2[[#This Row],[City]]="Pune","Yes","No")</f>
        <v>Yes</v>
      </c>
      <c r="O4647" s="1" t="str">
        <f>IF(AND(Employee__2[[#This Row],[Education]]="Bachelors",Employee__2[[#This Row],[City]]="Pune"),"Yes","No")</f>
        <v>Yes</v>
      </c>
      <c r="P4647" s="1" t="str">
        <f>IF(OR(Employee__2[[#This Row],[Age]]&gt;=30,Employee__2[[#This Row],[Gender]]="Male"),"Mached","Not mached")</f>
        <v>Mached</v>
      </c>
    </row>
    <row r="4648" spans="4:16" x14ac:dyDescent="0.25">
      <c r="D4648" s="6" t="s">
        <v>41</v>
      </c>
      <c r="E4648">
        <v>2017</v>
      </c>
      <c r="F4648" s="6" t="s">
        <v>38</v>
      </c>
      <c r="G4648">
        <v>2</v>
      </c>
      <c r="H4648">
        <v>31</v>
      </c>
      <c r="I4648" s="6" t="s">
        <v>39</v>
      </c>
      <c r="J4648" s="6" t="s">
        <v>37</v>
      </c>
      <c r="K4648">
        <v>2</v>
      </c>
      <c r="M4648" s="1" t="b">
        <f>Employee__2[[#This Row],[Experience]]&gt;1</f>
        <v>1</v>
      </c>
      <c r="N4648" s="1" t="str">
        <f>IF(Employee__2[[#This Row],[City]]="Pune","Yes","No")</f>
        <v>Yes</v>
      </c>
      <c r="O4648" s="1" t="str">
        <f>IF(AND(Employee__2[[#This Row],[Education]]="Bachelors",Employee__2[[#This Row],[City]]="Pune"),"Yes","No")</f>
        <v>No</v>
      </c>
      <c r="P4648" s="1" t="str">
        <f>IF(OR(Employee__2[[#This Row],[Age]]&gt;=30,Employee__2[[#This Row],[Gender]]="Male"),"Mached","Not mached")</f>
        <v>Mached</v>
      </c>
    </row>
    <row r="4649" spans="4:16" x14ac:dyDescent="0.25">
      <c r="D4649" s="6" t="s">
        <v>34</v>
      </c>
      <c r="E4649">
        <v>2013</v>
      </c>
      <c r="F4649" s="6" t="s">
        <v>35</v>
      </c>
      <c r="G4649">
        <v>3</v>
      </c>
      <c r="H4649">
        <v>25</v>
      </c>
      <c r="I4649" s="6" t="s">
        <v>39</v>
      </c>
      <c r="J4649" s="6" t="s">
        <v>37</v>
      </c>
      <c r="K4649">
        <v>3</v>
      </c>
      <c r="M4649" s="1" t="b">
        <f>Employee__2[[#This Row],[Experience]]&gt;1</f>
        <v>1</v>
      </c>
      <c r="N4649" s="1" t="str">
        <f>IF(Employee__2[[#This Row],[City]]="Pune","Yes","No")</f>
        <v>No</v>
      </c>
      <c r="O4649" s="1" t="str">
        <f>IF(AND(Employee__2[[#This Row],[Education]]="Bachelors",Employee__2[[#This Row],[City]]="Pune"),"Yes","No")</f>
        <v>No</v>
      </c>
      <c r="P4649" s="1" t="str">
        <f>IF(OR(Employee__2[[#This Row],[Age]]&gt;=30,Employee__2[[#This Row],[Gender]]="Male"),"Mached","Not mached")</f>
        <v>Not mached</v>
      </c>
    </row>
    <row r="4650" spans="4:16" x14ac:dyDescent="0.25">
      <c r="D4650" s="6" t="s">
        <v>34</v>
      </c>
      <c r="E4650">
        <v>2016</v>
      </c>
      <c r="F4650" s="6" t="s">
        <v>38</v>
      </c>
      <c r="G4650">
        <v>3</v>
      </c>
      <c r="H4650">
        <v>30</v>
      </c>
      <c r="I4650" s="6" t="s">
        <v>36</v>
      </c>
      <c r="J4650" s="6" t="s">
        <v>37</v>
      </c>
      <c r="K4650">
        <v>2</v>
      </c>
      <c r="M4650" s="1" t="b">
        <f>Employee__2[[#This Row],[Experience]]&gt;1</f>
        <v>1</v>
      </c>
      <c r="N4650" s="1" t="str">
        <f>IF(Employee__2[[#This Row],[City]]="Pune","Yes","No")</f>
        <v>Yes</v>
      </c>
      <c r="O4650" s="1" t="str">
        <f>IF(AND(Employee__2[[#This Row],[Education]]="Bachelors",Employee__2[[#This Row],[City]]="Pune"),"Yes","No")</f>
        <v>Yes</v>
      </c>
      <c r="P4650" s="1" t="str">
        <f>IF(OR(Employee__2[[#This Row],[Age]]&gt;=30,Employee__2[[#This Row],[Gender]]="Male"),"Mached","Not mached")</f>
        <v>Mached</v>
      </c>
    </row>
    <row r="4651" spans="4:16" x14ac:dyDescent="0.25">
      <c r="D4651" s="6" t="s">
        <v>34</v>
      </c>
      <c r="E4651">
        <v>2013</v>
      </c>
      <c r="F4651" s="6" t="s">
        <v>35</v>
      </c>
      <c r="G4651">
        <v>3</v>
      </c>
      <c r="H4651">
        <v>26</v>
      </c>
      <c r="I4651" s="6" t="s">
        <v>39</v>
      </c>
      <c r="J4651" s="6" t="s">
        <v>37</v>
      </c>
      <c r="K4651">
        <v>4</v>
      </c>
      <c r="M4651" s="1" t="b">
        <f>Employee__2[[#This Row],[Experience]]&gt;1</f>
        <v>1</v>
      </c>
      <c r="N4651" s="1" t="str">
        <f>IF(Employee__2[[#This Row],[City]]="Pune","Yes","No")</f>
        <v>No</v>
      </c>
      <c r="O4651" s="1" t="str">
        <f>IF(AND(Employee__2[[#This Row],[Education]]="Bachelors",Employee__2[[#This Row],[City]]="Pune"),"Yes","No")</f>
        <v>No</v>
      </c>
      <c r="P4651" s="1" t="str">
        <f>IF(OR(Employee__2[[#This Row],[Age]]&gt;=30,Employee__2[[#This Row],[Gender]]="Male"),"Mached","Not mached")</f>
        <v>Not mached</v>
      </c>
    </row>
    <row r="4652" spans="4:16" x14ac:dyDescent="0.25">
      <c r="D4652" s="6" t="s">
        <v>41</v>
      </c>
      <c r="E4652">
        <v>2013</v>
      </c>
      <c r="F4652" s="6" t="s">
        <v>38</v>
      </c>
      <c r="G4652">
        <v>2</v>
      </c>
      <c r="H4652">
        <v>37</v>
      </c>
      <c r="I4652" s="6" t="s">
        <v>36</v>
      </c>
      <c r="J4652" s="6" t="s">
        <v>37</v>
      </c>
      <c r="K4652">
        <v>2</v>
      </c>
      <c r="M4652" s="1" t="b">
        <f>Employee__2[[#This Row],[Experience]]&gt;1</f>
        <v>1</v>
      </c>
      <c r="N4652" s="1" t="str">
        <f>IF(Employee__2[[#This Row],[City]]="Pune","Yes","No")</f>
        <v>Yes</v>
      </c>
      <c r="O4652" s="1" t="str">
        <f>IF(AND(Employee__2[[#This Row],[Education]]="Bachelors",Employee__2[[#This Row],[City]]="Pune"),"Yes","No")</f>
        <v>No</v>
      </c>
      <c r="P4652" s="1" t="str">
        <f>IF(OR(Employee__2[[#This Row],[Age]]&gt;=30,Employee__2[[#This Row],[Gender]]="Male"),"Mached","Not mached")</f>
        <v>Mached</v>
      </c>
    </row>
    <row r="4653" spans="4:16" x14ac:dyDescent="0.25">
      <c r="D4653" s="6" t="s">
        <v>41</v>
      </c>
      <c r="E4653">
        <v>2018</v>
      </c>
      <c r="F4653" s="6" t="s">
        <v>40</v>
      </c>
      <c r="G4653">
        <v>3</v>
      </c>
      <c r="H4653">
        <v>27</v>
      </c>
      <c r="I4653" s="6" t="s">
        <v>36</v>
      </c>
      <c r="J4653" s="6" t="s">
        <v>37</v>
      </c>
      <c r="K4653">
        <v>5</v>
      </c>
      <c r="M4653" s="1" t="b">
        <f>Employee__2[[#This Row],[Experience]]&gt;1</f>
        <v>1</v>
      </c>
      <c r="N4653" s="1" t="str">
        <f>IF(Employee__2[[#This Row],[City]]="Pune","Yes","No")</f>
        <v>No</v>
      </c>
      <c r="O4653" s="1" t="str">
        <f>IF(AND(Employee__2[[#This Row],[Education]]="Bachelors",Employee__2[[#This Row],[City]]="Pune"),"Yes","No")</f>
        <v>No</v>
      </c>
      <c r="P4653" s="1" t="str">
        <f>IF(OR(Employee__2[[#This Row],[Age]]&gt;=30,Employee__2[[#This Row],[Gender]]="Male"),"Mached","Not mached")</f>
        <v>Mached</v>
      </c>
    </row>
    <row r="4654" spans="4:16" x14ac:dyDescent="0.25">
      <c r="D4654" s="6" t="s">
        <v>34</v>
      </c>
      <c r="E4654">
        <v>2012</v>
      </c>
      <c r="F4654" s="6" t="s">
        <v>35</v>
      </c>
      <c r="G4654">
        <v>3</v>
      </c>
      <c r="H4654">
        <v>30</v>
      </c>
      <c r="I4654" s="6" t="s">
        <v>36</v>
      </c>
      <c r="J4654" s="6" t="s">
        <v>42</v>
      </c>
      <c r="K4654">
        <v>2</v>
      </c>
      <c r="M4654" s="1" t="b">
        <f>Employee__2[[#This Row],[Experience]]&gt;1</f>
        <v>1</v>
      </c>
      <c r="N4654" s="1" t="str">
        <f>IF(Employee__2[[#This Row],[City]]="Pune","Yes","No")</f>
        <v>No</v>
      </c>
      <c r="O4654" s="1" t="str">
        <f>IF(AND(Employee__2[[#This Row],[Education]]="Bachelors",Employee__2[[#This Row],[City]]="Pune"),"Yes","No")</f>
        <v>No</v>
      </c>
      <c r="P4654" s="1" t="str">
        <f>IF(OR(Employee__2[[#This Row],[Age]]&gt;=30,Employee__2[[#This Row],[Gender]]="Male"),"Mached","Not mached")</f>
        <v>Mached</v>
      </c>
    </row>
    <row r="4655" spans="4:16" x14ac:dyDescent="0.25">
      <c r="D4655" s="6" t="s">
        <v>34</v>
      </c>
      <c r="E4655">
        <v>2015</v>
      </c>
      <c r="F4655" s="6" t="s">
        <v>35</v>
      </c>
      <c r="G4655">
        <v>3</v>
      </c>
      <c r="H4655">
        <v>33</v>
      </c>
      <c r="I4655" s="6" t="s">
        <v>36</v>
      </c>
      <c r="J4655" s="6" t="s">
        <v>42</v>
      </c>
      <c r="K4655">
        <v>4</v>
      </c>
      <c r="M4655" s="1" t="b">
        <f>Employee__2[[#This Row],[Experience]]&gt;1</f>
        <v>1</v>
      </c>
      <c r="N4655" s="1" t="str">
        <f>IF(Employee__2[[#This Row],[City]]="Pune","Yes","No")</f>
        <v>No</v>
      </c>
      <c r="O4655" s="1" t="str">
        <f>IF(AND(Employee__2[[#This Row],[Education]]="Bachelors",Employee__2[[#This Row],[City]]="Pune"),"Yes","No")</f>
        <v>No</v>
      </c>
      <c r="P4655" s="1" t="str">
        <f>IF(OR(Employee__2[[#This Row],[Age]]&gt;=30,Employee__2[[#This Row],[Gender]]="Male"),"Mached","Not mached")</f>
        <v>Mached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4ECD58-ED85-41E5-B5F4-85982DE5D9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TEXT</vt:lpstr>
      <vt:lpstr>CONDITIONALS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 Gavali</dc:creator>
  <cp:lastModifiedBy>Prajwal Gavali</cp:lastModifiedBy>
  <dcterms:created xsi:type="dcterms:W3CDTF">2015-06-05T18:17:20Z</dcterms:created>
  <dcterms:modified xsi:type="dcterms:W3CDTF">2026-02-27T08:28:16Z</dcterms:modified>
</cp:coreProperties>
</file>